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MASTERLIST" sheetId="2" r:id="rId6"/>
    <sheet state="visible" name="JANUARY" sheetId="3" r:id="rId7"/>
    <sheet state="visible" name="FEBRUARY" sheetId="4" r:id="rId8"/>
    <sheet state="visible" name="MARCH" sheetId="5" r:id="rId9"/>
    <sheet state="visible" name="APRIL" sheetId="6" r:id="rId10"/>
    <sheet state="visible" name="MAY" sheetId="7" r:id="rId11"/>
    <sheet state="visible" name="JUNE" sheetId="8" r:id="rId12"/>
    <sheet state="visible" name="JULY" sheetId="9" r:id="rId13"/>
    <sheet state="visible" name="AUGUST" sheetId="10" r:id="rId14"/>
    <sheet state="visible" name="SEPTEMBER" sheetId="11" r:id="rId15"/>
    <sheet state="visible" name="OCTOBER" sheetId="12" r:id="rId16"/>
    <sheet state="visible" name="NOVEMBER" sheetId="13" r:id="rId17"/>
    <sheet state="visible" name="DECEMBER" sheetId="14" r:id="rId18"/>
    <sheet state="visible" name="Sample PDF" sheetId="15" r:id="rId19"/>
  </sheets>
  <definedNames/>
  <calcPr/>
</workbook>
</file>

<file path=xl/sharedStrings.xml><?xml version="1.0" encoding="utf-8"?>
<sst xmlns="http://schemas.openxmlformats.org/spreadsheetml/2006/main" count="1516" uniqueCount="632">
  <si>
    <t>JCSGO 3PM  YEARLY ATTENDANCE MONITORING</t>
  </si>
  <si>
    <t>👉 Open Vine Attendance Form</t>
  </si>
  <si>
    <t>Year</t>
  </si>
  <si>
    <t>KEY</t>
  </si>
  <si>
    <t>ONSITE</t>
  </si>
  <si>
    <t>OS</t>
  </si>
  <si>
    <t>ONLINE</t>
  </si>
  <si>
    <t>ON</t>
  </si>
  <si>
    <t>HEAD</t>
  </si>
  <si>
    <t>LOCATION</t>
  </si>
  <si>
    <t>PASTORA LERMA</t>
  </si>
  <si>
    <t>CUBAO CENTRAL</t>
  </si>
  <si>
    <t>MONTH</t>
  </si>
  <si>
    <t>SUNDAY CELEBRATION</t>
  </si>
  <si>
    <t>CAREGROUP ACTIVITY</t>
  </si>
  <si>
    <t>WEEK 1</t>
  </si>
  <si>
    <t>WEEK 2</t>
  </si>
  <si>
    <t>WEEK 3</t>
  </si>
  <si>
    <t>WEEK 4</t>
  </si>
  <si>
    <t>WEEK 5</t>
  </si>
  <si>
    <t>TOTAL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</si>
  <si>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</si>
  <si>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</si>
  <si>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</si>
  <si>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</si>
  <si>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</si>
  <si>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</si>
  <si>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</si>
  <si>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</si>
  <si>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</si>
  <si>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</si>
  <si>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</si>
  <si>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</si>
  <si>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NEW BELIEVERS</t>
  </si>
  <si>
    <t>1ST TIMER</t>
  </si>
  <si>
    <t>2ND TIMER</t>
  </si>
  <si>
    <t>3RD TIMER</t>
  </si>
  <si>
    <t>4TH TIMER</t>
  </si>
  <si>
    <t>5TH TIMER</t>
  </si>
  <si>
    <t>POWER FILLED</t>
  </si>
  <si>
    <t>WATER BAPTISM</t>
  </si>
  <si>
    <t>id</t>
  </si>
  <si>
    <t>cg_id</t>
  </si>
  <si>
    <t>v_id</t>
  </si>
  <si>
    <t>is_vine</t>
  </si>
  <si>
    <t>last_name</t>
  </si>
  <si>
    <t>first_name</t>
  </si>
  <si>
    <t>ARANDA</t>
  </si>
  <si>
    <t>KAI</t>
  </si>
  <si>
    <t>ARCILLA</t>
  </si>
  <si>
    <t>DANIELA</t>
  </si>
  <si>
    <t>ANDRE</t>
  </si>
  <si>
    <t>CARLA</t>
  </si>
  <si>
    <t>BALDELOVAR</t>
  </si>
  <si>
    <t>LEANNE</t>
  </si>
  <si>
    <t>BANTAYAN</t>
  </si>
  <si>
    <t>EURASIA</t>
  </si>
  <si>
    <t>BUCTOT</t>
  </si>
  <si>
    <t>JEZEBEL</t>
  </si>
  <si>
    <t>ENCARNACION</t>
  </si>
  <si>
    <t>KRISTEL</t>
  </si>
  <si>
    <t>GUTIERREZ</t>
  </si>
  <si>
    <t>PAOLA</t>
  </si>
  <si>
    <t>HISPANO</t>
  </si>
  <si>
    <t>HANNA</t>
  </si>
  <si>
    <t>MALOLOY-ON</t>
  </si>
  <si>
    <t>MARIANA</t>
  </si>
  <si>
    <t>JOISEALAY</t>
  </si>
  <si>
    <t>ORQUIA</t>
  </si>
  <si>
    <t>KAYLA</t>
  </si>
  <si>
    <t>PIGAO</t>
  </si>
  <si>
    <t>HANNAH</t>
  </si>
  <si>
    <t>RELEVO</t>
  </si>
  <si>
    <t>RICA</t>
  </si>
  <si>
    <t>REYES</t>
  </si>
  <si>
    <t>ARIANNE</t>
  </si>
  <si>
    <t>ROMANO</t>
  </si>
  <si>
    <t>ROZANE</t>
  </si>
  <si>
    <t>SEBASTIAN</t>
  </si>
  <si>
    <t>JENNIFER</t>
  </si>
  <si>
    <t>SIMON</t>
  </si>
  <si>
    <t>SHERRIE</t>
  </si>
  <si>
    <t>TAMIDLES</t>
  </si>
  <si>
    <t>CZARINA</t>
  </si>
  <si>
    <t>ULAN</t>
  </si>
  <si>
    <t>MCWAYNE</t>
  </si>
  <si>
    <t>VILLARTA</t>
  </si>
  <si>
    <t>JERICKA</t>
  </si>
  <si>
    <t>ANGEL</t>
  </si>
  <si>
    <t>AVANCENA</t>
  </si>
  <si>
    <t>AIMEE</t>
  </si>
  <si>
    <t>CABO</t>
  </si>
  <si>
    <t>MELANIE</t>
  </si>
  <si>
    <t>CARLOS</t>
  </si>
  <si>
    <t>FRANCINE</t>
  </si>
  <si>
    <t>DALIOAN</t>
  </si>
  <si>
    <t>MONIQUE</t>
  </si>
  <si>
    <t>GELICAME</t>
  </si>
  <si>
    <t>ARYHANA</t>
  </si>
  <si>
    <t>GUIMONG</t>
  </si>
  <si>
    <t>FAITH</t>
  </si>
  <si>
    <t>MANALOTO</t>
  </si>
  <si>
    <t>YOSHA</t>
  </si>
  <si>
    <t>MARINAS</t>
  </si>
  <si>
    <t>CHERRY</t>
  </si>
  <si>
    <t>JIMENEZ</t>
  </si>
  <si>
    <t>RUTH JHAMELA</t>
  </si>
  <si>
    <t>GUILLERMO</t>
  </si>
  <si>
    <t>STAR</t>
  </si>
  <si>
    <t>CATENZA</t>
  </si>
  <si>
    <t>PRINCESS</t>
  </si>
  <si>
    <t>GORDON</t>
  </si>
  <si>
    <t>HARRY</t>
  </si>
  <si>
    <t>AVILLANO</t>
  </si>
  <si>
    <t>ANGEL DIANNE</t>
  </si>
  <si>
    <t>BALTAZAR</t>
  </si>
  <si>
    <t>ARSTON</t>
  </si>
  <si>
    <t>SISON</t>
  </si>
  <si>
    <t>KRISTA MAE</t>
  </si>
  <si>
    <t>GARCIA</t>
  </si>
  <si>
    <t>SELTHIEL</t>
  </si>
  <si>
    <t>HIJARA</t>
  </si>
  <si>
    <t>JAIHMIER VIELLE</t>
  </si>
  <si>
    <t>MAGBANUA</t>
  </si>
  <si>
    <t>MANUEL HARVEY</t>
  </si>
  <si>
    <t>TABOY</t>
  </si>
  <si>
    <t>PRIMO KLYDE</t>
  </si>
  <si>
    <t>SABEJON</t>
  </si>
  <si>
    <t>KENNETH</t>
  </si>
  <si>
    <t>LIRRAG</t>
  </si>
  <si>
    <t>DAN EDRIK</t>
  </si>
  <si>
    <t>DELA ROSA</t>
  </si>
  <si>
    <t>JOREVE</t>
  </si>
  <si>
    <t>KOI</t>
  </si>
  <si>
    <t>HERMYLYN</t>
  </si>
  <si>
    <t>SILVANO</t>
  </si>
  <si>
    <t>CRISJARED</t>
  </si>
  <si>
    <t>CORONEL</t>
  </si>
  <si>
    <t>CARL CEDRICK</t>
  </si>
  <si>
    <t>ORTALEZA</t>
  </si>
  <si>
    <t>FROI FANCIS</t>
  </si>
  <si>
    <t>ESPOZO</t>
  </si>
  <si>
    <t>MAICA ELLA</t>
  </si>
  <si>
    <t>SOBERANO</t>
  </si>
  <si>
    <t>ZAIRUS</t>
  </si>
  <si>
    <t>ERA</t>
  </si>
  <si>
    <t>ANALEZA</t>
  </si>
  <si>
    <t>ARANA</t>
  </si>
  <si>
    <t>RHEANA</t>
  </si>
  <si>
    <t>BANDE</t>
  </si>
  <si>
    <t>ERICA</t>
  </si>
  <si>
    <t>DEL ROSARIO</t>
  </si>
  <si>
    <t>JOY</t>
  </si>
  <si>
    <t>GUETA</t>
  </si>
  <si>
    <t>SEYVEL</t>
  </si>
  <si>
    <t>MALIPOT</t>
  </si>
  <si>
    <t>JUSTINE</t>
  </si>
  <si>
    <t>PATRICIO</t>
  </si>
  <si>
    <t>VANESSA</t>
  </si>
  <si>
    <t>PONCE</t>
  </si>
  <si>
    <t>SHEENA</t>
  </si>
  <si>
    <t>RAMOS</t>
  </si>
  <si>
    <t>AA</t>
  </si>
  <si>
    <t>REPUBLO</t>
  </si>
  <si>
    <t>CLARISSA</t>
  </si>
  <si>
    <t>JENNY</t>
  </si>
  <si>
    <t>MAGISTRADO</t>
  </si>
  <si>
    <t>CARANGUIAN</t>
  </si>
  <si>
    <t>DIVINA GRACE</t>
  </si>
  <si>
    <t>CHRISTINA</t>
  </si>
  <si>
    <t>LOVELY</t>
  </si>
  <si>
    <t>PACLITA</t>
  </si>
  <si>
    <t>CHERRY ANN</t>
  </si>
  <si>
    <t>PALOMA</t>
  </si>
  <si>
    <t>ALEAH</t>
  </si>
  <si>
    <t>SATURINAS</t>
  </si>
  <si>
    <t>ALEXANDRA GRACE</t>
  </si>
  <si>
    <t>RONQUILLO</t>
  </si>
  <si>
    <t>SHANE</t>
  </si>
  <si>
    <t>MARFIL</t>
  </si>
  <si>
    <t>ADELAIZA</t>
  </si>
  <si>
    <t>PERALTA</t>
  </si>
  <si>
    <t>ALAICA</t>
  </si>
  <si>
    <t>ALISA</t>
  </si>
  <si>
    <t>VILLANUEVA</t>
  </si>
  <si>
    <t>SOFIA</t>
  </si>
  <si>
    <t>TAKEYAMA</t>
  </si>
  <si>
    <t>YUKA</t>
  </si>
  <si>
    <t>ANTONIO</t>
  </si>
  <si>
    <t>CHOLO MIGUEL</t>
  </si>
  <si>
    <t>ELCANA</t>
  </si>
  <si>
    <t>JOAQUIN</t>
  </si>
  <si>
    <t>JEXTER</t>
  </si>
  <si>
    <t>MANUYAG</t>
  </si>
  <si>
    <t>RAYVER</t>
  </si>
  <si>
    <t>RAAGAS</t>
  </si>
  <si>
    <t>PRINCE JHAMIR (YOHAN)</t>
  </si>
  <si>
    <t>HARLEY</t>
  </si>
  <si>
    <t>MEDINA</t>
  </si>
  <si>
    <t>JOHN PAUL</t>
  </si>
  <si>
    <t>SALTA</t>
  </si>
  <si>
    <t>KARL</t>
  </si>
  <si>
    <t>ROBLOS</t>
  </si>
  <si>
    <t>CEDRIC</t>
  </si>
  <si>
    <t>RIVAS</t>
  </si>
  <si>
    <t>RAY ALLEN</t>
  </si>
  <si>
    <t>MAGDANGAN</t>
  </si>
  <si>
    <t>DENMARK</t>
  </si>
  <si>
    <t>SABONG</t>
  </si>
  <si>
    <t>VINCE</t>
  </si>
  <si>
    <t>AQUINO</t>
  </si>
  <si>
    <t>MARVIN</t>
  </si>
  <si>
    <t>LANOZO</t>
  </si>
  <si>
    <t>REGGIENALD</t>
  </si>
  <si>
    <t>QUIRONA</t>
  </si>
  <si>
    <t>IAN CHRISTOPHER</t>
  </si>
  <si>
    <t>BAUYON</t>
  </si>
  <si>
    <t>JOHN CARLO</t>
  </si>
  <si>
    <t>FIGUEROA</t>
  </si>
  <si>
    <t>RONALD</t>
  </si>
  <si>
    <t>INACTIVE</t>
  </si>
  <si>
    <t>BONIFACIO</t>
  </si>
  <si>
    <t>JUNIOR</t>
  </si>
  <si>
    <t>CASTILLO</t>
  </si>
  <si>
    <t>JOHNREY</t>
  </si>
  <si>
    <t>MENDOZA</t>
  </si>
  <si>
    <t>JUSTINE IAN</t>
  </si>
  <si>
    <t>FERMIN</t>
  </si>
  <si>
    <t>HARIMAR</t>
  </si>
  <si>
    <t>ADEME</t>
  </si>
  <si>
    <t>JOHN EVO</t>
  </si>
  <si>
    <t>FLAGNE</t>
  </si>
  <si>
    <t>JHANDY</t>
  </si>
  <si>
    <t>GURION</t>
  </si>
  <si>
    <t>ARJIE</t>
  </si>
  <si>
    <t>INAJE</t>
  </si>
  <si>
    <t>JAYSON</t>
  </si>
  <si>
    <t>LUANGCO</t>
  </si>
  <si>
    <t>MARKHIEL</t>
  </si>
  <si>
    <t>NAPARATO</t>
  </si>
  <si>
    <t>JONEL</t>
  </si>
  <si>
    <t>JEFF</t>
  </si>
  <si>
    <t>PABILLO</t>
  </si>
  <si>
    <t>PRINCE ALECK</t>
  </si>
  <si>
    <t>PRINCESA</t>
  </si>
  <si>
    <t>ADRIAN CARL</t>
  </si>
  <si>
    <t>JEREMIAH</t>
  </si>
  <si>
    <t>MATTHEW</t>
  </si>
  <si>
    <t>JONAS</t>
  </si>
  <si>
    <t>XIANREY</t>
  </si>
  <si>
    <t>AMBROCIO</t>
  </si>
  <si>
    <t>JAMES</t>
  </si>
  <si>
    <t>PANADO</t>
  </si>
  <si>
    <t>MALLARI</t>
  </si>
  <si>
    <t>JAY IAN</t>
  </si>
  <si>
    <t>MACASA</t>
  </si>
  <si>
    <t>POLO</t>
  </si>
  <si>
    <t>ALCANTARA</t>
  </si>
  <si>
    <t>GERALD</t>
  </si>
  <si>
    <t>ALVIAR</t>
  </si>
  <si>
    <t>PETER</t>
  </si>
  <si>
    <t>JEFFREY</t>
  </si>
  <si>
    <t>CABRERA</t>
  </si>
  <si>
    <t>LANCE</t>
  </si>
  <si>
    <t>CANDIDO</t>
  </si>
  <si>
    <t>PRINCE</t>
  </si>
  <si>
    <t>LOUIE</t>
  </si>
  <si>
    <t>MALIGTAS</t>
  </si>
  <si>
    <t>SKYE</t>
  </si>
  <si>
    <t>NEHEMIAH</t>
  </si>
  <si>
    <t>ARKHEL</t>
  </si>
  <si>
    <t>OLASO</t>
  </si>
  <si>
    <t>CHARLES</t>
  </si>
  <si>
    <t>PASCUA</t>
  </si>
  <si>
    <t>JOHN MICHAEL</t>
  </si>
  <si>
    <t>MARLON</t>
  </si>
  <si>
    <t>PESAYCO</t>
  </si>
  <si>
    <t>KEITH</t>
  </si>
  <si>
    <t>RAZON</t>
  </si>
  <si>
    <t>JOSHUA</t>
  </si>
  <si>
    <t>ROCCO</t>
  </si>
  <si>
    <t>MARK</t>
  </si>
  <si>
    <t>ROME</t>
  </si>
  <si>
    <t>ZAYIN</t>
  </si>
  <si>
    <t>ZACH</t>
  </si>
  <si>
    <t>SERRANO</t>
  </si>
  <si>
    <t>MICO</t>
  </si>
  <si>
    <t>PAUL</t>
  </si>
  <si>
    <t>IYA</t>
  </si>
  <si>
    <t>ALIANZA</t>
  </si>
  <si>
    <t>JESEMIL</t>
  </si>
  <si>
    <t>CHAM</t>
  </si>
  <si>
    <t>JOANNA</t>
  </si>
  <si>
    <t>ALEXANDRA</t>
  </si>
  <si>
    <t>CARAAN</t>
  </si>
  <si>
    <t>CATHLINE</t>
  </si>
  <si>
    <t>JASIEL</t>
  </si>
  <si>
    <t>CEA</t>
  </si>
  <si>
    <t>DIANA</t>
  </si>
  <si>
    <t>CHUA</t>
  </si>
  <si>
    <t>PJ</t>
  </si>
  <si>
    <t>DIZON</t>
  </si>
  <si>
    <t>ARRA</t>
  </si>
  <si>
    <t>ECLEVIA</t>
  </si>
  <si>
    <t>ANGELICA</t>
  </si>
  <si>
    <t>FELIPE</t>
  </si>
  <si>
    <t>JAIMIE</t>
  </si>
  <si>
    <t>FERNANDEZ</t>
  </si>
  <si>
    <t>SHARMAINE</t>
  </si>
  <si>
    <t>FILIO</t>
  </si>
  <si>
    <t>DAISY</t>
  </si>
  <si>
    <t>FLORO</t>
  </si>
  <si>
    <t>MICA</t>
  </si>
  <si>
    <t>FRANCISCO</t>
  </si>
  <si>
    <t>RAMILYN</t>
  </si>
  <si>
    <t>GEMOTO</t>
  </si>
  <si>
    <t>JASMINE</t>
  </si>
  <si>
    <t>LABAYNE</t>
  </si>
  <si>
    <t>GRACE</t>
  </si>
  <si>
    <t>OCEMAN</t>
  </si>
  <si>
    <t>RAI-RAI</t>
  </si>
  <si>
    <t>KEZA</t>
  </si>
  <si>
    <t>YEN</t>
  </si>
  <si>
    <t>TAN SANCHEZ</t>
  </si>
  <si>
    <t>MARY KHAYE</t>
  </si>
  <si>
    <t>TANDUL</t>
  </si>
  <si>
    <t>ELAIJAH</t>
  </si>
  <si>
    <t>VILLONES</t>
  </si>
  <si>
    <t>RHEA</t>
  </si>
  <si>
    <t>DE-DIOS</t>
  </si>
  <si>
    <t>JAY-EL</t>
  </si>
  <si>
    <t>BARONGGO</t>
  </si>
  <si>
    <t>FRANK</t>
  </si>
  <si>
    <t>ABENOJAR</t>
  </si>
  <si>
    <t>CLIFFORD</t>
  </si>
  <si>
    <t>ABUS</t>
  </si>
  <si>
    <t>RV PETER</t>
  </si>
  <si>
    <t>DON</t>
  </si>
  <si>
    <t>BERDIN</t>
  </si>
  <si>
    <t>KURT</t>
  </si>
  <si>
    <t>CALUBIRAN</t>
  </si>
  <si>
    <t>JOEL</t>
  </si>
  <si>
    <t>CARANGAN</t>
  </si>
  <si>
    <t>CASINUSIMAN</t>
  </si>
  <si>
    <t>RAINER</t>
  </si>
  <si>
    <t>CORVERA</t>
  </si>
  <si>
    <t>FLORENCE</t>
  </si>
  <si>
    <t>DABALOS</t>
  </si>
  <si>
    <t>MERVIN</t>
  </si>
  <si>
    <t>DATO</t>
  </si>
  <si>
    <t>JOHN AL</t>
  </si>
  <si>
    <t>DELA CRUZ</t>
  </si>
  <si>
    <t>DYLAN</t>
  </si>
  <si>
    <t>DELA PEÑA</t>
  </si>
  <si>
    <t>ACEL</t>
  </si>
  <si>
    <t>DELECTOR</t>
  </si>
  <si>
    <t>FRANCIS CRISTEL</t>
  </si>
  <si>
    <t>FRANZINE CARLO</t>
  </si>
  <si>
    <t>FRONDA</t>
  </si>
  <si>
    <t>ED</t>
  </si>
  <si>
    <t>ALJHUN</t>
  </si>
  <si>
    <t>LLORENTE</t>
  </si>
  <si>
    <t>MILLS</t>
  </si>
  <si>
    <t>MANUEL</t>
  </si>
  <si>
    <t>JOHN MARK</t>
  </si>
  <si>
    <t>JM</t>
  </si>
  <si>
    <t>MOLINA</t>
  </si>
  <si>
    <t>ADRIAN</t>
  </si>
  <si>
    <t>MONTECER</t>
  </si>
  <si>
    <t>RYAN</t>
  </si>
  <si>
    <t>MOSQUITO</t>
  </si>
  <si>
    <t>PASCUAL</t>
  </si>
  <si>
    <t>KIOSKE</t>
  </si>
  <si>
    <t>MARION</t>
  </si>
  <si>
    <t>RANOLA</t>
  </si>
  <si>
    <t>JOHN GABRIELLE P.</t>
  </si>
  <si>
    <t>REMOPALOS</t>
  </si>
  <si>
    <t>ZION</t>
  </si>
  <si>
    <t>ROSAL</t>
  </si>
  <si>
    <t>CYRUS JOSEPH</t>
  </si>
  <si>
    <t>SAMONTANES</t>
  </si>
  <si>
    <t>DAVID</t>
  </si>
  <si>
    <t>RAVEN JAZZ</t>
  </si>
  <si>
    <t>SOMERA</t>
  </si>
  <si>
    <t>MICHAEL</t>
  </si>
  <si>
    <t>TAN</t>
  </si>
  <si>
    <t>RAMON</t>
  </si>
  <si>
    <t>TOLEDO</t>
  </si>
  <si>
    <t>ASZHER</t>
  </si>
  <si>
    <t>ZHAIRON</t>
  </si>
  <si>
    <t>VERTUDAZO</t>
  </si>
  <si>
    <t>VILLARUEL</t>
  </si>
  <si>
    <t>KIAN</t>
  </si>
  <si>
    <t>KYLE</t>
  </si>
  <si>
    <t>PADLAN</t>
  </si>
  <si>
    <t>STEPHEN</t>
  </si>
  <si>
    <t>NICO</t>
  </si>
  <si>
    <t>JERVISH</t>
  </si>
  <si>
    <t>UDAUNDO</t>
  </si>
  <si>
    <t>RINOA MAE</t>
  </si>
  <si>
    <t>CASERO</t>
  </si>
  <si>
    <t>AALIYAH</t>
  </si>
  <si>
    <t>CELASES</t>
  </si>
  <si>
    <t>LACONSAY</t>
  </si>
  <si>
    <t>MAIYA</t>
  </si>
  <si>
    <t>MADLANGAWA</t>
  </si>
  <si>
    <t>INGRID</t>
  </si>
  <si>
    <t>MALAGOTNOT</t>
  </si>
  <si>
    <t>PHOEBE</t>
  </si>
  <si>
    <t>EUNICE</t>
  </si>
  <si>
    <t>OBASAN</t>
  </si>
  <si>
    <t>AUDREY</t>
  </si>
  <si>
    <t>ACEZZY</t>
  </si>
  <si>
    <t>AYESHA</t>
  </si>
  <si>
    <t>PACSON</t>
  </si>
  <si>
    <t>KAYTE</t>
  </si>
  <si>
    <t>MICAELLA</t>
  </si>
  <si>
    <t>RETAMAR</t>
  </si>
  <si>
    <t>ROGACION</t>
  </si>
  <si>
    <t>LYKA</t>
  </si>
  <si>
    <t>TINGSON</t>
  </si>
  <si>
    <t>JANELLE</t>
  </si>
  <si>
    <t>AKIZSAH</t>
  </si>
  <si>
    <t>ELLA</t>
  </si>
  <si>
    <t>ROMUALDO</t>
  </si>
  <si>
    <t>AC</t>
  </si>
  <si>
    <t>GINONGALA</t>
  </si>
  <si>
    <t>HANNAH MAE</t>
  </si>
  <si>
    <t>NIONES</t>
  </si>
  <si>
    <t>LOUIS</t>
  </si>
  <si>
    <t>ACA</t>
  </si>
  <si>
    <t>ELIJAH</t>
  </si>
  <si>
    <t>CERBETO</t>
  </si>
  <si>
    <t>AIVANNE</t>
  </si>
  <si>
    <t>PARAZO</t>
  </si>
  <si>
    <t>CJ</t>
  </si>
  <si>
    <t>AWA-AW</t>
  </si>
  <si>
    <t>CARL</t>
  </si>
  <si>
    <t>ALAYON</t>
  </si>
  <si>
    <t>PATRICIA</t>
  </si>
  <si>
    <t>MICA ELLA</t>
  </si>
  <si>
    <t>JACKIELYN</t>
  </si>
  <si>
    <t>MATAMIS</t>
  </si>
  <si>
    <t>JEAH G.</t>
  </si>
  <si>
    <t>JANELA</t>
  </si>
  <si>
    <t>GALANG</t>
  </si>
  <si>
    <t>MAGGA</t>
  </si>
  <si>
    <t xml:space="preserve">HANNA </t>
  </si>
  <si>
    <t>CODILLA</t>
  </si>
  <si>
    <t>JANNA</t>
  </si>
  <si>
    <t>WALATH</t>
  </si>
  <si>
    <t>AILEEN</t>
  </si>
  <si>
    <t>FULLON</t>
  </si>
  <si>
    <t>SARAH</t>
  </si>
  <si>
    <t>MONTERDE</t>
  </si>
  <si>
    <t>BELLE</t>
  </si>
  <si>
    <t>RAUSO</t>
  </si>
  <si>
    <t>STEVE</t>
  </si>
  <si>
    <t>LIBRES</t>
  </si>
  <si>
    <t>GABRIEL</t>
  </si>
  <si>
    <t>PARONGAN</t>
  </si>
  <si>
    <t>RACCA</t>
  </si>
  <si>
    <t>GRANT EL</t>
  </si>
  <si>
    <t>PARCAREY</t>
  </si>
  <si>
    <t>MARZETTI</t>
  </si>
  <si>
    <t>AGSALUD</t>
  </si>
  <si>
    <t>ROSE MARIE</t>
  </si>
  <si>
    <t>Gelicame</t>
  </si>
  <si>
    <t>Aljun</t>
  </si>
  <si>
    <t>Valera</t>
  </si>
  <si>
    <t>Edward Luis</t>
  </si>
  <si>
    <t>AIFHA</t>
  </si>
  <si>
    <t>MABAO</t>
  </si>
  <si>
    <t>ROSELYN</t>
  </si>
  <si>
    <t>VALERA</t>
  </si>
  <si>
    <t>ELY</t>
  </si>
  <si>
    <t>CALUALHATIAN</t>
  </si>
  <si>
    <t>DANTE</t>
  </si>
  <si>
    <t>A.</t>
  </si>
  <si>
    <t>BONG</t>
  </si>
  <si>
    <t>SALAC</t>
  </si>
  <si>
    <t>ROMEO</t>
  </si>
  <si>
    <t>GREGORIO</t>
  </si>
  <si>
    <t>MARLOU</t>
  </si>
  <si>
    <t>JAY</t>
  </si>
  <si>
    <t>MALIWAT</t>
  </si>
  <si>
    <t>LEO</t>
  </si>
  <si>
    <t>ELENA</t>
  </si>
  <si>
    <t>VILLA</t>
  </si>
  <si>
    <t>WENG NIONES</t>
  </si>
  <si>
    <t>V</t>
  </si>
  <si>
    <t>ROSE</t>
  </si>
  <si>
    <t>EVELYN</t>
  </si>
  <si>
    <t>ELIZABETH</t>
  </si>
  <si>
    <t>WINNIE</t>
  </si>
  <si>
    <t>MALOU</t>
  </si>
  <si>
    <t>MAYE</t>
  </si>
  <si>
    <t>LIM</t>
  </si>
  <si>
    <t>ADELAIDA</t>
  </si>
  <si>
    <t>DAHNA</t>
  </si>
  <si>
    <t>SEXON</t>
  </si>
  <si>
    <t>MARILYN</t>
  </si>
  <si>
    <t>DANIKKA</t>
  </si>
  <si>
    <t>CORY</t>
  </si>
  <si>
    <t>LANGITAN</t>
  </si>
  <si>
    <t>MA. LOURDES</t>
  </si>
  <si>
    <t>MA. ELENA</t>
  </si>
  <si>
    <t>MENOSO</t>
  </si>
  <si>
    <t>DANICA</t>
  </si>
  <si>
    <t>AGNES</t>
  </si>
  <si>
    <t>VERTODAZO</t>
  </si>
  <si>
    <t>MONETH</t>
  </si>
  <si>
    <t>CHA</t>
  </si>
  <si>
    <t>MAGDUAY</t>
  </si>
  <si>
    <t>HEIDEE</t>
  </si>
  <si>
    <t>RAQUEL</t>
  </si>
  <si>
    <t>ARTICULO</t>
  </si>
  <si>
    <t>LEILA M.</t>
  </si>
  <si>
    <t>BALDONADO</t>
  </si>
  <si>
    <t>JULIETA</t>
  </si>
  <si>
    <t>ANTONETTE M.</t>
  </si>
  <si>
    <t>INCARNATION</t>
  </si>
  <si>
    <t>LUCILA</t>
  </si>
  <si>
    <t>MAGAT</t>
  </si>
  <si>
    <t>SYLVIA</t>
  </si>
  <si>
    <t>JOSEPHINA</t>
  </si>
  <si>
    <t>JESSICA</t>
  </si>
  <si>
    <t>MORAL</t>
  </si>
  <si>
    <t>LUCHELLE</t>
  </si>
  <si>
    <t>BRUSOLA</t>
  </si>
  <si>
    <t>MERLY</t>
  </si>
  <si>
    <t>TARINAY</t>
  </si>
  <si>
    <t>VARGAS</t>
  </si>
  <si>
    <t>VILMA</t>
  </si>
  <si>
    <t>GAPAS</t>
  </si>
  <si>
    <t>EDITH</t>
  </si>
  <si>
    <t>PACHECO</t>
  </si>
  <si>
    <t>CAROLINE</t>
  </si>
  <si>
    <t>BACOSA</t>
  </si>
  <si>
    <t>MAIDA</t>
  </si>
  <si>
    <t>LANIE</t>
  </si>
  <si>
    <t>DELA VEGA</t>
  </si>
  <si>
    <t>MAVIC</t>
  </si>
  <si>
    <t>MILA M.</t>
  </si>
  <si>
    <t>EDWARD</t>
  </si>
  <si>
    <t>GLEN</t>
  </si>
  <si>
    <t>PASAYLON</t>
  </si>
  <si>
    <t>RAYMOND</t>
  </si>
  <si>
    <t>JONNEL</t>
  </si>
  <si>
    <t>AZUL</t>
  </si>
  <si>
    <t>BENIE</t>
  </si>
  <si>
    <t>E.</t>
  </si>
  <si>
    <t>MANNY</t>
  </si>
  <si>
    <t>MARLINA</t>
  </si>
  <si>
    <t>Month</t>
  </si>
  <si>
    <t>SUNDAY ATTENDANCE</t>
  </si>
  <si>
    <t>CAREGROUP</t>
  </si>
  <si>
    <t>WEEK1</t>
  </si>
  <si>
    <t>WEEK2</t>
  </si>
  <si>
    <t>WEEK3</t>
  </si>
  <si>
    <t>WEEK4</t>
  </si>
  <si>
    <t>WEEK5</t>
  </si>
  <si>
    <t>WEEK_1</t>
  </si>
  <si>
    <t>WEEK_2</t>
  </si>
  <si>
    <t>WEEK_3</t>
  </si>
  <si>
    <t>WEEK_4</t>
  </si>
  <si>
    <t>WEEK_5</t>
  </si>
  <si>
    <t>1ST_TIMER</t>
  </si>
  <si>
    <t>2ND_TIMER</t>
  </si>
  <si>
    <t>3RD_TIMER</t>
  </si>
  <si>
    <t>4TH_TIMER</t>
  </si>
  <si>
    <t>5TH_TIMER</t>
  </si>
  <si>
    <t>POWER_FILLED</t>
  </si>
  <si>
    <t>WATER_BAPTISM</t>
  </si>
  <si>
    <t>Week5</t>
  </si>
  <si>
    <t>Week_5</t>
  </si>
  <si>
    <t>JESUS CHRIST SAVES GLOBAL OUTREACH</t>
  </si>
  <si>
    <t>VINE WEEKLY REPORT</t>
  </si>
  <si>
    <t>Vine Name:</t>
  </si>
  <si>
    <t>CENTRAL PM</t>
  </si>
  <si>
    <t>Date:</t>
  </si>
  <si>
    <t>I. Church Attendance</t>
  </si>
  <si>
    <t>Onsite/Actual</t>
  </si>
  <si>
    <t>Online</t>
  </si>
  <si>
    <t>2026 Target</t>
  </si>
  <si>
    <t>1. Sunday Attendance</t>
  </si>
  <si>
    <t>Registered Disciples</t>
  </si>
  <si>
    <t>Youth Men</t>
  </si>
  <si>
    <t>2. New Friends</t>
  </si>
  <si>
    <t>Youth Women</t>
  </si>
  <si>
    <t>1st Timers</t>
  </si>
  <si>
    <t>Men</t>
  </si>
  <si>
    <t>2nd Timers</t>
  </si>
  <si>
    <t>Women</t>
  </si>
  <si>
    <t>3rd Timers</t>
  </si>
  <si>
    <t>Sunday Attendance</t>
  </si>
  <si>
    <t>4th Timers</t>
  </si>
  <si>
    <t>5th Timers</t>
  </si>
  <si>
    <t>3. CARE Activity</t>
  </si>
  <si>
    <t>No. of Cluster Servants</t>
  </si>
  <si>
    <t>No. of CARE Leaders</t>
  </si>
  <si>
    <t>II. New Believers</t>
  </si>
  <si>
    <t>No. of CARE Disciples</t>
  </si>
  <si>
    <t>4. Hayo/Evangelism</t>
  </si>
  <si>
    <t>5. Lighthouse of Prayer</t>
  </si>
  <si>
    <t>6. Followup/Reactivation</t>
  </si>
  <si>
    <t>5th Timers/Conversion</t>
  </si>
  <si>
    <t>7. Field Report</t>
  </si>
  <si>
    <t>Power Filled Life</t>
  </si>
  <si>
    <t>Water Baptism</t>
  </si>
  <si>
    <t>Outreach Group</t>
  </si>
  <si>
    <t>Outreach Disciples</t>
  </si>
  <si>
    <t>III. Integration &amp; Mobilization</t>
  </si>
  <si>
    <t>TEMPLE</t>
  </si>
  <si>
    <t>Vine Servant Leaders</t>
  </si>
  <si>
    <t>Cluster Servant Leaders</t>
  </si>
  <si>
    <t>Care Leaders / Group</t>
  </si>
  <si>
    <t>Active Leadership/Groups for the week/month</t>
  </si>
  <si>
    <t>Total Active Disciples for the week/month</t>
  </si>
  <si>
    <t>FIELD</t>
  </si>
  <si>
    <t>Hayo/Evangelism</t>
  </si>
  <si>
    <t>Light House</t>
  </si>
  <si>
    <t>Field Care Group</t>
  </si>
  <si>
    <t>Field Care Disciples</t>
  </si>
  <si>
    <t>Follow-Up</t>
  </si>
  <si>
    <t>Reactivation</t>
  </si>
  <si>
    <t>IV. OTHER MINISTIRES</t>
  </si>
  <si>
    <t>Children's Church</t>
  </si>
  <si>
    <t>Barangay/Field Outreach</t>
  </si>
  <si>
    <t>V. NARRATIVE REPORT</t>
  </si>
  <si>
    <t>Submitted by:</t>
  </si>
  <si>
    <t>Outreach/Family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</si>
</sst>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9">
    <font>
      <sz val="11.0"/>
      <color theme="1"/>
      <name val="Calibri"/>
      <scheme val="minor"/>
    </font>
    <font>
      <b/>
      <sz val="22.0"/>
      <color rgb="FF4A86E8"/>
      <name val="Calibri"/>
      <scheme val="minor"/>
    </font>
    <font>
      <u/>
      <color rgb="FF0563C1"/>
    </font>
    <font>
      <b/>
      <sz val="22.0"/>
      <color rgb="FF595959"/>
      <name val="&quot;Century Gothic&quot;"/>
    </font>
    <font>
      <b/>
      <sz val="22.0"/>
      <color rgb="FF7B7B7B"/>
      <name val="&quot;Century Gothic&quot;"/>
    </font>
    <font>
      <sz val="12.0"/>
      <color rgb="FF000000"/>
      <name val="Arial"/>
    </font>
    <font>
      <b/>
      <sz val="22.0"/>
      <color rgb="FF1F4E78"/>
      <name val="&quot;Century Gothic&quot;"/>
    </font>
    <font>
      <sz val="11.0"/>
      <color rgb="FF2F75B5"/>
      <name val="&quot;Century Gothic&quot;"/>
    </font>
    <font/>
    <font>
      <sz val="12.0"/>
      <color rgb="FFFFFFFF"/>
      <name val="&quot;Century Gothic&quot;"/>
    </font>
    <font>
      <sz val="11.0"/>
      <color rgb="FF000000"/>
      <name val="&quot;Century Gothic&quot;"/>
    </font>
    <font>
      <b/>
      <color rgb="FF595959"/>
      <name val="&quot;Century Gothic&quot;"/>
    </font>
    <font>
      <b/>
      <sz val="22.0"/>
      <color theme="5"/>
      <name val="&quot;Century Gothic&quot;"/>
    </font>
    <font>
      <b/>
      <sz val="22.0"/>
      <color rgb="FFFF0000"/>
      <name val="&quot;Century Gothic&quot;"/>
    </font>
    <font>
      <b/>
      <sz val="11.0"/>
      <color rgb="FFFFFFFF"/>
      <name val="&quot;Century Gothic&quot;"/>
    </font>
    <font>
      <b/>
      <sz val="15.0"/>
      <color rgb="FF000000"/>
      <name val="&quot;Century Gothic&quot;"/>
    </font>
    <font>
      <b/>
      <sz val="12.0"/>
      <color rgb="FF595959"/>
      <name val="&quot;Century Gothic&quot;"/>
    </font>
    <font>
      <b/>
      <sz val="12.0"/>
      <color rgb="FFFF0000"/>
      <name val="&quot;Century Gothic&quot;"/>
    </font>
    <font>
      <sz val="12.0"/>
      <color rgb="FF000000"/>
      <name val="&quot;Century Gothic&quot;"/>
    </font>
    <font>
      <sz val="12.0"/>
      <color rgb="FFFF0000"/>
      <name val="&quot;Century Gothic&quot;"/>
    </font>
    <font>
      <b/>
      <color theme="1"/>
      <name val="Calibri"/>
      <scheme val="minor"/>
    </font>
    <font>
      <b/>
      <color rgb="FFFF0000"/>
      <name val="Calibri"/>
      <scheme val="minor"/>
    </font>
    <font>
      <b/>
      <sz val="12.0"/>
      <color theme="1"/>
      <name val="Arial"/>
    </font>
    <font>
      <b/>
      <sz val="12.0"/>
      <color theme="1"/>
      <name val="Calibri"/>
      <scheme val="minor"/>
    </font>
    <font>
      <color theme="1"/>
      <name val="Calibri"/>
      <scheme val="minor"/>
    </font>
    <font>
      <b/>
      <sz val="8.0"/>
      <color theme="1"/>
      <name val="Arial"/>
    </font>
    <font>
      <b/>
      <sz val="11.0"/>
      <color theme="1"/>
      <name val="Arial"/>
    </font>
    <font>
      <sz val="11.0"/>
      <color rgb="FF000000"/>
      <name val="Arial"/>
    </font>
    <font>
      <b/>
      <sz val="11.0"/>
      <color rgb="FF000000"/>
      <name val="Arial"/>
    </font>
    <font>
      <sz val="11.0"/>
      <color rgb="FF000000"/>
      <name val="Calibri"/>
    </font>
    <font>
      <sz val="11.0"/>
      <color theme="1"/>
      <name val="Arial"/>
    </font>
    <font>
      <sz val="11.0"/>
      <color rgb="FFFF0000"/>
      <name val="Arial"/>
    </font>
    <font>
      <b/>
      <sz val="12.0"/>
      <color rgb="FF000000"/>
      <name val="Arial"/>
    </font>
    <font>
      <sz val="12.0"/>
      <color theme="1"/>
      <name val="Arial"/>
    </font>
    <font>
      <color theme="1"/>
      <name val="Calibri"/>
    </font>
    <font>
      <sz val="12.0"/>
      <color rgb="FFFF0000"/>
      <name val="Arial"/>
    </font>
    <font>
      <sz val="12.0"/>
      <color rgb="FF000000"/>
      <name val="Calibri"/>
    </font>
    <font>
      <b/>
      <sz val="17.0"/>
      <color theme="1"/>
      <name val="Calibri"/>
      <scheme val="minor"/>
    </font>
    <font>
      <i/>
      <color theme="1"/>
      <name val="Calibri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DDEBF7"/>
        <bgColor rgb="FFDDEBF7"/>
      </patternFill>
    </fill>
    <fill>
      <patternFill patternType="solid">
        <fgColor rgb="FF808080"/>
        <bgColor rgb="FF808080"/>
      </patternFill>
    </fill>
    <fill>
      <patternFill patternType="solid">
        <fgColor rgb="FFE2EFDA"/>
        <bgColor rgb="FFE2EFDA"/>
      </patternFill>
    </fill>
    <fill>
      <patternFill patternType="solid">
        <fgColor rgb="FFA9D08E"/>
        <bgColor rgb="FFA9D08E"/>
      </patternFill>
    </fill>
    <fill>
      <patternFill patternType="solid">
        <fgColor rgb="FFFFFFFF"/>
        <bgColor rgb="FFFFFFFF"/>
      </patternFill>
    </fill>
    <fill>
      <patternFill patternType="solid">
        <fgColor rgb="FF203764"/>
        <bgColor rgb="FF203764"/>
      </patternFill>
    </fill>
    <fill>
      <patternFill patternType="solid">
        <fgColor rgb="FF1F4E78"/>
        <bgColor rgb="FF1F4E78"/>
      </patternFill>
    </fill>
    <fill>
      <patternFill patternType="solid">
        <fgColor theme="4"/>
        <bgColor theme="4"/>
      </patternFill>
    </fill>
    <fill>
      <patternFill patternType="solid">
        <fgColor rgb="FF2F75B5"/>
        <bgColor rgb="FF2F75B5"/>
      </patternFill>
    </fill>
    <fill>
      <patternFill patternType="solid">
        <fgColor rgb="FFD9E1F2"/>
        <bgColor rgb="FFD9E1F2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F1C232"/>
        <bgColor rgb="FFF1C232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24">
    <border/>
    <border>
      <left style="thin">
        <color rgb="FF000000"/>
      </left>
      <top style="thin">
        <color rgb="FF000000"/>
      </top>
      <bottom style="thin">
        <color rgb="FFA6A6A6"/>
      </bottom>
    </border>
    <border>
      <top style="thin">
        <color rgb="FF000000"/>
      </top>
      <bottom style="thin">
        <color rgb="FFA6A6A6"/>
      </bottom>
    </border>
    <border>
      <right style="thin">
        <color rgb="FF000000"/>
      </right>
      <top style="thin">
        <color rgb="FF000000"/>
      </top>
      <bottom style="thin">
        <color rgb="FFA6A6A6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A6A6A6"/>
      </top>
      <bottom style="thin">
        <color rgb="FF000000"/>
      </bottom>
    </border>
    <border>
      <top style="thin">
        <color rgb="FFA6A6A6"/>
      </top>
      <bottom style="thin">
        <color rgb="FF000000"/>
      </bottom>
    </border>
    <border>
      <right style="thin">
        <color rgb="FF000000"/>
      </right>
      <top style="thin">
        <color rgb="FFA6A6A6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A6A6A6"/>
      </bottom>
    </border>
    <border>
      <right style="thin">
        <color rgb="FF000000"/>
      </right>
      <bottom style="thin">
        <color rgb="FFA6A6A6"/>
      </bottom>
    </border>
    <border>
      <left style="thin">
        <color rgb="FF000000"/>
      </left>
      <top style="thin">
        <color rgb="FFA6A6A6"/>
      </top>
      <bottom style="thin">
        <color rgb="FFA6A6A6"/>
      </bottom>
    </border>
    <border>
      <right style="thin">
        <color rgb="FF000000"/>
      </right>
      <top style="thin">
        <color rgb="FFA6A6A6"/>
      </top>
      <bottom style="thin">
        <color rgb="FFA6A6A6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wrapText="0"/>
    </xf>
    <xf borderId="0" fillId="0" fontId="4" numFmtId="0" xfId="0" applyAlignment="1" applyFont="1">
      <alignment shrinkToFit="0" wrapText="0"/>
    </xf>
    <xf borderId="0" fillId="0" fontId="4" numFmtId="0" xfId="0" applyAlignment="1" applyFont="1">
      <alignment horizontal="left" shrinkToFit="0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wrapText="0"/>
    </xf>
    <xf borderId="0" fillId="0" fontId="5" numFmtId="0" xfId="0" applyAlignment="1" applyFont="1">
      <alignment readingOrder="0" shrinkToFit="0" vertical="bottom" wrapText="0"/>
    </xf>
    <xf borderId="1" fillId="2" fontId="7" numFmtId="0" xfId="0" applyAlignment="1" applyBorder="1" applyFill="1" applyFont="1">
      <alignment horizontal="center" readingOrder="0"/>
    </xf>
    <xf borderId="2" fillId="0" fontId="8" numFmtId="0" xfId="0" applyBorder="1" applyFont="1"/>
    <xf borderId="3" fillId="0" fontId="8" numFmtId="0" xfId="0" applyBorder="1" applyFont="1"/>
    <xf borderId="4" fillId="3" fontId="9" numFmtId="0" xfId="0" applyAlignment="1" applyBorder="1" applyFill="1" applyFont="1">
      <alignment horizontal="center" readingOrder="0" shrinkToFit="0" wrapText="0"/>
    </xf>
    <xf borderId="5" fillId="0" fontId="8" numFmtId="0" xfId="0" applyBorder="1" applyFont="1"/>
    <xf borderId="6" fillId="0" fontId="8" numFmtId="0" xfId="0" applyBorder="1" applyFont="1"/>
    <xf borderId="0" fillId="0" fontId="9" numFmtId="0" xfId="0" applyAlignment="1" applyFont="1">
      <alignment horizontal="center" readingOrder="0" shrinkToFit="0" wrapText="0"/>
    </xf>
    <xf borderId="7" fillId="0" fontId="10" numFmtId="0" xfId="0" applyAlignment="1" applyBorder="1" applyFont="1">
      <alignment horizontal="center" readingOrder="0" shrinkToFit="0" wrapText="0"/>
    </xf>
    <xf borderId="8" fillId="0" fontId="8" numFmtId="0" xfId="0" applyBorder="1" applyFont="1"/>
    <xf borderId="9" fillId="0" fontId="8" numFmtId="0" xfId="0" applyBorder="1" applyFont="1"/>
    <xf borderId="10" fillId="4" fontId="11" numFmtId="0" xfId="0" applyAlignment="1" applyBorder="1" applyFill="1" applyFont="1">
      <alignment horizontal="center" readingOrder="0" shrinkToFit="0" wrapText="0"/>
    </xf>
    <xf borderId="11" fillId="4" fontId="11" numFmtId="0" xfId="0" applyAlignment="1" applyBorder="1" applyFont="1">
      <alignment horizontal="center" readingOrder="0" shrinkToFit="0" wrapText="0"/>
    </xf>
    <xf borderId="0" fillId="0" fontId="11" numFmtId="0" xfId="0" applyAlignment="1" applyFont="1">
      <alignment horizontal="center" readingOrder="0" shrinkToFit="0" wrapText="0"/>
    </xf>
    <xf borderId="12" fillId="5" fontId="11" numFmtId="0" xfId="0" applyAlignment="1" applyBorder="1" applyFill="1" applyFont="1">
      <alignment horizontal="center" readingOrder="0" shrinkToFit="0" wrapText="0"/>
    </xf>
    <xf borderId="13" fillId="0" fontId="8" numFmtId="0" xfId="0" applyBorder="1" applyFont="1"/>
    <xf borderId="14" fillId="5" fontId="11" numFmtId="0" xfId="0" applyAlignment="1" applyBorder="1" applyFont="1">
      <alignment horizontal="center" readingOrder="0" shrinkToFit="0" wrapText="0"/>
    </xf>
    <xf borderId="2" fillId="2" fontId="7" numFmtId="0" xfId="0" applyAlignment="1" applyBorder="1" applyFont="1">
      <alignment horizontal="center" readingOrder="0"/>
    </xf>
    <xf borderId="8" fillId="0" fontId="10" numFmtId="0" xfId="0" applyAlignment="1" applyBorder="1" applyFont="1">
      <alignment horizontal="center" readingOrder="0" shrinkToFit="0" wrapText="0"/>
    </xf>
    <xf borderId="4" fillId="6" fontId="12" numFmtId="0" xfId="0" applyAlignment="1" applyBorder="1" applyFill="1" applyFont="1">
      <alignment horizontal="center" readingOrder="0" shrinkToFit="0" vertical="center" wrapText="0"/>
    </xf>
    <xf borderId="4" fillId="0" fontId="13" numFmtId="0" xfId="0" applyAlignment="1" applyBorder="1" applyFont="1">
      <alignment horizontal="center" readingOrder="0" shrinkToFit="0" wrapText="0"/>
    </xf>
    <xf borderId="0" fillId="0" fontId="13" numFmtId="0" xfId="0" applyAlignment="1" applyFont="1">
      <alignment horizontal="center" readingOrder="0" shrinkToFit="0" wrapText="0"/>
    </xf>
    <xf borderId="10" fillId="0" fontId="8" numFmtId="0" xfId="0" applyBorder="1" applyFont="1"/>
    <xf borderId="11" fillId="0" fontId="8" numFmtId="0" xfId="0" applyBorder="1" applyFont="1"/>
    <xf borderId="4" fillId="2" fontId="7" numFmtId="0" xfId="0" applyAlignment="1" applyBorder="1" applyFont="1">
      <alignment horizontal="center" readingOrder="0" shrinkToFit="0" wrapText="0"/>
    </xf>
    <xf borderId="5" fillId="2" fontId="7" numFmtId="0" xfId="0" applyAlignment="1" applyBorder="1" applyFont="1">
      <alignment horizontal="center" readingOrder="0" shrinkToFit="0" wrapText="0"/>
    </xf>
    <xf borderId="6" fillId="2" fontId="7" numFmtId="0" xfId="0" applyAlignment="1" applyBorder="1" applyFont="1">
      <alignment horizontal="center" readingOrder="0" shrinkToFit="0" wrapText="0"/>
    </xf>
    <xf borderId="0" fillId="0" fontId="7" numFmtId="0" xfId="0" applyAlignment="1" applyFont="1">
      <alignment horizontal="center" readingOrder="0" shrinkToFit="0" wrapText="0"/>
    </xf>
    <xf borderId="12" fillId="0" fontId="8" numFmtId="0" xfId="0" applyBorder="1" applyFont="1"/>
    <xf borderId="14" fillId="0" fontId="8" numFmtId="0" xfId="0" applyBorder="1" applyFont="1"/>
    <xf borderId="10" fillId="7" fontId="14" numFmtId="0" xfId="0" applyAlignment="1" applyBorder="1" applyFill="1" applyFont="1">
      <alignment horizontal="center" readingOrder="0" shrinkToFit="0" wrapText="0"/>
    </xf>
    <xf borderId="0" fillId="8" fontId="14" numFmtId="0" xfId="0" applyAlignment="1" applyFill="1" applyFont="1">
      <alignment horizontal="center" readingOrder="0" shrinkToFit="0" wrapText="0"/>
    </xf>
    <xf borderId="11" fillId="9" fontId="14" numFmtId="0" xfId="0" applyAlignment="1" applyBorder="1" applyFill="1" applyFont="1">
      <alignment horizontal="center" readingOrder="0" shrinkToFit="0" wrapText="0"/>
    </xf>
    <xf borderId="11" fillId="10" fontId="14" numFmtId="0" xfId="0" applyAlignment="1" applyBorder="1" applyFill="1" applyFont="1">
      <alignment horizontal="center" readingOrder="0" shrinkToFit="0" wrapText="0"/>
    </xf>
    <xf borderId="0" fillId="7" fontId="14" numFmtId="0" xfId="0" applyAlignment="1" applyFont="1">
      <alignment horizontal="center" readingOrder="0" shrinkToFit="0" wrapText="0"/>
    </xf>
    <xf borderId="15" fillId="9" fontId="14" numFmtId="0" xfId="0" applyAlignment="1" applyBorder="1" applyFont="1">
      <alignment horizontal="center" readingOrder="0" shrinkToFit="0" wrapText="0"/>
    </xf>
    <xf borderId="0" fillId="0" fontId="14" numFmtId="0" xfId="0" applyAlignment="1" applyFont="1">
      <alignment horizontal="center" readingOrder="0" shrinkToFit="0" wrapText="0"/>
    </xf>
    <xf borderId="4" fillId="0" fontId="15" numFmtId="0" xfId="0" applyAlignment="1" applyBorder="1" applyFont="1">
      <alignment horizontal="center" readingOrder="0"/>
    </xf>
    <xf borderId="4" fillId="0" fontId="16" numFmtId="0" xfId="0" applyAlignment="1" applyBorder="1" applyFont="1">
      <alignment horizontal="center"/>
    </xf>
    <xf borderId="5" fillId="0" fontId="16" numFmtId="0" xfId="0" applyAlignment="1" applyBorder="1" applyFont="1">
      <alignment horizontal="center"/>
    </xf>
    <xf borderId="6" fillId="0" fontId="17" numFmtId="0" xfId="0" applyAlignment="1" applyBorder="1" applyFont="1">
      <alignment horizontal="center"/>
    </xf>
    <xf borderId="15" fillId="0" fontId="18" numFmtId="0" xfId="0" applyAlignment="1" applyBorder="1" applyFont="1">
      <alignment horizontal="center"/>
    </xf>
    <xf borderId="11" fillId="0" fontId="19" numFmtId="0" xfId="0" applyAlignment="1" applyBorder="1" applyFont="1">
      <alignment horizontal="center"/>
    </xf>
    <xf borderId="11" fillId="0" fontId="18" numFmtId="0" xfId="0" applyAlignment="1" applyBorder="1" applyFont="1">
      <alignment horizontal="center"/>
    </xf>
    <xf borderId="0" fillId="0" fontId="18" numFmtId="0" xfId="0" applyAlignment="1" applyFont="1">
      <alignment horizontal="center"/>
    </xf>
    <xf borderId="10" fillId="11" fontId="15" numFmtId="0" xfId="0" applyAlignment="1" applyBorder="1" applyFill="1" applyFont="1">
      <alignment horizontal="center" readingOrder="0"/>
    </xf>
    <xf borderId="10" fillId="11" fontId="16" numFmtId="0" xfId="0" applyAlignment="1" applyBorder="1" applyFont="1">
      <alignment horizontal="center"/>
    </xf>
    <xf borderId="0" fillId="11" fontId="16" numFmtId="0" xfId="0" applyAlignment="1" applyFont="1">
      <alignment horizontal="center"/>
    </xf>
    <xf borderId="11" fillId="11" fontId="17" numFmtId="0" xfId="0" applyAlignment="1" applyBorder="1" applyFont="1">
      <alignment horizontal="center"/>
    </xf>
    <xf borderId="15" fillId="11" fontId="18" numFmtId="0" xfId="0" applyAlignment="1" applyBorder="1" applyFont="1">
      <alignment horizontal="center"/>
    </xf>
    <xf borderId="11" fillId="11" fontId="19" numFmtId="0" xfId="0" applyAlignment="1" applyBorder="1" applyFont="1">
      <alignment horizontal="center"/>
    </xf>
    <xf borderId="11" fillId="11" fontId="18" numFmtId="0" xfId="0" applyAlignment="1" applyBorder="1" applyFont="1">
      <alignment horizontal="center"/>
    </xf>
    <xf borderId="16" fillId="0" fontId="15" numFmtId="0" xfId="0" applyAlignment="1" applyBorder="1" applyFont="1">
      <alignment horizontal="center" readingOrder="0"/>
    </xf>
    <xf borderId="17" fillId="0" fontId="8" numFmtId="0" xfId="0" applyBorder="1" applyFont="1"/>
    <xf borderId="10" fillId="0" fontId="16" numFmtId="0" xfId="0" applyAlignment="1" applyBorder="1" applyFont="1">
      <alignment horizontal="center"/>
    </xf>
    <xf borderId="0" fillId="0" fontId="16" numFmtId="0" xfId="0" applyAlignment="1" applyFont="1">
      <alignment horizontal="center"/>
    </xf>
    <xf borderId="11" fillId="0" fontId="17" numFmtId="0" xfId="0" applyAlignment="1" applyBorder="1" applyFont="1">
      <alignment horizontal="center"/>
    </xf>
    <xf borderId="18" fillId="11" fontId="15" numFmtId="0" xfId="0" applyAlignment="1" applyBorder="1" applyFont="1">
      <alignment horizontal="center" readingOrder="0"/>
    </xf>
    <xf borderId="19" fillId="0" fontId="8" numFmtId="0" xfId="0" applyBorder="1" applyFont="1"/>
    <xf borderId="18" fillId="0" fontId="15" numFmtId="0" xfId="0" applyAlignment="1" applyBorder="1" applyFont="1">
      <alignment horizontal="center" readingOrder="0"/>
    </xf>
    <xf borderId="7" fillId="11" fontId="15" numFmtId="0" xfId="0" applyAlignment="1" applyBorder="1" applyFont="1">
      <alignment horizontal="center" readingOrder="0"/>
    </xf>
    <xf borderId="12" fillId="11" fontId="16" numFmtId="0" xfId="0" applyAlignment="1" applyBorder="1" applyFont="1">
      <alignment horizontal="center"/>
    </xf>
    <xf borderId="13" fillId="11" fontId="16" numFmtId="0" xfId="0" applyAlignment="1" applyBorder="1" applyFont="1">
      <alignment horizontal="center"/>
    </xf>
    <xf borderId="14" fillId="11" fontId="17" numFmtId="0" xfId="0" applyAlignment="1" applyBorder="1" applyFont="1">
      <alignment horizontal="center"/>
    </xf>
    <xf borderId="20" fillId="11" fontId="18" numFmtId="0" xfId="0" applyAlignment="1" applyBorder="1" applyFont="1">
      <alignment horizontal="center"/>
    </xf>
    <xf borderId="14" fillId="11" fontId="19" numFmtId="0" xfId="0" applyAlignment="1" applyBorder="1" applyFont="1">
      <alignment horizontal="center"/>
    </xf>
    <xf borderId="14" fillId="11" fontId="18" numFmtId="0" xfId="0" applyAlignment="1" applyBorder="1" applyFont="1">
      <alignment horizontal="center"/>
    </xf>
    <xf borderId="4" fillId="12" fontId="13" numFmtId="0" xfId="0" applyAlignment="1" applyBorder="1" applyFill="1" applyFont="1">
      <alignment horizontal="center" readingOrder="0" shrinkToFit="0" wrapText="0"/>
    </xf>
    <xf borderId="4" fillId="13" fontId="13" numFmtId="0" xfId="0" applyAlignment="1" applyBorder="1" applyFill="1" applyFont="1">
      <alignment horizontal="center" readingOrder="0" shrinkToFit="0" wrapText="0"/>
    </xf>
    <xf borderId="4" fillId="14" fontId="13" numFmtId="0" xfId="0" applyAlignment="1" applyBorder="1" applyFill="1" applyFont="1">
      <alignment horizontal="center" readingOrder="0" shrinkToFit="0" wrapText="0"/>
    </xf>
    <xf borderId="4" fillId="15" fontId="13" numFmtId="0" xfId="0" applyAlignment="1" applyBorder="1" applyFill="1" applyFont="1">
      <alignment horizontal="center" readingOrder="0" shrinkToFit="0" wrapText="0"/>
    </xf>
    <xf borderId="4" fillId="16" fontId="13" numFmtId="0" xfId="0" applyAlignment="1" applyBorder="1" applyFill="1" applyFont="1">
      <alignment horizontal="center" readingOrder="0" shrinkToFit="0" wrapText="0"/>
    </xf>
    <xf borderId="21" fillId="2" fontId="7" numFmtId="0" xfId="0" applyAlignment="1" applyBorder="1" applyFont="1">
      <alignment horizontal="center" readingOrder="0" shrinkToFit="0" wrapText="0"/>
    </xf>
    <xf borderId="15" fillId="10" fontId="14" numFmtId="0" xfId="0" applyAlignment="1" applyBorder="1" applyFont="1">
      <alignment horizontal="center" readingOrder="0" shrinkToFit="0" wrapText="0"/>
    </xf>
    <xf borderId="15" fillId="0" fontId="19" numFmtId="0" xfId="0" applyAlignment="1" applyBorder="1" applyFont="1">
      <alignment horizontal="center"/>
    </xf>
    <xf borderId="15" fillId="11" fontId="19" numFmtId="0" xfId="0" applyAlignment="1" applyBorder="1" applyFont="1">
      <alignment horizontal="center"/>
    </xf>
    <xf borderId="20" fillId="11" fontId="19" numFmtId="0" xfId="0" applyAlignment="1" applyBorder="1" applyFont="1">
      <alignment horizontal="center"/>
    </xf>
    <xf borderId="0" fillId="6" fontId="12" numFmtId="0" xfId="0" applyAlignment="1" applyFont="1">
      <alignment horizontal="center" readingOrder="0" shrinkToFit="0" vertical="center" wrapText="0"/>
    </xf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/>
    </xf>
    <xf borderId="0" fillId="0" fontId="22" numFmtId="0" xfId="0" applyAlignment="1" applyFont="1">
      <alignment horizontal="center" vertical="bottom"/>
    </xf>
    <xf borderId="0" fillId="0" fontId="23" numFmtId="0" xfId="0" applyAlignment="1" applyFont="1">
      <alignment horizontal="center" readingOrder="0"/>
    </xf>
    <xf borderId="0" fillId="0" fontId="24" numFmtId="0" xfId="0" applyAlignment="1" applyFont="1">
      <alignment readingOrder="0"/>
    </xf>
    <xf borderId="0" fillId="0" fontId="25" numFmtId="16" xfId="0" applyAlignment="1" applyFont="1" applyNumberFormat="1">
      <alignment horizontal="center" vertical="bottom"/>
    </xf>
    <xf borderId="0" fillId="0" fontId="25" numFmtId="0" xfId="0" applyAlignment="1" applyFont="1">
      <alignment horizontal="center" vertical="bottom"/>
    </xf>
    <xf borderId="0" fillId="0" fontId="25" numFmtId="0" xfId="0" applyAlignment="1" applyFont="1">
      <alignment horizontal="center" readingOrder="0" vertical="bottom"/>
    </xf>
    <xf borderId="0" fillId="0" fontId="26" numFmtId="0" xfId="0" applyAlignment="1" applyFont="1">
      <alignment readingOrder="0"/>
    </xf>
    <xf borderId="0" fillId="0" fontId="27" numFmtId="0" xfId="0" applyAlignment="1" applyFont="1">
      <alignment readingOrder="0" vertical="bottom"/>
    </xf>
    <xf borderId="0" fillId="0" fontId="27" numFmtId="0" xfId="0" applyAlignment="1" applyFont="1">
      <alignment vertical="bottom"/>
    </xf>
    <xf borderId="0" fillId="0" fontId="28" numFmtId="0" xfId="0" applyAlignment="1" applyFont="1">
      <alignment vertical="bottom"/>
    </xf>
    <xf borderId="0" fillId="0" fontId="29" numFmtId="0" xfId="0" applyAlignment="1" applyFont="1">
      <alignment vertical="bottom"/>
    </xf>
    <xf borderId="0" fillId="0" fontId="30" numFmtId="0" xfId="0" applyFont="1"/>
    <xf borderId="0" fillId="0" fontId="27" numFmtId="0" xfId="0" applyFont="1"/>
    <xf borderId="0" fillId="0" fontId="30" numFmtId="0" xfId="0" applyAlignment="1" applyFont="1">
      <alignment horizontal="left"/>
    </xf>
    <xf borderId="0" fillId="0" fontId="31" numFmtId="0" xfId="0" applyFont="1"/>
    <xf borderId="0" fillId="0" fontId="31" numFmtId="0" xfId="0" applyAlignment="1" applyFont="1">
      <alignment horizontal="left"/>
    </xf>
    <xf borderId="0" fillId="0" fontId="30" numFmtId="0" xfId="0" applyAlignment="1" applyFont="1">
      <alignment horizontal="left" readingOrder="0"/>
    </xf>
    <xf borderId="0" fillId="0" fontId="22" numFmtId="0" xfId="0" applyFont="1"/>
    <xf borderId="0" fillId="0" fontId="32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3" numFmtId="0" xfId="0" applyFont="1"/>
    <xf borderId="0" fillId="0" fontId="5" numFmtId="0" xfId="0" applyFont="1"/>
    <xf borderId="0" fillId="0" fontId="33" numFmtId="0" xfId="0" applyAlignment="1" applyFont="1">
      <alignment horizontal="left"/>
    </xf>
    <xf borderId="0" fillId="0" fontId="5" numFmtId="0" xfId="0" applyAlignment="1" applyFont="1">
      <alignment horizontal="left"/>
    </xf>
    <xf borderId="0" fillId="0" fontId="34" numFmtId="0" xfId="0" applyFont="1"/>
    <xf borderId="0" fillId="0" fontId="22" numFmtId="0" xfId="0" applyAlignment="1" applyFont="1">
      <alignment horizontal="left"/>
    </xf>
    <xf borderId="0" fillId="0" fontId="3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6" fontId="5" numFmtId="0" xfId="0" applyAlignment="1" applyFont="1">
      <alignment vertical="bottom"/>
    </xf>
    <xf borderId="0" fillId="0" fontId="36" numFmtId="0" xfId="0" applyAlignment="1" applyFont="1">
      <alignment readingOrder="0" vertical="bottom"/>
    </xf>
    <xf borderId="0" fillId="0" fontId="36" numFmtId="0" xfId="0" applyAlignment="1" applyFont="1">
      <alignment vertical="bottom"/>
    </xf>
    <xf borderId="0" fillId="0" fontId="22" numFmtId="0" xfId="0" applyAlignment="1" applyFont="1">
      <alignment readingOrder="0"/>
    </xf>
    <xf borderId="0" fillId="0" fontId="24" numFmtId="0" xfId="0" applyAlignment="1" applyFont="1">
      <alignment readingOrder="0"/>
    </xf>
    <xf borderId="4" fillId="0" fontId="22" numFmtId="0" xfId="0" applyAlignment="1" applyBorder="1" applyFont="1">
      <alignment horizontal="center" vertical="bottom"/>
    </xf>
    <xf borderId="4" fillId="0" fontId="23" numFmtId="0" xfId="0" applyAlignment="1" applyBorder="1" applyFont="1">
      <alignment horizontal="center" readingOrder="0"/>
    </xf>
    <xf borderId="12" fillId="0" fontId="25" numFmtId="16" xfId="0" applyAlignment="1" applyBorder="1" applyFont="1" applyNumberFormat="1">
      <alignment horizontal="center" vertical="bottom"/>
    </xf>
    <xf borderId="13" fillId="0" fontId="25" numFmtId="0" xfId="0" applyAlignment="1" applyBorder="1" applyFont="1">
      <alignment horizontal="center" vertical="bottom"/>
    </xf>
    <xf borderId="13" fillId="0" fontId="25" numFmtId="0" xfId="0" applyAlignment="1" applyBorder="1" applyFont="1">
      <alignment horizontal="center" readingOrder="0" vertical="bottom"/>
    </xf>
    <xf borderId="12" fillId="0" fontId="25" numFmtId="0" xfId="0" applyAlignment="1" applyBorder="1" applyFont="1">
      <alignment horizontal="center" readingOrder="0" vertical="bottom"/>
    </xf>
    <xf borderId="14" fillId="0" fontId="25" numFmtId="0" xfId="0" applyAlignment="1" applyBorder="1" applyFont="1">
      <alignment horizontal="center" readingOrder="0" vertical="bottom"/>
    </xf>
    <xf borderId="12" fillId="0" fontId="24" numFmtId="0" xfId="0" applyAlignment="1" applyBorder="1" applyFont="1">
      <alignment readingOrder="0"/>
    </xf>
    <xf borderId="13" fillId="0" fontId="24" numFmtId="0" xfId="0" applyAlignment="1" applyBorder="1" applyFont="1">
      <alignment readingOrder="0"/>
    </xf>
    <xf borderId="14" fillId="0" fontId="24" numFmtId="0" xfId="0" applyAlignment="1" applyBorder="1" applyFont="1">
      <alignment readingOrder="0"/>
    </xf>
    <xf borderId="0" fillId="0" fontId="24" numFmtId="0" xfId="0" applyFont="1"/>
    <xf borderId="0" fillId="0" fontId="35" numFmtId="0" xfId="0" applyAlignment="1" applyFont="1">
      <alignment readingOrder="0" vertical="bottom"/>
    </xf>
    <xf borderId="0" fillId="0" fontId="22" numFmtId="0" xfId="0" applyAlignment="1" applyFont="1">
      <alignment horizontal="center" readingOrder="0" vertical="bottom"/>
    </xf>
    <xf borderId="0" fillId="0" fontId="37" numFmtId="0" xfId="0" applyAlignment="1" applyFont="1">
      <alignment horizontal="center" readingOrder="0"/>
    </xf>
    <xf borderId="4" fillId="0" fontId="20" numFmtId="0" xfId="0" applyAlignment="1" applyBorder="1" applyFont="1">
      <alignment horizontal="left" readingOrder="0"/>
    </xf>
    <xf borderId="5" fillId="0" fontId="20" numFmtId="0" xfId="0" applyAlignment="1" applyBorder="1" applyFont="1">
      <alignment readingOrder="0"/>
    </xf>
    <xf borderId="6" fillId="0" fontId="24" numFmtId="0" xfId="0" applyBorder="1" applyFont="1"/>
    <xf borderId="10" fillId="0" fontId="24" numFmtId="0" xfId="0" applyAlignment="1" applyBorder="1" applyFont="1">
      <alignment readingOrder="0"/>
    </xf>
    <xf borderId="11" fillId="0" fontId="24" numFmtId="0" xfId="0" applyBorder="1" applyFont="1"/>
    <xf borderId="10" fillId="0" fontId="24" numFmtId="0" xfId="0" applyBorder="1" applyFont="1"/>
    <xf borderId="22" fillId="0" fontId="23" numFmtId="0" xfId="0" applyAlignment="1" applyBorder="1" applyFont="1">
      <alignment readingOrder="0"/>
    </xf>
    <xf borderId="22" fillId="0" fontId="23" numFmtId="0" xfId="0" applyAlignment="1" applyBorder="1" applyFont="1">
      <alignment horizontal="center" readingOrder="0" shrinkToFit="0" wrapText="1"/>
    </xf>
    <xf borderId="22" fillId="0" fontId="23" numFmtId="0" xfId="0" applyAlignment="1" applyBorder="1" applyFont="1">
      <alignment horizontal="center" readingOrder="0"/>
    </xf>
    <xf borderId="21" fillId="0" fontId="23" numFmtId="0" xfId="0" applyAlignment="1" applyBorder="1" applyFont="1">
      <alignment readingOrder="0"/>
    </xf>
    <xf borderId="21" fillId="0" fontId="23" numFmtId="0" xfId="0" applyAlignment="1" applyBorder="1" applyFont="1">
      <alignment horizontal="center" readingOrder="0" shrinkToFit="0" wrapText="1"/>
    </xf>
    <xf borderId="21" fillId="0" fontId="23" numFmtId="0" xfId="0" applyAlignment="1" applyBorder="1" applyFont="1">
      <alignment horizontal="center" readingOrder="0"/>
    </xf>
    <xf borderId="6" fillId="0" fontId="23" numFmtId="0" xfId="0" applyAlignment="1" applyBorder="1" applyFont="1">
      <alignment horizontal="center" readingOrder="0"/>
    </xf>
    <xf borderId="15" fillId="0" fontId="38" numFmtId="0" xfId="0" applyAlignment="1" applyBorder="1" applyFont="1">
      <alignment readingOrder="0"/>
    </xf>
    <xf borderId="15" fillId="0" fontId="24" numFmtId="0" xfId="0" applyBorder="1" applyFont="1"/>
    <xf borderId="22" fillId="0" fontId="24" numFmtId="0" xfId="0" applyAlignment="1" applyBorder="1" applyFont="1">
      <alignment readingOrder="0"/>
    </xf>
    <xf borderId="22" fillId="0" fontId="24" numFmtId="0" xfId="0" applyBorder="1" applyFont="1"/>
    <xf borderId="23" fillId="0" fontId="24" numFmtId="0" xfId="0" applyBorder="1" applyFont="1"/>
    <xf borderId="15" fillId="0" fontId="24" numFmtId="0" xfId="0" applyAlignment="1" applyBorder="1" applyFont="1">
      <alignment readingOrder="0"/>
    </xf>
    <xf borderId="15" fillId="0" fontId="24" numFmtId="0" xfId="0" applyAlignment="1" applyBorder="1" applyFont="1">
      <alignment horizontal="center" readingOrder="0"/>
    </xf>
    <xf borderId="21" fillId="0" fontId="24" numFmtId="0" xfId="0" applyAlignment="1" applyBorder="1" applyFont="1">
      <alignment horizontal="left" readingOrder="0"/>
    </xf>
    <xf borderId="21" fillId="0" fontId="24" numFmtId="0" xfId="0" applyBorder="1" applyFont="1"/>
    <xf borderId="20" fillId="0" fontId="24" numFmtId="0" xfId="0" applyAlignment="1" applyBorder="1" applyFont="1">
      <alignment horizontal="center" readingOrder="0"/>
    </xf>
    <xf borderId="20" fillId="0" fontId="24" numFmtId="0" xfId="0" applyBorder="1" applyFont="1"/>
    <xf borderId="14" fillId="0" fontId="24" numFmtId="0" xfId="0" applyBorder="1" applyFont="1"/>
    <xf borderId="21" fillId="0" fontId="38" numFmtId="0" xfId="0" applyAlignment="1" applyBorder="1" applyFont="1">
      <alignment readingOrder="0"/>
    </xf>
    <xf borderId="21" fillId="0" fontId="24" numFmtId="0" xfId="0" applyAlignment="1" applyBorder="1" applyFont="1">
      <alignment readingOrder="0"/>
    </xf>
    <xf borderId="20" fillId="0" fontId="24" numFmtId="0" xfId="0" applyAlignment="1" applyBorder="1" applyFont="1">
      <alignment readingOrder="0"/>
    </xf>
    <xf borderId="21" fillId="0" fontId="24" numFmtId="0" xfId="0" applyAlignment="1" applyBorder="1" applyFont="1">
      <alignment horizontal="center" readingOrder="0"/>
    </xf>
    <xf borderId="10" fillId="0" fontId="20" numFmtId="0" xfId="0" applyAlignment="1" applyBorder="1" applyFont="1">
      <alignment readingOrder="0"/>
    </xf>
    <xf borderId="10" fillId="0" fontId="24" numFmtId="0" xfId="0" applyAlignment="1" applyBorder="1" applyFont="1">
      <alignment horizontal="center" readingOrder="0"/>
    </xf>
    <xf borderId="12" fillId="0" fontId="20" numFmtId="0" xfId="0" applyAlignment="1" applyBorder="1" applyFont="1">
      <alignment readingOrder="0"/>
    </xf>
    <xf borderId="12" fillId="0" fontId="24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jcsgo-central-system.vercel.app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8" max="8" width="15.29"/>
    <col customWidth="1" min="9" max="9" width="16.86"/>
    <col customWidth="1" min="22" max="22" width="15.29"/>
    <col customWidth="1" min="23" max="23" width="16.86"/>
    <col customWidth="1" min="29" max="29" width="15.29"/>
    <col customWidth="1" min="30" max="30" width="16.86"/>
    <col customWidth="1" min="31" max="31" width="17.0"/>
    <col customWidth="1" min="32" max="37" width="19.43"/>
  </cols>
  <sheetData>
    <row r="1">
      <c r="A1" s="1" t="s">
        <v>0</v>
      </c>
      <c r="G1" s="2" t="s">
        <v>1</v>
      </c>
    </row>
    <row r="3">
      <c r="A3" s="3"/>
      <c r="B3" s="4"/>
      <c r="C3" s="5"/>
      <c r="E3" s="5"/>
      <c r="G3" s="6"/>
      <c r="I3" s="6"/>
      <c r="J3" s="6"/>
      <c r="K3" s="6"/>
      <c r="M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</row>
    <row r="4">
      <c r="A4" s="7"/>
      <c r="B4" s="4"/>
      <c r="C4" s="5"/>
      <c r="E4" s="5"/>
      <c r="G4" s="6"/>
      <c r="I4" s="6"/>
      <c r="J4" s="6"/>
      <c r="K4" s="6"/>
      <c r="L4" s="8"/>
      <c r="M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</row>
    <row r="5">
      <c r="A5" s="9" t="s">
        <v>2</v>
      </c>
      <c r="B5" s="10"/>
      <c r="C5" s="11"/>
      <c r="D5" s="12" t="s">
        <v>3</v>
      </c>
      <c r="E5" s="13"/>
      <c r="F5" s="13"/>
      <c r="G5" s="13"/>
      <c r="H5" s="13"/>
      <c r="I5" s="14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</row>
    <row r="6">
      <c r="A6" s="16">
        <v>2026.0</v>
      </c>
      <c r="B6" s="17"/>
      <c r="C6" s="18"/>
      <c r="D6" s="19" t="s">
        <v>4</v>
      </c>
      <c r="I6" s="20" t="s">
        <v>5</v>
      </c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</row>
    <row r="7">
      <c r="A7" s="6"/>
      <c r="B7" s="6"/>
      <c r="C7" s="5"/>
      <c r="D7" s="22" t="s">
        <v>6</v>
      </c>
      <c r="E7" s="23"/>
      <c r="F7" s="23"/>
      <c r="G7" s="23"/>
      <c r="H7" s="23"/>
      <c r="I7" s="24" t="s">
        <v>7</v>
      </c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</row>
    <row r="8">
      <c r="A8" s="9" t="s">
        <v>8</v>
      </c>
      <c r="B8" s="10"/>
      <c r="C8" s="11"/>
      <c r="D8" s="25" t="s">
        <v>9</v>
      </c>
      <c r="E8" s="10"/>
      <c r="F8" s="10"/>
      <c r="G8" s="10"/>
      <c r="H8" s="10"/>
      <c r="I8" s="1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</row>
    <row r="9">
      <c r="A9" s="16" t="s">
        <v>10</v>
      </c>
      <c r="B9" s="17"/>
      <c r="C9" s="18"/>
      <c r="D9" s="26" t="s">
        <v>11</v>
      </c>
      <c r="E9" s="17"/>
      <c r="F9" s="17"/>
      <c r="G9" s="17"/>
      <c r="H9" s="17"/>
      <c r="I9" s="18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</row>
    <row r="10">
      <c r="A10" s="27" t="s">
        <v>12</v>
      </c>
      <c r="B10" s="14"/>
      <c r="C10" s="28" t="s">
        <v>13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4"/>
      <c r="R10" s="27" t="s">
        <v>12</v>
      </c>
      <c r="S10" s="14"/>
      <c r="T10" s="28" t="s">
        <v>14</v>
      </c>
      <c r="U10" s="13"/>
      <c r="V10" s="13"/>
      <c r="W10" s="13"/>
      <c r="X10" s="14"/>
      <c r="Y10" s="29"/>
    </row>
    <row r="11">
      <c r="A11" s="30"/>
      <c r="B11" s="31"/>
      <c r="C11" s="32" t="s">
        <v>15</v>
      </c>
      <c r="D11" s="13"/>
      <c r="E11" s="14"/>
      <c r="F11" s="32" t="s">
        <v>16</v>
      </c>
      <c r="G11" s="13"/>
      <c r="H11" s="14"/>
      <c r="I11" s="32" t="s">
        <v>17</v>
      </c>
      <c r="J11" s="13"/>
      <c r="K11" s="14"/>
      <c r="L11" s="32" t="s">
        <v>18</v>
      </c>
      <c r="M11" s="13"/>
      <c r="N11" s="14"/>
      <c r="O11" s="33" t="s">
        <v>19</v>
      </c>
      <c r="P11" s="13"/>
      <c r="Q11" s="14"/>
      <c r="R11" s="30"/>
      <c r="S11" s="31"/>
      <c r="T11" s="32" t="s">
        <v>15</v>
      </c>
      <c r="U11" s="32" t="s">
        <v>16</v>
      </c>
      <c r="V11" s="32" t="s">
        <v>17</v>
      </c>
      <c r="W11" s="32" t="s">
        <v>18</v>
      </c>
      <c r="X11" s="34" t="s">
        <v>19</v>
      </c>
      <c r="Y11" s="35"/>
    </row>
    <row r="12">
      <c r="A12" s="36"/>
      <c r="B12" s="37"/>
      <c r="C12" s="38" t="s">
        <v>5</v>
      </c>
      <c r="D12" s="39" t="s">
        <v>7</v>
      </c>
      <c r="E12" s="40" t="s">
        <v>20</v>
      </c>
      <c r="F12" s="38" t="s">
        <v>5</v>
      </c>
      <c r="G12" s="39" t="s">
        <v>7</v>
      </c>
      <c r="H12" s="41" t="s">
        <v>20</v>
      </c>
      <c r="I12" s="38" t="s">
        <v>5</v>
      </c>
      <c r="J12" s="39" t="s">
        <v>7</v>
      </c>
      <c r="K12" s="41" t="s">
        <v>20</v>
      </c>
      <c r="L12" s="38" t="s">
        <v>5</v>
      </c>
      <c r="M12" s="39" t="s">
        <v>7</v>
      </c>
      <c r="N12" s="41" t="s">
        <v>20</v>
      </c>
      <c r="O12" s="42" t="s">
        <v>5</v>
      </c>
      <c r="P12" s="39" t="s">
        <v>7</v>
      </c>
      <c r="Q12" s="41" t="s">
        <v>20</v>
      </c>
      <c r="R12" s="36"/>
      <c r="S12" s="37"/>
      <c r="T12" s="43" t="s">
        <v>20</v>
      </c>
      <c r="U12" s="41" t="s">
        <v>20</v>
      </c>
      <c r="V12" s="41" t="s">
        <v>20</v>
      </c>
      <c r="W12" s="41" t="s">
        <v>20</v>
      </c>
      <c r="X12" s="41" t="s">
        <v>20</v>
      </c>
      <c r="Y12" s="44"/>
    </row>
    <row r="13">
      <c r="A13" s="45" t="s">
        <v>21</v>
      </c>
      <c r="B13" s="14"/>
      <c r="C13" s="46">
        <f t="shared" ref="C13:C24" si="1">COUNTIF(INDIRECT(A13&amp;"!G:G"),"*ONSITE*")</f>
        <v>0</v>
      </c>
      <c r="D13" s="47">
        <f t="shared" ref="D13:D24" si="2">COUNTIF(INDIRECT(A13&amp;"!G:G"),"*ONLINE*")</f>
        <v>0</v>
      </c>
      <c r="E13" s="48">
        <f t="shared" ref="E13:E24" si="3">SUM(C13:D13)</f>
        <v>0</v>
      </c>
      <c r="F13" s="46">
        <f t="shared" ref="F13:F24" si="4">COUNTIF(INDIRECT(A13&amp;"!H:H"),"*ONSITE*")</f>
        <v>0</v>
      </c>
      <c r="G13" s="47">
        <f t="shared" ref="G13:G24" si="5">COUNTIF(INDIRECT(A13&amp;"!H:H"),"*ONLINE*")</f>
        <v>0</v>
      </c>
      <c r="H13" s="48">
        <f t="shared" ref="H13:H24" si="6">SUM(F13:G13)</f>
        <v>0</v>
      </c>
      <c r="I13" s="46">
        <f t="shared" ref="I13:I24" si="7">COUNTIF(INDIRECT(A13&amp;"!I:I"),"*ONSITE*")</f>
        <v>0</v>
      </c>
      <c r="J13" s="47">
        <f t="shared" ref="J13:J24" si="8">COUNTIF(INDIRECT(A13&amp;"!I:I"),"*ONLINE*")</f>
        <v>0</v>
      </c>
      <c r="K13" s="48">
        <f t="shared" ref="K13:K24" si="9">SUM(I13:J13)</f>
        <v>0</v>
      </c>
      <c r="L13" s="46">
        <f t="shared" ref="L13:L24" si="10">COUNTIF(INDIRECT(A13&amp;"!J:J"),"*ONSITE*")</f>
        <v>0</v>
      </c>
      <c r="M13" s="47">
        <f t="shared" ref="M13:M24" si="11">COUNTIF(INDIRECT(A13&amp;"!J:J"),"*ONLINE*")</f>
        <v>0</v>
      </c>
      <c r="N13" s="48">
        <f t="shared" ref="N13:N24" si="12">SUM(L13:M13)</f>
        <v>0</v>
      </c>
      <c r="O13" s="47">
        <f t="shared" ref="O13:O24" si="13">COUNTIF(INDIRECT(A13&amp;"!K:K"),"*ONSITE*")</f>
        <v>0</v>
      </c>
      <c r="P13" s="47">
        <f t="shared" ref="P13:P24" si="14">COUNTIF(INDIRECT(A13&amp;"!K:K"),"*ONLINE*")</f>
        <v>0</v>
      </c>
      <c r="Q13" s="48">
        <f t="shared" ref="Q13:Q24" si="15">SUM(O13:P13)</f>
        <v>0</v>
      </c>
      <c r="R13" s="45" t="s">
        <v>21</v>
      </c>
      <c r="S13" s="14"/>
      <c r="T13" s="49">
        <f t="shared" ref="T13:T24" si="16">COUNTIF(INDIRECT($A13&amp;"!L:L"),"TRUE")</f>
        <v>0</v>
      </c>
      <c r="U13" s="50">
        <f t="shared" ref="U13:U24" si="17">COUNTIF(INDIRECT($A13&amp;"!M:M"),"TRUE")</f>
        <v>0</v>
      </c>
      <c r="V13" s="51">
        <f t="shared" ref="V13:V24" si="18">COUNTIF(INDIRECT($A13&amp;"!N:N"),"TRUE")</f>
        <v>0</v>
      </c>
      <c r="W13" s="50">
        <f t="shared" ref="W13:W24" si="19">COUNTIF(INDIRECT($A13&amp;"!O:O"),"TRUE")</f>
        <v>0</v>
      </c>
      <c r="X13" s="51">
        <f t="shared" ref="X13:X24" si="20">COUNTIF(INDIRECT($A13&amp;"!P:P"),"TRUE")</f>
        <v>0</v>
      </c>
      <c r="Y13" s="52"/>
    </row>
    <row r="14">
      <c r="A14" s="53" t="s">
        <v>22</v>
      </c>
      <c r="B14" s="31"/>
      <c r="C14" s="54">
        <f t="shared" si="1"/>
        <v>44</v>
      </c>
      <c r="D14" s="55">
        <f t="shared" si="2"/>
        <v>1</v>
      </c>
      <c r="E14" s="56">
        <f t="shared" si="3"/>
        <v>45</v>
      </c>
      <c r="F14" s="54">
        <f t="shared" si="4"/>
        <v>16</v>
      </c>
      <c r="G14" s="55">
        <f t="shared" si="5"/>
        <v>1</v>
      </c>
      <c r="H14" s="56">
        <f t="shared" si="6"/>
        <v>17</v>
      </c>
      <c r="I14" s="54">
        <f t="shared" si="7"/>
        <v>37</v>
      </c>
      <c r="J14" s="55">
        <f t="shared" si="8"/>
        <v>0</v>
      </c>
      <c r="K14" s="56">
        <f t="shared" si="9"/>
        <v>37</v>
      </c>
      <c r="L14" s="54">
        <f t="shared" si="10"/>
        <v>37</v>
      </c>
      <c r="M14" s="55">
        <f t="shared" si="11"/>
        <v>1</v>
      </c>
      <c r="N14" s="56">
        <f t="shared" si="12"/>
        <v>38</v>
      </c>
      <c r="O14" s="55">
        <f t="shared" si="13"/>
        <v>0</v>
      </c>
      <c r="P14" s="55">
        <f t="shared" si="14"/>
        <v>0</v>
      </c>
      <c r="Q14" s="56">
        <f t="shared" si="15"/>
        <v>0</v>
      </c>
      <c r="R14" s="53" t="s">
        <v>22</v>
      </c>
      <c r="S14" s="31"/>
      <c r="T14" s="57">
        <f t="shared" si="16"/>
        <v>35</v>
      </c>
      <c r="U14" s="58">
        <f t="shared" si="17"/>
        <v>15</v>
      </c>
      <c r="V14" s="59">
        <f t="shared" si="18"/>
        <v>34</v>
      </c>
      <c r="W14" s="58">
        <f t="shared" si="19"/>
        <v>33</v>
      </c>
      <c r="X14" s="59">
        <f t="shared" si="20"/>
        <v>0</v>
      </c>
      <c r="Y14" s="52"/>
    </row>
    <row r="15">
      <c r="A15" s="60" t="s">
        <v>23</v>
      </c>
      <c r="B15" s="61"/>
      <c r="C15" s="62">
        <f t="shared" si="1"/>
        <v>0</v>
      </c>
      <c r="D15" s="63">
        <f t="shared" si="2"/>
        <v>0</v>
      </c>
      <c r="E15" s="64">
        <f t="shared" si="3"/>
        <v>0</v>
      </c>
      <c r="F15" s="62">
        <f t="shared" si="4"/>
        <v>30</v>
      </c>
      <c r="G15" s="63">
        <f t="shared" si="5"/>
        <v>0</v>
      </c>
      <c r="H15" s="64">
        <f t="shared" si="6"/>
        <v>30</v>
      </c>
      <c r="I15" s="62">
        <f t="shared" si="7"/>
        <v>0</v>
      </c>
      <c r="J15" s="63">
        <f t="shared" si="8"/>
        <v>0</v>
      </c>
      <c r="K15" s="64">
        <f t="shared" si="9"/>
        <v>0</v>
      </c>
      <c r="L15" s="62">
        <f t="shared" si="10"/>
        <v>0</v>
      </c>
      <c r="M15" s="63">
        <f t="shared" si="11"/>
        <v>0</v>
      </c>
      <c r="N15" s="64">
        <f t="shared" si="12"/>
        <v>0</v>
      </c>
      <c r="O15" s="63">
        <f t="shared" si="13"/>
        <v>35</v>
      </c>
      <c r="P15" s="63">
        <f t="shared" si="14"/>
        <v>2</v>
      </c>
      <c r="Q15" s="64">
        <f t="shared" si="15"/>
        <v>37</v>
      </c>
      <c r="R15" s="60" t="s">
        <v>23</v>
      </c>
      <c r="S15" s="61"/>
      <c r="T15" s="49">
        <f t="shared" si="16"/>
        <v>0</v>
      </c>
      <c r="U15" s="50">
        <f t="shared" si="17"/>
        <v>0</v>
      </c>
      <c r="V15" s="51">
        <f t="shared" si="18"/>
        <v>0</v>
      </c>
      <c r="W15" s="50">
        <f t="shared" si="19"/>
        <v>0</v>
      </c>
      <c r="X15" s="51">
        <f t="shared" si="20"/>
        <v>35</v>
      </c>
      <c r="Y15" s="52"/>
    </row>
    <row r="16">
      <c r="A16" s="65" t="s">
        <v>24</v>
      </c>
      <c r="B16" s="66"/>
      <c r="C16" s="54">
        <f t="shared" si="1"/>
        <v>0</v>
      </c>
      <c r="D16" s="55">
        <f t="shared" si="2"/>
        <v>0</v>
      </c>
      <c r="E16" s="56">
        <f t="shared" si="3"/>
        <v>0</v>
      </c>
      <c r="F16" s="54">
        <f t="shared" si="4"/>
        <v>0</v>
      </c>
      <c r="G16" s="55">
        <f t="shared" si="5"/>
        <v>0</v>
      </c>
      <c r="H16" s="56">
        <f t="shared" si="6"/>
        <v>0</v>
      </c>
      <c r="I16" s="54">
        <f t="shared" si="7"/>
        <v>0</v>
      </c>
      <c r="J16" s="55">
        <f t="shared" si="8"/>
        <v>0</v>
      </c>
      <c r="K16" s="56">
        <f t="shared" si="9"/>
        <v>0</v>
      </c>
      <c r="L16" s="54">
        <f t="shared" si="10"/>
        <v>0</v>
      </c>
      <c r="M16" s="55">
        <f t="shared" si="11"/>
        <v>0</v>
      </c>
      <c r="N16" s="56">
        <f t="shared" si="12"/>
        <v>0</v>
      </c>
      <c r="O16" s="55">
        <f t="shared" si="13"/>
        <v>0</v>
      </c>
      <c r="P16" s="55">
        <f t="shared" si="14"/>
        <v>0</v>
      </c>
      <c r="Q16" s="56">
        <f t="shared" si="15"/>
        <v>0</v>
      </c>
      <c r="R16" s="65" t="s">
        <v>24</v>
      </c>
      <c r="S16" s="66"/>
      <c r="T16" s="57">
        <f t="shared" si="16"/>
        <v>0</v>
      </c>
      <c r="U16" s="58">
        <f t="shared" si="17"/>
        <v>0</v>
      </c>
      <c r="V16" s="59">
        <f t="shared" si="18"/>
        <v>0</v>
      </c>
      <c r="W16" s="58">
        <f t="shared" si="19"/>
        <v>0</v>
      </c>
      <c r="X16" s="59">
        <f t="shared" si="20"/>
        <v>0</v>
      </c>
      <c r="Y16" s="52"/>
    </row>
    <row r="17">
      <c r="A17" s="67" t="s">
        <v>25</v>
      </c>
      <c r="B17" s="66"/>
      <c r="C17" s="62">
        <f t="shared" si="1"/>
        <v>24</v>
      </c>
      <c r="D17" s="63">
        <f t="shared" si="2"/>
        <v>0</v>
      </c>
      <c r="E17" s="64">
        <f t="shared" si="3"/>
        <v>24</v>
      </c>
      <c r="F17" s="62">
        <f t="shared" si="4"/>
        <v>0</v>
      </c>
      <c r="G17" s="63">
        <f t="shared" si="5"/>
        <v>0</v>
      </c>
      <c r="H17" s="64">
        <f t="shared" si="6"/>
        <v>0</v>
      </c>
      <c r="I17" s="62">
        <f t="shared" si="7"/>
        <v>26</v>
      </c>
      <c r="J17" s="63">
        <f t="shared" si="8"/>
        <v>0</v>
      </c>
      <c r="K17" s="64">
        <f t="shared" si="9"/>
        <v>26</v>
      </c>
      <c r="L17" s="62">
        <f t="shared" si="10"/>
        <v>0</v>
      </c>
      <c r="M17" s="63">
        <f t="shared" si="11"/>
        <v>0</v>
      </c>
      <c r="N17" s="64">
        <f t="shared" si="12"/>
        <v>0</v>
      </c>
      <c r="O17" s="63">
        <f t="shared" si="13"/>
        <v>0</v>
      </c>
      <c r="P17" s="63">
        <f t="shared" si="14"/>
        <v>0</v>
      </c>
      <c r="Q17" s="64">
        <f t="shared" si="15"/>
        <v>0</v>
      </c>
      <c r="R17" s="67" t="s">
        <v>25</v>
      </c>
      <c r="S17" s="66"/>
      <c r="T17" s="49">
        <f t="shared" si="16"/>
        <v>24</v>
      </c>
      <c r="U17" s="50">
        <f t="shared" si="17"/>
        <v>0</v>
      </c>
      <c r="V17" s="51">
        <f t="shared" si="18"/>
        <v>24</v>
      </c>
      <c r="W17" s="50">
        <f t="shared" si="19"/>
        <v>0</v>
      </c>
      <c r="X17" s="51">
        <f t="shared" si="20"/>
        <v>0</v>
      </c>
      <c r="Y17" s="52"/>
    </row>
    <row r="18">
      <c r="A18" s="65" t="s">
        <v>26</v>
      </c>
      <c r="B18" s="66"/>
      <c r="C18" s="54">
        <f t="shared" si="1"/>
        <v>32</v>
      </c>
      <c r="D18" s="55">
        <f t="shared" si="2"/>
        <v>0</v>
      </c>
      <c r="E18" s="56">
        <f t="shared" si="3"/>
        <v>32</v>
      </c>
      <c r="F18" s="54">
        <f t="shared" si="4"/>
        <v>0</v>
      </c>
      <c r="G18" s="55">
        <f t="shared" si="5"/>
        <v>0</v>
      </c>
      <c r="H18" s="56">
        <f t="shared" si="6"/>
        <v>0</v>
      </c>
      <c r="I18" s="54">
        <f t="shared" si="7"/>
        <v>25</v>
      </c>
      <c r="J18" s="55">
        <f t="shared" si="8"/>
        <v>0</v>
      </c>
      <c r="K18" s="56">
        <f t="shared" si="9"/>
        <v>25</v>
      </c>
      <c r="L18" s="54">
        <f t="shared" si="10"/>
        <v>12</v>
      </c>
      <c r="M18" s="55">
        <f t="shared" si="11"/>
        <v>0</v>
      </c>
      <c r="N18" s="56">
        <f t="shared" si="12"/>
        <v>12</v>
      </c>
      <c r="O18" s="55">
        <f t="shared" si="13"/>
        <v>0</v>
      </c>
      <c r="P18" s="55">
        <f t="shared" si="14"/>
        <v>0</v>
      </c>
      <c r="Q18" s="56">
        <f t="shared" si="15"/>
        <v>0</v>
      </c>
      <c r="R18" s="65" t="s">
        <v>26</v>
      </c>
      <c r="S18" s="66"/>
      <c r="T18" s="57">
        <f t="shared" si="16"/>
        <v>30</v>
      </c>
      <c r="U18" s="58">
        <f t="shared" si="17"/>
        <v>0</v>
      </c>
      <c r="V18" s="59">
        <f t="shared" si="18"/>
        <v>24</v>
      </c>
      <c r="W18" s="58">
        <f t="shared" si="19"/>
        <v>1</v>
      </c>
      <c r="X18" s="59">
        <f t="shared" si="20"/>
        <v>0</v>
      </c>
      <c r="Y18" s="52"/>
    </row>
    <row r="19">
      <c r="A19" s="67" t="s">
        <v>27</v>
      </c>
      <c r="B19" s="66"/>
      <c r="C19" s="62">
        <f t="shared" si="1"/>
        <v>0</v>
      </c>
      <c r="D19" s="63">
        <f t="shared" si="2"/>
        <v>0</v>
      </c>
      <c r="E19" s="64">
        <f t="shared" si="3"/>
        <v>0</v>
      </c>
      <c r="F19" s="62">
        <f t="shared" si="4"/>
        <v>0</v>
      </c>
      <c r="G19" s="63">
        <f t="shared" si="5"/>
        <v>0</v>
      </c>
      <c r="H19" s="64">
        <f t="shared" si="6"/>
        <v>0</v>
      </c>
      <c r="I19" s="62">
        <f t="shared" si="7"/>
        <v>0</v>
      </c>
      <c r="J19" s="63">
        <f t="shared" si="8"/>
        <v>0</v>
      </c>
      <c r="K19" s="64">
        <f t="shared" si="9"/>
        <v>0</v>
      </c>
      <c r="L19" s="62">
        <f t="shared" si="10"/>
        <v>0</v>
      </c>
      <c r="M19" s="63">
        <f t="shared" si="11"/>
        <v>0</v>
      </c>
      <c r="N19" s="64">
        <f t="shared" si="12"/>
        <v>0</v>
      </c>
      <c r="O19" s="63">
        <f t="shared" si="13"/>
        <v>0</v>
      </c>
      <c r="P19" s="63">
        <f t="shared" si="14"/>
        <v>0</v>
      </c>
      <c r="Q19" s="64">
        <f t="shared" si="15"/>
        <v>0</v>
      </c>
      <c r="R19" s="67" t="s">
        <v>27</v>
      </c>
      <c r="S19" s="66"/>
      <c r="T19" s="49">
        <f t="shared" si="16"/>
        <v>0</v>
      </c>
      <c r="U19" s="50">
        <f t="shared" si="17"/>
        <v>0</v>
      </c>
      <c r="V19" s="51">
        <f t="shared" si="18"/>
        <v>0</v>
      </c>
      <c r="W19" s="50">
        <f t="shared" si="19"/>
        <v>0</v>
      </c>
      <c r="X19" s="51">
        <f t="shared" si="20"/>
        <v>0</v>
      </c>
      <c r="Y19" s="52"/>
    </row>
    <row r="20">
      <c r="A20" s="65" t="s">
        <v>28</v>
      </c>
      <c r="B20" s="66"/>
      <c r="C20" s="54">
        <f t="shared" si="1"/>
        <v>0</v>
      </c>
      <c r="D20" s="55">
        <f t="shared" si="2"/>
        <v>0</v>
      </c>
      <c r="E20" s="56">
        <f t="shared" si="3"/>
        <v>0</v>
      </c>
      <c r="F20" s="54">
        <f t="shared" si="4"/>
        <v>0</v>
      </c>
      <c r="G20" s="55">
        <f t="shared" si="5"/>
        <v>0</v>
      </c>
      <c r="H20" s="56">
        <f t="shared" si="6"/>
        <v>0</v>
      </c>
      <c r="I20" s="54">
        <f t="shared" si="7"/>
        <v>0</v>
      </c>
      <c r="J20" s="55">
        <f t="shared" si="8"/>
        <v>0</v>
      </c>
      <c r="K20" s="56">
        <f t="shared" si="9"/>
        <v>0</v>
      </c>
      <c r="L20" s="54">
        <f t="shared" si="10"/>
        <v>0</v>
      </c>
      <c r="M20" s="55">
        <f t="shared" si="11"/>
        <v>0</v>
      </c>
      <c r="N20" s="56">
        <f t="shared" si="12"/>
        <v>0</v>
      </c>
      <c r="O20" s="55">
        <f t="shared" si="13"/>
        <v>0</v>
      </c>
      <c r="P20" s="55">
        <f t="shared" si="14"/>
        <v>0</v>
      </c>
      <c r="Q20" s="56">
        <f t="shared" si="15"/>
        <v>0</v>
      </c>
      <c r="R20" s="65" t="s">
        <v>28</v>
      </c>
      <c r="S20" s="66"/>
      <c r="T20" s="57">
        <f t="shared" si="16"/>
        <v>0</v>
      </c>
      <c r="U20" s="58">
        <f t="shared" si="17"/>
        <v>0</v>
      </c>
      <c r="V20" s="59">
        <f t="shared" si="18"/>
        <v>0</v>
      </c>
      <c r="W20" s="58">
        <f t="shared" si="19"/>
        <v>0</v>
      </c>
      <c r="X20" s="59">
        <f t="shared" si="20"/>
        <v>0</v>
      </c>
      <c r="Y20" s="52"/>
    </row>
    <row r="21">
      <c r="A21" s="67" t="s">
        <v>29</v>
      </c>
      <c r="B21" s="66"/>
      <c r="C21" s="62">
        <f t="shared" si="1"/>
        <v>0</v>
      </c>
      <c r="D21" s="63">
        <f t="shared" si="2"/>
        <v>0</v>
      </c>
      <c r="E21" s="64">
        <f t="shared" si="3"/>
        <v>0</v>
      </c>
      <c r="F21" s="62">
        <f t="shared" si="4"/>
        <v>0</v>
      </c>
      <c r="G21" s="63">
        <f t="shared" si="5"/>
        <v>0</v>
      </c>
      <c r="H21" s="64">
        <f t="shared" si="6"/>
        <v>0</v>
      </c>
      <c r="I21" s="62">
        <f t="shared" si="7"/>
        <v>0</v>
      </c>
      <c r="J21" s="63">
        <f t="shared" si="8"/>
        <v>0</v>
      </c>
      <c r="K21" s="64">
        <f t="shared" si="9"/>
        <v>0</v>
      </c>
      <c r="L21" s="62">
        <f t="shared" si="10"/>
        <v>0</v>
      </c>
      <c r="M21" s="63">
        <f t="shared" si="11"/>
        <v>0</v>
      </c>
      <c r="N21" s="64">
        <f t="shared" si="12"/>
        <v>0</v>
      </c>
      <c r="O21" s="63">
        <f t="shared" si="13"/>
        <v>0</v>
      </c>
      <c r="P21" s="63">
        <f t="shared" si="14"/>
        <v>0</v>
      </c>
      <c r="Q21" s="64">
        <f t="shared" si="15"/>
        <v>0</v>
      </c>
      <c r="R21" s="67" t="s">
        <v>29</v>
      </c>
      <c r="S21" s="66"/>
      <c r="T21" s="49">
        <f t="shared" si="16"/>
        <v>0</v>
      </c>
      <c r="U21" s="50">
        <f t="shared" si="17"/>
        <v>0</v>
      </c>
      <c r="V21" s="51">
        <f t="shared" si="18"/>
        <v>0</v>
      </c>
      <c r="W21" s="50">
        <f t="shared" si="19"/>
        <v>0</v>
      </c>
      <c r="X21" s="51">
        <f t="shared" si="20"/>
        <v>0</v>
      </c>
      <c r="Y21" s="52"/>
    </row>
    <row r="22">
      <c r="A22" s="65" t="s">
        <v>30</v>
      </c>
      <c r="B22" s="66"/>
      <c r="C22" s="54">
        <f t="shared" si="1"/>
        <v>0</v>
      </c>
      <c r="D22" s="55">
        <f t="shared" si="2"/>
        <v>0</v>
      </c>
      <c r="E22" s="56">
        <f t="shared" si="3"/>
        <v>0</v>
      </c>
      <c r="F22" s="54">
        <f t="shared" si="4"/>
        <v>0</v>
      </c>
      <c r="G22" s="55">
        <f t="shared" si="5"/>
        <v>0</v>
      </c>
      <c r="H22" s="56">
        <f t="shared" si="6"/>
        <v>0</v>
      </c>
      <c r="I22" s="54">
        <f t="shared" si="7"/>
        <v>0</v>
      </c>
      <c r="J22" s="55">
        <f t="shared" si="8"/>
        <v>0</v>
      </c>
      <c r="K22" s="56">
        <f t="shared" si="9"/>
        <v>0</v>
      </c>
      <c r="L22" s="54">
        <f t="shared" si="10"/>
        <v>0</v>
      </c>
      <c r="M22" s="55">
        <f t="shared" si="11"/>
        <v>0</v>
      </c>
      <c r="N22" s="56">
        <f t="shared" si="12"/>
        <v>0</v>
      </c>
      <c r="O22" s="55">
        <f t="shared" si="13"/>
        <v>0</v>
      </c>
      <c r="P22" s="55">
        <f t="shared" si="14"/>
        <v>0</v>
      </c>
      <c r="Q22" s="56">
        <f t="shared" si="15"/>
        <v>0</v>
      </c>
      <c r="R22" s="65" t="s">
        <v>30</v>
      </c>
      <c r="S22" s="66"/>
      <c r="T22" s="57">
        <f t="shared" si="16"/>
        <v>0</v>
      </c>
      <c r="U22" s="58">
        <f t="shared" si="17"/>
        <v>0</v>
      </c>
      <c r="V22" s="59">
        <f t="shared" si="18"/>
        <v>0</v>
      </c>
      <c r="W22" s="58">
        <f t="shared" si="19"/>
        <v>0</v>
      </c>
      <c r="X22" s="59">
        <f t="shared" si="20"/>
        <v>0</v>
      </c>
      <c r="Y22" s="52"/>
    </row>
    <row r="23">
      <c r="A23" s="67" t="s">
        <v>31</v>
      </c>
      <c r="B23" s="66"/>
      <c r="C23" s="62">
        <f t="shared" si="1"/>
        <v>0</v>
      </c>
      <c r="D23" s="63">
        <f t="shared" si="2"/>
        <v>0</v>
      </c>
      <c r="E23" s="64">
        <f t="shared" si="3"/>
        <v>0</v>
      </c>
      <c r="F23" s="62">
        <f t="shared" si="4"/>
        <v>0</v>
      </c>
      <c r="G23" s="63">
        <f t="shared" si="5"/>
        <v>0</v>
      </c>
      <c r="H23" s="64">
        <f t="shared" si="6"/>
        <v>0</v>
      </c>
      <c r="I23" s="62">
        <f t="shared" si="7"/>
        <v>0</v>
      </c>
      <c r="J23" s="63">
        <f t="shared" si="8"/>
        <v>0</v>
      </c>
      <c r="K23" s="64">
        <f t="shared" si="9"/>
        <v>0</v>
      </c>
      <c r="L23" s="62">
        <f t="shared" si="10"/>
        <v>0</v>
      </c>
      <c r="M23" s="63">
        <f t="shared" si="11"/>
        <v>0</v>
      </c>
      <c r="N23" s="64">
        <f t="shared" si="12"/>
        <v>0</v>
      </c>
      <c r="O23" s="63">
        <f t="shared" si="13"/>
        <v>0</v>
      </c>
      <c r="P23" s="63">
        <f t="shared" si="14"/>
        <v>0</v>
      </c>
      <c r="Q23" s="64">
        <f t="shared" si="15"/>
        <v>0</v>
      </c>
      <c r="R23" s="67" t="s">
        <v>31</v>
      </c>
      <c r="S23" s="66"/>
      <c r="T23" s="49">
        <f t="shared" si="16"/>
        <v>0</v>
      </c>
      <c r="U23" s="50">
        <f t="shared" si="17"/>
        <v>0</v>
      </c>
      <c r="V23" s="51">
        <f t="shared" si="18"/>
        <v>0</v>
      </c>
      <c r="W23" s="50">
        <f t="shared" si="19"/>
        <v>0</v>
      </c>
      <c r="X23" s="51">
        <f t="shared" si="20"/>
        <v>0</v>
      </c>
      <c r="Y23" s="52"/>
    </row>
    <row r="24">
      <c r="A24" s="68" t="s">
        <v>32</v>
      </c>
      <c r="B24" s="18"/>
      <c r="C24" s="69">
        <f t="shared" si="1"/>
        <v>0</v>
      </c>
      <c r="D24" s="70">
        <f t="shared" si="2"/>
        <v>0</v>
      </c>
      <c r="E24" s="71">
        <f t="shared" si="3"/>
        <v>0</v>
      </c>
      <c r="F24" s="69">
        <f t="shared" si="4"/>
        <v>0</v>
      </c>
      <c r="G24" s="70">
        <f t="shared" si="5"/>
        <v>0</v>
      </c>
      <c r="H24" s="71">
        <f t="shared" si="6"/>
        <v>0</v>
      </c>
      <c r="I24" s="69">
        <f t="shared" si="7"/>
        <v>0</v>
      </c>
      <c r="J24" s="70">
        <f t="shared" si="8"/>
        <v>0</v>
      </c>
      <c r="K24" s="71">
        <f t="shared" si="9"/>
        <v>0</v>
      </c>
      <c r="L24" s="69">
        <f t="shared" si="10"/>
        <v>0</v>
      </c>
      <c r="M24" s="70">
        <f t="shared" si="11"/>
        <v>0</v>
      </c>
      <c r="N24" s="71">
        <f t="shared" si="12"/>
        <v>0</v>
      </c>
      <c r="O24" s="70">
        <f t="shared" si="13"/>
        <v>0</v>
      </c>
      <c r="P24" s="70">
        <f t="shared" si="14"/>
        <v>0</v>
      </c>
      <c r="Q24" s="71">
        <f t="shared" si="15"/>
        <v>0</v>
      </c>
      <c r="R24" s="68" t="s">
        <v>32</v>
      </c>
      <c r="S24" s="18"/>
      <c r="T24" s="72">
        <f t="shared" si="16"/>
        <v>0</v>
      </c>
      <c r="U24" s="73">
        <f t="shared" si="17"/>
        <v>0</v>
      </c>
      <c r="V24" s="74">
        <f t="shared" si="18"/>
        <v>0</v>
      </c>
      <c r="W24" s="73">
        <f t="shared" si="19"/>
        <v>0</v>
      </c>
      <c r="X24" s="74">
        <f t="shared" si="20"/>
        <v>0</v>
      </c>
      <c r="Y24" s="52"/>
    </row>
    <row r="27">
      <c r="A27" s="27" t="s">
        <v>12</v>
      </c>
      <c r="B27" s="14"/>
      <c r="C27" s="75" t="s">
        <v>33</v>
      </c>
      <c r="D27" s="13"/>
      <c r="E27" s="13"/>
      <c r="F27" s="13"/>
      <c r="G27" s="13"/>
      <c r="H27" s="13"/>
      <c r="I27" s="14"/>
      <c r="J27" s="76" t="s">
        <v>33</v>
      </c>
      <c r="K27" s="13"/>
      <c r="L27" s="13"/>
      <c r="M27" s="13"/>
      <c r="N27" s="13"/>
      <c r="O27" s="13"/>
      <c r="P27" s="14"/>
      <c r="Q27" s="77" t="s">
        <v>33</v>
      </c>
      <c r="R27" s="13"/>
      <c r="S27" s="13"/>
      <c r="T27" s="13"/>
      <c r="U27" s="13"/>
      <c r="V27" s="13"/>
      <c r="W27" s="14"/>
      <c r="X27" s="78" t="s">
        <v>33</v>
      </c>
      <c r="Y27" s="13"/>
      <c r="Z27" s="13"/>
      <c r="AA27" s="13"/>
      <c r="AB27" s="13"/>
      <c r="AC27" s="13"/>
      <c r="AD27" s="14"/>
      <c r="AE27" s="79" t="s">
        <v>33</v>
      </c>
      <c r="AF27" s="13"/>
      <c r="AG27" s="13"/>
      <c r="AH27" s="13"/>
      <c r="AI27" s="13"/>
      <c r="AJ27" s="13"/>
      <c r="AK27" s="14"/>
    </row>
    <row r="28">
      <c r="A28" s="30"/>
      <c r="B28" s="31"/>
      <c r="C28" s="75" t="s">
        <v>15</v>
      </c>
      <c r="D28" s="13"/>
      <c r="E28" s="13"/>
      <c r="F28" s="13"/>
      <c r="G28" s="13"/>
      <c r="H28" s="13"/>
      <c r="I28" s="14"/>
      <c r="J28" s="76" t="s">
        <v>16</v>
      </c>
      <c r="K28" s="13"/>
      <c r="L28" s="13"/>
      <c r="M28" s="13"/>
      <c r="N28" s="13"/>
      <c r="O28" s="13"/>
      <c r="P28" s="14"/>
      <c r="Q28" s="77" t="s">
        <v>17</v>
      </c>
      <c r="R28" s="13"/>
      <c r="S28" s="13"/>
      <c r="T28" s="13"/>
      <c r="U28" s="13"/>
      <c r="V28" s="13"/>
      <c r="W28" s="14"/>
      <c r="X28" s="78" t="s">
        <v>18</v>
      </c>
      <c r="Y28" s="13"/>
      <c r="Z28" s="13"/>
      <c r="AA28" s="13"/>
      <c r="AB28" s="13"/>
      <c r="AC28" s="13"/>
      <c r="AD28" s="14"/>
      <c r="AE28" s="79" t="s">
        <v>19</v>
      </c>
      <c r="AF28" s="13"/>
      <c r="AG28" s="13"/>
      <c r="AH28" s="13"/>
      <c r="AI28" s="13"/>
      <c r="AJ28" s="13"/>
      <c r="AK28" s="14"/>
    </row>
    <row r="29">
      <c r="A29" s="30"/>
      <c r="B29" s="31"/>
      <c r="C29" s="32" t="s">
        <v>34</v>
      </c>
      <c r="D29" s="32" t="s">
        <v>35</v>
      </c>
      <c r="E29" s="32" t="s">
        <v>36</v>
      </c>
      <c r="F29" s="32" t="s">
        <v>37</v>
      </c>
      <c r="G29" s="34" t="s">
        <v>38</v>
      </c>
      <c r="H29" s="80" t="s">
        <v>39</v>
      </c>
      <c r="I29" s="80" t="s">
        <v>40</v>
      </c>
      <c r="J29" s="32" t="s">
        <v>34</v>
      </c>
      <c r="K29" s="32" t="s">
        <v>35</v>
      </c>
      <c r="L29" s="32" t="s">
        <v>36</v>
      </c>
      <c r="M29" s="32" t="s">
        <v>37</v>
      </c>
      <c r="N29" s="34" t="s">
        <v>38</v>
      </c>
      <c r="O29" s="80" t="s">
        <v>39</v>
      </c>
      <c r="P29" s="80" t="s">
        <v>40</v>
      </c>
      <c r="Q29" s="32" t="s">
        <v>34</v>
      </c>
      <c r="R29" s="32" t="s">
        <v>35</v>
      </c>
      <c r="S29" s="32" t="s">
        <v>36</v>
      </c>
      <c r="T29" s="32" t="s">
        <v>37</v>
      </c>
      <c r="U29" s="34" t="s">
        <v>38</v>
      </c>
      <c r="V29" s="80" t="s">
        <v>39</v>
      </c>
      <c r="W29" s="80" t="s">
        <v>40</v>
      </c>
      <c r="X29" s="32" t="s">
        <v>34</v>
      </c>
      <c r="Y29" s="32" t="s">
        <v>35</v>
      </c>
      <c r="Z29" s="32" t="s">
        <v>36</v>
      </c>
      <c r="AA29" s="32" t="s">
        <v>37</v>
      </c>
      <c r="AB29" s="34" t="s">
        <v>38</v>
      </c>
      <c r="AC29" s="80" t="s">
        <v>39</v>
      </c>
      <c r="AD29" s="80" t="s">
        <v>40</v>
      </c>
      <c r="AE29" s="32" t="s">
        <v>34</v>
      </c>
      <c r="AF29" s="32" t="s">
        <v>35</v>
      </c>
      <c r="AG29" s="32" t="s">
        <v>36</v>
      </c>
      <c r="AH29" s="32" t="s">
        <v>37</v>
      </c>
      <c r="AI29" s="34" t="s">
        <v>38</v>
      </c>
      <c r="AJ29" s="80" t="s">
        <v>39</v>
      </c>
      <c r="AK29" s="80" t="s">
        <v>40</v>
      </c>
    </row>
    <row r="30">
      <c r="A30" s="36"/>
      <c r="B30" s="37"/>
      <c r="C30" s="43" t="s">
        <v>20</v>
      </c>
      <c r="D30" s="41" t="s">
        <v>20</v>
      </c>
      <c r="E30" s="41" t="s">
        <v>20</v>
      </c>
      <c r="F30" s="41" t="s">
        <v>20</v>
      </c>
      <c r="G30" s="41" t="s">
        <v>20</v>
      </c>
      <c r="H30" s="81" t="s">
        <v>20</v>
      </c>
      <c r="I30" s="81" t="s">
        <v>20</v>
      </c>
      <c r="J30" s="43" t="s">
        <v>20</v>
      </c>
      <c r="K30" s="41" t="s">
        <v>20</v>
      </c>
      <c r="L30" s="41" t="s">
        <v>20</v>
      </c>
      <c r="M30" s="41" t="s">
        <v>20</v>
      </c>
      <c r="N30" s="41" t="s">
        <v>20</v>
      </c>
      <c r="O30" s="81" t="s">
        <v>20</v>
      </c>
      <c r="P30" s="81" t="s">
        <v>20</v>
      </c>
      <c r="Q30" s="43" t="s">
        <v>20</v>
      </c>
      <c r="R30" s="41" t="s">
        <v>20</v>
      </c>
      <c r="S30" s="41" t="s">
        <v>20</v>
      </c>
      <c r="T30" s="41" t="s">
        <v>20</v>
      </c>
      <c r="U30" s="41" t="s">
        <v>20</v>
      </c>
      <c r="V30" s="81" t="s">
        <v>20</v>
      </c>
      <c r="W30" s="81" t="s">
        <v>20</v>
      </c>
      <c r="X30" s="43" t="s">
        <v>20</v>
      </c>
      <c r="Y30" s="41" t="s">
        <v>20</v>
      </c>
      <c r="Z30" s="41" t="s">
        <v>20</v>
      </c>
      <c r="AA30" s="41" t="s">
        <v>20</v>
      </c>
      <c r="AB30" s="41" t="s">
        <v>20</v>
      </c>
      <c r="AC30" s="81" t="s">
        <v>20</v>
      </c>
      <c r="AD30" s="81" t="s">
        <v>20</v>
      </c>
      <c r="AE30" s="43" t="s">
        <v>20</v>
      </c>
      <c r="AF30" s="41" t="s">
        <v>20</v>
      </c>
      <c r="AG30" s="41" t="s">
        <v>20</v>
      </c>
      <c r="AH30" s="41" t="s">
        <v>20</v>
      </c>
      <c r="AI30" s="41" t="s">
        <v>20</v>
      </c>
      <c r="AJ30" s="81" t="s">
        <v>20</v>
      </c>
      <c r="AK30" s="81" t="s">
        <v>20</v>
      </c>
    </row>
    <row r="31">
      <c r="A31" s="45" t="s">
        <v>21</v>
      </c>
      <c r="B31" s="14"/>
      <c r="C31" s="82">
        <f t="shared" ref="C31:C42" si="21">COUNTIF(INDIRECT($A31&amp;"!Q:Q"),"WEEK1")</f>
        <v>0</v>
      </c>
      <c r="D31" s="51">
        <f t="shared" ref="D31:D42" si="22">COUNTIF(INDIRECT($A31&amp;"!R:R"),"WEEK1")</f>
        <v>0</v>
      </c>
      <c r="E31" s="50">
        <f t="shared" ref="E31:E42" si="23">COUNTIF(INDIRECT($A31&amp;"!S:S"),"WEEK1")</f>
        <v>0</v>
      </c>
      <c r="F31" s="51">
        <f t="shared" ref="F31:F42" si="24">COUNTIF(INDIRECT($A31&amp;"!T:T"),"WEEK1")</f>
        <v>0</v>
      </c>
      <c r="G31" s="50">
        <f t="shared" ref="G31:G42" si="25">COUNTIF(INDIRECT($A31&amp;"!U:U"),"WEEK1")</f>
        <v>0</v>
      </c>
      <c r="H31" s="51">
        <f t="shared" ref="H31:H42" si="26">COUNTIF(INDIRECT($A31&amp;"!V:V"),"WEEK1")</f>
        <v>0</v>
      </c>
      <c r="I31" s="50">
        <f t="shared" ref="I31:I42" si="27">COUNTIF(INDIRECT($A31&amp;"!W:W"),"WEEK1")</f>
        <v>0</v>
      </c>
      <c r="J31" s="82">
        <f t="shared" ref="J31:J42" si="28">COUNTIF(INDIRECT($A31&amp;"!Q:Q"),"WEEK2")</f>
        <v>0</v>
      </c>
      <c r="K31" s="51">
        <f t="shared" ref="K31:K42" si="29">COUNTIF(INDIRECT($A31&amp;"!R:R"),"WEEK2")</f>
        <v>0</v>
      </c>
      <c r="L31" s="50">
        <f t="shared" ref="L31:L42" si="30">COUNTIF(INDIRECT($A31&amp;"!S:S"),"WEEK2")</f>
        <v>0</v>
      </c>
      <c r="M31" s="51">
        <f t="shared" ref="M31:M42" si="31">COUNTIF(INDIRECT($A31&amp;"!T:T"),"WEEK2")</f>
        <v>0</v>
      </c>
      <c r="N31" s="50">
        <f t="shared" ref="N31:N42" si="32">COUNTIF(INDIRECT($A31&amp;"!U:U"),"WEEK2")</f>
        <v>0</v>
      </c>
      <c r="O31" s="51">
        <f t="shared" ref="O31:O42" si="33">COUNTIF(INDIRECT($A31&amp;"!V:V"),"WEEK2")</f>
        <v>0</v>
      </c>
      <c r="P31" s="50">
        <f t="shared" ref="P31:P42" si="34">COUNTIF(INDIRECT($A31&amp;"!W:W"),"WEEK2")</f>
        <v>0</v>
      </c>
      <c r="Q31" s="82">
        <f t="shared" ref="Q31:Q42" si="35">COUNTIF(INDIRECT($A31&amp;"!Q:Q"),"WEEK3")</f>
        <v>0</v>
      </c>
      <c r="R31" s="51">
        <f t="shared" ref="R31:R42" si="36">COUNTIF(INDIRECT($A31&amp;"!R:R"),"WEEK3")</f>
        <v>0</v>
      </c>
      <c r="S31" s="50">
        <f t="shared" ref="S31:S42" si="37">COUNTIF(INDIRECT($A31&amp;"!S:S"),"WEEK3")</f>
        <v>0</v>
      </c>
      <c r="T31" s="51">
        <f t="shared" ref="T31:T42" si="38">COUNTIF(INDIRECT($A31&amp;"!T:T"),"WEEK3")</f>
        <v>0</v>
      </c>
      <c r="U31" s="50">
        <f t="shared" ref="U31:U42" si="39">COUNTIF(INDIRECT($A31&amp;"!U:U"),"WEEK3")</f>
        <v>0</v>
      </c>
      <c r="V31" s="51">
        <f t="shared" ref="V31:V42" si="40">COUNTIF(INDIRECT($A31&amp;"!V:V"),"WEEK3")</f>
        <v>0</v>
      </c>
      <c r="W31" s="50">
        <f t="shared" ref="W31:W42" si="41">COUNTIF(INDIRECT($A31&amp;"!W:W"),"WEEK3")</f>
        <v>0</v>
      </c>
      <c r="X31" s="82">
        <f t="shared" ref="X31:X42" si="42">COUNTIF(INDIRECT($A31&amp;"!Q:Q"),"WEEK4")</f>
        <v>0</v>
      </c>
      <c r="Y31" s="51">
        <f t="shared" ref="Y31:Y42" si="43">COUNTIF(INDIRECT($A31&amp;"!R:R"),"WEEK4")</f>
        <v>0</v>
      </c>
      <c r="Z31" s="50">
        <f t="shared" ref="Z31:Z42" si="44">COUNTIF(INDIRECT($A31&amp;"!S:S"),"WEEK4")</f>
        <v>0</v>
      </c>
      <c r="AA31" s="51">
        <f t="shared" ref="AA31:AA42" si="45">COUNTIF(INDIRECT($A31&amp;"!T:T"),"WEEK4")</f>
        <v>0</v>
      </c>
      <c r="AB31" s="50">
        <f t="shared" ref="AB31:AB42" si="46">COUNTIF(INDIRECT($A31&amp;"!U:U"),"WEEK4")</f>
        <v>0</v>
      </c>
      <c r="AC31" s="51">
        <f t="shared" ref="AC31:AC42" si="47">COUNTIF(INDIRECT($A31&amp;"!V:V"),"WEEK4")</f>
        <v>0</v>
      </c>
      <c r="AD31" s="50">
        <f t="shared" ref="AD31:AD42" si="48">COUNTIF(INDIRECT($A31&amp;"!W:W"),"WEEK4")</f>
        <v>0</v>
      </c>
      <c r="AE31" s="82">
        <f t="shared" ref="AE31:AE42" si="49">COUNTIF(INDIRECT($A31&amp;"!Q:Q"),"WEEK5")</f>
        <v>0</v>
      </c>
      <c r="AF31" s="51">
        <f t="shared" ref="AF31:AF42" si="50">COUNTIF(INDIRECT($A31&amp;"!R:R"),"WEEK5")</f>
        <v>0</v>
      </c>
      <c r="AG31" s="50">
        <f t="shared" ref="AG31:AG42" si="51">COUNTIF(INDIRECT($A31&amp;"!S:S"),"WEEK5")</f>
        <v>0</v>
      </c>
      <c r="AH31" s="51">
        <f t="shared" ref="AH31:AH42" si="52">COUNTIF(INDIRECT($A31&amp;"!T:T"),"WEEK5")</f>
        <v>0</v>
      </c>
      <c r="AI31" s="50">
        <f t="shared" ref="AI31:AI42" si="53">COUNTIF(INDIRECT($A31&amp;"!U:U"),"WEEK5")</f>
        <v>0</v>
      </c>
      <c r="AJ31" s="51">
        <f t="shared" ref="AJ31:AJ42" si="54">COUNTIF(INDIRECT($A31&amp;"!V:V"),"WEEK5")</f>
        <v>0</v>
      </c>
      <c r="AK31" s="50">
        <f t="shared" ref="AK31:AK42" si="55">COUNTIF(INDIRECT($A31&amp;"!W:W"),"WEEK5")</f>
        <v>0</v>
      </c>
    </row>
    <row r="32">
      <c r="A32" s="53" t="s">
        <v>22</v>
      </c>
      <c r="B32" s="31"/>
      <c r="C32" s="83">
        <f t="shared" si="21"/>
        <v>1</v>
      </c>
      <c r="D32" s="59">
        <f t="shared" si="22"/>
        <v>0</v>
      </c>
      <c r="E32" s="58">
        <f t="shared" si="23"/>
        <v>0</v>
      </c>
      <c r="F32" s="59">
        <f t="shared" si="24"/>
        <v>1</v>
      </c>
      <c r="G32" s="58">
        <f t="shared" si="25"/>
        <v>0</v>
      </c>
      <c r="H32" s="59">
        <f t="shared" si="26"/>
        <v>0</v>
      </c>
      <c r="I32" s="58">
        <f t="shared" si="27"/>
        <v>0</v>
      </c>
      <c r="J32" s="83">
        <f t="shared" si="28"/>
        <v>0</v>
      </c>
      <c r="K32" s="59">
        <f t="shared" si="29"/>
        <v>0</v>
      </c>
      <c r="L32" s="58">
        <f t="shared" si="30"/>
        <v>0</v>
      </c>
      <c r="M32" s="59">
        <f t="shared" si="31"/>
        <v>0</v>
      </c>
      <c r="N32" s="58">
        <f t="shared" si="32"/>
        <v>0</v>
      </c>
      <c r="O32" s="59">
        <f t="shared" si="33"/>
        <v>0</v>
      </c>
      <c r="P32" s="58">
        <f t="shared" si="34"/>
        <v>0</v>
      </c>
      <c r="Q32" s="83">
        <f t="shared" si="35"/>
        <v>0</v>
      </c>
      <c r="R32" s="59">
        <f t="shared" si="36"/>
        <v>0</v>
      </c>
      <c r="S32" s="58">
        <f t="shared" si="37"/>
        <v>0</v>
      </c>
      <c r="T32" s="59">
        <f t="shared" si="38"/>
        <v>0</v>
      </c>
      <c r="U32" s="58">
        <f t="shared" si="39"/>
        <v>0</v>
      </c>
      <c r="V32" s="59">
        <f t="shared" si="40"/>
        <v>0</v>
      </c>
      <c r="W32" s="58">
        <f t="shared" si="41"/>
        <v>0</v>
      </c>
      <c r="X32" s="83">
        <f t="shared" si="42"/>
        <v>0</v>
      </c>
      <c r="Y32" s="59">
        <f t="shared" si="43"/>
        <v>0</v>
      </c>
      <c r="Z32" s="58">
        <f t="shared" si="44"/>
        <v>0</v>
      </c>
      <c r="AA32" s="59">
        <f t="shared" si="45"/>
        <v>0</v>
      </c>
      <c r="AB32" s="58">
        <f t="shared" si="46"/>
        <v>0</v>
      </c>
      <c r="AC32" s="59">
        <f t="shared" si="47"/>
        <v>0</v>
      </c>
      <c r="AD32" s="58">
        <f t="shared" si="48"/>
        <v>0</v>
      </c>
      <c r="AE32" s="83">
        <f t="shared" si="49"/>
        <v>0</v>
      </c>
      <c r="AF32" s="59">
        <f t="shared" si="50"/>
        <v>0</v>
      </c>
      <c r="AG32" s="58">
        <f t="shared" si="51"/>
        <v>0</v>
      </c>
      <c r="AH32" s="59">
        <f t="shared" si="52"/>
        <v>0</v>
      </c>
      <c r="AI32" s="58">
        <f t="shared" si="53"/>
        <v>0</v>
      </c>
      <c r="AJ32" s="59">
        <f t="shared" si="54"/>
        <v>0</v>
      </c>
      <c r="AK32" s="58">
        <f t="shared" si="55"/>
        <v>0</v>
      </c>
    </row>
    <row r="33">
      <c r="A33" s="60" t="s">
        <v>23</v>
      </c>
      <c r="B33" s="61"/>
      <c r="C33" s="82">
        <f t="shared" si="21"/>
        <v>0</v>
      </c>
      <c r="D33" s="51">
        <f t="shared" si="22"/>
        <v>0</v>
      </c>
      <c r="E33" s="50">
        <f t="shared" si="23"/>
        <v>0</v>
      </c>
      <c r="F33" s="51">
        <f t="shared" si="24"/>
        <v>0</v>
      </c>
      <c r="G33" s="50">
        <f t="shared" si="25"/>
        <v>0</v>
      </c>
      <c r="H33" s="51">
        <f t="shared" si="26"/>
        <v>0</v>
      </c>
      <c r="I33" s="50">
        <f t="shared" si="27"/>
        <v>0</v>
      </c>
      <c r="J33" s="82">
        <f t="shared" si="28"/>
        <v>0</v>
      </c>
      <c r="K33" s="51">
        <f t="shared" si="29"/>
        <v>0</v>
      </c>
      <c r="L33" s="50">
        <f t="shared" si="30"/>
        <v>0</v>
      </c>
      <c r="M33" s="51">
        <f t="shared" si="31"/>
        <v>0</v>
      </c>
      <c r="N33" s="50">
        <f t="shared" si="32"/>
        <v>0</v>
      </c>
      <c r="O33" s="51">
        <f t="shared" si="33"/>
        <v>0</v>
      </c>
      <c r="P33" s="50">
        <f t="shared" si="34"/>
        <v>0</v>
      </c>
      <c r="Q33" s="82">
        <f t="shared" si="35"/>
        <v>0</v>
      </c>
      <c r="R33" s="51">
        <f t="shared" si="36"/>
        <v>0</v>
      </c>
      <c r="S33" s="50">
        <f t="shared" si="37"/>
        <v>0</v>
      </c>
      <c r="T33" s="51">
        <f t="shared" si="38"/>
        <v>0</v>
      </c>
      <c r="U33" s="50">
        <f t="shared" si="39"/>
        <v>0</v>
      </c>
      <c r="V33" s="51">
        <f t="shared" si="40"/>
        <v>0</v>
      </c>
      <c r="W33" s="50">
        <f t="shared" si="41"/>
        <v>0</v>
      </c>
      <c r="X33" s="82">
        <f t="shared" si="42"/>
        <v>0</v>
      </c>
      <c r="Y33" s="51">
        <f t="shared" si="43"/>
        <v>0</v>
      </c>
      <c r="Z33" s="50">
        <f t="shared" si="44"/>
        <v>0</v>
      </c>
      <c r="AA33" s="51">
        <f t="shared" si="45"/>
        <v>0</v>
      </c>
      <c r="AB33" s="50">
        <f t="shared" si="46"/>
        <v>0</v>
      </c>
      <c r="AC33" s="51">
        <f t="shared" si="47"/>
        <v>0</v>
      </c>
      <c r="AD33" s="50">
        <f t="shared" si="48"/>
        <v>0</v>
      </c>
      <c r="AE33" s="82">
        <f t="shared" si="49"/>
        <v>0</v>
      </c>
      <c r="AF33" s="51">
        <f t="shared" si="50"/>
        <v>0</v>
      </c>
      <c r="AG33" s="50">
        <f t="shared" si="51"/>
        <v>0</v>
      </c>
      <c r="AH33" s="51">
        <f t="shared" si="52"/>
        <v>0</v>
      </c>
      <c r="AI33" s="50">
        <f t="shared" si="53"/>
        <v>0</v>
      </c>
      <c r="AJ33" s="51">
        <f t="shared" si="54"/>
        <v>0</v>
      </c>
      <c r="AK33" s="50">
        <f t="shared" si="55"/>
        <v>0</v>
      </c>
    </row>
    <row r="34">
      <c r="A34" s="65" t="s">
        <v>24</v>
      </c>
      <c r="B34" s="66"/>
      <c r="C34" s="83">
        <f t="shared" si="21"/>
        <v>0</v>
      </c>
      <c r="D34" s="59">
        <f t="shared" si="22"/>
        <v>0</v>
      </c>
      <c r="E34" s="58">
        <f t="shared" si="23"/>
        <v>0</v>
      </c>
      <c r="F34" s="59">
        <f t="shared" si="24"/>
        <v>0</v>
      </c>
      <c r="G34" s="58">
        <f t="shared" si="25"/>
        <v>0</v>
      </c>
      <c r="H34" s="59">
        <f t="shared" si="26"/>
        <v>0</v>
      </c>
      <c r="I34" s="58">
        <f t="shared" si="27"/>
        <v>0</v>
      </c>
      <c r="J34" s="83">
        <f t="shared" si="28"/>
        <v>0</v>
      </c>
      <c r="K34" s="59">
        <f t="shared" si="29"/>
        <v>0</v>
      </c>
      <c r="L34" s="58">
        <f t="shared" si="30"/>
        <v>0</v>
      </c>
      <c r="M34" s="59">
        <f t="shared" si="31"/>
        <v>0</v>
      </c>
      <c r="N34" s="58">
        <f t="shared" si="32"/>
        <v>0</v>
      </c>
      <c r="O34" s="59">
        <f t="shared" si="33"/>
        <v>0</v>
      </c>
      <c r="P34" s="58">
        <f t="shared" si="34"/>
        <v>0</v>
      </c>
      <c r="Q34" s="83">
        <f t="shared" si="35"/>
        <v>0</v>
      </c>
      <c r="R34" s="59">
        <f t="shared" si="36"/>
        <v>0</v>
      </c>
      <c r="S34" s="58">
        <f t="shared" si="37"/>
        <v>0</v>
      </c>
      <c r="T34" s="59">
        <f t="shared" si="38"/>
        <v>0</v>
      </c>
      <c r="U34" s="58">
        <f t="shared" si="39"/>
        <v>0</v>
      </c>
      <c r="V34" s="59">
        <f t="shared" si="40"/>
        <v>0</v>
      </c>
      <c r="W34" s="58">
        <f t="shared" si="41"/>
        <v>0</v>
      </c>
      <c r="X34" s="83">
        <f t="shared" si="42"/>
        <v>0</v>
      </c>
      <c r="Y34" s="59">
        <f t="shared" si="43"/>
        <v>0</v>
      </c>
      <c r="Z34" s="58">
        <f t="shared" si="44"/>
        <v>0</v>
      </c>
      <c r="AA34" s="59">
        <f t="shared" si="45"/>
        <v>0</v>
      </c>
      <c r="AB34" s="58">
        <f t="shared" si="46"/>
        <v>0</v>
      </c>
      <c r="AC34" s="59">
        <f t="shared" si="47"/>
        <v>0</v>
      </c>
      <c r="AD34" s="58">
        <f t="shared" si="48"/>
        <v>0</v>
      </c>
      <c r="AE34" s="83">
        <f t="shared" si="49"/>
        <v>0</v>
      </c>
      <c r="AF34" s="59">
        <f t="shared" si="50"/>
        <v>0</v>
      </c>
      <c r="AG34" s="58">
        <f t="shared" si="51"/>
        <v>0</v>
      </c>
      <c r="AH34" s="59">
        <f t="shared" si="52"/>
        <v>0</v>
      </c>
      <c r="AI34" s="58">
        <f t="shared" si="53"/>
        <v>0</v>
      </c>
      <c r="AJ34" s="59">
        <f t="shared" si="54"/>
        <v>0</v>
      </c>
      <c r="AK34" s="58">
        <f t="shared" si="55"/>
        <v>0</v>
      </c>
    </row>
    <row r="35">
      <c r="A35" s="67" t="s">
        <v>25</v>
      </c>
      <c r="B35" s="66"/>
      <c r="C35" s="82">
        <f t="shared" si="21"/>
        <v>0</v>
      </c>
      <c r="D35" s="51">
        <f t="shared" si="22"/>
        <v>0</v>
      </c>
      <c r="E35" s="50">
        <f t="shared" si="23"/>
        <v>0</v>
      </c>
      <c r="F35" s="51">
        <f t="shared" si="24"/>
        <v>0</v>
      </c>
      <c r="G35" s="50">
        <f t="shared" si="25"/>
        <v>0</v>
      </c>
      <c r="H35" s="51">
        <f t="shared" si="26"/>
        <v>0</v>
      </c>
      <c r="I35" s="50">
        <f t="shared" si="27"/>
        <v>0</v>
      </c>
      <c r="J35" s="82">
        <f t="shared" si="28"/>
        <v>0</v>
      </c>
      <c r="K35" s="51">
        <f t="shared" si="29"/>
        <v>0</v>
      </c>
      <c r="L35" s="50">
        <f t="shared" si="30"/>
        <v>0</v>
      </c>
      <c r="M35" s="51">
        <f t="shared" si="31"/>
        <v>0</v>
      </c>
      <c r="N35" s="50">
        <f t="shared" si="32"/>
        <v>0</v>
      </c>
      <c r="O35" s="51">
        <f t="shared" si="33"/>
        <v>0</v>
      </c>
      <c r="P35" s="50">
        <f t="shared" si="34"/>
        <v>0</v>
      </c>
      <c r="Q35" s="82">
        <f t="shared" si="35"/>
        <v>0</v>
      </c>
      <c r="R35" s="51">
        <f t="shared" si="36"/>
        <v>0</v>
      </c>
      <c r="S35" s="50">
        <f t="shared" si="37"/>
        <v>0</v>
      </c>
      <c r="T35" s="51">
        <f t="shared" si="38"/>
        <v>0</v>
      </c>
      <c r="U35" s="50">
        <f t="shared" si="39"/>
        <v>0</v>
      </c>
      <c r="V35" s="51">
        <f t="shared" si="40"/>
        <v>0</v>
      </c>
      <c r="W35" s="50">
        <f t="shared" si="41"/>
        <v>0</v>
      </c>
      <c r="X35" s="82">
        <f t="shared" si="42"/>
        <v>0</v>
      </c>
      <c r="Y35" s="51">
        <f t="shared" si="43"/>
        <v>0</v>
      </c>
      <c r="Z35" s="50">
        <f t="shared" si="44"/>
        <v>0</v>
      </c>
      <c r="AA35" s="51">
        <f t="shared" si="45"/>
        <v>0</v>
      </c>
      <c r="AB35" s="50">
        <f t="shared" si="46"/>
        <v>0</v>
      </c>
      <c r="AC35" s="51">
        <f t="shared" si="47"/>
        <v>0</v>
      </c>
      <c r="AD35" s="50">
        <f t="shared" si="48"/>
        <v>0</v>
      </c>
      <c r="AE35" s="82">
        <f t="shared" si="49"/>
        <v>0</v>
      </c>
      <c r="AF35" s="51">
        <f t="shared" si="50"/>
        <v>0</v>
      </c>
      <c r="AG35" s="50">
        <f t="shared" si="51"/>
        <v>0</v>
      </c>
      <c r="AH35" s="51">
        <f t="shared" si="52"/>
        <v>0</v>
      </c>
      <c r="AI35" s="50">
        <f t="shared" si="53"/>
        <v>0</v>
      </c>
      <c r="AJ35" s="51">
        <f t="shared" si="54"/>
        <v>0</v>
      </c>
      <c r="AK35" s="50">
        <f t="shared" si="55"/>
        <v>0</v>
      </c>
    </row>
    <row r="36">
      <c r="A36" s="65" t="s">
        <v>26</v>
      </c>
      <c r="B36" s="66"/>
      <c r="C36" s="83">
        <f t="shared" si="21"/>
        <v>1</v>
      </c>
      <c r="D36" s="59">
        <f t="shared" si="22"/>
        <v>0</v>
      </c>
      <c r="E36" s="58">
        <f t="shared" si="23"/>
        <v>0</v>
      </c>
      <c r="F36" s="59">
        <f t="shared" si="24"/>
        <v>0</v>
      </c>
      <c r="G36" s="58">
        <f t="shared" si="25"/>
        <v>1</v>
      </c>
      <c r="H36" s="59">
        <f t="shared" si="26"/>
        <v>0</v>
      </c>
      <c r="I36" s="58">
        <f t="shared" si="27"/>
        <v>0</v>
      </c>
      <c r="J36" s="83">
        <f t="shared" si="28"/>
        <v>0</v>
      </c>
      <c r="K36" s="59">
        <f t="shared" si="29"/>
        <v>0</v>
      </c>
      <c r="L36" s="58">
        <f t="shared" si="30"/>
        <v>0</v>
      </c>
      <c r="M36" s="59">
        <f t="shared" si="31"/>
        <v>0</v>
      </c>
      <c r="N36" s="58">
        <f t="shared" si="32"/>
        <v>0</v>
      </c>
      <c r="O36" s="59">
        <f t="shared" si="33"/>
        <v>0</v>
      </c>
      <c r="P36" s="58">
        <f t="shared" si="34"/>
        <v>0</v>
      </c>
      <c r="Q36" s="83">
        <f t="shared" si="35"/>
        <v>0</v>
      </c>
      <c r="R36" s="59">
        <f t="shared" si="36"/>
        <v>0</v>
      </c>
      <c r="S36" s="58">
        <f t="shared" si="37"/>
        <v>1</v>
      </c>
      <c r="T36" s="59">
        <f t="shared" si="38"/>
        <v>0</v>
      </c>
      <c r="U36" s="58">
        <f t="shared" si="39"/>
        <v>0</v>
      </c>
      <c r="V36" s="59">
        <f t="shared" si="40"/>
        <v>0</v>
      </c>
      <c r="W36" s="58">
        <f t="shared" si="41"/>
        <v>0</v>
      </c>
      <c r="X36" s="83">
        <f t="shared" si="42"/>
        <v>0</v>
      </c>
      <c r="Y36" s="59">
        <f t="shared" si="43"/>
        <v>0</v>
      </c>
      <c r="Z36" s="58">
        <f t="shared" si="44"/>
        <v>0</v>
      </c>
      <c r="AA36" s="59">
        <f t="shared" si="45"/>
        <v>0</v>
      </c>
      <c r="AB36" s="58">
        <f t="shared" si="46"/>
        <v>0</v>
      </c>
      <c r="AC36" s="59">
        <f t="shared" si="47"/>
        <v>0</v>
      </c>
      <c r="AD36" s="58">
        <f t="shared" si="48"/>
        <v>0</v>
      </c>
      <c r="AE36" s="83">
        <f t="shared" si="49"/>
        <v>0</v>
      </c>
      <c r="AF36" s="59">
        <f t="shared" si="50"/>
        <v>0</v>
      </c>
      <c r="AG36" s="58">
        <f t="shared" si="51"/>
        <v>0</v>
      </c>
      <c r="AH36" s="59">
        <f t="shared" si="52"/>
        <v>0</v>
      </c>
      <c r="AI36" s="58">
        <f t="shared" si="53"/>
        <v>0</v>
      </c>
      <c r="AJ36" s="59">
        <f t="shared" si="54"/>
        <v>0</v>
      </c>
      <c r="AK36" s="58">
        <f t="shared" si="55"/>
        <v>0</v>
      </c>
    </row>
    <row r="37">
      <c r="A37" s="67" t="s">
        <v>27</v>
      </c>
      <c r="B37" s="66"/>
      <c r="C37" s="82">
        <f t="shared" si="21"/>
        <v>0</v>
      </c>
      <c r="D37" s="51">
        <f t="shared" si="22"/>
        <v>0</v>
      </c>
      <c r="E37" s="50">
        <f t="shared" si="23"/>
        <v>0</v>
      </c>
      <c r="F37" s="51">
        <f t="shared" si="24"/>
        <v>0</v>
      </c>
      <c r="G37" s="50">
        <f t="shared" si="25"/>
        <v>0</v>
      </c>
      <c r="H37" s="51">
        <f t="shared" si="26"/>
        <v>0</v>
      </c>
      <c r="I37" s="50">
        <f t="shared" si="27"/>
        <v>0</v>
      </c>
      <c r="J37" s="82">
        <f t="shared" si="28"/>
        <v>0</v>
      </c>
      <c r="K37" s="51">
        <f t="shared" si="29"/>
        <v>0</v>
      </c>
      <c r="L37" s="50">
        <f t="shared" si="30"/>
        <v>0</v>
      </c>
      <c r="M37" s="51">
        <f t="shared" si="31"/>
        <v>0</v>
      </c>
      <c r="N37" s="50">
        <f t="shared" si="32"/>
        <v>0</v>
      </c>
      <c r="O37" s="51">
        <f t="shared" si="33"/>
        <v>0</v>
      </c>
      <c r="P37" s="50">
        <f t="shared" si="34"/>
        <v>0</v>
      </c>
      <c r="Q37" s="82">
        <f t="shared" si="35"/>
        <v>0</v>
      </c>
      <c r="R37" s="51">
        <f t="shared" si="36"/>
        <v>0</v>
      </c>
      <c r="S37" s="50">
        <f t="shared" si="37"/>
        <v>0</v>
      </c>
      <c r="T37" s="51">
        <f t="shared" si="38"/>
        <v>0</v>
      </c>
      <c r="U37" s="50">
        <f t="shared" si="39"/>
        <v>0</v>
      </c>
      <c r="V37" s="51">
        <f t="shared" si="40"/>
        <v>0</v>
      </c>
      <c r="W37" s="50">
        <f t="shared" si="41"/>
        <v>0</v>
      </c>
      <c r="X37" s="82">
        <f t="shared" si="42"/>
        <v>0</v>
      </c>
      <c r="Y37" s="51">
        <f t="shared" si="43"/>
        <v>0</v>
      </c>
      <c r="Z37" s="50">
        <f t="shared" si="44"/>
        <v>0</v>
      </c>
      <c r="AA37" s="51">
        <f t="shared" si="45"/>
        <v>0</v>
      </c>
      <c r="AB37" s="50">
        <f t="shared" si="46"/>
        <v>0</v>
      </c>
      <c r="AC37" s="51">
        <f t="shared" si="47"/>
        <v>0</v>
      </c>
      <c r="AD37" s="50">
        <f t="shared" si="48"/>
        <v>0</v>
      </c>
      <c r="AE37" s="82">
        <f t="shared" si="49"/>
        <v>0</v>
      </c>
      <c r="AF37" s="51">
        <f t="shared" si="50"/>
        <v>0</v>
      </c>
      <c r="AG37" s="50">
        <f t="shared" si="51"/>
        <v>0</v>
      </c>
      <c r="AH37" s="51">
        <f t="shared" si="52"/>
        <v>0</v>
      </c>
      <c r="AI37" s="50">
        <f t="shared" si="53"/>
        <v>0</v>
      </c>
      <c r="AJ37" s="51">
        <f t="shared" si="54"/>
        <v>0</v>
      </c>
      <c r="AK37" s="50">
        <f t="shared" si="55"/>
        <v>0</v>
      </c>
    </row>
    <row r="38">
      <c r="A38" s="65" t="s">
        <v>28</v>
      </c>
      <c r="B38" s="66"/>
      <c r="C38" s="83">
        <f t="shared" si="21"/>
        <v>0</v>
      </c>
      <c r="D38" s="59">
        <f t="shared" si="22"/>
        <v>0</v>
      </c>
      <c r="E38" s="58">
        <f t="shared" si="23"/>
        <v>0</v>
      </c>
      <c r="F38" s="59">
        <f t="shared" si="24"/>
        <v>0</v>
      </c>
      <c r="G38" s="58">
        <f t="shared" si="25"/>
        <v>0</v>
      </c>
      <c r="H38" s="59">
        <f t="shared" si="26"/>
        <v>0</v>
      </c>
      <c r="I38" s="58">
        <f t="shared" si="27"/>
        <v>0</v>
      </c>
      <c r="J38" s="83">
        <f t="shared" si="28"/>
        <v>0</v>
      </c>
      <c r="K38" s="59">
        <f t="shared" si="29"/>
        <v>0</v>
      </c>
      <c r="L38" s="58">
        <f t="shared" si="30"/>
        <v>0</v>
      </c>
      <c r="M38" s="59">
        <f t="shared" si="31"/>
        <v>0</v>
      </c>
      <c r="N38" s="58">
        <f t="shared" si="32"/>
        <v>0</v>
      </c>
      <c r="O38" s="59">
        <f t="shared" si="33"/>
        <v>0</v>
      </c>
      <c r="P38" s="58">
        <f t="shared" si="34"/>
        <v>0</v>
      </c>
      <c r="Q38" s="83">
        <f t="shared" si="35"/>
        <v>0</v>
      </c>
      <c r="R38" s="59">
        <f t="shared" si="36"/>
        <v>0</v>
      </c>
      <c r="S38" s="58">
        <f t="shared" si="37"/>
        <v>0</v>
      </c>
      <c r="T38" s="59">
        <f t="shared" si="38"/>
        <v>0</v>
      </c>
      <c r="U38" s="58">
        <f t="shared" si="39"/>
        <v>0</v>
      </c>
      <c r="V38" s="59">
        <f t="shared" si="40"/>
        <v>0</v>
      </c>
      <c r="W38" s="58">
        <f t="shared" si="41"/>
        <v>0</v>
      </c>
      <c r="X38" s="83">
        <f t="shared" si="42"/>
        <v>0</v>
      </c>
      <c r="Y38" s="59">
        <f t="shared" si="43"/>
        <v>0</v>
      </c>
      <c r="Z38" s="58">
        <f t="shared" si="44"/>
        <v>0</v>
      </c>
      <c r="AA38" s="59">
        <f t="shared" si="45"/>
        <v>0</v>
      </c>
      <c r="AB38" s="58">
        <f t="shared" si="46"/>
        <v>0</v>
      </c>
      <c r="AC38" s="59">
        <f t="shared" si="47"/>
        <v>0</v>
      </c>
      <c r="AD38" s="58">
        <f t="shared" si="48"/>
        <v>0</v>
      </c>
      <c r="AE38" s="83">
        <f t="shared" si="49"/>
        <v>0</v>
      </c>
      <c r="AF38" s="59">
        <f t="shared" si="50"/>
        <v>0</v>
      </c>
      <c r="AG38" s="58">
        <f t="shared" si="51"/>
        <v>0</v>
      </c>
      <c r="AH38" s="59">
        <f t="shared" si="52"/>
        <v>0</v>
      </c>
      <c r="AI38" s="58">
        <f t="shared" si="53"/>
        <v>0</v>
      </c>
      <c r="AJ38" s="59">
        <f t="shared" si="54"/>
        <v>0</v>
      </c>
      <c r="AK38" s="58">
        <f t="shared" si="55"/>
        <v>0</v>
      </c>
    </row>
    <row r="39">
      <c r="A39" s="67" t="s">
        <v>29</v>
      </c>
      <c r="B39" s="66"/>
      <c r="C39" s="82">
        <f t="shared" si="21"/>
        <v>0</v>
      </c>
      <c r="D39" s="51">
        <f t="shared" si="22"/>
        <v>0</v>
      </c>
      <c r="E39" s="50">
        <f t="shared" si="23"/>
        <v>0</v>
      </c>
      <c r="F39" s="51">
        <f t="shared" si="24"/>
        <v>0</v>
      </c>
      <c r="G39" s="50">
        <f t="shared" si="25"/>
        <v>0</v>
      </c>
      <c r="H39" s="51">
        <f t="shared" si="26"/>
        <v>0</v>
      </c>
      <c r="I39" s="50">
        <f t="shared" si="27"/>
        <v>0</v>
      </c>
      <c r="J39" s="82">
        <f t="shared" si="28"/>
        <v>0</v>
      </c>
      <c r="K39" s="51">
        <f t="shared" si="29"/>
        <v>0</v>
      </c>
      <c r="L39" s="50">
        <f t="shared" si="30"/>
        <v>0</v>
      </c>
      <c r="M39" s="51">
        <f t="shared" si="31"/>
        <v>0</v>
      </c>
      <c r="N39" s="50">
        <f t="shared" si="32"/>
        <v>0</v>
      </c>
      <c r="O39" s="51">
        <f t="shared" si="33"/>
        <v>0</v>
      </c>
      <c r="P39" s="50">
        <f t="shared" si="34"/>
        <v>0</v>
      </c>
      <c r="Q39" s="82">
        <f t="shared" si="35"/>
        <v>0</v>
      </c>
      <c r="R39" s="51">
        <f t="shared" si="36"/>
        <v>0</v>
      </c>
      <c r="S39" s="50">
        <f t="shared" si="37"/>
        <v>0</v>
      </c>
      <c r="T39" s="51">
        <f t="shared" si="38"/>
        <v>0</v>
      </c>
      <c r="U39" s="50">
        <f t="shared" si="39"/>
        <v>0</v>
      </c>
      <c r="V39" s="51">
        <f t="shared" si="40"/>
        <v>0</v>
      </c>
      <c r="W39" s="50">
        <f t="shared" si="41"/>
        <v>0</v>
      </c>
      <c r="X39" s="82">
        <f t="shared" si="42"/>
        <v>0</v>
      </c>
      <c r="Y39" s="51">
        <f t="shared" si="43"/>
        <v>0</v>
      </c>
      <c r="Z39" s="50">
        <f t="shared" si="44"/>
        <v>0</v>
      </c>
      <c r="AA39" s="51">
        <f t="shared" si="45"/>
        <v>0</v>
      </c>
      <c r="AB39" s="50">
        <f t="shared" si="46"/>
        <v>0</v>
      </c>
      <c r="AC39" s="51">
        <f t="shared" si="47"/>
        <v>0</v>
      </c>
      <c r="AD39" s="50">
        <f t="shared" si="48"/>
        <v>0</v>
      </c>
      <c r="AE39" s="82">
        <f t="shared" si="49"/>
        <v>0</v>
      </c>
      <c r="AF39" s="51">
        <f t="shared" si="50"/>
        <v>0</v>
      </c>
      <c r="AG39" s="50">
        <f t="shared" si="51"/>
        <v>0</v>
      </c>
      <c r="AH39" s="51">
        <f t="shared" si="52"/>
        <v>0</v>
      </c>
      <c r="AI39" s="50">
        <f t="shared" si="53"/>
        <v>0</v>
      </c>
      <c r="AJ39" s="51">
        <f t="shared" si="54"/>
        <v>0</v>
      </c>
      <c r="AK39" s="50">
        <f t="shared" si="55"/>
        <v>0</v>
      </c>
    </row>
    <row r="40">
      <c r="A40" s="65" t="s">
        <v>30</v>
      </c>
      <c r="B40" s="66"/>
      <c r="C40" s="83">
        <f t="shared" si="21"/>
        <v>0</v>
      </c>
      <c r="D40" s="59">
        <f t="shared" si="22"/>
        <v>0</v>
      </c>
      <c r="E40" s="58">
        <f t="shared" si="23"/>
        <v>0</v>
      </c>
      <c r="F40" s="59">
        <f t="shared" si="24"/>
        <v>0</v>
      </c>
      <c r="G40" s="58">
        <f t="shared" si="25"/>
        <v>0</v>
      </c>
      <c r="H40" s="59">
        <f t="shared" si="26"/>
        <v>0</v>
      </c>
      <c r="I40" s="58">
        <f t="shared" si="27"/>
        <v>0</v>
      </c>
      <c r="J40" s="83">
        <f t="shared" si="28"/>
        <v>0</v>
      </c>
      <c r="K40" s="59">
        <f t="shared" si="29"/>
        <v>0</v>
      </c>
      <c r="L40" s="58">
        <f t="shared" si="30"/>
        <v>0</v>
      </c>
      <c r="M40" s="59">
        <f t="shared" si="31"/>
        <v>0</v>
      </c>
      <c r="N40" s="58">
        <f t="shared" si="32"/>
        <v>0</v>
      </c>
      <c r="O40" s="59">
        <f t="shared" si="33"/>
        <v>0</v>
      </c>
      <c r="P40" s="58">
        <f t="shared" si="34"/>
        <v>0</v>
      </c>
      <c r="Q40" s="83">
        <f t="shared" si="35"/>
        <v>0</v>
      </c>
      <c r="R40" s="59">
        <f t="shared" si="36"/>
        <v>0</v>
      </c>
      <c r="S40" s="58">
        <f t="shared" si="37"/>
        <v>0</v>
      </c>
      <c r="T40" s="59">
        <f t="shared" si="38"/>
        <v>0</v>
      </c>
      <c r="U40" s="58">
        <f t="shared" si="39"/>
        <v>0</v>
      </c>
      <c r="V40" s="59">
        <f t="shared" si="40"/>
        <v>0</v>
      </c>
      <c r="W40" s="58">
        <f t="shared" si="41"/>
        <v>0</v>
      </c>
      <c r="X40" s="83">
        <f t="shared" si="42"/>
        <v>0</v>
      </c>
      <c r="Y40" s="59">
        <f t="shared" si="43"/>
        <v>0</v>
      </c>
      <c r="Z40" s="58">
        <f t="shared" si="44"/>
        <v>0</v>
      </c>
      <c r="AA40" s="59">
        <f t="shared" si="45"/>
        <v>0</v>
      </c>
      <c r="AB40" s="58">
        <f t="shared" si="46"/>
        <v>0</v>
      </c>
      <c r="AC40" s="59">
        <f t="shared" si="47"/>
        <v>0</v>
      </c>
      <c r="AD40" s="58">
        <f t="shared" si="48"/>
        <v>0</v>
      </c>
      <c r="AE40" s="83">
        <f t="shared" si="49"/>
        <v>0</v>
      </c>
      <c r="AF40" s="59">
        <f t="shared" si="50"/>
        <v>0</v>
      </c>
      <c r="AG40" s="58">
        <f t="shared" si="51"/>
        <v>0</v>
      </c>
      <c r="AH40" s="59">
        <f t="shared" si="52"/>
        <v>0</v>
      </c>
      <c r="AI40" s="58">
        <f t="shared" si="53"/>
        <v>0</v>
      </c>
      <c r="AJ40" s="59">
        <f t="shared" si="54"/>
        <v>0</v>
      </c>
      <c r="AK40" s="58">
        <f t="shared" si="55"/>
        <v>0</v>
      </c>
    </row>
    <row r="41">
      <c r="A41" s="67" t="s">
        <v>31</v>
      </c>
      <c r="B41" s="66"/>
      <c r="C41" s="82">
        <f t="shared" si="21"/>
        <v>0</v>
      </c>
      <c r="D41" s="51">
        <f t="shared" si="22"/>
        <v>0</v>
      </c>
      <c r="E41" s="50">
        <f t="shared" si="23"/>
        <v>0</v>
      </c>
      <c r="F41" s="51">
        <f t="shared" si="24"/>
        <v>0</v>
      </c>
      <c r="G41" s="50">
        <f t="shared" si="25"/>
        <v>0</v>
      </c>
      <c r="H41" s="51">
        <f t="shared" si="26"/>
        <v>0</v>
      </c>
      <c r="I41" s="50">
        <f t="shared" si="27"/>
        <v>0</v>
      </c>
      <c r="J41" s="82">
        <f t="shared" si="28"/>
        <v>0</v>
      </c>
      <c r="K41" s="51">
        <f t="shared" si="29"/>
        <v>0</v>
      </c>
      <c r="L41" s="50">
        <f t="shared" si="30"/>
        <v>0</v>
      </c>
      <c r="M41" s="51">
        <f t="shared" si="31"/>
        <v>0</v>
      </c>
      <c r="N41" s="50">
        <f t="shared" si="32"/>
        <v>0</v>
      </c>
      <c r="O41" s="51">
        <f t="shared" si="33"/>
        <v>0</v>
      </c>
      <c r="P41" s="50">
        <f t="shared" si="34"/>
        <v>0</v>
      </c>
      <c r="Q41" s="82">
        <f t="shared" si="35"/>
        <v>0</v>
      </c>
      <c r="R41" s="51">
        <f t="shared" si="36"/>
        <v>0</v>
      </c>
      <c r="S41" s="50">
        <f t="shared" si="37"/>
        <v>0</v>
      </c>
      <c r="T41" s="51">
        <f t="shared" si="38"/>
        <v>0</v>
      </c>
      <c r="U41" s="50">
        <f t="shared" si="39"/>
        <v>0</v>
      </c>
      <c r="V41" s="51">
        <f t="shared" si="40"/>
        <v>0</v>
      </c>
      <c r="W41" s="50">
        <f t="shared" si="41"/>
        <v>0</v>
      </c>
      <c r="X41" s="82">
        <f t="shared" si="42"/>
        <v>0</v>
      </c>
      <c r="Y41" s="51">
        <f t="shared" si="43"/>
        <v>0</v>
      </c>
      <c r="Z41" s="50">
        <f t="shared" si="44"/>
        <v>0</v>
      </c>
      <c r="AA41" s="51">
        <f t="shared" si="45"/>
        <v>0</v>
      </c>
      <c r="AB41" s="50">
        <f t="shared" si="46"/>
        <v>0</v>
      </c>
      <c r="AC41" s="51">
        <f t="shared" si="47"/>
        <v>0</v>
      </c>
      <c r="AD41" s="50">
        <f t="shared" si="48"/>
        <v>0</v>
      </c>
      <c r="AE41" s="82">
        <f t="shared" si="49"/>
        <v>0</v>
      </c>
      <c r="AF41" s="51">
        <f t="shared" si="50"/>
        <v>0</v>
      </c>
      <c r="AG41" s="50">
        <f t="shared" si="51"/>
        <v>0</v>
      </c>
      <c r="AH41" s="51">
        <f t="shared" si="52"/>
        <v>0</v>
      </c>
      <c r="AI41" s="50">
        <f t="shared" si="53"/>
        <v>0</v>
      </c>
      <c r="AJ41" s="51">
        <f t="shared" si="54"/>
        <v>0</v>
      </c>
      <c r="AK41" s="50">
        <f t="shared" si="55"/>
        <v>0</v>
      </c>
    </row>
    <row r="42">
      <c r="A42" s="68" t="s">
        <v>32</v>
      </c>
      <c r="B42" s="18"/>
      <c r="C42" s="84">
        <f t="shared" si="21"/>
        <v>0</v>
      </c>
      <c r="D42" s="74">
        <f t="shared" si="22"/>
        <v>0</v>
      </c>
      <c r="E42" s="73">
        <f t="shared" si="23"/>
        <v>0</v>
      </c>
      <c r="F42" s="74">
        <f t="shared" si="24"/>
        <v>0</v>
      </c>
      <c r="G42" s="73">
        <f t="shared" si="25"/>
        <v>0</v>
      </c>
      <c r="H42" s="74">
        <f t="shared" si="26"/>
        <v>0</v>
      </c>
      <c r="I42" s="73">
        <f t="shared" si="27"/>
        <v>0</v>
      </c>
      <c r="J42" s="84">
        <f t="shared" si="28"/>
        <v>0</v>
      </c>
      <c r="K42" s="74">
        <f t="shared" si="29"/>
        <v>0</v>
      </c>
      <c r="L42" s="73">
        <f t="shared" si="30"/>
        <v>0</v>
      </c>
      <c r="M42" s="74">
        <f t="shared" si="31"/>
        <v>0</v>
      </c>
      <c r="N42" s="73">
        <f t="shared" si="32"/>
        <v>0</v>
      </c>
      <c r="O42" s="74">
        <f t="shared" si="33"/>
        <v>0</v>
      </c>
      <c r="P42" s="73">
        <f t="shared" si="34"/>
        <v>0</v>
      </c>
      <c r="Q42" s="84">
        <f t="shared" si="35"/>
        <v>0</v>
      </c>
      <c r="R42" s="74">
        <f t="shared" si="36"/>
        <v>0</v>
      </c>
      <c r="S42" s="73">
        <f t="shared" si="37"/>
        <v>0</v>
      </c>
      <c r="T42" s="74">
        <f t="shared" si="38"/>
        <v>0</v>
      </c>
      <c r="U42" s="73">
        <f t="shared" si="39"/>
        <v>0</v>
      </c>
      <c r="V42" s="74">
        <f t="shared" si="40"/>
        <v>0</v>
      </c>
      <c r="W42" s="73">
        <f t="shared" si="41"/>
        <v>0</v>
      </c>
      <c r="X42" s="84">
        <f t="shared" si="42"/>
        <v>0</v>
      </c>
      <c r="Y42" s="74">
        <f t="shared" si="43"/>
        <v>0</v>
      </c>
      <c r="Z42" s="73">
        <f t="shared" si="44"/>
        <v>0</v>
      </c>
      <c r="AA42" s="74">
        <f t="shared" si="45"/>
        <v>0</v>
      </c>
      <c r="AB42" s="73">
        <f t="shared" si="46"/>
        <v>0</v>
      </c>
      <c r="AC42" s="74">
        <f t="shared" si="47"/>
        <v>0</v>
      </c>
      <c r="AD42" s="73">
        <f t="shared" si="48"/>
        <v>0</v>
      </c>
      <c r="AE42" s="84">
        <f t="shared" si="49"/>
        <v>0</v>
      </c>
      <c r="AF42" s="74">
        <f t="shared" si="50"/>
        <v>0</v>
      </c>
      <c r="AG42" s="73">
        <f t="shared" si="51"/>
        <v>0</v>
      </c>
      <c r="AH42" s="74">
        <f t="shared" si="52"/>
        <v>0</v>
      </c>
      <c r="AI42" s="73">
        <f t="shared" si="53"/>
        <v>0</v>
      </c>
      <c r="AJ42" s="74">
        <f t="shared" si="54"/>
        <v>0</v>
      </c>
      <c r="AK42" s="73">
        <f t="shared" si="55"/>
        <v>0</v>
      </c>
    </row>
    <row r="45">
      <c r="A45" s="85"/>
      <c r="B45" s="85"/>
    </row>
    <row r="46">
      <c r="A46" s="85"/>
      <c r="B46" s="85"/>
    </row>
    <row r="47">
      <c r="A47" s="85"/>
      <c r="B47" s="85"/>
    </row>
    <row r="48">
      <c r="A48" s="85"/>
      <c r="B48" s="85"/>
    </row>
    <row r="49">
      <c r="A49" s="85"/>
      <c r="B49" s="85"/>
    </row>
    <row r="50">
      <c r="A50" s="85"/>
      <c r="B50" s="85"/>
    </row>
    <row r="51">
      <c r="A51" s="85"/>
      <c r="B51" s="85"/>
    </row>
    <row r="52">
      <c r="A52" s="85"/>
      <c r="B52" s="85"/>
    </row>
    <row r="53">
      <c r="A53" s="85"/>
      <c r="B53" s="85"/>
    </row>
    <row r="54">
      <c r="A54" s="85"/>
      <c r="B54" s="85"/>
    </row>
    <row r="55">
      <c r="A55" s="85"/>
      <c r="B55" s="85"/>
    </row>
    <row r="56">
      <c r="A56" s="85"/>
      <c r="B56" s="85"/>
    </row>
    <row r="57">
      <c r="A57" s="85"/>
      <c r="B57" s="85"/>
    </row>
    <row r="58">
      <c r="A58" s="85"/>
      <c r="B58" s="85"/>
    </row>
    <row r="59">
      <c r="A59" s="85"/>
      <c r="B59" s="85"/>
    </row>
    <row r="60">
      <c r="A60" s="85"/>
      <c r="B60" s="85"/>
    </row>
  </sheetData>
  <mergeCells count="76">
    <mergeCell ref="R19:S19"/>
    <mergeCell ref="R20:S20"/>
    <mergeCell ref="R21:S21"/>
    <mergeCell ref="R22:S22"/>
    <mergeCell ref="R23:S23"/>
    <mergeCell ref="R24:S24"/>
    <mergeCell ref="Q27:W27"/>
    <mergeCell ref="Q28:W28"/>
    <mergeCell ref="C27:I27"/>
    <mergeCell ref="C28:I28"/>
    <mergeCell ref="A20:B20"/>
    <mergeCell ref="A21:B21"/>
    <mergeCell ref="A22:B22"/>
    <mergeCell ref="A23:B23"/>
    <mergeCell ref="A24:B24"/>
    <mergeCell ref="J27:P27"/>
    <mergeCell ref="J28:P28"/>
    <mergeCell ref="A37:B37"/>
    <mergeCell ref="A38:B38"/>
    <mergeCell ref="A39:B39"/>
    <mergeCell ref="A40:B40"/>
    <mergeCell ref="A41:B41"/>
    <mergeCell ref="A42:B42"/>
    <mergeCell ref="A27:B30"/>
    <mergeCell ref="A31:B31"/>
    <mergeCell ref="A32:B32"/>
    <mergeCell ref="A33:B33"/>
    <mergeCell ref="A34:B34"/>
    <mergeCell ref="A35:B35"/>
    <mergeCell ref="A36:B36"/>
    <mergeCell ref="A1:F2"/>
    <mergeCell ref="G1:H1"/>
    <mergeCell ref="C3:D3"/>
    <mergeCell ref="E3:F3"/>
    <mergeCell ref="G3:H3"/>
    <mergeCell ref="K3:L3"/>
    <mergeCell ref="M3:N3"/>
    <mergeCell ref="C4:D4"/>
    <mergeCell ref="E4:F4"/>
    <mergeCell ref="G4:H4"/>
    <mergeCell ref="M4:N4"/>
    <mergeCell ref="A5:C5"/>
    <mergeCell ref="D5:I5"/>
    <mergeCell ref="A6:C6"/>
    <mergeCell ref="C10:Q10"/>
    <mergeCell ref="T10:X10"/>
    <mergeCell ref="C11:E11"/>
    <mergeCell ref="F11:H11"/>
    <mergeCell ref="I11:K11"/>
    <mergeCell ref="L11:N11"/>
    <mergeCell ref="O11:Q11"/>
    <mergeCell ref="D6:H6"/>
    <mergeCell ref="D7:H7"/>
    <mergeCell ref="A8:C8"/>
    <mergeCell ref="D8:I8"/>
    <mergeCell ref="A9:C9"/>
    <mergeCell ref="D9:I9"/>
    <mergeCell ref="A10:B12"/>
    <mergeCell ref="R10:S12"/>
    <mergeCell ref="R13:S13"/>
    <mergeCell ref="R14:S14"/>
    <mergeCell ref="R15:S15"/>
    <mergeCell ref="R16:S16"/>
    <mergeCell ref="R17:S17"/>
    <mergeCell ref="R18:S18"/>
    <mergeCell ref="A13:B13"/>
    <mergeCell ref="A14:B14"/>
    <mergeCell ref="A15:B15"/>
    <mergeCell ref="A16:B16"/>
    <mergeCell ref="A17:B17"/>
    <mergeCell ref="A18:B18"/>
    <mergeCell ref="A19:B19"/>
    <mergeCell ref="X27:AD27"/>
    <mergeCell ref="AE27:AK27"/>
    <mergeCell ref="X28:AD28"/>
    <mergeCell ref="AE28:AK28"/>
  </mergeCells>
  <hyperlinks>
    <hyperlink r:id="rId1" location="/vine-attendance" ref="G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2" max="22" width="16.29"/>
    <col customWidth="1" min="23" max="23" width="16.14"/>
  </cols>
  <sheetData>
    <row r="1">
      <c r="A1" s="86"/>
      <c r="B1" s="87"/>
      <c r="G1" s="88"/>
      <c r="H1" s="88"/>
      <c r="I1" s="88"/>
      <c r="J1" s="88"/>
      <c r="K1" s="88"/>
      <c r="L1" s="88"/>
      <c r="M1" s="88"/>
      <c r="N1" s="88"/>
      <c r="O1" s="88"/>
      <c r="P1" s="88"/>
      <c r="Q1" s="89"/>
      <c r="R1" s="89"/>
      <c r="S1" s="89"/>
      <c r="T1" s="89"/>
      <c r="U1" s="89"/>
      <c r="V1" s="89"/>
      <c r="W1" s="89"/>
    </row>
    <row r="2">
      <c r="A2" s="90" t="s">
        <v>41</v>
      </c>
      <c r="B2" s="90" t="s">
        <v>42</v>
      </c>
      <c r="C2" s="90" t="s">
        <v>43</v>
      </c>
      <c r="D2" s="90" t="s">
        <v>44</v>
      </c>
      <c r="E2" s="90" t="s">
        <v>45</v>
      </c>
      <c r="F2" s="90" t="s">
        <v>46</v>
      </c>
      <c r="G2" s="91"/>
      <c r="H2" s="92"/>
      <c r="I2" s="92"/>
      <c r="J2" s="93"/>
      <c r="K2" s="93"/>
      <c r="L2" s="93"/>
      <c r="M2" s="93"/>
      <c r="N2" s="93"/>
      <c r="O2" s="93"/>
      <c r="P2" s="93"/>
      <c r="U2" s="90"/>
      <c r="V2" s="90"/>
      <c r="W2" s="90"/>
    </row>
    <row r="3">
      <c r="A3" s="90">
        <v>1.0</v>
      </c>
      <c r="C3" s="90">
        <v>1.0</v>
      </c>
      <c r="D3" s="90" t="b">
        <v>1</v>
      </c>
      <c r="E3" s="94" t="s">
        <v>47</v>
      </c>
      <c r="F3" s="94" t="s">
        <v>48</v>
      </c>
      <c r="H3" s="94"/>
      <c r="I3" s="94"/>
    </row>
    <row r="4">
      <c r="A4" s="90">
        <v>2.0</v>
      </c>
      <c r="C4" s="90">
        <v>1.0</v>
      </c>
      <c r="D4" s="90" t="b">
        <v>0</v>
      </c>
      <c r="E4" s="95" t="s">
        <v>49</v>
      </c>
      <c r="F4" s="96" t="s">
        <v>50</v>
      </c>
      <c r="H4" s="95"/>
      <c r="I4" s="96"/>
    </row>
    <row r="5">
      <c r="A5" s="90">
        <v>3.0</v>
      </c>
      <c r="C5" s="90">
        <v>1.0</v>
      </c>
      <c r="D5" s="90" t="b">
        <v>0</v>
      </c>
      <c r="E5" s="95" t="s">
        <v>51</v>
      </c>
      <c r="F5" s="96" t="s">
        <v>52</v>
      </c>
      <c r="H5" s="95"/>
      <c r="I5" s="96"/>
    </row>
    <row r="6">
      <c r="A6" s="90">
        <v>4.0</v>
      </c>
      <c r="C6" s="90">
        <v>1.0</v>
      </c>
      <c r="D6" s="90" t="b">
        <v>0</v>
      </c>
      <c r="E6" s="96" t="s">
        <v>53</v>
      </c>
      <c r="F6" s="96" t="s">
        <v>54</v>
      </c>
      <c r="H6" s="96"/>
      <c r="I6" s="96"/>
    </row>
    <row r="7">
      <c r="A7" s="90">
        <v>5.0</v>
      </c>
      <c r="C7" s="90">
        <v>1.0</v>
      </c>
      <c r="D7" s="90" t="b">
        <v>0</v>
      </c>
      <c r="E7" s="96" t="s">
        <v>55</v>
      </c>
      <c r="F7" s="96" t="s">
        <v>56</v>
      </c>
      <c r="H7" s="96"/>
      <c r="I7" s="96"/>
    </row>
    <row r="8">
      <c r="A8" s="90">
        <v>6.0</v>
      </c>
      <c r="C8" s="90">
        <v>1.0</v>
      </c>
      <c r="D8" s="90" t="b">
        <v>0</v>
      </c>
      <c r="E8" s="96" t="s">
        <v>57</v>
      </c>
      <c r="F8" s="96" t="s">
        <v>58</v>
      </c>
      <c r="H8" s="96"/>
      <c r="I8" s="96"/>
    </row>
    <row r="9">
      <c r="A9" s="90">
        <v>7.0</v>
      </c>
      <c r="C9" s="90">
        <v>1.0</v>
      </c>
      <c r="D9" s="90" t="b">
        <v>0</v>
      </c>
      <c r="E9" s="96" t="s">
        <v>59</v>
      </c>
      <c r="F9" s="96" t="s">
        <v>60</v>
      </c>
      <c r="H9" s="96"/>
      <c r="I9" s="96"/>
    </row>
    <row r="10">
      <c r="A10" s="90">
        <v>8.0</v>
      </c>
      <c r="C10" s="90">
        <v>1.0</v>
      </c>
      <c r="D10" s="90" t="b">
        <v>0</v>
      </c>
      <c r="E10" s="96" t="s">
        <v>61</v>
      </c>
      <c r="F10" s="96" t="s">
        <v>62</v>
      </c>
      <c r="H10" s="96"/>
      <c r="I10" s="96"/>
    </row>
    <row r="11">
      <c r="A11" s="90">
        <v>9.0</v>
      </c>
      <c r="C11" s="90">
        <v>1.0</v>
      </c>
      <c r="D11" s="90" t="b">
        <v>0</v>
      </c>
      <c r="E11" s="96" t="s">
        <v>63</v>
      </c>
      <c r="F11" s="96" t="s">
        <v>64</v>
      </c>
      <c r="H11" s="96"/>
      <c r="I11" s="96"/>
    </row>
    <row r="12">
      <c r="A12" s="90">
        <v>10.0</v>
      </c>
      <c r="C12" s="90">
        <v>1.0</v>
      </c>
      <c r="D12" s="90" t="b">
        <v>0</v>
      </c>
      <c r="E12" s="96" t="s">
        <v>65</v>
      </c>
      <c r="F12" s="96" t="s">
        <v>66</v>
      </c>
      <c r="H12" s="96"/>
      <c r="I12" s="96"/>
    </row>
    <row r="13">
      <c r="A13" s="90">
        <v>11.0</v>
      </c>
      <c r="C13" s="90">
        <v>1.0</v>
      </c>
      <c r="D13" s="90" t="b">
        <v>0</v>
      </c>
      <c r="E13" s="96" t="s">
        <v>65</v>
      </c>
      <c r="F13" s="96" t="s">
        <v>67</v>
      </c>
      <c r="H13" s="96"/>
      <c r="I13" s="96"/>
    </row>
    <row r="14">
      <c r="A14" s="90">
        <v>12.0</v>
      </c>
      <c r="C14" s="90">
        <v>1.0</v>
      </c>
      <c r="D14" s="90" t="b">
        <v>0</v>
      </c>
      <c r="E14" s="96" t="s">
        <v>68</v>
      </c>
      <c r="F14" s="96" t="s">
        <v>69</v>
      </c>
      <c r="H14" s="96"/>
      <c r="I14" s="96"/>
    </row>
    <row r="15">
      <c r="A15" s="90">
        <v>13.0</v>
      </c>
      <c r="C15" s="90">
        <v>1.0</v>
      </c>
      <c r="D15" s="90" t="b">
        <v>0</v>
      </c>
      <c r="E15" s="96" t="s">
        <v>70</v>
      </c>
      <c r="F15" s="96" t="s">
        <v>71</v>
      </c>
      <c r="H15" s="96"/>
      <c r="I15" s="96"/>
    </row>
    <row r="16">
      <c r="A16" s="90">
        <v>14.0</v>
      </c>
      <c r="C16" s="90">
        <v>1.0</v>
      </c>
      <c r="D16" s="90" t="b">
        <v>0</v>
      </c>
      <c r="E16" s="96" t="s">
        <v>72</v>
      </c>
      <c r="F16" s="96" t="s">
        <v>73</v>
      </c>
      <c r="H16" s="96"/>
      <c r="I16" s="96"/>
    </row>
    <row r="17">
      <c r="A17" s="90">
        <v>15.0</v>
      </c>
      <c r="C17" s="90">
        <v>1.0</v>
      </c>
      <c r="D17" s="90" t="b">
        <v>0</v>
      </c>
      <c r="E17" s="97" t="s">
        <v>74</v>
      </c>
      <c r="F17" s="97" t="s">
        <v>75</v>
      </c>
      <c r="H17" s="97"/>
      <c r="I17" s="97"/>
    </row>
    <row r="18">
      <c r="A18" s="90">
        <v>16.0</v>
      </c>
      <c r="C18" s="90">
        <v>1.0</v>
      </c>
      <c r="D18" s="90" t="b">
        <v>0</v>
      </c>
      <c r="E18" s="96" t="s">
        <v>76</v>
      </c>
      <c r="F18" s="96" t="s">
        <v>77</v>
      </c>
      <c r="H18" s="96"/>
      <c r="I18" s="96"/>
    </row>
    <row r="19">
      <c r="A19" s="90">
        <v>17.0</v>
      </c>
      <c r="C19" s="90">
        <v>1.0</v>
      </c>
      <c r="D19" s="90" t="b">
        <v>0</v>
      </c>
      <c r="E19" s="96" t="s">
        <v>78</v>
      </c>
      <c r="F19" s="96" t="s">
        <v>79</v>
      </c>
      <c r="H19" s="96"/>
      <c r="I19" s="96"/>
    </row>
    <row r="20">
      <c r="A20" s="90">
        <v>18.0</v>
      </c>
      <c r="C20" s="90">
        <v>1.0</v>
      </c>
      <c r="D20" s="90" t="b">
        <v>0</v>
      </c>
      <c r="E20" s="96" t="s">
        <v>80</v>
      </c>
      <c r="F20" s="96" t="s">
        <v>81</v>
      </c>
      <c r="H20" s="96"/>
      <c r="I20" s="96"/>
    </row>
    <row r="21">
      <c r="A21" s="90">
        <v>19.0</v>
      </c>
      <c r="B21" s="90">
        <v>15.0</v>
      </c>
      <c r="C21" s="90">
        <v>1.0</v>
      </c>
      <c r="D21" s="90" t="b">
        <v>0</v>
      </c>
      <c r="E21" s="96" t="s">
        <v>82</v>
      </c>
      <c r="F21" s="96" t="s">
        <v>83</v>
      </c>
      <c r="H21" s="96"/>
      <c r="I21" s="96"/>
    </row>
    <row r="22">
      <c r="A22" s="90">
        <v>20.0</v>
      </c>
      <c r="B22" s="90">
        <v>15.0</v>
      </c>
      <c r="C22" s="90">
        <v>1.0</v>
      </c>
      <c r="D22" s="90" t="b">
        <v>0</v>
      </c>
      <c r="E22" s="96" t="s">
        <v>84</v>
      </c>
      <c r="F22" s="96" t="s">
        <v>85</v>
      </c>
      <c r="H22" s="96"/>
      <c r="I22" s="96"/>
    </row>
    <row r="23">
      <c r="A23" s="90">
        <v>21.0</v>
      </c>
      <c r="C23" s="90">
        <v>1.0</v>
      </c>
      <c r="D23" s="90" t="b">
        <v>0</v>
      </c>
      <c r="E23" s="96" t="s">
        <v>86</v>
      </c>
      <c r="F23" s="96" t="s">
        <v>87</v>
      </c>
      <c r="H23" s="96"/>
      <c r="I23" s="96"/>
    </row>
    <row r="24">
      <c r="A24" s="90">
        <v>22.0</v>
      </c>
      <c r="D24" s="90" t="b">
        <v>0</v>
      </c>
      <c r="E24" s="98"/>
      <c r="F24" s="96" t="s">
        <v>88</v>
      </c>
      <c r="H24" s="98"/>
      <c r="I24" s="96"/>
    </row>
    <row r="25">
      <c r="A25" s="90">
        <v>23.0</v>
      </c>
      <c r="C25" s="90">
        <v>23.0</v>
      </c>
      <c r="D25" s="90" t="b">
        <v>1</v>
      </c>
      <c r="E25" s="99" t="s">
        <v>89</v>
      </c>
      <c r="F25" s="99" t="s">
        <v>90</v>
      </c>
      <c r="H25" s="99"/>
      <c r="I25" s="99"/>
    </row>
    <row r="26">
      <c r="A26" s="90">
        <v>24.0</v>
      </c>
      <c r="C26" s="90">
        <v>23.0</v>
      </c>
      <c r="D26" s="90" t="b">
        <v>0</v>
      </c>
      <c r="E26" s="100" t="s">
        <v>91</v>
      </c>
      <c r="F26" s="100" t="s">
        <v>92</v>
      </c>
      <c r="H26" s="100"/>
      <c r="I26" s="100"/>
    </row>
    <row r="27">
      <c r="A27" s="90">
        <v>25.0</v>
      </c>
      <c r="B27" s="90">
        <v>24.0</v>
      </c>
      <c r="C27" s="90">
        <v>23.0</v>
      </c>
      <c r="D27" s="90" t="b">
        <v>0</v>
      </c>
      <c r="E27" s="100" t="s">
        <v>93</v>
      </c>
      <c r="F27" s="100" t="s">
        <v>94</v>
      </c>
      <c r="H27" s="100"/>
      <c r="I27" s="100"/>
    </row>
    <row r="28">
      <c r="A28" s="90">
        <v>26.0</v>
      </c>
      <c r="C28" s="90">
        <v>23.0</v>
      </c>
      <c r="D28" s="90" t="b">
        <v>0</v>
      </c>
      <c r="E28" s="100" t="s">
        <v>95</v>
      </c>
      <c r="F28" s="100" t="s">
        <v>96</v>
      </c>
      <c r="H28" s="100"/>
      <c r="I28" s="100"/>
    </row>
    <row r="29">
      <c r="A29" s="90">
        <v>27.0</v>
      </c>
      <c r="C29" s="90">
        <v>23.0</v>
      </c>
      <c r="D29" s="90" t="b">
        <v>0</v>
      </c>
      <c r="E29" s="100" t="s">
        <v>97</v>
      </c>
      <c r="F29" s="100" t="s">
        <v>98</v>
      </c>
      <c r="H29" s="100"/>
      <c r="I29" s="100"/>
    </row>
    <row r="30">
      <c r="A30" s="90">
        <v>28.0</v>
      </c>
      <c r="C30" s="90">
        <v>23.0</v>
      </c>
      <c r="D30" s="90" t="b">
        <v>0</v>
      </c>
      <c r="E30" s="100" t="s">
        <v>99</v>
      </c>
      <c r="F30" s="100" t="s">
        <v>100</v>
      </c>
      <c r="H30" s="100"/>
      <c r="I30" s="100"/>
    </row>
    <row r="31">
      <c r="A31" s="90">
        <v>29.0</v>
      </c>
      <c r="C31" s="90">
        <v>23.0</v>
      </c>
      <c r="D31" s="90" t="b">
        <v>0</v>
      </c>
      <c r="E31" s="100" t="s">
        <v>101</v>
      </c>
      <c r="F31" s="100" t="s">
        <v>102</v>
      </c>
      <c r="H31" s="100"/>
      <c r="I31" s="100"/>
    </row>
    <row r="32">
      <c r="A32" s="90">
        <v>30.0</v>
      </c>
      <c r="C32" s="90">
        <v>23.0</v>
      </c>
      <c r="D32" s="90" t="b">
        <v>0</v>
      </c>
      <c r="E32" s="100" t="s">
        <v>103</v>
      </c>
      <c r="F32" s="100" t="s">
        <v>104</v>
      </c>
      <c r="H32" s="100"/>
      <c r="I32" s="100"/>
    </row>
    <row r="33">
      <c r="A33" s="90">
        <v>31.0</v>
      </c>
      <c r="C33" s="90">
        <v>23.0</v>
      </c>
      <c r="D33" s="90" t="b">
        <v>0</v>
      </c>
      <c r="E33" s="101" t="s">
        <v>105</v>
      </c>
      <c r="F33" s="101" t="s">
        <v>106</v>
      </c>
      <c r="H33" s="101"/>
      <c r="I33" s="101"/>
    </row>
    <row r="34">
      <c r="A34" s="90">
        <v>32.0</v>
      </c>
      <c r="C34" s="90">
        <v>23.0</v>
      </c>
      <c r="D34" s="90" t="b">
        <v>0</v>
      </c>
      <c r="E34" s="100" t="s">
        <v>107</v>
      </c>
      <c r="F34" s="100" t="s">
        <v>108</v>
      </c>
      <c r="H34" s="100"/>
      <c r="I34" s="100"/>
    </row>
    <row r="35">
      <c r="A35" s="90">
        <v>33.0</v>
      </c>
      <c r="C35" s="90">
        <v>23.0</v>
      </c>
      <c r="D35" s="90" t="b">
        <v>0</v>
      </c>
      <c r="E35" s="100" t="s">
        <v>109</v>
      </c>
      <c r="F35" s="100" t="s">
        <v>110</v>
      </c>
      <c r="H35" s="100"/>
      <c r="I35" s="100"/>
    </row>
    <row r="36">
      <c r="A36" s="90">
        <v>34.0</v>
      </c>
      <c r="C36" s="90">
        <v>23.0</v>
      </c>
      <c r="D36" s="90" t="b">
        <v>0</v>
      </c>
      <c r="E36" s="102" t="s">
        <v>111</v>
      </c>
      <c r="F36" s="102" t="s">
        <v>112</v>
      </c>
      <c r="H36" s="102"/>
      <c r="I36" s="102"/>
    </row>
    <row r="37">
      <c r="A37" s="90">
        <v>35.0</v>
      </c>
      <c r="C37" s="90">
        <v>23.0</v>
      </c>
      <c r="D37" s="90" t="b">
        <v>0</v>
      </c>
      <c r="E37" s="103" t="s">
        <v>113</v>
      </c>
      <c r="F37" s="103" t="s">
        <v>114</v>
      </c>
      <c r="H37" s="103"/>
      <c r="I37" s="103"/>
    </row>
    <row r="38">
      <c r="A38" s="90">
        <v>36.0</v>
      </c>
      <c r="C38" s="90">
        <v>23.0</v>
      </c>
      <c r="D38" s="90" t="b">
        <v>0</v>
      </c>
      <c r="E38" s="103" t="s">
        <v>115</v>
      </c>
      <c r="F38" s="103" t="s">
        <v>116</v>
      </c>
      <c r="H38" s="103"/>
      <c r="I38" s="103"/>
    </row>
    <row r="39">
      <c r="A39" s="90">
        <v>37.0</v>
      </c>
      <c r="C39" s="90">
        <v>23.0</v>
      </c>
      <c r="D39" s="90" t="b">
        <v>0</v>
      </c>
      <c r="E39" s="102" t="s">
        <v>117</v>
      </c>
      <c r="F39" s="103" t="s">
        <v>118</v>
      </c>
      <c r="H39" s="102"/>
      <c r="I39" s="103"/>
    </row>
    <row r="40">
      <c r="A40" s="90">
        <v>38.0</v>
      </c>
      <c r="C40" s="90">
        <v>23.0</v>
      </c>
      <c r="D40" s="90" t="b">
        <v>0</v>
      </c>
      <c r="E40" s="103" t="s">
        <v>119</v>
      </c>
      <c r="F40" s="103" t="s">
        <v>120</v>
      </c>
      <c r="H40" s="103"/>
      <c r="I40" s="103"/>
    </row>
    <row r="41">
      <c r="A41" s="90">
        <v>39.0</v>
      </c>
      <c r="C41" s="90">
        <v>23.0</v>
      </c>
      <c r="D41" s="90" t="b">
        <v>0</v>
      </c>
      <c r="E41" s="103" t="s">
        <v>121</v>
      </c>
      <c r="F41" s="103" t="s">
        <v>122</v>
      </c>
      <c r="H41" s="103"/>
      <c r="I41" s="103"/>
    </row>
    <row r="42">
      <c r="A42" s="90">
        <v>40.0</v>
      </c>
      <c r="C42" s="90">
        <v>23.0</v>
      </c>
      <c r="D42" s="90" t="b">
        <v>0</v>
      </c>
      <c r="E42" s="103" t="s">
        <v>123</v>
      </c>
      <c r="F42" s="103" t="s">
        <v>124</v>
      </c>
      <c r="H42" s="103"/>
      <c r="I42" s="103"/>
    </row>
    <row r="43">
      <c r="A43" s="90">
        <v>41.0</v>
      </c>
      <c r="C43" s="90">
        <v>23.0</v>
      </c>
      <c r="D43" s="90" t="b">
        <v>0</v>
      </c>
      <c r="E43" s="103" t="s">
        <v>125</v>
      </c>
      <c r="F43" s="103" t="s">
        <v>126</v>
      </c>
      <c r="H43" s="103"/>
      <c r="I43" s="103"/>
    </row>
    <row r="44">
      <c r="A44" s="90">
        <v>42.0</v>
      </c>
      <c r="D44" s="90" t="b">
        <v>0</v>
      </c>
      <c r="E44" s="103"/>
      <c r="F44" s="103"/>
      <c r="H44" s="103"/>
      <c r="I44" s="103"/>
    </row>
    <row r="45">
      <c r="A45" s="90">
        <v>43.0</v>
      </c>
      <c r="C45" s="90">
        <v>23.0</v>
      </c>
      <c r="D45" s="90" t="b">
        <v>0</v>
      </c>
      <c r="E45" s="103" t="s">
        <v>127</v>
      </c>
      <c r="F45" s="103" t="s">
        <v>128</v>
      </c>
      <c r="H45" s="103"/>
      <c r="I45" s="103"/>
    </row>
    <row r="46">
      <c r="A46" s="90">
        <v>44.0</v>
      </c>
      <c r="C46" s="90">
        <v>23.0</v>
      </c>
      <c r="D46" s="90" t="b">
        <v>0</v>
      </c>
      <c r="E46" s="103" t="s">
        <v>129</v>
      </c>
      <c r="F46" s="103" t="s">
        <v>130</v>
      </c>
      <c r="H46" s="103"/>
      <c r="I46" s="103"/>
    </row>
    <row r="47">
      <c r="A47" s="90">
        <v>45.0</v>
      </c>
      <c r="C47" s="90">
        <v>23.0</v>
      </c>
      <c r="D47" s="90" t="b">
        <v>0</v>
      </c>
      <c r="E47" s="103" t="s">
        <v>131</v>
      </c>
      <c r="F47" s="103" t="s">
        <v>132</v>
      </c>
      <c r="H47" s="103"/>
      <c r="I47" s="103"/>
    </row>
    <row r="48">
      <c r="A48" s="90">
        <v>46.0</v>
      </c>
      <c r="C48" s="90">
        <v>23.0</v>
      </c>
      <c r="D48" s="90" t="b">
        <v>0</v>
      </c>
      <c r="E48" s="103" t="s">
        <v>133</v>
      </c>
      <c r="F48" s="103" t="s">
        <v>134</v>
      </c>
      <c r="H48" s="103"/>
      <c r="I48" s="103"/>
    </row>
    <row r="49">
      <c r="A49" s="90">
        <v>47.0</v>
      </c>
      <c r="C49" s="90">
        <v>23.0</v>
      </c>
      <c r="D49" s="90" t="b">
        <v>0</v>
      </c>
      <c r="E49" s="103" t="s">
        <v>135</v>
      </c>
      <c r="F49" s="103" t="s">
        <v>136</v>
      </c>
      <c r="H49" s="103"/>
      <c r="I49" s="103"/>
    </row>
    <row r="50">
      <c r="A50" s="90">
        <v>48.0</v>
      </c>
      <c r="C50" s="90">
        <v>23.0</v>
      </c>
      <c r="D50" s="90" t="b">
        <v>0</v>
      </c>
      <c r="E50" s="103" t="s">
        <v>137</v>
      </c>
      <c r="F50" s="103" t="s">
        <v>138</v>
      </c>
      <c r="H50" s="103"/>
      <c r="I50" s="103"/>
    </row>
    <row r="51">
      <c r="A51" s="90">
        <v>49.0</v>
      </c>
      <c r="C51" s="90">
        <v>23.0</v>
      </c>
      <c r="D51" s="90" t="b">
        <v>0</v>
      </c>
      <c r="E51" s="103" t="s">
        <v>139</v>
      </c>
      <c r="F51" s="103" t="s">
        <v>140</v>
      </c>
      <c r="H51" s="103"/>
      <c r="I51" s="103"/>
    </row>
    <row r="52">
      <c r="A52" s="90">
        <v>50.0</v>
      </c>
      <c r="C52" s="90">
        <v>23.0</v>
      </c>
      <c r="D52" s="90" t="b">
        <v>0</v>
      </c>
      <c r="E52" s="103" t="s">
        <v>141</v>
      </c>
      <c r="F52" s="103" t="s">
        <v>142</v>
      </c>
      <c r="H52" s="103"/>
      <c r="I52" s="103"/>
    </row>
    <row r="53">
      <c r="A53" s="90">
        <v>51.0</v>
      </c>
      <c r="C53" s="90">
        <v>23.0</v>
      </c>
      <c r="D53" s="90" t="b">
        <v>0</v>
      </c>
      <c r="E53" s="103" t="s">
        <v>143</v>
      </c>
      <c r="F53" s="103" t="s">
        <v>144</v>
      </c>
      <c r="H53" s="103"/>
      <c r="I53" s="103"/>
    </row>
    <row r="54">
      <c r="A54" s="90">
        <v>52.0</v>
      </c>
      <c r="C54" s="90">
        <v>23.0</v>
      </c>
      <c r="D54" s="90" t="b">
        <v>0</v>
      </c>
      <c r="E54" s="99" t="s">
        <v>145</v>
      </c>
      <c r="F54" s="99" t="s">
        <v>146</v>
      </c>
      <c r="H54" s="99"/>
      <c r="I54" s="99"/>
    </row>
    <row r="55">
      <c r="A55" s="90">
        <v>53.0</v>
      </c>
      <c r="C55" s="90">
        <v>23.0</v>
      </c>
      <c r="D55" s="90" t="b">
        <v>0</v>
      </c>
      <c r="E55" s="100" t="s">
        <v>147</v>
      </c>
      <c r="F55" s="100" t="s">
        <v>148</v>
      </c>
      <c r="H55" s="100"/>
      <c r="I55" s="100"/>
    </row>
    <row r="56">
      <c r="A56" s="90">
        <v>54.0</v>
      </c>
      <c r="C56" s="90">
        <v>23.0</v>
      </c>
      <c r="D56" s="90" t="b">
        <v>0</v>
      </c>
      <c r="E56" s="100" t="s">
        <v>149</v>
      </c>
      <c r="F56" s="100" t="s">
        <v>150</v>
      </c>
      <c r="H56" s="100"/>
      <c r="I56" s="100"/>
    </row>
    <row r="57">
      <c r="A57" s="90">
        <v>55.0</v>
      </c>
      <c r="C57" s="90">
        <v>23.0</v>
      </c>
      <c r="D57" s="90" t="b">
        <v>0</v>
      </c>
      <c r="E57" s="100" t="s">
        <v>151</v>
      </c>
      <c r="F57" s="100" t="s">
        <v>152</v>
      </c>
      <c r="H57" s="100"/>
      <c r="I57" s="100"/>
    </row>
    <row r="58">
      <c r="A58" s="90">
        <v>56.0</v>
      </c>
      <c r="C58" s="90">
        <v>23.0</v>
      </c>
      <c r="D58" s="90" t="b">
        <v>0</v>
      </c>
      <c r="E58" s="100" t="s">
        <v>153</v>
      </c>
      <c r="F58" s="100" t="s">
        <v>154</v>
      </c>
      <c r="H58" s="100"/>
      <c r="I58" s="100"/>
    </row>
    <row r="59">
      <c r="A59" s="90">
        <v>57.0</v>
      </c>
      <c r="C59" s="90">
        <v>23.0</v>
      </c>
      <c r="D59" s="90" t="b">
        <v>0</v>
      </c>
      <c r="E59" s="100" t="s">
        <v>155</v>
      </c>
      <c r="F59" s="100" t="s">
        <v>156</v>
      </c>
      <c r="H59" s="100"/>
      <c r="I59" s="100"/>
    </row>
    <row r="60">
      <c r="A60" s="90">
        <v>58.0</v>
      </c>
      <c r="C60" s="90">
        <v>23.0</v>
      </c>
      <c r="D60" s="90" t="b">
        <v>0</v>
      </c>
      <c r="E60" s="100" t="s">
        <v>157</v>
      </c>
      <c r="F60" s="100" t="s">
        <v>158</v>
      </c>
      <c r="H60" s="100"/>
      <c r="I60" s="100"/>
    </row>
    <row r="61">
      <c r="A61" s="90">
        <v>59.0</v>
      </c>
      <c r="C61" s="90">
        <v>23.0</v>
      </c>
      <c r="D61" s="90" t="b">
        <v>0</v>
      </c>
      <c r="E61" s="100" t="s">
        <v>159</v>
      </c>
      <c r="F61" s="100" t="s">
        <v>160</v>
      </c>
      <c r="H61" s="100"/>
      <c r="I61" s="100"/>
    </row>
    <row r="62">
      <c r="A62" s="90">
        <v>60.0</v>
      </c>
      <c r="C62" s="90">
        <v>23.0</v>
      </c>
      <c r="D62" s="90" t="b">
        <v>0</v>
      </c>
      <c r="E62" s="100" t="s">
        <v>161</v>
      </c>
      <c r="F62" s="100" t="s">
        <v>162</v>
      </c>
      <c r="H62" s="100"/>
      <c r="I62" s="100"/>
    </row>
    <row r="63">
      <c r="A63" s="90">
        <v>61.0</v>
      </c>
      <c r="C63" s="90">
        <v>23.0</v>
      </c>
      <c r="D63" s="90" t="b">
        <v>0</v>
      </c>
      <c r="E63" s="100" t="s">
        <v>163</v>
      </c>
      <c r="F63" s="100" t="s">
        <v>164</v>
      </c>
      <c r="H63" s="100"/>
      <c r="I63" s="100"/>
    </row>
    <row r="64">
      <c r="A64" s="90">
        <v>62.0</v>
      </c>
      <c r="C64" s="90">
        <v>23.0</v>
      </c>
      <c r="D64" s="90" t="b">
        <v>0</v>
      </c>
      <c r="E64" s="100"/>
      <c r="F64" s="100" t="s">
        <v>165</v>
      </c>
      <c r="H64" s="100"/>
      <c r="I64" s="100"/>
    </row>
    <row r="65">
      <c r="A65" s="90">
        <v>63.0</v>
      </c>
      <c r="C65" s="90">
        <v>23.0</v>
      </c>
      <c r="D65" s="90" t="b">
        <v>0</v>
      </c>
      <c r="E65" s="99" t="s">
        <v>166</v>
      </c>
      <c r="F65" s="99" t="s">
        <v>150</v>
      </c>
      <c r="H65" s="99"/>
      <c r="I65" s="99"/>
    </row>
    <row r="66">
      <c r="A66" s="90">
        <v>64.0</v>
      </c>
      <c r="C66" s="90">
        <v>23.0</v>
      </c>
      <c r="D66" s="90" t="b">
        <v>0</v>
      </c>
      <c r="E66" s="100" t="s">
        <v>167</v>
      </c>
      <c r="F66" s="100" t="s">
        <v>168</v>
      </c>
      <c r="H66" s="100"/>
      <c r="I66" s="100"/>
    </row>
    <row r="67">
      <c r="A67" s="90">
        <v>65.0</v>
      </c>
      <c r="C67" s="90">
        <v>23.0</v>
      </c>
      <c r="D67" s="90" t="b">
        <v>0</v>
      </c>
      <c r="E67" s="100" t="s">
        <v>145</v>
      </c>
      <c r="F67" s="100" t="s">
        <v>169</v>
      </c>
      <c r="H67" s="100"/>
      <c r="I67" s="100"/>
    </row>
    <row r="68">
      <c r="A68" s="90">
        <v>66.0</v>
      </c>
      <c r="C68" s="90">
        <v>23.0</v>
      </c>
      <c r="D68" s="90" t="b">
        <v>0</v>
      </c>
      <c r="E68" s="100" t="s">
        <v>166</v>
      </c>
      <c r="F68" s="100" t="s">
        <v>170</v>
      </c>
      <c r="H68" s="100"/>
      <c r="I68" s="100"/>
    </row>
    <row r="69">
      <c r="A69" s="90">
        <v>67.0</v>
      </c>
      <c r="C69" s="90">
        <v>23.0</v>
      </c>
      <c r="D69" s="90" t="b">
        <v>0</v>
      </c>
      <c r="E69" s="100" t="s">
        <v>171</v>
      </c>
      <c r="F69" s="100" t="s">
        <v>172</v>
      </c>
      <c r="H69" s="100"/>
      <c r="I69" s="100"/>
    </row>
    <row r="70">
      <c r="A70" s="90">
        <v>68.0</v>
      </c>
      <c r="C70" s="90">
        <v>23.0</v>
      </c>
      <c r="D70" s="90" t="b">
        <v>0</v>
      </c>
      <c r="E70" s="100" t="s">
        <v>173</v>
      </c>
      <c r="F70" s="100" t="s">
        <v>174</v>
      </c>
      <c r="H70" s="100"/>
      <c r="I70" s="100"/>
    </row>
    <row r="71">
      <c r="A71" s="90">
        <v>69.0</v>
      </c>
      <c r="C71" s="90">
        <v>23.0</v>
      </c>
      <c r="D71" s="90" t="b">
        <v>0</v>
      </c>
      <c r="E71" s="100" t="s">
        <v>175</v>
      </c>
      <c r="F71" s="100" t="s">
        <v>176</v>
      </c>
      <c r="H71" s="100"/>
      <c r="I71" s="100"/>
    </row>
    <row r="72">
      <c r="A72" s="90">
        <v>70.0</v>
      </c>
      <c r="C72" s="90">
        <v>23.0</v>
      </c>
      <c r="D72" s="90" t="b">
        <v>0</v>
      </c>
      <c r="E72" s="101" t="s">
        <v>177</v>
      </c>
      <c r="F72" s="101" t="s">
        <v>178</v>
      </c>
      <c r="H72" s="101"/>
      <c r="I72" s="101"/>
    </row>
    <row r="73">
      <c r="A73" s="90">
        <v>71.0</v>
      </c>
      <c r="C73" s="90">
        <v>23.0</v>
      </c>
      <c r="D73" s="90" t="b">
        <v>0</v>
      </c>
      <c r="E73" s="101" t="s">
        <v>179</v>
      </c>
      <c r="F73" s="104" t="s">
        <v>180</v>
      </c>
      <c r="H73" s="101"/>
      <c r="I73" s="104"/>
    </row>
    <row r="74">
      <c r="A74" s="90">
        <v>72.0</v>
      </c>
      <c r="C74" s="90">
        <v>23.0</v>
      </c>
      <c r="D74" s="90" t="b">
        <v>0</v>
      </c>
      <c r="E74" s="101" t="s">
        <v>181</v>
      </c>
      <c r="F74" s="101" t="s">
        <v>182</v>
      </c>
      <c r="H74" s="101"/>
      <c r="I74" s="101"/>
    </row>
    <row r="75">
      <c r="A75" s="90">
        <v>73.0</v>
      </c>
      <c r="C75" s="90">
        <v>23.0</v>
      </c>
      <c r="D75" s="90" t="b">
        <v>0</v>
      </c>
      <c r="E75" s="101"/>
      <c r="F75" s="101" t="s">
        <v>183</v>
      </c>
      <c r="H75" s="101"/>
      <c r="I75" s="101"/>
    </row>
    <row r="76">
      <c r="A76" s="90">
        <v>74.0</v>
      </c>
      <c r="C76" s="90">
        <v>23.0</v>
      </c>
      <c r="D76" s="90" t="b">
        <v>0</v>
      </c>
      <c r="E76" s="101" t="s">
        <v>184</v>
      </c>
      <c r="F76" s="101" t="s">
        <v>185</v>
      </c>
      <c r="H76" s="101"/>
      <c r="I76" s="101"/>
    </row>
    <row r="77">
      <c r="A77" s="90">
        <v>75.0</v>
      </c>
      <c r="C77" s="90">
        <v>23.0</v>
      </c>
      <c r="D77" s="90" t="b">
        <v>0</v>
      </c>
      <c r="E77" s="101" t="s">
        <v>186</v>
      </c>
      <c r="F77" s="101" t="s">
        <v>187</v>
      </c>
      <c r="H77" s="101"/>
      <c r="I77" s="101"/>
    </row>
    <row r="78">
      <c r="A78" s="90">
        <v>76.0</v>
      </c>
      <c r="C78" s="90">
        <v>76.0</v>
      </c>
      <c r="D78" s="90" t="b">
        <v>1</v>
      </c>
      <c r="E78" s="105" t="s">
        <v>188</v>
      </c>
      <c r="F78" s="105" t="s">
        <v>189</v>
      </c>
      <c r="H78" s="105"/>
      <c r="I78" s="105"/>
    </row>
    <row r="79">
      <c r="A79" s="90">
        <v>77.0</v>
      </c>
      <c r="C79" s="90">
        <v>76.0</v>
      </c>
      <c r="D79" s="90" t="b">
        <v>0</v>
      </c>
      <c r="E79" s="106" t="s">
        <v>190</v>
      </c>
      <c r="F79" s="106" t="s">
        <v>191</v>
      </c>
      <c r="H79" s="106"/>
      <c r="I79" s="106"/>
    </row>
    <row r="80">
      <c r="A80" s="90">
        <v>78.0</v>
      </c>
      <c r="C80" s="90">
        <v>76.0</v>
      </c>
      <c r="D80" s="90" t="b">
        <v>0</v>
      </c>
      <c r="E80" s="107" t="s">
        <v>86</v>
      </c>
      <c r="F80" s="107" t="s">
        <v>192</v>
      </c>
      <c r="H80" s="107"/>
      <c r="I80" s="107"/>
    </row>
    <row r="81">
      <c r="A81" s="90">
        <v>79.0</v>
      </c>
      <c r="C81" s="90">
        <v>76.0</v>
      </c>
      <c r="D81" s="90" t="b">
        <v>0</v>
      </c>
      <c r="E81" s="107" t="s">
        <v>193</v>
      </c>
      <c r="F81" s="107" t="s">
        <v>194</v>
      </c>
      <c r="H81" s="107"/>
      <c r="I81" s="107"/>
    </row>
    <row r="82">
      <c r="A82" s="90">
        <v>80.0</v>
      </c>
      <c r="C82" s="90">
        <v>76.0</v>
      </c>
      <c r="D82" s="90" t="b">
        <v>0</v>
      </c>
      <c r="E82" s="108" t="s">
        <v>195</v>
      </c>
      <c r="F82" s="108" t="s">
        <v>196</v>
      </c>
      <c r="H82" s="108"/>
      <c r="I82" s="108"/>
    </row>
    <row r="83">
      <c r="A83" s="90">
        <v>81.0</v>
      </c>
      <c r="C83" s="90">
        <v>76.0</v>
      </c>
      <c r="D83" s="90" t="b">
        <v>0</v>
      </c>
      <c r="E83" s="107" t="s">
        <v>65</v>
      </c>
      <c r="F83" s="107" t="s">
        <v>197</v>
      </c>
      <c r="H83" s="107"/>
      <c r="I83" s="107"/>
    </row>
    <row r="84">
      <c r="A84" s="90">
        <v>82.0</v>
      </c>
      <c r="C84" s="90">
        <v>76.0</v>
      </c>
      <c r="D84" s="90" t="b">
        <v>0</v>
      </c>
      <c r="E84" s="106" t="s">
        <v>198</v>
      </c>
      <c r="F84" s="106" t="s">
        <v>199</v>
      </c>
      <c r="H84" s="106"/>
      <c r="I84" s="106"/>
    </row>
    <row r="85">
      <c r="A85" s="90">
        <v>83.0</v>
      </c>
      <c r="C85" s="90">
        <v>76.0</v>
      </c>
      <c r="D85" s="90" t="b">
        <v>0</v>
      </c>
      <c r="E85" s="107" t="s">
        <v>200</v>
      </c>
      <c r="F85" s="107" t="s">
        <v>201</v>
      </c>
      <c r="H85" s="107"/>
      <c r="I85" s="107"/>
    </row>
    <row r="86">
      <c r="A86" s="90">
        <v>84.0</v>
      </c>
      <c r="C86" s="90">
        <v>76.0</v>
      </c>
      <c r="D86" s="90" t="b">
        <v>0</v>
      </c>
      <c r="E86" s="107" t="s">
        <v>202</v>
      </c>
      <c r="F86" s="107" t="s">
        <v>203</v>
      </c>
      <c r="H86" s="107"/>
      <c r="I86" s="107"/>
    </row>
    <row r="87">
      <c r="A87" s="90">
        <v>85.0</v>
      </c>
      <c r="C87" s="90">
        <v>76.0</v>
      </c>
      <c r="D87" s="90" t="b">
        <v>0</v>
      </c>
      <c r="E87" s="107" t="s">
        <v>204</v>
      </c>
      <c r="F87" s="107" t="s">
        <v>205</v>
      </c>
      <c r="H87" s="107"/>
      <c r="I87" s="107"/>
    </row>
    <row r="88">
      <c r="A88" s="90">
        <v>86.0</v>
      </c>
      <c r="C88" s="90">
        <v>76.0</v>
      </c>
      <c r="D88" s="90" t="b">
        <v>0</v>
      </c>
      <c r="E88" s="107" t="s">
        <v>206</v>
      </c>
      <c r="F88" s="107" t="s">
        <v>207</v>
      </c>
      <c r="H88" s="107"/>
      <c r="I88" s="107"/>
    </row>
    <row r="89">
      <c r="A89" s="90">
        <v>87.0</v>
      </c>
      <c r="C89" s="90">
        <v>76.0</v>
      </c>
      <c r="D89" s="90" t="b">
        <v>0</v>
      </c>
      <c r="E89" s="106" t="s">
        <v>208</v>
      </c>
      <c r="F89" s="106" t="s">
        <v>209</v>
      </c>
      <c r="H89" s="106"/>
      <c r="I89" s="106"/>
    </row>
    <row r="90">
      <c r="A90" s="90">
        <v>88.0</v>
      </c>
      <c r="C90" s="90">
        <v>76.0</v>
      </c>
      <c r="D90" s="90" t="b">
        <v>0</v>
      </c>
      <c r="E90" s="107" t="s">
        <v>210</v>
      </c>
      <c r="F90" s="107" t="s">
        <v>211</v>
      </c>
      <c r="H90" s="107"/>
      <c r="I90" s="107"/>
    </row>
    <row r="91">
      <c r="A91" s="90">
        <v>89.0</v>
      </c>
      <c r="C91" s="90">
        <v>76.0</v>
      </c>
      <c r="D91" s="90" t="b">
        <v>0</v>
      </c>
      <c r="E91" s="109" t="s">
        <v>212</v>
      </c>
      <c r="F91" s="109" t="s">
        <v>213</v>
      </c>
      <c r="H91" s="109"/>
      <c r="I91" s="109"/>
    </row>
    <row r="92">
      <c r="A92" s="90">
        <v>90.0</v>
      </c>
      <c r="C92" s="90">
        <v>76.0</v>
      </c>
      <c r="D92" s="90" t="b">
        <v>0</v>
      </c>
      <c r="E92" s="110" t="s">
        <v>214</v>
      </c>
      <c r="F92" s="110" t="s">
        <v>215</v>
      </c>
      <c r="H92" s="110"/>
      <c r="I92" s="110"/>
    </row>
    <row r="93">
      <c r="A93" s="90">
        <v>91.0</v>
      </c>
      <c r="C93" s="90">
        <v>76.0</v>
      </c>
      <c r="D93" s="90" t="b">
        <v>0</v>
      </c>
      <c r="E93" s="110" t="s">
        <v>216</v>
      </c>
      <c r="F93" s="110" t="s">
        <v>217</v>
      </c>
      <c r="H93" s="110"/>
      <c r="I93" s="110"/>
    </row>
    <row r="94">
      <c r="A94" s="90">
        <v>92.0</v>
      </c>
      <c r="C94" s="90">
        <v>76.0</v>
      </c>
      <c r="D94" s="90" t="b">
        <v>0</v>
      </c>
      <c r="E94" s="111" t="s">
        <v>218</v>
      </c>
      <c r="F94" s="111" t="s">
        <v>219</v>
      </c>
      <c r="H94" s="111"/>
      <c r="I94" s="111"/>
    </row>
    <row r="95">
      <c r="E95" s="112"/>
      <c r="F95" s="112"/>
      <c r="H95" s="112"/>
      <c r="I95" s="112"/>
    </row>
    <row r="96">
      <c r="E96" s="112"/>
      <c r="F96" s="112"/>
      <c r="H96" s="112"/>
      <c r="I96" s="112"/>
    </row>
    <row r="97">
      <c r="E97" s="112"/>
      <c r="F97" s="112"/>
      <c r="H97" s="112"/>
      <c r="I97" s="112"/>
    </row>
    <row r="98">
      <c r="E98" s="112"/>
      <c r="F98" s="112"/>
      <c r="H98" s="112"/>
      <c r="I98" s="112"/>
    </row>
    <row r="99">
      <c r="C99" s="90">
        <v>76.0</v>
      </c>
      <c r="D99" s="90" t="b">
        <v>0</v>
      </c>
      <c r="E99" s="113" t="s">
        <v>220</v>
      </c>
      <c r="F99" s="110"/>
      <c r="H99" s="113"/>
      <c r="I99" s="110"/>
    </row>
    <row r="100">
      <c r="A100" s="90">
        <v>99.0</v>
      </c>
      <c r="C100" s="90">
        <v>76.0</v>
      </c>
      <c r="D100" s="90" t="b">
        <v>0</v>
      </c>
      <c r="E100" s="114" t="s">
        <v>221</v>
      </c>
      <c r="F100" s="114" t="s">
        <v>222</v>
      </c>
      <c r="H100" s="114"/>
      <c r="I100" s="114"/>
    </row>
    <row r="101">
      <c r="A101" s="90">
        <v>100.0</v>
      </c>
      <c r="C101" s="90">
        <v>76.0</v>
      </c>
      <c r="D101" s="90" t="b">
        <v>0</v>
      </c>
      <c r="E101" s="114" t="s">
        <v>223</v>
      </c>
      <c r="F101" s="114" t="s">
        <v>224</v>
      </c>
      <c r="H101" s="114"/>
      <c r="I101" s="114"/>
    </row>
    <row r="102">
      <c r="A102" s="90">
        <v>101.0</v>
      </c>
      <c r="C102" s="90">
        <v>76.0</v>
      </c>
      <c r="D102" s="90" t="b">
        <v>0</v>
      </c>
      <c r="E102" s="114" t="s">
        <v>225</v>
      </c>
      <c r="F102" s="114" t="s">
        <v>226</v>
      </c>
      <c r="H102" s="114"/>
      <c r="I102" s="114"/>
    </row>
    <row r="103">
      <c r="A103" s="90">
        <v>102.0</v>
      </c>
      <c r="C103" s="90">
        <v>76.0</v>
      </c>
      <c r="D103" s="90" t="b">
        <v>0</v>
      </c>
      <c r="E103" s="114" t="s">
        <v>227</v>
      </c>
      <c r="F103" s="114" t="s">
        <v>228</v>
      </c>
      <c r="H103" s="114"/>
      <c r="I103" s="114"/>
    </row>
    <row r="104">
      <c r="A104" s="90">
        <v>103.0</v>
      </c>
      <c r="C104" s="90">
        <v>76.0</v>
      </c>
      <c r="D104" s="90" t="b">
        <v>0</v>
      </c>
      <c r="E104" s="114" t="s">
        <v>229</v>
      </c>
      <c r="F104" s="114" t="s">
        <v>230</v>
      </c>
      <c r="H104" s="114"/>
      <c r="I104" s="114"/>
    </row>
    <row r="105">
      <c r="A105" s="90">
        <v>104.0</v>
      </c>
      <c r="C105" s="90">
        <v>76.0</v>
      </c>
      <c r="D105" s="90" t="b">
        <v>0</v>
      </c>
      <c r="E105" s="114" t="s">
        <v>231</v>
      </c>
      <c r="F105" s="114" t="s">
        <v>232</v>
      </c>
      <c r="H105" s="114"/>
      <c r="I105" s="114"/>
    </row>
    <row r="106">
      <c r="A106" s="90">
        <v>105.0</v>
      </c>
      <c r="C106" s="90">
        <v>76.0</v>
      </c>
      <c r="D106" s="90" t="b">
        <v>0</v>
      </c>
      <c r="E106" s="114" t="s">
        <v>233</v>
      </c>
      <c r="F106" s="114" t="s">
        <v>234</v>
      </c>
      <c r="H106" s="114"/>
      <c r="I106" s="114"/>
    </row>
    <row r="107">
      <c r="A107" s="90">
        <v>106.0</v>
      </c>
      <c r="C107" s="90">
        <v>76.0</v>
      </c>
      <c r="D107" s="90" t="b">
        <v>0</v>
      </c>
      <c r="E107" s="114" t="s">
        <v>235</v>
      </c>
      <c r="F107" s="114" t="s">
        <v>236</v>
      </c>
      <c r="H107" s="114"/>
      <c r="I107" s="114"/>
    </row>
    <row r="108">
      <c r="A108" s="90">
        <v>107.0</v>
      </c>
      <c r="C108" s="90">
        <v>76.0</v>
      </c>
      <c r="D108" s="90" t="b">
        <v>0</v>
      </c>
      <c r="E108" s="114" t="s">
        <v>237</v>
      </c>
      <c r="F108" s="114" t="s">
        <v>238</v>
      </c>
      <c r="H108" s="114"/>
      <c r="I108" s="114"/>
    </row>
    <row r="109">
      <c r="A109" s="90">
        <v>108.0</v>
      </c>
      <c r="C109" s="90">
        <v>76.0</v>
      </c>
      <c r="D109" s="90" t="b">
        <v>0</v>
      </c>
      <c r="E109" s="114" t="s">
        <v>239</v>
      </c>
      <c r="F109" s="114" t="s">
        <v>240</v>
      </c>
      <c r="H109" s="114"/>
      <c r="I109" s="114"/>
    </row>
    <row r="110">
      <c r="A110" s="90">
        <v>109.0</v>
      </c>
      <c r="C110" s="90">
        <v>76.0</v>
      </c>
      <c r="D110" s="90" t="b">
        <v>0</v>
      </c>
      <c r="E110" s="114" t="s">
        <v>239</v>
      </c>
      <c r="F110" s="114" t="s">
        <v>241</v>
      </c>
      <c r="H110" s="114"/>
      <c r="I110" s="114"/>
    </row>
    <row r="111">
      <c r="A111" s="90">
        <v>110.0</v>
      </c>
      <c r="C111" s="90">
        <v>76.0</v>
      </c>
      <c r="D111" s="90" t="b">
        <v>0</v>
      </c>
      <c r="E111" s="114" t="s">
        <v>242</v>
      </c>
      <c r="F111" s="114" t="s">
        <v>243</v>
      </c>
      <c r="H111" s="114"/>
      <c r="I111" s="114"/>
    </row>
    <row r="112">
      <c r="A112" s="90">
        <v>111.0</v>
      </c>
      <c r="C112" s="90">
        <v>76.0</v>
      </c>
      <c r="D112" s="90" t="b">
        <v>0</v>
      </c>
      <c r="E112" s="114" t="s">
        <v>244</v>
      </c>
      <c r="F112" s="114" t="s">
        <v>245</v>
      </c>
      <c r="H112" s="114"/>
      <c r="I112" s="114"/>
    </row>
    <row r="113">
      <c r="A113" s="90">
        <v>112.0</v>
      </c>
      <c r="C113" s="90">
        <v>76.0</v>
      </c>
      <c r="D113" s="90" t="b">
        <v>0</v>
      </c>
      <c r="E113" s="114" t="s">
        <v>161</v>
      </c>
      <c r="F113" s="114" t="s">
        <v>246</v>
      </c>
      <c r="H113" s="114"/>
      <c r="I113" s="114"/>
    </row>
    <row r="114">
      <c r="A114" s="90">
        <v>113.0</v>
      </c>
      <c r="C114" s="90">
        <v>76.0</v>
      </c>
      <c r="D114" s="90" t="b">
        <v>0</v>
      </c>
      <c r="E114" s="114" t="s">
        <v>161</v>
      </c>
      <c r="F114" s="114" t="s">
        <v>247</v>
      </c>
      <c r="H114" s="114"/>
      <c r="I114" s="114"/>
    </row>
    <row r="115">
      <c r="A115" s="90">
        <v>114.0</v>
      </c>
      <c r="C115" s="90">
        <v>76.0</v>
      </c>
      <c r="D115" s="90" t="b">
        <v>0</v>
      </c>
      <c r="E115" s="114" t="s">
        <v>161</v>
      </c>
      <c r="F115" s="114" t="s">
        <v>248</v>
      </c>
      <c r="H115" s="114"/>
      <c r="I115" s="114"/>
    </row>
    <row r="116">
      <c r="A116" s="90">
        <v>115.0</v>
      </c>
      <c r="C116" s="90">
        <v>76.0</v>
      </c>
      <c r="D116" s="90" t="b">
        <v>0</v>
      </c>
      <c r="E116" s="114" t="s">
        <v>76</v>
      </c>
      <c r="F116" s="114" t="s">
        <v>249</v>
      </c>
      <c r="H116" s="114"/>
      <c r="I116" s="114"/>
    </row>
    <row r="117">
      <c r="A117" s="90">
        <v>116.0</v>
      </c>
      <c r="C117" s="90">
        <v>76.0</v>
      </c>
      <c r="D117" s="90" t="b">
        <v>0</v>
      </c>
      <c r="E117" s="114" t="s">
        <v>250</v>
      </c>
      <c r="F117" s="114" t="s">
        <v>251</v>
      </c>
      <c r="H117" s="114"/>
      <c r="I117" s="114"/>
    </row>
    <row r="118">
      <c r="A118" s="90">
        <v>117.0</v>
      </c>
      <c r="C118" s="90">
        <v>76.0</v>
      </c>
      <c r="D118" s="90" t="b">
        <v>0</v>
      </c>
      <c r="E118" s="114" t="s">
        <v>252</v>
      </c>
      <c r="F118" s="114" t="s">
        <v>251</v>
      </c>
      <c r="H118" s="114"/>
      <c r="I118" s="114"/>
    </row>
    <row r="119">
      <c r="A119" s="90">
        <v>118.0</v>
      </c>
      <c r="C119" s="90">
        <v>76.0</v>
      </c>
      <c r="D119" s="90" t="b">
        <v>0</v>
      </c>
      <c r="E119" s="114" t="s">
        <v>253</v>
      </c>
      <c r="F119" s="114" t="s">
        <v>254</v>
      </c>
      <c r="H119" s="114"/>
      <c r="I119" s="114"/>
    </row>
    <row r="121">
      <c r="A121" s="90">
        <v>120.0</v>
      </c>
      <c r="C121" s="90">
        <v>120.0</v>
      </c>
      <c r="D121" s="90" t="b">
        <v>1</v>
      </c>
      <c r="E121" s="105" t="s">
        <v>255</v>
      </c>
      <c r="F121" s="105" t="s">
        <v>256</v>
      </c>
      <c r="H121" s="105"/>
      <c r="I121" s="105"/>
    </row>
    <row r="122">
      <c r="A122" s="90">
        <v>121.0</v>
      </c>
      <c r="C122" s="90">
        <v>120.0</v>
      </c>
      <c r="D122" s="90" t="b">
        <v>0</v>
      </c>
      <c r="E122" s="115" t="s">
        <v>257</v>
      </c>
      <c r="F122" s="107" t="s">
        <v>258</v>
      </c>
      <c r="H122" s="115"/>
      <c r="I122" s="107"/>
    </row>
    <row r="123">
      <c r="A123" s="90">
        <v>122.0</v>
      </c>
      <c r="C123" s="90">
        <v>120.0</v>
      </c>
      <c r="D123" s="90" t="b">
        <v>0</v>
      </c>
      <c r="E123" s="107" t="s">
        <v>259</v>
      </c>
      <c r="F123" s="107" t="s">
        <v>260</v>
      </c>
      <c r="H123" s="107"/>
      <c r="I123" s="107"/>
    </row>
    <row r="124">
      <c r="A124" s="90">
        <v>123.0</v>
      </c>
      <c r="C124" s="90">
        <v>120.0</v>
      </c>
      <c r="D124" s="90" t="b">
        <v>0</v>
      </c>
      <c r="E124" s="116" t="s">
        <v>57</v>
      </c>
      <c r="F124" s="107" t="s">
        <v>261</v>
      </c>
      <c r="H124" s="116"/>
      <c r="I124" s="107"/>
    </row>
    <row r="125">
      <c r="A125" s="90">
        <v>124.0</v>
      </c>
      <c r="C125" s="90">
        <v>120.0</v>
      </c>
      <c r="D125" s="90" t="b">
        <v>0</v>
      </c>
      <c r="E125" s="107" t="s">
        <v>262</v>
      </c>
      <c r="F125" s="107" t="s">
        <v>263</v>
      </c>
      <c r="H125" s="107"/>
      <c r="I125" s="107"/>
    </row>
    <row r="126">
      <c r="A126" s="90">
        <v>125.0</v>
      </c>
      <c r="C126" s="90">
        <v>120.0</v>
      </c>
      <c r="D126" s="90" t="b">
        <v>0</v>
      </c>
      <c r="E126" s="107" t="s">
        <v>264</v>
      </c>
      <c r="F126" s="107" t="s">
        <v>265</v>
      </c>
      <c r="H126" s="107"/>
      <c r="I126" s="107"/>
    </row>
    <row r="127">
      <c r="A127" s="90">
        <v>126.0</v>
      </c>
      <c r="C127" s="90">
        <v>120.0</v>
      </c>
      <c r="D127" s="90" t="b">
        <v>0</v>
      </c>
      <c r="E127" s="107" t="s">
        <v>266</v>
      </c>
      <c r="F127" s="107" t="s">
        <v>251</v>
      </c>
      <c r="H127" s="107"/>
      <c r="I127" s="107"/>
    </row>
    <row r="128">
      <c r="A128" s="90">
        <v>127.0</v>
      </c>
      <c r="C128" s="90">
        <v>120.0</v>
      </c>
      <c r="D128" s="90" t="b">
        <v>0</v>
      </c>
      <c r="E128" s="107" t="s">
        <v>267</v>
      </c>
      <c r="F128" s="107" t="s">
        <v>268</v>
      </c>
      <c r="H128" s="107"/>
      <c r="I128" s="107"/>
    </row>
    <row r="129">
      <c r="A129" s="90">
        <v>128.0</v>
      </c>
      <c r="C129" s="90">
        <v>120.0</v>
      </c>
      <c r="D129" s="90" t="b">
        <v>0</v>
      </c>
      <c r="E129" s="107" t="s">
        <v>269</v>
      </c>
      <c r="F129" s="107" t="s">
        <v>270</v>
      </c>
      <c r="H129" s="107"/>
      <c r="I129" s="107"/>
    </row>
    <row r="130">
      <c r="A130" s="90">
        <v>129.0</v>
      </c>
      <c r="C130" s="90">
        <v>120.0</v>
      </c>
      <c r="D130" s="90" t="b">
        <v>0</v>
      </c>
      <c r="E130" s="107" t="s">
        <v>271</v>
      </c>
      <c r="F130" s="107" t="s">
        <v>272</v>
      </c>
      <c r="H130" s="107"/>
      <c r="I130" s="107"/>
    </row>
    <row r="131">
      <c r="A131" s="90">
        <v>130.0</v>
      </c>
      <c r="C131" s="90">
        <v>120.0</v>
      </c>
      <c r="D131" s="90" t="b">
        <v>0</v>
      </c>
      <c r="E131" s="107" t="s">
        <v>273</v>
      </c>
      <c r="F131" s="107" t="s">
        <v>274</v>
      </c>
      <c r="H131" s="107"/>
      <c r="I131" s="107"/>
    </row>
    <row r="132">
      <c r="A132" s="90">
        <v>131.0</v>
      </c>
      <c r="C132" s="90">
        <v>120.0</v>
      </c>
      <c r="D132" s="90" t="b">
        <v>0</v>
      </c>
      <c r="E132" s="107" t="s">
        <v>181</v>
      </c>
      <c r="F132" s="107" t="s">
        <v>275</v>
      </c>
      <c r="H132" s="107"/>
      <c r="I132" s="107"/>
    </row>
    <row r="133">
      <c r="A133" s="90">
        <v>132.0</v>
      </c>
      <c r="C133" s="90">
        <v>120.0</v>
      </c>
      <c r="D133" s="90" t="b">
        <v>0</v>
      </c>
      <c r="E133" s="107" t="s">
        <v>276</v>
      </c>
      <c r="F133" s="107" t="s">
        <v>277</v>
      </c>
      <c r="H133" s="107"/>
      <c r="I133" s="107"/>
    </row>
    <row r="134">
      <c r="A134" s="90">
        <v>133.0</v>
      </c>
      <c r="C134" s="90">
        <v>120.0</v>
      </c>
      <c r="D134" s="90" t="b">
        <v>0</v>
      </c>
      <c r="E134" s="107" t="s">
        <v>278</v>
      </c>
      <c r="F134" s="107" t="s">
        <v>279</v>
      </c>
      <c r="H134" s="107"/>
      <c r="I134" s="107"/>
    </row>
    <row r="135">
      <c r="A135" s="90">
        <v>134.0</v>
      </c>
      <c r="C135" s="90">
        <v>120.0</v>
      </c>
      <c r="D135" s="90" t="b">
        <v>0</v>
      </c>
      <c r="E135" s="107" t="s">
        <v>280</v>
      </c>
      <c r="F135" s="107" t="s">
        <v>281</v>
      </c>
      <c r="H135" s="107"/>
      <c r="I135" s="107"/>
    </row>
    <row r="136">
      <c r="A136" s="90">
        <v>135.0</v>
      </c>
      <c r="C136" s="90">
        <v>120.0</v>
      </c>
      <c r="D136" s="90" t="b">
        <v>0</v>
      </c>
      <c r="E136" s="107" t="s">
        <v>282</v>
      </c>
      <c r="F136" s="107" t="s">
        <v>283</v>
      </c>
      <c r="H136" s="107"/>
      <c r="I136" s="107"/>
    </row>
    <row r="137">
      <c r="A137" s="90">
        <v>136.0</v>
      </c>
      <c r="C137" s="90">
        <v>120.0</v>
      </c>
      <c r="D137" s="90" t="b">
        <v>0</v>
      </c>
      <c r="E137" s="107" t="s">
        <v>282</v>
      </c>
      <c r="F137" s="107" t="s">
        <v>284</v>
      </c>
      <c r="H137" s="107"/>
      <c r="I137" s="107"/>
    </row>
    <row r="138">
      <c r="A138" s="90">
        <v>137.0</v>
      </c>
      <c r="C138" s="90">
        <v>120.0</v>
      </c>
      <c r="D138" s="90" t="b">
        <v>0</v>
      </c>
      <c r="E138" s="107" t="s">
        <v>285</v>
      </c>
      <c r="F138" s="107" t="s">
        <v>286</v>
      </c>
      <c r="H138" s="107"/>
      <c r="I138" s="107"/>
    </row>
    <row r="139">
      <c r="A139" s="90">
        <v>138.0</v>
      </c>
      <c r="C139" s="90">
        <v>120.0</v>
      </c>
      <c r="D139" s="90" t="b">
        <v>0</v>
      </c>
      <c r="E139" s="98"/>
      <c r="F139" s="107" t="s">
        <v>287</v>
      </c>
      <c r="H139" s="98"/>
      <c r="I139" s="107"/>
    </row>
    <row r="141">
      <c r="A141" s="90">
        <v>140.0</v>
      </c>
      <c r="C141" s="90">
        <v>140.0</v>
      </c>
      <c r="D141" s="90" t="b">
        <v>1</v>
      </c>
      <c r="E141" s="105" t="s">
        <v>47</v>
      </c>
      <c r="F141" s="105" t="s">
        <v>288</v>
      </c>
      <c r="H141" s="105"/>
      <c r="I141" s="105"/>
    </row>
    <row r="142">
      <c r="A142" s="90">
        <v>141.0</v>
      </c>
      <c r="C142" s="90">
        <v>140.0</v>
      </c>
      <c r="D142" s="90" t="b">
        <v>0</v>
      </c>
      <c r="E142" s="109" t="s">
        <v>289</v>
      </c>
      <c r="F142" s="109" t="s">
        <v>290</v>
      </c>
      <c r="H142" s="109"/>
      <c r="I142" s="109"/>
    </row>
    <row r="143">
      <c r="A143" s="90">
        <v>142.0</v>
      </c>
      <c r="C143" s="90">
        <v>140.0</v>
      </c>
      <c r="D143" s="90" t="b">
        <v>0</v>
      </c>
      <c r="E143" s="109" t="s">
        <v>188</v>
      </c>
      <c r="F143" s="109" t="s">
        <v>291</v>
      </c>
      <c r="H143" s="109"/>
      <c r="I143" s="109"/>
    </row>
    <row r="144">
      <c r="A144" s="90">
        <v>143.0</v>
      </c>
      <c r="C144" s="90">
        <v>140.0</v>
      </c>
      <c r="D144" s="90" t="b">
        <v>0</v>
      </c>
      <c r="E144" s="109" t="s">
        <v>210</v>
      </c>
      <c r="F144" s="109" t="s">
        <v>292</v>
      </c>
      <c r="H144" s="109"/>
      <c r="I144" s="109"/>
    </row>
    <row r="145">
      <c r="A145" s="90">
        <v>144.0</v>
      </c>
      <c r="C145" s="90">
        <v>140.0</v>
      </c>
      <c r="D145" s="90" t="b">
        <v>0</v>
      </c>
      <c r="E145" s="109" t="s">
        <v>47</v>
      </c>
      <c r="F145" s="109" t="s">
        <v>293</v>
      </c>
      <c r="H145" s="109"/>
      <c r="I145" s="109"/>
    </row>
    <row r="146">
      <c r="A146" s="90">
        <v>145.0</v>
      </c>
      <c r="C146" s="90">
        <v>140.0</v>
      </c>
      <c r="D146" s="90" t="b">
        <v>0</v>
      </c>
      <c r="E146" s="109" t="s">
        <v>294</v>
      </c>
      <c r="F146" s="109" t="s">
        <v>295</v>
      </c>
      <c r="H146" s="109"/>
      <c r="I146" s="109"/>
    </row>
    <row r="147">
      <c r="A147" s="90">
        <v>146.0</v>
      </c>
      <c r="C147" s="90">
        <v>140.0</v>
      </c>
      <c r="D147" s="90" t="b">
        <v>0</v>
      </c>
      <c r="E147" s="109" t="s">
        <v>223</v>
      </c>
      <c r="F147" s="109" t="s">
        <v>296</v>
      </c>
      <c r="H147" s="109"/>
      <c r="I147" s="109"/>
    </row>
    <row r="148">
      <c r="A148" s="90">
        <v>147.0</v>
      </c>
      <c r="C148" s="90">
        <v>140.0</v>
      </c>
      <c r="D148" s="90" t="b">
        <v>0</v>
      </c>
      <c r="E148" s="109" t="s">
        <v>297</v>
      </c>
      <c r="F148" s="109" t="s">
        <v>298</v>
      </c>
      <c r="H148" s="109"/>
      <c r="I148" s="109"/>
    </row>
    <row r="149">
      <c r="A149" s="90">
        <v>148.0</v>
      </c>
      <c r="C149" s="90">
        <v>140.0</v>
      </c>
      <c r="D149" s="90" t="b">
        <v>0</v>
      </c>
      <c r="E149" s="109" t="s">
        <v>299</v>
      </c>
      <c r="F149" s="109" t="s">
        <v>300</v>
      </c>
      <c r="H149" s="109"/>
      <c r="I149" s="109"/>
    </row>
    <row r="150">
      <c r="A150" s="90">
        <v>149.0</v>
      </c>
      <c r="C150" s="90">
        <v>140.0</v>
      </c>
      <c r="D150" s="90" t="b">
        <v>0</v>
      </c>
      <c r="E150" s="109" t="s">
        <v>301</v>
      </c>
      <c r="F150" s="109" t="s">
        <v>302</v>
      </c>
      <c r="H150" s="109"/>
      <c r="I150" s="109"/>
    </row>
    <row r="151">
      <c r="A151" s="90">
        <v>150.0</v>
      </c>
      <c r="C151" s="90">
        <v>140.0</v>
      </c>
      <c r="D151" s="90" t="b">
        <v>0</v>
      </c>
      <c r="E151" s="109" t="s">
        <v>303</v>
      </c>
      <c r="F151" s="109" t="s">
        <v>304</v>
      </c>
      <c r="H151" s="109"/>
      <c r="I151" s="109"/>
    </row>
    <row r="152">
      <c r="A152" s="90">
        <v>151.0</v>
      </c>
      <c r="C152" s="90">
        <v>140.0</v>
      </c>
      <c r="D152" s="90" t="b">
        <v>0</v>
      </c>
      <c r="E152" s="109" t="s">
        <v>305</v>
      </c>
      <c r="F152" s="109" t="s">
        <v>306</v>
      </c>
      <c r="H152" s="109"/>
      <c r="I152" s="109"/>
    </row>
    <row r="153">
      <c r="A153" s="90">
        <v>152.0</v>
      </c>
      <c r="C153" s="90">
        <v>140.0</v>
      </c>
      <c r="D153" s="90" t="b">
        <v>0</v>
      </c>
      <c r="E153" s="109" t="s">
        <v>307</v>
      </c>
      <c r="F153" s="109" t="s">
        <v>308</v>
      </c>
      <c r="H153" s="109"/>
      <c r="I153" s="109"/>
    </row>
    <row r="154">
      <c r="A154" s="90">
        <v>153.0</v>
      </c>
      <c r="C154" s="90">
        <v>140.0</v>
      </c>
      <c r="D154" s="90" t="b">
        <v>0</v>
      </c>
      <c r="E154" s="109" t="s">
        <v>309</v>
      </c>
      <c r="F154" s="109" t="s">
        <v>310</v>
      </c>
      <c r="H154" s="109"/>
      <c r="I154" s="109"/>
    </row>
    <row r="155">
      <c r="A155" s="90">
        <v>154.0</v>
      </c>
      <c r="C155" s="90">
        <v>140.0</v>
      </c>
      <c r="D155" s="90" t="b">
        <v>0</v>
      </c>
      <c r="E155" s="109" t="s">
        <v>309</v>
      </c>
      <c r="F155" s="109" t="s">
        <v>165</v>
      </c>
      <c r="H155" s="109"/>
      <c r="I155" s="109"/>
    </row>
    <row r="156">
      <c r="A156" s="90">
        <v>155.0</v>
      </c>
      <c r="C156" s="90">
        <v>140.0</v>
      </c>
      <c r="D156" s="90" t="b">
        <v>0</v>
      </c>
      <c r="E156" s="109" t="s">
        <v>311</v>
      </c>
      <c r="F156" s="109" t="s">
        <v>156</v>
      </c>
      <c r="H156" s="109"/>
      <c r="I156" s="109"/>
    </row>
    <row r="157">
      <c r="A157" s="90">
        <v>156.0</v>
      </c>
      <c r="C157" s="90">
        <v>140.0</v>
      </c>
      <c r="D157" s="90" t="b">
        <v>0</v>
      </c>
      <c r="E157" s="109" t="s">
        <v>311</v>
      </c>
      <c r="F157" s="109" t="s">
        <v>312</v>
      </c>
      <c r="H157" s="109"/>
      <c r="I157" s="109"/>
    </row>
    <row r="158">
      <c r="A158" s="90">
        <v>157.0</v>
      </c>
      <c r="C158" s="90">
        <v>140.0</v>
      </c>
      <c r="D158" s="90" t="b">
        <v>0</v>
      </c>
      <c r="E158" s="109" t="s">
        <v>313</v>
      </c>
      <c r="F158" s="109" t="s">
        <v>314</v>
      </c>
      <c r="H158" s="109"/>
      <c r="I158" s="109"/>
    </row>
    <row r="159">
      <c r="A159" s="90">
        <v>158.0</v>
      </c>
      <c r="C159" s="90">
        <v>140.0</v>
      </c>
      <c r="D159" s="90" t="b">
        <v>0</v>
      </c>
      <c r="E159" s="109" t="s">
        <v>315</v>
      </c>
      <c r="F159" s="109" t="s">
        <v>316</v>
      </c>
      <c r="H159" s="109"/>
      <c r="I159" s="109"/>
    </row>
    <row r="160">
      <c r="A160" s="90">
        <v>159.0</v>
      </c>
      <c r="C160" s="90">
        <v>140.0</v>
      </c>
      <c r="D160" s="90" t="b">
        <v>0</v>
      </c>
      <c r="E160" s="109" t="s">
        <v>317</v>
      </c>
      <c r="F160" s="109" t="s">
        <v>318</v>
      </c>
      <c r="H160" s="109"/>
      <c r="I160" s="109"/>
    </row>
    <row r="161">
      <c r="A161" s="90">
        <v>160.0</v>
      </c>
      <c r="C161" s="90">
        <v>140.0</v>
      </c>
      <c r="D161" s="90" t="b">
        <v>0</v>
      </c>
      <c r="E161" s="109" t="s">
        <v>319</v>
      </c>
      <c r="F161" s="109" t="s">
        <v>320</v>
      </c>
      <c r="H161" s="109"/>
      <c r="I161" s="109"/>
    </row>
    <row r="162">
      <c r="A162" s="90">
        <v>161.0</v>
      </c>
      <c r="C162" s="90">
        <v>140.0</v>
      </c>
      <c r="D162" s="90" t="b">
        <v>0</v>
      </c>
      <c r="E162" s="109" t="s">
        <v>68</v>
      </c>
      <c r="F162" s="109" t="s">
        <v>321</v>
      </c>
      <c r="H162" s="109"/>
      <c r="I162" s="109"/>
    </row>
    <row r="163">
      <c r="A163" s="90">
        <v>162.0</v>
      </c>
      <c r="C163" s="90">
        <v>140.0</v>
      </c>
      <c r="D163" s="90" t="b">
        <v>0</v>
      </c>
      <c r="E163" s="109" t="s">
        <v>181</v>
      </c>
      <c r="F163" s="109" t="s">
        <v>322</v>
      </c>
      <c r="H163" s="109"/>
      <c r="I163" s="109"/>
    </row>
    <row r="164">
      <c r="A164" s="90">
        <v>163.0</v>
      </c>
      <c r="C164" s="90">
        <v>140.0</v>
      </c>
      <c r="D164" s="90" t="b">
        <v>0</v>
      </c>
      <c r="E164" s="109" t="s">
        <v>323</v>
      </c>
      <c r="F164" s="109" t="s">
        <v>324</v>
      </c>
      <c r="H164" s="109"/>
      <c r="I164" s="109"/>
    </row>
    <row r="165">
      <c r="A165" s="90">
        <v>164.0</v>
      </c>
      <c r="C165" s="90">
        <v>140.0</v>
      </c>
      <c r="D165" s="90" t="b">
        <v>0</v>
      </c>
      <c r="E165" s="109" t="s">
        <v>325</v>
      </c>
      <c r="F165" s="109" t="s">
        <v>326</v>
      </c>
      <c r="H165" s="109"/>
      <c r="I165" s="109"/>
    </row>
    <row r="166">
      <c r="A166" s="90">
        <v>165.0</v>
      </c>
      <c r="C166" s="90">
        <v>140.0</v>
      </c>
      <c r="D166" s="90" t="b">
        <v>0</v>
      </c>
      <c r="E166" s="109" t="s">
        <v>327</v>
      </c>
      <c r="F166" s="109" t="s">
        <v>328</v>
      </c>
      <c r="H166" s="109"/>
      <c r="I166" s="109"/>
    </row>
    <row r="167">
      <c r="A167" s="90">
        <v>166.0</v>
      </c>
      <c r="D167" s="90" t="b">
        <v>0</v>
      </c>
    </row>
    <row r="168">
      <c r="A168" s="90">
        <v>167.0</v>
      </c>
      <c r="C168" s="90">
        <v>167.0</v>
      </c>
      <c r="D168" s="90" t="b">
        <v>1</v>
      </c>
      <c r="E168" s="105" t="s">
        <v>329</v>
      </c>
      <c r="F168" s="105" t="s">
        <v>330</v>
      </c>
      <c r="H168" s="105"/>
      <c r="I168" s="105"/>
    </row>
    <row r="169">
      <c r="A169" s="90">
        <v>168.0</v>
      </c>
      <c r="C169" s="90">
        <v>167.0</v>
      </c>
      <c r="D169" s="90" t="b">
        <v>0</v>
      </c>
      <c r="E169" s="107" t="s">
        <v>331</v>
      </c>
      <c r="F169" s="107" t="s">
        <v>332</v>
      </c>
      <c r="H169" s="107"/>
      <c r="I169" s="107"/>
    </row>
    <row r="170">
      <c r="A170" s="90">
        <v>169.0</v>
      </c>
      <c r="C170" s="90">
        <v>167.0</v>
      </c>
      <c r="D170" s="90" t="b">
        <v>0</v>
      </c>
      <c r="E170" s="107" t="s">
        <v>333</v>
      </c>
      <c r="F170" s="107" t="s">
        <v>334</v>
      </c>
      <c r="H170" s="107"/>
      <c r="I170" s="107"/>
    </row>
    <row r="171">
      <c r="A171" s="90">
        <v>170.0</v>
      </c>
      <c r="C171" s="90">
        <v>167.0</v>
      </c>
      <c r="D171" s="90" t="b">
        <v>0</v>
      </c>
      <c r="E171" s="107" t="s">
        <v>335</v>
      </c>
      <c r="F171" s="107" t="s">
        <v>336</v>
      </c>
      <c r="H171" s="107"/>
      <c r="I171" s="107"/>
    </row>
    <row r="172">
      <c r="A172" s="90">
        <v>171.0</v>
      </c>
      <c r="C172" s="90">
        <v>167.0</v>
      </c>
      <c r="D172" s="90" t="b">
        <v>0</v>
      </c>
      <c r="E172" s="107" t="s">
        <v>188</v>
      </c>
      <c r="F172" s="107" t="s">
        <v>337</v>
      </c>
      <c r="H172" s="107"/>
      <c r="I172" s="107"/>
    </row>
    <row r="173">
      <c r="A173" s="90">
        <v>172.0</v>
      </c>
      <c r="C173" s="90">
        <v>167.0</v>
      </c>
      <c r="D173" s="90" t="b">
        <v>0</v>
      </c>
      <c r="E173" s="107" t="s">
        <v>338</v>
      </c>
      <c r="F173" s="107" t="s">
        <v>339</v>
      </c>
      <c r="H173" s="107"/>
      <c r="I173" s="107"/>
    </row>
    <row r="174">
      <c r="A174" s="90">
        <v>173.0</v>
      </c>
      <c r="C174" s="90">
        <v>167.0</v>
      </c>
      <c r="D174" s="90" t="b">
        <v>0</v>
      </c>
      <c r="E174" s="107" t="s">
        <v>340</v>
      </c>
      <c r="F174" s="107" t="s">
        <v>341</v>
      </c>
      <c r="H174" s="107"/>
      <c r="I174" s="107"/>
    </row>
    <row r="175">
      <c r="A175" s="90">
        <v>174.0</v>
      </c>
      <c r="C175" s="90">
        <v>167.0</v>
      </c>
      <c r="D175" s="90" t="b">
        <v>0</v>
      </c>
      <c r="E175" s="107" t="s">
        <v>342</v>
      </c>
      <c r="F175" s="107" t="s">
        <v>263</v>
      </c>
      <c r="H175" s="107"/>
      <c r="I175" s="107"/>
    </row>
    <row r="176">
      <c r="A176" s="90">
        <v>175.0</v>
      </c>
      <c r="C176" s="90">
        <v>167.0</v>
      </c>
      <c r="D176" s="90" t="b">
        <v>0</v>
      </c>
      <c r="E176" s="107" t="s">
        <v>343</v>
      </c>
      <c r="F176" s="107" t="s">
        <v>344</v>
      </c>
      <c r="H176" s="107"/>
      <c r="I176" s="107"/>
    </row>
    <row r="177">
      <c r="A177" s="90">
        <v>176.0</v>
      </c>
      <c r="C177" s="90">
        <v>167.0</v>
      </c>
      <c r="D177" s="90" t="b">
        <v>0</v>
      </c>
      <c r="E177" s="107" t="s">
        <v>345</v>
      </c>
      <c r="F177" s="107" t="s">
        <v>346</v>
      </c>
      <c r="H177" s="107"/>
      <c r="I177" s="107"/>
    </row>
    <row r="178">
      <c r="A178" s="90">
        <v>177.0</v>
      </c>
      <c r="C178" s="90">
        <v>167.0</v>
      </c>
      <c r="D178" s="90" t="b">
        <v>0</v>
      </c>
      <c r="E178" s="107" t="s">
        <v>347</v>
      </c>
      <c r="F178" s="107" t="s">
        <v>348</v>
      </c>
      <c r="H178" s="107"/>
      <c r="I178" s="107"/>
    </row>
    <row r="179">
      <c r="A179" s="90">
        <v>178.0</v>
      </c>
      <c r="C179" s="90">
        <v>167.0</v>
      </c>
      <c r="D179" s="90" t="b">
        <v>0</v>
      </c>
      <c r="E179" s="107" t="s">
        <v>349</v>
      </c>
      <c r="F179" s="107" t="s">
        <v>350</v>
      </c>
      <c r="H179" s="107"/>
      <c r="I179" s="107"/>
    </row>
    <row r="180">
      <c r="A180" s="90">
        <v>179.0</v>
      </c>
      <c r="C180" s="90">
        <v>167.0</v>
      </c>
      <c r="D180" s="90" t="b">
        <v>0</v>
      </c>
      <c r="E180" s="107" t="s">
        <v>351</v>
      </c>
      <c r="F180" s="107" t="s">
        <v>352</v>
      </c>
      <c r="H180" s="107"/>
      <c r="I180" s="107"/>
    </row>
    <row r="181">
      <c r="A181" s="90">
        <v>180.0</v>
      </c>
      <c r="C181" s="90">
        <v>167.0</v>
      </c>
      <c r="D181" s="90" t="b">
        <v>0</v>
      </c>
      <c r="E181" s="107" t="s">
        <v>353</v>
      </c>
      <c r="F181" s="107" t="s">
        <v>354</v>
      </c>
      <c r="H181" s="107"/>
      <c r="I181" s="107"/>
    </row>
    <row r="182">
      <c r="A182" s="90">
        <v>181.0</v>
      </c>
      <c r="C182" s="90">
        <v>167.0</v>
      </c>
      <c r="D182" s="90" t="b">
        <v>0</v>
      </c>
      <c r="E182" s="107" t="s">
        <v>355</v>
      </c>
      <c r="F182" s="107" t="s">
        <v>356</v>
      </c>
      <c r="H182" s="107"/>
      <c r="I182" s="107"/>
    </row>
    <row r="183">
      <c r="A183" s="90">
        <v>182.0</v>
      </c>
      <c r="C183" s="90">
        <v>167.0</v>
      </c>
      <c r="D183" s="90" t="b">
        <v>0</v>
      </c>
      <c r="E183" s="107" t="s">
        <v>355</v>
      </c>
      <c r="F183" s="107" t="s">
        <v>357</v>
      </c>
      <c r="H183" s="107"/>
      <c r="I183" s="107"/>
    </row>
    <row r="184">
      <c r="A184" s="90">
        <v>183.0</v>
      </c>
      <c r="C184" s="90">
        <v>167.0</v>
      </c>
      <c r="D184" s="90" t="b">
        <v>0</v>
      </c>
      <c r="E184" s="107" t="s">
        <v>358</v>
      </c>
      <c r="F184" s="107" t="s">
        <v>359</v>
      </c>
      <c r="H184" s="107"/>
      <c r="I184" s="107"/>
    </row>
    <row r="185">
      <c r="A185" s="90">
        <v>184.0</v>
      </c>
      <c r="C185" s="90">
        <v>167.0</v>
      </c>
      <c r="D185" s="90" t="b">
        <v>0</v>
      </c>
      <c r="E185" s="107" t="s">
        <v>97</v>
      </c>
      <c r="F185" s="107" t="s">
        <v>360</v>
      </c>
      <c r="H185" s="107"/>
      <c r="I185" s="107"/>
    </row>
    <row r="186">
      <c r="A186" s="90">
        <v>185.0</v>
      </c>
      <c r="C186" s="90">
        <v>167.0</v>
      </c>
      <c r="D186" s="90" t="b">
        <v>0</v>
      </c>
      <c r="E186" s="107" t="s">
        <v>317</v>
      </c>
      <c r="F186" s="107" t="s">
        <v>279</v>
      </c>
      <c r="H186" s="107"/>
      <c r="I186" s="107"/>
    </row>
    <row r="187">
      <c r="A187" s="90">
        <v>186.0</v>
      </c>
      <c r="C187" s="90">
        <v>167.0</v>
      </c>
      <c r="D187" s="90" t="b">
        <v>0</v>
      </c>
      <c r="E187" s="107" t="s">
        <v>317</v>
      </c>
      <c r="F187" s="107" t="s">
        <v>281</v>
      </c>
      <c r="H187" s="107"/>
      <c r="I187" s="107"/>
    </row>
    <row r="188">
      <c r="A188" s="90">
        <v>187.0</v>
      </c>
      <c r="C188" s="90">
        <v>167.0</v>
      </c>
      <c r="D188" s="90" t="b">
        <v>0</v>
      </c>
      <c r="E188" s="107" t="s">
        <v>317</v>
      </c>
      <c r="F188" s="107" t="s">
        <v>251</v>
      </c>
      <c r="H188" s="107"/>
      <c r="I188" s="107"/>
    </row>
    <row r="189">
      <c r="A189" s="90">
        <v>188.0</v>
      </c>
      <c r="C189" s="90">
        <v>167.0</v>
      </c>
      <c r="D189" s="90" t="b">
        <v>0</v>
      </c>
      <c r="E189" s="107" t="s">
        <v>361</v>
      </c>
      <c r="F189" s="107" t="s">
        <v>362</v>
      </c>
      <c r="H189" s="107"/>
      <c r="I189" s="107"/>
    </row>
    <row r="190">
      <c r="A190" s="90">
        <v>189.0</v>
      </c>
      <c r="C190" s="90">
        <v>167.0</v>
      </c>
      <c r="D190" s="90" t="b">
        <v>0</v>
      </c>
      <c r="E190" s="107" t="s">
        <v>363</v>
      </c>
      <c r="F190" s="107" t="s">
        <v>364</v>
      </c>
      <c r="H190" s="107"/>
      <c r="I190" s="107"/>
    </row>
    <row r="191">
      <c r="A191" s="90">
        <v>190.0</v>
      </c>
      <c r="C191" s="90">
        <v>167.0</v>
      </c>
      <c r="D191" s="90" t="b">
        <v>0</v>
      </c>
      <c r="E191" s="107" t="s">
        <v>225</v>
      </c>
      <c r="F191" s="107" t="s">
        <v>365</v>
      </c>
      <c r="H191" s="107"/>
      <c r="I191" s="107"/>
    </row>
    <row r="192">
      <c r="A192" s="90">
        <v>191.0</v>
      </c>
      <c r="C192" s="90">
        <v>167.0</v>
      </c>
      <c r="D192" s="90" t="b">
        <v>0</v>
      </c>
      <c r="E192" s="107" t="s">
        <v>366</v>
      </c>
      <c r="F192" s="107" t="s">
        <v>367</v>
      </c>
      <c r="H192" s="107"/>
      <c r="I192" s="107"/>
    </row>
    <row r="193">
      <c r="A193" s="90">
        <v>192.0</v>
      </c>
      <c r="C193" s="90">
        <v>167.0</v>
      </c>
      <c r="D193" s="90" t="b">
        <v>0</v>
      </c>
      <c r="E193" s="107" t="s">
        <v>368</v>
      </c>
      <c r="F193" s="107" t="s">
        <v>369</v>
      </c>
      <c r="H193" s="107"/>
      <c r="I193" s="107"/>
    </row>
    <row r="194">
      <c r="A194" s="90">
        <v>193.0</v>
      </c>
      <c r="C194" s="90">
        <v>167.0</v>
      </c>
      <c r="D194" s="90" t="b">
        <v>0</v>
      </c>
      <c r="E194" s="107" t="s">
        <v>370</v>
      </c>
      <c r="F194" s="107" t="s">
        <v>364</v>
      </c>
      <c r="H194" s="107"/>
      <c r="I194" s="107"/>
    </row>
    <row r="195">
      <c r="A195" s="90">
        <v>194.0</v>
      </c>
      <c r="C195" s="90">
        <v>167.0</v>
      </c>
      <c r="D195" s="90" t="b">
        <v>0</v>
      </c>
      <c r="E195" s="107" t="s">
        <v>371</v>
      </c>
      <c r="F195" s="107" t="s">
        <v>372</v>
      </c>
      <c r="H195" s="107"/>
      <c r="I195" s="107"/>
    </row>
    <row r="196">
      <c r="A196" s="90">
        <v>195.0</v>
      </c>
      <c r="C196" s="90">
        <v>167.0</v>
      </c>
      <c r="D196" s="90" t="b">
        <v>0</v>
      </c>
      <c r="E196" s="107" t="s">
        <v>181</v>
      </c>
      <c r="F196" s="107" t="s">
        <v>373</v>
      </c>
      <c r="H196" s="107"/>
      <c r="I196" s="107"/>
    </row>
    <row r="197">
      <c r="A197" s="90">
        <v>196.0</v>
      </c>
      <c r="C197" s="90">
        <v>167.0</v>
      </c>
      <c r="D197" s="90" t="b">
        <v>0</v>
      </c>
      <c r="E197" s="107" t="s">
        <v>374</v>
      </c>
      <c r="F197" s="107" t="s">
        <v>375</v>
      </c>
      <c r="H197" s="107"/>
      <c r="I197" s="107"/>
    </row>
    <row r="198">
      <c r="A198" s="90">
        <v>197.0</v>
      </c>
      <c r="C198" s="90">
        <v>167.0</v>
      </c>
      <c r="D198" s="90" t="b">
        <v>0</v>
      </c>
      <c r="E198" s="107" t="s">
        <v>376</v>
      </c>
      <c r="F198" s="107" t="s">
        <v>377</v>
      </c>
      <c r="H198" s="107"/>
      <c r="I198" s="107"/>
    </row>
    <row r="199">
      <c r="A199" s="90">
        <v>198.0</v>
      </c>
      <c r="C199" s="90">
        <v>167.0</v>
      </c>
      <c r="D199" s="90" t="b">
        <v>0</v>
      </c>
      <c r="E199" s="107" t="s">
        <v>378</v>
      </c>
      <c r="F199" s="107" t="s">
        <v>379</v>
      </c>
      <c r="H199" s="107"/>
      <c r="I199" s="107"/>
    </row>
    <row r="200">
      <c r="A200" s="90">
        <v>199.0</v>
      </c>
      <c r="C200" s="90">
        <v>167.0</v>
      </c>
      <c r="D200" s="90" t="b">
        <v>0</v>
      </c>
      <c r="E200" s="107" t="s">
        <v>380</v>
      </c>
      <c r="F200" s="107" t="s">
        <v>381</v>
      </c>
      <c r="H200" s="107"/>
      <c r="I200" s="107"/>
    </row>
    <row r="201">
      <c r="A201" s="90">
        <v>200.0</v>
      </c>
      <c r="C201" s="90">
        <v>167.0</v>
      </c>
      <c r="D201" s="90" t="b">
        <v>0</v>
      </c>
      <c r="E201" s="107" t="s">
        <v>117</v>
      </c>
      <c r="F201" s="107" t="s">
        <v>382</v>
      </c>
      <c r="H201" s="107"/>
      <c r="I201" s="107"/>
    </row>
    <row r="202">
      <c r="A202" s="90">
        <v>201.0</v>
      </c>
      <c r="C202" s="90">
        <v>167.0</v>
      </c>
      <c r="D202" s="90" t="b">
        <v>0</v>
      </c>
      <c r="E202" s="107" t="s">
        <v>383</v>
      </c>
      <c r="F202" s="107" t="s">
        <v>384</v>
      </c>
      <c r="H202" s="107"/>
      <c r="I202" s="107"/>
    </row>
    <row r="203">
      <c r="A203" s="90">
        <v>202.0</v>
      </c>
      <c r="C203" s="90">
        <v>167.0</v>
      </c>
      <c r="D203" s="90" t="b">
        <v>0</v>
      </c>
      <c r="E203" s="107" t="s">
        <v>82</v>
      </c>
      <c r="F203" s="107" t="s">
        <v>201</v>
      </c>
      <c r="H203" s="107"/>
      <c r="I203" s="107"/>
    </row>
    <row r="204">
      <c r="A204" s="90">
        <v>203.0</v>
      </c>
      <c r="C204" s="90">
        <v>167.0</v>
      </c>
      <c r="D204" s="90" t="b">
        <v>0</v>
      </c>
      <c r="E204" s="107" t="s">
        <v>385</v>
      </c>
      <c r="F204" s="107" t="s">
        <v>386</v>
      </c>
      <c r="H204" s="107"/>
      <c r="I204" s="107"/>
    </row>
    <row r="205">
      <c r="A205" s="90">
        <v>204.0</v>
      </c>
      <c r="C205" s="90">
        <v>167.0</v>
      </c>
      <c r="D205" s="90" t="b">
        <v>0</v>
      </c>
      <c r="E205" s="116" t="s">
        <v>387</v>
      </c>
      <c r="F205" s="115" t="s">
        <v>388</v>
      </c>
      <c r="H205" s="116"/>
      <c r="I205" s="107"/>
    </row>
    <row r="206">
      <c r="A206" s="90">
        <v>205.0</v>
      </c>
      <c r="C206" s="90">
        <v>167.0</v>
      </c>
      <c r="D206" s="90" t="b">
        <v>0</v>
      </c>
      <c r="E206" s="115" t="s">
        <v>82</v>
      </c>
      <c r="F206" s="107" t="s">
        <v>389</v>
      </c>
      <c r="H206" s="107"/>
      <c r="I206" s="107"/>
    </row>
    <row r="207">
      <c r="A207" s="90">
        <v>206.0</v>
      </c>
      <c r="C207" s="90">
        <v>167.0</v>
      </c>
      <c r="D207" s="90" t="b">
        <v>0</v>
      </c>
      <c r="E207" s="107" t="s">
        <v>390</v>
      </c>
      <c r="F207" s="107" t="s">
        <v>128</v>
      </c>
      <c r="H207" s="107"/>
      <c r="I207" s="107"/>
    </row>
    <row r="208">
      <c r="A208" s="90">
        <v>207.0</v>
      </c>
      <c r="C208" s="90">
        <v>167.0</v>
      </c>
      <c r="D208" s="90" t="b">
        <v>0</v>
      </c>
      <c r="E208" s="107" t="s">
        <v>391</v>
      </c>
      <c r="F208" s="107" t="s">
        <v>392</v>
      </c>
      <c r="H208" s="107"/>
      <c r="I208" s="107"/>
    </row>
    <row r="209">
      <c r="A209" s="90">
        <v>208.0</v>
      </c>
      <c r="C209" s="90">
        <v>167.0</v>
      </c>
      <c r="D209" s="90" t="b">
        <v>0</v>
      </c>
      <c r="E209" s="107" t="s">
        <v>391</v>
      </c>
      <c r="F209" s="107" t="s">
        <v>393</v>
      </c>
      <c r="H209" s="107"/>
      <c r="I209" s="107"/>
    </row>
    <row r="210">
      <c r="A210" s="90">
        <v>209.0</v>
      </c>
      <c r="C210" s="90">
        <v>167.0</v>
      </c>
      <c r="D210" s="90" t="b">
        <v>0</v>
      </c>
      <c r="E210" s="117" t="s">
        <v>394</v>
      </c>
      <c r="F210" s="107" t="s">
        <v>395</v>
      </c>
      <c r="H210" s="118"/>
      <c r="I210" s="107"/>
    </row>
    <row r="211">
      <c r="A211" s="90">
        <v>210.0</v>
      </c>
      <c r="C211" s="90">
        <v>167.0</v>
      </c>
      <c r="D211" s="90" t="b">
        <v>0</v>
      </c>
      <c r="E211" s="118"/>
      <c r="F211" s="107" t="s">
        <v>80</v>
      </c>
      <c r="H211" s="118"/>
      <c r="I211" s="107"/>
    </row>
    <row r="212">
      <c r="A212" s="90">
        <v>211.0</v>
      </c>
      <c r="C212" s="90">
        <v>167.0</v>
      </c>
      <c r="D212" s="90" t="b">
        <v>0</v>
      </c>
      <c r="E212" s="118"/>
      <c r="F212" s="107" t="s">
        <v>396</v>
      </c>
      <c r="H212" s="118"/>
      <c r="I212" s="107"/>
    </row>
    <row r="213">
      <c r="A213" s="90">
        <v>212.0</v>
      </c>
      <c r="C213" s="90">
        <v>167.0</v>
      </c>
      <c r="D213" s="90" t="b">
        <v>0</v>
      </c>
      <c r="E213" s="118"/>
      <c r="F213" s="107" t="s">
        <v>397</v>
      </c>
      <c r="H213" s="118"/>
      <c r="I213" s="107"/>
    </row>
    <row r="214">
      <c r="A214" s="90">
        <v>213.0</v>
      </c>
      <c r="C214" s="90">
        <v>23.0</v>
      </c>
      <c r="D214" s="90" t="b">
        <v>1</v>
      </c>
      <c r="E214" s="119" t="s">
        <v>398</v>
      </c>
      <c r="F214" s="119" t="s">
        <v>399</v>
      </c>
      <c r="H214" s="119"/>
      <c r="I214" s="119"/>
    </row>
    <row r="215">
      <c r="A215" s="90">
        <v>214.0</v>
      </c>
      <c r="C215" s="90">
        <v>23.0</v>
      </c>
      <c r="D215" s="90" t="b">
        <v>0</v>
      </c>
      <c r="E215" s="107" t="s">
        <v>400</v>
      </c>
      <c r="F215" s="107" t="s">
        <v>401</v>
      </c>
      <c r="H215" s="107"/>
      <c r="I215" s="107"/>
    </row>
    <row r="216">
      <c r="A216" s="90">
        <v>215.0</v>
      </c>
      <c r="C216" s="90">
        <v>23.0</v>
      </c>
      <c r="D216" s="90" t="b">
        <v>0</v>
      </c>
      <c r="E216" s="107" t="s">
        <v>402</v>
      </c>
      <c r="F216" s="107" t="s">
        <v>185</v>
      </c>
      <c r="H216" s="107"/>
      <c r="I216" s="107"/>
    </row>
    <row r="217">
      <c r="A217" s="90">
        <v>216.0</v>
      </c>
      <c r="C217" s="90">
        <v>23.0</v>
      </c>
      <c r="D217" s="90" t="b">
        <v>0</v>
      </c>
      <c r="E217" s="107" t="s">
        <v>403</v>
      </c>
      <c r="F217" s="107" t="s">
        <v>404</v>
      </c>
      <c r="H217" s="107"/>
      <c r="I217" s="107"/>
    </row>
    <row r="218">
      <c r="A218" s="90">
        <v>217.0</v>
      </c>
      <c r="C218" s="90">
        <v>23.0</v>
      </c>
      <c r="D218" s="90" t="b">
        <v>0</v>
      </c>
      <c r="E218" s="107" t="s">
        <v>405</v>
      </c>
      <c r="F218" s="107" t="s">
        <v>406</v>
      </c>
      <c r="H218" s="107"/>
      <c r="I218" s="107"/>
    </row>
    <row r="219">
      <c r="A219" s="90">
        <v>218.0</v>
      </c>
      <c r="C219" s="90">
        <v>23.0</v>
      </c>
      <c r="D219" s="90" t="b">
        <v>0</v>
      </c>
      <c r="E219" s="107" t="s">
        <v>407</v>
      </c>
      <c r="F219" s="107" t="s">
        <v>408</v>
      </c>
      <c r="H219" s="107"/>
      <c r="I219" s="107"/>
    </row>
    <row r="220">
      <c r="A220" s="90">
        <v>219.0</v>
      </c>
      <c r="C220" s="90">
        <v>23.0</v>
      </c>
      <c r="D220" s="90" t="b">
        <v>0</v>
      </c>
      <c r="E220" s="107" t="s">
        <v>65</v>
      </c>
      <c r="F220" s="107" t="s">
        <v>409</v>
      </c>
      <c r="H220" s="107"/>
      <c r="I220" s="107"/>
    </row>
    <row r="221">
      <c r="A221" s="90">
        <v>220.0</v>
      </c>
      <c r="C221" s="90">
        <v>23.0</v>
      </c>
      <c r="D221" s="90" t="b">
        <v>0</v>
      </c>
      <c r="E221" s="107" t="s">
        <v>410</v>
      </c>
      <c r="F221" s="107" t="s">
        <v>411</v>
      </c>
      <c r="H221" s="107"/>
      <c r="I221" s="107"/>
    </row>
    <row r="222">
      <c r="A222" s="90">
        <v>221.0</v>
      </c>
      <c r="C222" s="90">
        <v>23.0</v>
      </c>
      <c r="D222" s="90" t="b">
        <v>0</v>
      </c>
      <c r="E222" s="107" t="s">
        <v>410</v>
      </c>
      <c r="F222" s="107" t="s">
        <v>412</v>
      </c>
      <c r="H222" s="107"/>
      <c r="I222" s="107"/>
    </row>
    <row r="223">
      <c r="A223" s="90">
        <v>222.0</v>
      </c>
      <c r="C223" s="90">
        <v>23.0</v>
      </c>
      <c r="D223" s="90" t="b">
        <v>0</v>
      </c>
      <c r="E223" s="107" t="s">
        <v>410</v>
      </c>
      <c r="F223" s="107" t="s">
        <v>413</v>
      </c>
      <c r="H223" s="107"/>
      <c r="I223" s="107"/>
    </row>
    <row r="224">
      <c r="A224" s="90">
        <v>223.0</v>
      </c>
      <c r="C224" s="90">
        <v>23.0</v>
      </c>
      <c r="D224" s="90" t="b">
        <v>0</v>
      </c>
      <c r="E224" s="107" t="s">
        <v>414</v>
      </c>
      <c r="F224" s="107" t="s">
        <v>415</v>
      </c>
      <c r="H224" s="107"/>
      <c r="I224" s="107"/>
    </row>
    <row r="225">
      <c r="A225" s="90">
        <v>224.0</v>
      </c>
      <c r="C225" s="90">
        <v>23.0</v>
      </c>
      <c r="D225" s="90" t="b">
        <v>0</v>
      </c>
      <c r="E225" s="107" t="s">
        <v>414</v>
      </c>
      <c r="F225" s="107" t="s">
        <v>416</v>
      </c>
      <c r="H225" s="107"/>
      <c r="I225" s="107"/>
    </row>
    <row r="226">
      <c r="A226" s="90">
        <v>225.0</v>
      </c>
      <c r="C226" s="90">
        <v>23.0</v>
      </c>
      <c r="D226" s="90" t="b">
        <v>0</v>
      </c>
      <c r="E226" s="107" t="s">
        <v>417</v>
      </c>
      <c r="F226" s="107" t="s">
        <v>316</v>
      </c>
      <c r="H226" s="107"/>
      <c r="I226" s="107"/>
    </row>
    <row r="227">
      <c r="A227" s="90">
        <v>226.0</v>
      </c>
      <c r="C227" s="90">
        <v>23.0</v>
      </c>
      <c r="D227" s="90" t="b">
        <v>0</v>
      </c>
      <c r="E227" s="107" t="s">
        <v>418</v>
      </c>
      <c r="F227" s="107" t="s">
        <v>419</v>
      </c>
      <c r="H227" s="107"/>
      <c r="I227" s="107"/>
    </row>
    <row r="228">
      <c r="A228" s="90">
        <v>227.0</v>
      </c>
      <c r="C228" s="90">
        <v>23.0</v>
      </c>
      <c r="D228" s="90" t="b">
        <v>0</v>
      </c>
      <c r="E228" s="107" t="s">
        <v>420</v>
      </c>
      <c r="F228" s="107" t="s">
        <v>421</v>
      </c>
      <c r="H228" s="107"/>
      <c r="I228" s="107"/>
    </row>
    <row r="229">
      <c r="A229" s="90">
        <v>228.0</v>
      </c>
      <c r="C229" s="90">
        <v>23.0</v>
      </c>
      <c r="D229" s="90" t="b">
        <v>0</v>
      </c>
      <c r="E229" s="107" t="s">
        <v>387</v>
      </c>
      <c r="F229" s="115" t="s">
        <v>422</v>
      </c>
      <c r="H229" s="107"/>
      <c r="I229" s="115"/>
    </row>
    <row r="230">
      <c r="A230" s="90">
        <v>229.0</v>
      </c>
      <c r="C230" s="90">
        <v>23.0</v>
      </c>
      <c r="D230" s="90" t="b">
        <v>0</v>
      </c>
      <c r="E230" s="107" t="s">
        <v>398</v>
      </c>
      <c r="F230" s="107" t="s">
        <v>423</v>
      </c>
      <c r="H230" s="107"/>
      <c r="I230" s="107"/>
    </row>
    <row r="231">
      <c r="A231" s="120">
        <v>230.0</v>
      </c>
      <c r="C231" s="90">
        <v>1.0</v>
      </c>
      <c r="D231" s="90" t="b">
        <v>0</v>
      </c>
      <c r="E231" s="90" t="s">
        <v>424</v>
      </c>
      <c r="F231" s="90" t="s">
        <v>425</v>
      </c>
    </row>
    <row r="232">
      <c r="A232" s="120">
        <v>231.0</v>
      </c>
      <c r="C232" s="90">
        <v>1.0</v>
      </c>
      <c r="D232" s="90" t="b">
        <v>0</v>
      </c>
      <c r="E232" s="90" t="s">
        <v>78</v>
      </c>
      <c r="F232" s="90" t="s">
        <v>269</v>
      </c>
    </row>
    <row r="233">
      <c r="A233" s="120">
        <v>232.0</v>
      </c>
      <c r="C233" s="90">
        <v>1.0</v>
      </c>
      <c r="D233" s="90" t="b">
        <v>0</v>
      </c>
      <c r="E233" s="90" t="s">
        <v>426</v>
      </c>
      <c r="F233" s="90" t="s">
        <v>427</v>
      </c>
    </row>
    <row r="234">
      <c r="A234" s="120">
        <v>233.0</v>
      </c>
      <c r="C234" s="90">
        <v>76.0</v>
      </c>
      <c r="D234" s="90" t="b">
        <v>0</v>
      </c>
      <c r="E234" s="90" t="s">
        <v>428</v>
      </c>
      <c r="F234" s="90" t="s">
        <v>429</v>
      </c>
    </row>
    <row r="235">
      <c r="A235" s="120">
        <v>234.0</v>
      </c>
      <c r="C235" s="90">
        <v>76.0</v>
      </c>
      <c r="D235" s="90" t="b">
        <v>0</v>
      </c>
      <c r="E235" s="90" t="s">
        <v>430</v>
      </c>
      <c r="F235" s="90" t="s">
        <v>431</v>
      </c>
    </row>
    <row r="236">
      <c r="A236" s="120">
        <v>235.0</v>
      </c>
      <c r="C236" s="90">
        <v>120.0</v>
      </c>
      <c r="D236" s="90" t="b">
        <v>0</v>
      </c>
      <c r="E236" s="90" t="s">
        <v>432</v>
      </c>
      <c r="F236" s="90" t="s">
        <v>433</v>
      </c>
    </row>
    <row r="237">
      <c r="A237" s="120">
        <v>236.0</v>
      </c>
      <c r="C237" s="90">
        <v>120.0</v>
      </c>
      <c r="D237" s="90" t="b">
        <v>0</v>
      </c>
      <c r="E237" s="90" t="s">
        <v>434</v>
      </c>
      <c r="F237" s="90" t="s">
        <v>435</v>
      </c>
    </row>
    <row r="238">
      <c r="A238" s="120">
        <v>237.0</v>
      </c>
      <c r="C238" s="90">
        <v>120.0</v>
      </c>
      <c r="D238" s="90" t="b">
        <v>0</v>
      </c>
      <c r="E238" s="90" t="s">
        <v>436</v>
      </c>
      <c r="F238" s="90" t="s">
        <v>437</v>
      </c>
    </row>
    <row r="239">
      <c r="A239" s="120">
        <v>238.0</v>
      </c>
      <c r="C239" s="90">
        <v>23.0</v>
      </c>
      <c r="D239" s="90" t="b">
        <v>0</v>
      </c>
      <c r="E239" s="90" t="s">
        <v>438</v>
      </c>
      <c r="F239" s="90" t="s">
        <v>439</v>
      </c>
    </row>
    <row r="240">
      <c r="A240" s="120">
        <v>239.0</v>
      </c>
      <c r="C240" s="90">
        <v>23.0</v>
      </c>
      <c r="D240" s="90" t="b">
        <v>0</v>
      </c>
      <c r="E240" s="90" t="s">
        <v>398</v>
      </c>
      <c r="F240" s="90" t="s">
        <v>440</v>
      </c>
    </row>
    <row r="241">
      <c r="A241" s="120">
        <v>240.0</v>
      </c>
      <c r="C241" s="90">
        <v>23.0</v>
      </c>
      <c r="D241" s="90" t="b">
        <v>0</v>
      </c>
      <c r="E241" s="90" t="s">
        <v>340</v>
      </c>
      <c r="F241" s="90" t="s">
        <v>441</v>
      </c>
    </row>
    <row r="242">
      <c r="A242" s="120">
        <v>241.0</v>
      </c>
      <c r="C242" s="90">
        <v>23.0</v>
      </c>
      <c r="D242" s="90" t="b">
        <v>0</v>
      </c>
      <c r="E242" s="90" t="s">
        <v>442</v>
      </c>
      <c r="F242" s="90" t="s">
        <v>443</v>
      </c>
    </row>
    <row r="243">
      <c r="A243" s="120">
        <v>242.0</v>
      </c>
      <c r="C243" s="90">
        <v>23.0</v>
      </c>
      <c r="D243" s="90" t="b">
        <v>0</v>
      </c>
      <c r="E243" s="90" t="s">
        <v>442</v>
      </c>
      <c r="F243" s="90" t="s">
        <v>444</v>
      </c>
    </row>
    <row r="244">
      <c r="A244" s="120">
        <v>243.0</v>
      </c>
      <c r="C244" s="90">
        <v>23.0</v>
      </c>
      <c r="D244" s="90" t="b">
        <v>0</v>
      </c>
      <c r="E244" s="90" t="s">
        <v>445</v>
      </c>
      <c r="F244" s="90" t="s">
        <v>446</v>
      </c>
    </row>
    <row r="245">
      <c r="A245" s="90">
        <v>244.0</v>
      </c>
      <c r="C245" s="90">
        <v>244.0</v>
      </c>
      <c r="D245" s="90" t="b">
        <v>1</v>
      </c>
      <c r="E245" s="90" t="s">
        <v>68</v>
      </c>
      <c r="F245" s="90" t="s">
        <v>447</v>
      </c>
    </row>
    <row r="246">
      <c r="A246" s="120">
        <v>245.0</v>
      </c>
      <c r="C246" s="90">
        <v>244.0</v>
      </c>
      <c r="D246" s="90" t="b">
        <v>0</v>
      </c>
      <c r="E246" s="90" t="s">
        <v>151</v>
      </c>
      <c r="F246" s="90" t="s">
        <v>318</v>
      </c>
    </row>
    <row r="247">
      <c r="A247" s="120">
        <v>246.0</v>
      </c>
      <c r="C247" s="90">
        <v>244.0</v>
      </c>
      <c r="D247" s="90" t="b">
        <v>0</v>
      </c>
      <c r="E247" s="90" t="s">
        <v>448</v>
      </c>
      <c r="F247" s="90" t="s">
        <v>449</v>
      </c>
    </row>
    <row r="248">
      <c r="A248" s="120">
        <v>247.0</v>
      </c>
      <c r="C248" s="90">
        <v>244.0</v>
      </c>
      <c r="D248" s="90" t="b">
        <v>0</v>
      </c>
      <c r="E248" s="90" t="s">
        <v>450</v>
      </c>
      <c r="F248" s="90" t="s">
        <v>451</v>
      </c>
    </row>
    <row r="249">
      <c r="A249" s="120">
        <v>248.0</v>
      </c>
      <c r="C249" s="90">
        <v>244.0</v>
      </c>
      <c r="D249" s="90" t="b">
        <v>0</v>
      </c>
      <c r="E249" s="90" t="s">
        <v>452</v>
      </c>
      <c r="F249" s="90" t="s">
        <v>453</v>
      </c>
    </row>
    <row r="250">
      <c r="A250" s="120">
        <v>249.0</v>
      </c>
      <c r="C250" s="90">
        <v>244.0</v>
      </c>
      <c r="D250" s="90" t="b">
        <v>0</v>
      </c>
      <c r="E250" s="90" t="s">
        <v>454</v>
      </c>
      <c r="F250" s="90" t="s">
        <v>455</v>
      </c>
    </row>
    <row r="251">
      <c r="A251" s="86">
        <v>250.0</v>
      </c>
      <c r="B251" s="87"/>
      <c r="C251" s="90">
        <v>167.0</v>
      </c>
      <c r="E251" s="90" t="s">
        <v>456</v>
      </c>
      <c r="F251" s="90" t="s">
        <v>457</v>
      </c>
      <c r="Q251" s="89"/>
      <c r="R251" s="89"/>
      <c r="S251" s="89"/>
      <c r="T251" s="89"/>
      <c r="U251" s="89"/>
      <c r="V251" s="89"/>
      <c r="W251" s="89"/>
    </row>
    <row r="252">
      <c r="A252" s="120">
        <v>251.0</v>
      </c>
      <c r="C252" s="90">
        <v>167.0</v>
      </c>
      <c r="D252" s="90" t="b">
        <v>0</v>
      </c>
      <c r="E252" s="90" t="s">
        <v>458</v>
      </c>
      <c r="F252" s="90" t="s">
        <v>459</v>
      </c>
    </row>
    <row r="253">
      <c r="A253" s="120">
        <v>252.0</v>
      </c>
      <c r="C253" s="90">
        <v>167.0</v>
      </c>
      <c r="D253" s="90" t="b">
        <v>0</v>
      </c>
      <c r="E253" s="94" t="s">
        <v>460</v>
      </c>
      <c r="F253" s="94" t="s">
        <v>392</v>
      </c>
    </row>
    <row r="254">
      <c r="A254" s="120">
        <v>253.0</v>
      </c>
      <c r="C254" s="90">
        <v>167.0</v>
      </c>
      <c r="D254" s="90" t="b">
        <v>0</v>
      </c>
      <c r="E254" s="95" t="s">
        <v>461</v>
      </c>
      <c r="F254" s="95" t="s">
        <v>462</v>
      </c>
    </row>
    <row r="255">
      <c r="A255" s="120">
        <v>254.0</v>
      </c>
      <c r="C255" s="90">
        <v>23.0</v>
      </c>
      <c r="D255" s="90" t="b">
        <v>0</v>
      </c>
      <c r="E255" s="95" t="s">
        <v>442</v>
      </c>
      <c r="F255" s="95" t="s">
        <v>154</v>
      </c>
    </row>
    <row r="256">
      <c r="A256" s="90">
        <v>257.0</v>
      </c>
      <c r="C256" s="90">
        <v>23.0</v>
      </c>
      <c r="D256" s="90" t="b">
        <v>0</v>
      </c>
      <c r="E256" s="95" t="s">
        <v>463</v>
      </c>
      <c r="F256" s="95" t="s">
        <v>464</v>
      </c>
    </row>
    <row r="257">
      <c r="A257" s="120">
        <v>256.0</v>
      </c>
      <c r="C257" s="90">
        <v>23.0</v>
      </c>
      <c r="D257" s="90" t="b">
        <v>0</v>
      </c>
      <c r="E257" s="95" t="s">
        <v>465</v>
      </c>
      <c r="F257" s="95" t="s">
        <v>466</v>
      </c>
    </row>
    <row r="258">
      <c r="A258" s="120">
        <v>259.0</v>
      </c>
      <c r="C258" s="90">
        <v>167.0</v>
      </c>
      <c r="E258" s="95" t="s">
        <v>467</v>
      </c>
      <c r="F258" s="95" t="s">
        <v>468</v>
      </c>
    </row>
    <row r="259">
      <c r="A259" s="120">
        <v>260.0</v>
      </c>
      <c r="C259" s="90">
        <v>167.0</v>
      </c>
      <c r="E259" s="95" t="s">
        <v>469</v>
      </c>
      <c r="F259" s="95" t="s">
        <v>470</v>
      </c>
    </row>
    <row r="260">
      <c r="A260" s="90">
        <v>261.0</v>
      </c>
      <c r="C260" s="90">
        <v>23.0</v>
      </c>
      <c r="E260" s="95" t="s">
        <v>432</v>
      </c>
      <c r="F260" s="95" t="s">
        <v>471</v>
      </c>
    </row>
    <row r="261">
      <c r="A261" s="90">
        <v>262.0</v>
      </c>
      <c r="C261" s="90">
        <v>23.0</v>
      </c>
      <c r="E261" s="95" t="s">
        <v>463</v>
      </c>
      <c r="F261" s="95" t="s">
        <v>464</v>
      </c>
    </row>
    <row r="262">
      <c r="A262" s="90">
        <v>263.0</v>
      </c>
      <c r="C262" s="90">
        <v>1.0</v>
      </c>
      <c r="E262" s="95" t="s">
        <v>472</v>
      </c>
      <c r="F262" s="95" t="s">
        <v>473</v>
      </c>
    </row>
    <row r="263">
      <c r="A263" s="90">
        <v>264.0</v>
      </c>
      <c r="C263" s="90">
        <v>167.0</v>
      </c>
      <c r="E263" s="90" t="s">
        <v>474</v>
      </c>
      <c r="F263" s="90" t="s">
        <v>475</v>
      </c>
      <c r="Q263" s="90"/>
      <c r="R263" s="90"/>
      <c r="S263" s="90"/>
      <c r="T263" s="90"/>
      <c r="U263" s="90"/>
      <c r="V263" s="90"/>
      <c r="W263" s="90"/>
    </row>
    <row r="264">
      <c r="A264" s="90">
        <v>265.0</v>
      </c>
      <c r="C264" s="90">
        <v>167.0</v>
      </c>
      <c r="E264" s="94" t="s">
        <v>456</v>
      </c>
      <c r="F264" s="94" t="s">
        <v>459</v>
      </c>
    </row>
    <row r="265">
      <c r="A265" s="90"/>
      <c r="C265" s="90"/>
      <c r="E265" s="90"/>
      <c r="F265" s="90"/>
      <c r="H265" s="90"/>
      <c r="K265" s="90"/>
      <c r="P265" s="90"/>
    </row>
    <row r="266">
      <c r="A266" s="90">
        <v>1230.0</v>
      </c>
      <c r="C266" s="90">
        <v>1230.0</v>
      </c>
      <c r="D266" s="90" t="b">
        <v>1</v>
      </c>
      <c r="E266" s="90" t="s">
        <v>476</v>
      </c>
      <c r="F266" s="90" t="s">
        <v>477</v>
      </c>
    </row>
    <row r="267">
      <c r="A267" s="90">
        <v>1231.0</v>
      </c>
      <c r="C267" s="90">
        <v>1230.0</v>
      </c>
      <c r="E267" s="90" t="s">
        <v>478</v>
      </c>
      <c r="F267" s="90" t="s">
        <v>479</v>
      </c>
    </row>
    <row r="268">
      <c r="A268" s="90">
        <v>1232.0</v>
      </c>
      <c r="C268" s="90">
        <v>1230.0</v>
      </c>
      <c r="E268" s="90" t="s">
        <v>480</v>
      </c>
      <c r="F268" s="90" t="s">
        <v>481</v>
      </c>
    </row>
    <row r="269">
      <c r="A269" s="90">
        <v>1233.0</v>
      </c>
      <c r="C269" s="90">
        <v>1230.0</v>
      </c>
      <c r="E269" s="90" t="s">
        <v>482</v>
      </c>
      <c r="F269" s="90" t="s">
        <v>483</v>
      </c>
    </row>
    <row r="270">
      <c r="A270" s="90">
        <v>1234.0</v>
      </c>
      <c r="C270" s="90">
        <v>1230.0</v>
      </c>
      <c r="E270" s="90" t="s">
        <v>383</v>
      </c>
      <c r="F270" s="90" t="s">
        <v>484</v>
      </c>
    </row>
    <row r="271">
      <c r="A271" s="90">
        <v>1235.0</v>
      </c>
      <c r="C271" s="90">
        <v>1230.0</v>
      </c>
      <c r="E271" s="90" t="s">
        <v>485</v>
      </c>
      <c r="F271" s="90" t="s">
        <v>486</v>
      </c>
    </row>
    <row r="273">
      <c r="A273" s="90">
        <v>1236.0</v>
      </c>
      <c r="C273" s="90">
        <v>1236.0</v>
      </c>
      <c r="D273" s="90" t="b">
        <v>1</v>
      </c>
      <c r="E273" s="90" t="s">
        <v>417</v>
      </c>
      <c r="F273" s="90" t="s">
        <v>487</v>
      </c>
    </row>
    <row r="274">
      <c r="A274" s="90">
        <v>1237.0</v>
      </c>
      <c r="C274" s="90">
        <v>1236.0</v>
      </c>
      <c r="E274" s="90" t="s">
        <v>488</v>
      </c>
      <c r="F274" s="90" t="s">
        <v>489</v>
      </c>
    </row>
    <row r="275">
      <c r="A275" s="90">
        <v>1238.0</v>
      </c>
      <c r="C275" s="90">
        <v>1236.0</v>
      </c>
      <c r="E275" s="90" t="s">
        <v>490</v>
      </c>
      <c r="F275" s="90" t="s">
        <v>491</v>
      </c>
    </row>
    <row r="276">
      <c r="A276" s="90">
        <v>1239.0</v>
      </c>
      <c r="C276" s="90">
        <v>1236.0</v>
      </c>
      <c r="E276" s="90" t="s">
        <v>349</v>
      </c>
      <c r="F276" s="90" t="s">
        <v>492</v>
      </c>
    </row>
    <row r="277">
      <c r="A277" s="90">
        <v>1240.0</v>
      </c>
      <c r="C277" s="90">
        <v>1236.0</v>
      </c>
      <c r="F277" s="90" t="s">
        <v>493</v>
      </c>
    </row>
    <row r="278">
      <c r="A278" s="90">
        <v>1241.0</v>
      </c>
      <c r="C278" s="90">
        <v>1236.0</v>
      </c>
      <c r="F278" s="90" t="s">
        <v>494</v>
      </c>
    </row>
    <row r="279">
      <c r="A279" s="90">
        <v>1242.0</v>
      </c>
      <c r="C279" s="90">
        <v>1236.0</v>
      </c>
      <c r="F279" s="90" t="s">
        <v>495</v>
      </c>
    </row>
    <row r="280">
      <c r="A280" s="90">
        <v>1243.0</v>
      </c>
      <c r="C280" s="90">
        <v>1236.0</v>
      </c>
      <c r="E280" s="90" t="s">
        <v>387</v>
      </c>
      <c r="F280" s="90" t="s">
        <v>496</v>
      </c>
    </row>
    <row r="281">
      <c r="A281" s="90">
        <v>1244.0</v>
      </c>
      <c r="C281" s="90">
        <v>1236.0</v>
      </c>
      <c r="E281" s="90" t="s">
        <v>497</v>
      </c>
      <c r="F281" s="90" t="s">
        <v>318</v>
      </c>
    </row>
    <row r="282">
      <c r="A282" s="90">
        <v>1245.0</v>
      </c>
      <c r="C282" s="90">
        <v>1236.0</v>
      </c>
      <c r="E282" s="90" t="s">
        <v>476</v>
      </c>
      <c r="F282" s="90" t="s">
        <v>498</v>
      </c>
    </row>
    <row r="283">
      <c r="A283" s="90">
        <v>1246.0</v>
      </c>
      <c r="C283" s="90">
        <v>1236.0</v>
      </c>
      <c r="E283" s="90" t="s">
        <v>476</v>
      </c>
      <c r="F283" s="90" t="s">
        <v>499</v>
      </c>
    </row>
    <row r="284">
      <c r="A284" s="90">
        <v>1247.0</v>
      </c>
      <c r="C284" s="90">
        <v>1236.0</v>
      </c>
      <c r="E284" s="90" t="s">
        <v>500</v>
      </c>
      <c r="F284" s="90" t="s">
        <v>501</v>
      </c>
    </row>
    <row r="285">
      <c r="A285" s="90">
        <v>1248.0</v>
      </c>
      <c r="C285" s="90">
        <v>1236.0</v>
      </c>
      <c r="E285" s="90" t="s">
        <v>476</v>
      </c>
      <c r="F285" s="90" t="s">
        <v>502</v>
      </c>
    </row>
    <row r="286">
      <c r="A286" s="90">
        <v>1249.0</v>
      </c>
      <c r="C286" s="90">
        <v>1236.0</v>
      </c>
      <c r="E286" s="90" t="s">
        <v>448</v>
      </c>
      <c r="F286" s="90" t="s">
        <v>503</v>
      </c>
    </row>
    <row r="287">
      <c r="A287" s="90">
        <v>1250.0</v>
      </c>
      <c r="C287" s="90">
        <v>1236.0</v>
      </c>
      <c r="E287" s="90" t="s">
        <v>504</v>
      </c>
      <c r="F287" s="90" t="s">
        <v>453</v>
      </c>
    </row>
    <row r="288">
      <c r="A288" s="90">
        <v>1251.0</v>
      </c>
      <c r="C288" s="90">
        <v>1236.0</v>
      </c>
      <c r="E288" s="90" t="s">
        <v>403</v>
      </c>
      <c r="F288" s="90" t="s">
        <v>505</v>
      </c>
    </row>
    <row r="289">
      <c r="A289" s="90">
        <v>1252.0</v>
      </c>
      <c r="C289" s="90">
        <v>1236.0</v>
      </c>
      <c r="E289" s="90" t="s">
        <v>403</v>
      </c>
      <c r="F289" s="90" t="s">
        <v>506</v>
      </c>
    </row>
    <row r="290">
      <c r="A290" s="90">
        <v>1253.0</v>
      </c>
      <c r="C290" s="90">
        <v>1236.0</v>
      </c>
      <c r="E290" s="90" t="s">
        <v>507</v>
      </c>
      <c r="F290" s="90" t="s">
        <v>508</v>
      </c>
    </row>
    <row r="291">
      <c r="A291" s="90">
        <v>1254.0</v>
      </c>
      <c r="C291" s="90">
        <v>1236.0</v>
      </c>
      <c r="F291" s="90" t="s">
        <v>509</v>
      </c>
    </row>
    <row r="293">
      <c r="A293" s="90">
        <v>1255.0</v>
      </c>
      <c r="C293" s="90">
        <v>1255.0</v>
      </c>
      <c r="D293" s="90" t="b">
        <v>1</v>
      </c>
      <c r="E293" s="90" t="s">
        <v>510</v>
      </c>
      <c r="F293" s="90" t="s">
        <v>511</v>
      </c>
    </row>
    <row r="294">
      <c r="A294" s="90">
        <v>1256.0</v>
      </c>
      <c r="C294" s="90">
        <v>1255.0</v>
      </c>
      <c r="E294" s="90" t="s">
        <v>383</v>
      </c>
      <c r="F294" s="90" t="s">
        <v>512</v>
      </c>
    </row>
    <row r="295">
      <c r="A295" s="90">
        <v>1257.0</v>
      </c>
      <c r="C295" s="90">
        <v>1255.0</v>
      </c>
      <c r="E295" s="90" t="s">
        <v>513</v>
      </c>
      <c r="F295" s="90" t="s">
        <v>514</v>
      </c>
    </row>
    <row r="296">
      <c r="A296" s="90">
        <v>1258.0</v>
      </c>
      <c r="C296" s="90">
        <v>1255.0</v>
      </c>
      <c r="E296" s="90" t="s">
        <v>325</v>
      </c>
      <c r="F296" s="90" t="s">
        <v>515</v>
      </c>
    </row>
    <row r="297">
      <c r="A297" s="90">
        <v>1259.0</v>
      </c>
      <c r="C297" s="90">
        <v>1255.0</v>
      </c>
      <c r="E297" s="90" t="s">
        <v>516</v>
      </c>
      <c r="F297" s="90" t="s">
        <v>517</v>
      </c>
    </row>
    <row r="298">
      <c r="A298" s="90">
        <v>1260.0</v>
      </c>
      <c r="C298" s="90">
        <v>1255.0</v>
      </c>
      <c r="E298" s="90" t="s">
        <v>518</v>
      </c>
      <c r="F298" s="90" t="s">
        <v>519</v>
      </c>
    </row>
    <row r="299">
      <c r="A299" s="90">
        <v>1261.0</v>
      </c>
      <c r="C299" s="90">
        <v>1255.0</v>
      </c>
      <c r="E299" s="90" t="s">
        <v>93</v>
      </c>
      <c r="F299" s="90" t="s">
        <v>520</v>
      </c>
    </row>
    <row r="300">
      <c r="A300" s="90">
        <v>1262.0</v>
      </c>
      <c r="C300" s="90">
        <v>1255.0</v>
      </c>
      <c r="E300" s="90" t="s">
        <v>521</v>
      </c>
      <c r="F300" s="90" t="s">
        <v>522</v>
      </c>
    </row>
    <row r="301">
      <c r="A301" s="90">
        <v>1263.0</v>
      </c>
      <c r="C301" s="90">
        <v>1255.0</v>
      </c>
      <c r="E301" s="90" t="s">
        <v>523</v>
      </c>
      <c r="F301" s="90" t="s">
        <v>524</v>
      </c>
    </row>
    <row r="302">
      <c r="A302" s="90">
        <v>1264.0</v>
      </c>
      <c r="C302" s="90">
        <v>1255.0</v>
      </c>
      <c r="E302" s="90" t="s">
        <v>523</v>
      </c>
      <c r="F302" s="90" t="s">
        <v>525</v>
      </c>
    </row>
    <row r="303">
      <c r="A303" s="90">
        <v>1265.0</v>
      </c>
      <c r="C303" s="90">
        <v>1255.0</v>
      </c>
      <c r="E303" s="90" t="s">
        <v>86</v>
      </c>
      <c r="F303" s="90" t="s">
        <v>526</v>
      </c>
    </row>
    <row r="304">
      <c r="A304" s="90">
        <v>1266.0</v>
      </c>
      <c r="C304" s="90">
        <v>1255.0</v>
      </c>
      <c r="E304" s="90" t="s">
        <v>527</v>
      </c>
      <c r="F304" s="90" t="s">
        <v>528</v>
      </c>
    </row>
    <row r="305">
      <c r="A305" s="120">
        <v>1267.0</v>
      </c>
      <c r="C305" s="90">
        <v>1255.0</v>
      </c>
      <c r="E305" s="90" t="s">
        <v>529</v>
      </c>
      <c r="F305" s="90" t="s">
        <v>530</v>
      </c>
    </row>
    <row r="306">
      <c r="A306" s="120">
        <v>1268.0</v>
      </c>
      <c r="C306" s="90">
        <v>1255.0</v>
      </c>
      <c r="E306" s="90" t="s">
        <v>531</v>
      </c>
      <c r="F306" s="90" t="s">
        <v>501</v>
      </c>
    </row>
    <row r="307">
      <c r="A307" s="120">
        <v>1269.0</v>
      </c>
      <c r="C307" s="90">
        <v>1255.0</v>
      </c>
      <c r="E307" s="90" t="s">
        <v>532</v>
      </c>
      <c r="F307" s="90" t="s">
        <v>533</v>
      </c>
    </row>
    <row r="308">
      <c r="A308" s="120">
        <v>1270.0</v>
      </c>
      <c r="C308" s="90">
        <v>1255.0</v>
      </c>
      <c r="E308" s="90" t="s">
        <v>534</v>
      </c>
      <c r="F308" s="90" t="s">
        <v>535</v>
      </c>
    </row>
    <row r="309">
      <c r="A309" s="120">
        <v>1271.0</v>
      </c>
      <c r="C309" s="90">
        <v>1255.0</v>
      </c>
      <c r="E309" s="90" t="s">
        <v>536</v>
      </c>
      <c r="F309" s="90" t="s">
        <v>537</v>
      </c>
    </row>
    <row r="310">
      <c r="A310" s="120">
        <v>1272.0</v>
      </c>
      <c r="C310" s="90">
        <v>1255.0</v>
      </c>
      <c r="E310" s="90" t="s">
        <v>538</v>
      </c>
      <c r="F310" s="90" t="s">
        <v>539</v>
      </c>
    </row>
    <row r="311">
      <c r="A311" s="120">
        <v>1273.0</v>
      </c>
      <c r="C311" s="90">
        <v>1255.0</v>
      </c>
      <c r="E311" s="90" t="s">
        <v>497</v>
      </c>
      <c r="F311" s="90" t="s">
        <v>540</v>
      </c>
    </row>
    <row r="312">
      <c r="A312" s="120">
        <v>1274.0</v>
      </c>
      <c r="C312" s="90">
        <v>1255.0</v>
      </c>
      <c r="E312" s="90" t="s">
        <v>541</v>
      </c>
      <c r="F312" s="90" t="s">
        <v>542</v>
      </c>
    </row>
    <row r="313">
      <c r="A313" s="120">
        <v>1275.0</v>
      </c>
      <c r="C313" s="90">
        <v>1255.0</v>
      </c>
      <c r="F313" s="90" t="s">
        <v>543</v>
      </c>
    </row>
    <row r="314">
      <c r="A314" s="120">
        <v>1276.0</v>
      </c>
      <c r="C314" s="90">
        <v>1230.0</v>
      </c>
      <c r="E314" s="90" t="s">
        <v>325</v>
      </c>
      <c r="F314" s="90" t="s">
        <v>359</v>
      </c>
    </row>
    <row r="315">
      <c r="A315" s="120">
        <v>1277.0</v>
      </c>
      <c r="C315" s="90">
        <v>1230.0</v>
      </c>
      <c r="E315" s="90" t="s">
        <v>488</v>
      </c>
      <c r="F315" s="90" t="s">
        <v>544</v>
      </c>
    </row>
    <row r="316">
      <c r="A316" s="120">
        <v>1278.0</v>
      </c>
      <c r="C316" s="90">
        <v>1230.0</v>
      </c>
      <c r="E316" s="90" t="s">
        <v>417</v>
      </c>
      <c r="F316" s="90" t="s">
        <v>545</v>
      </c>
    </row>
    <row r="317">
      <c r="A317" s="120">
        <v>1279.0</v>
      </c>
      <c r="C317" s="90">
        <v>1230.0</v>
      </c>
      <c r="E317" s="90" t="s">
        <v>546</v>
      </c>
      <c r="F317" s="90" t="s">
        <v>547</v>
      </c>
    </row>
    <row r="318">
      <c r="A318" s="120">
        <v>1280.0</v>
      </c>
      <c r="C318" s="90">
        <v>1230.0</v>
      </c>
      <c r="E318" s="90" t="s">
        <v>448</v>
      </c>
      <c r="F318" s="90" t="s">
        <v>548</v>
      </c>
    </row>
    <row r="319">
      <c r="A319" s="120">
        <v>1281.0</v>
      </c>
      <c r="C319" s="90">
        <v>1230.0</v>
      </c>
      <c r="E319" s="90" t="s">
        <v>549</v>
      </c>
      <c r="F319" s="90" t="s">
        <v>550</v>
      </c>
    </row>
    <row r="320">
      <c r="A320" s="120">
        <v>1282.0</v>
      </c>
      <c r="C320" s="90">
        <v>1230.0</v>
      </c>
      <c r="E320" s="90" t="s">
        <v>551</v>
      </c>
      <c r="F320" s="90" t="s">
        <v>552</v>
      </c>
    </row>
    <row r="322">
      <c r="A322" s="90">
        <v>1283.0</v>
      </c>
      <c r="C322" s="90">
        <v>1283.0</v>
      </c>
      <c r="D322" s="90" t="b">
        <v>1</v>
      </c>
      <c r="E322" s="90" t="s">
        <v>497</v>
      </c>
      <c r="F322" s="90" t="s">
        <v>553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2" max="22" width="16.29"/>
    <col customWidth="1" min="23" max="23" width="16.14"/>
  </cols>
  <sheetData>
    <row r="1">
      <c r="A1" s="86" t="s">
        <v>554</v>
      </c>
      <c r="B1" s="87" t="s">
        <v>21</v>
      </c>
      <c r="G1" s="121" t="s">
        <v>555</v>
      </c>
      <c r="H1" s="13"/>
      <c r="I1" s="13"/>
      <c r="J1" s="13"/>
      <c r="K1" s="14"/>
      <c r="L1" s="121" t="s">
        <v>556</v>
      </c>
      <c r="M1" s="13"/>
      <c r="N1" s="13"/>
      <c r="O1" s="13"/>
      <c r="P1" s="14"/>
      <c r="Q1" s="122" t="s">
        <v>33</v>
      </c>
      <c r="R1" s="13"/>
      <c r="S1" s="13"/>
      <c r="T1" s="13"/>
      <c r="U1" s="13"/>
      <c r="V1" s="13"/>
      <c r="W1" s="14"/>
    </row>
    <row r="2">
      <c r="A2" s="90" t="s">
        <v>41</v>
      </c>
      <c r="B2" s="90" t="s">
        <v>42</v>
      </c>
      <c r="C2" s="90" t="s">
        <v>43</v>
      </c>
      <c r="D2" s="90" t="s">
        <v>44</v>
      </c>
      <c r="E2" s="90" t="s">
        <v>45</v>
      </c>
      <c r="F2" s="90" t="s">
        <v>46</v>
      </c>
      <c r="G2" s="123" t="s">
        <v>557</v>
      </c>
      <c r="H2" s="124" t="s">
        <v>558</v>
      </c>
      <c r="I2" s="124" t="s">
        <v>559</v>
      </c>
      <c r="J2" s="125" t="s">
        <v>560</v>
      </c>
      <c r="K2" s="125" t="s">
        <v>561</v>
      </c>
      <c r="L2" s="126" t="s">
        <v>562</v>
      </c>
      <c r="M2" s="125" t="s">
        <v>563</v>
      </c>
      <c r="N2" s="125" t="s">
        <v>564</v>
      </c>
      <c r="O2" s="125" t="s">
        <v>565</v>
      </c>
      <c r="P2" s="127" t="s">
        <v>566</v>
      </c>
      <c r="Q2" s="128" t="s">
        <v>567</v>
      </c>
      <c r="R2" s="129" t="s">
        <v>568</v>
      </c>
      <c r="S2" s="129" t="s">
        <v>569</v>
      </c>
      <c r="T2" s="129" t="s">
        <v>570</v>
      </c>
      <c r="U2" s="129" t="s">
        <v>571</v>
      </c>
      <c r="V2" s="129" t="s">
        <v>572</v>
      </c>
      <c r="W2" s="130" t="s">
        <v>573</v>
      </c>
    </row>
    <row r="3">
      <c r="A3" s="131">
        <f>IFERROR(__xludf.DUMMYFUNCTION("QUERY(MASTERLIST!A3:F996, ""SELECT *"", 0)"),1.0)</f>
        <v>1</v>
      </c>
      <c r="B3" s="131"/>
      <c r="C3" s="131">
        <f>IFERROR(__xludf.DUMMYFUNCTION("""COMPUTED_VALUE"""),1.0)</f>
        <v>1</v>
      </c>
      <c r="D3" s="131" t="b">
        <f>IFERROR(__xludf.DUMMYFUNCTION("""COMPUTED_VALUE"""),TRUE)</f>
        <v>1</v>
      </c>
      <c r="E3" s="94" t="str">
        <f>IFERROR(__xludf.DUMMYFUNCTION("""COMPUTED_VALUE"""),"ARANDA")</f>
        <v>ARANDA</v>
      </c>
      <c r="F3" s="94" t="str">
        <f>IFERROR(__xludf.DUMMYFUNCTION("""COMPUTED_VALUE"""),"KAI")</f>
        <v>KAI</v>
      </c>
    </row>
    <row r="4">
      <c r="A4" s="131">
        <f>IFERROR(__xludf.DUMMYFUNCTION("""COMPUTED_VALUE"""),2.0)</f>
        <v>2</v>
      </c>
      <c r="B4" s="131"/>
      <c r="C4" s="131">
        <f>IFERROR(__xludf.DUMMYFUNCTION("""COMPUTED_VALUE"""),1.0)</f>
        <v>1</v>
      </c>
      <c r="D4" s="131" t="b">
        <f>IFERROR(__xludf.DUMMYFUNCTION("""COMPUTED_VALUE"""),FALSE)</f>
        <v>0</v>
      </c>
      <c r="E4" s="95" t="str">
        <f>IFERROR(__xludf.DUMMYFUNCTION("""COMPUTED_VALUE"""),"ARCILLA")</f>
        <v>ARCILLA</v>
      </c>
      <c r="F4" s="96" t="str">
        <f>IFERROR(__xludf.DUMMYFUNCTION("""COMPUTED_VALUE"""),"DANIELA")</f>
        <v>DANIELA</v>
      </c>
    </row>
    <row r="5">
      <c r="A5" s="131">
        <f>IFERROR(__xludf.DUMMYFUNCTION("""COMPUTED_VALUE"""),3.0)</f>
        <v>3</v>
      </c>
      <c r="B5" s="131"/>
      <c r="C5" s="131">
        <f>IFERROR(__xludf.DUMMYFUNCTION("""COMPUTED_VALUE"""),1.0)</f>
        <v>1</v>
      </c>
      <c r="D5" s="131" t="b">
        <f>IFERROR(__xludf.DUMMYFUNCTION("""COMPUTED_VALUE"""),FALSE)</f>
        <v>0</v>
      </c>
      <c r="E5" s="96" t="str">
        <f>IFERROR(__xludf.DUMMYFUNCTION("""COMPUTED_VALUE"""),"ANDRE")</f>
        <v>ANDRE</v>
      </c>
      <c r="F5" s="96" t="str">
        <f>IFERROR(__xludf.DUMMYFUNCTION("""COMPUTED_VALUE"""),"CARLA")</f>
        <v>CARLA</v>
      </c>
    </row>
    <row r="6">
      <c r="A6" s="131">
        <f>IFERROR(__xludf.DUMMYFUNCTION("""COMPUTED_VALUE"""),4.0)</f>
        <v>4</v>
      </c>
      <c r="B6" s="131"/>
      <c r="C6" s="131">
        <f>IFERROR(__xludf.DUMMYFUNCTION("""COMPUTED_VALUE"""),1.0)</f>
        <v>1</v>
      </c>
      <c r="D6" s="131" t="b">
        <f>IFERROR(__xludf.DUMMYFUNCTION("""COMPUTED_VALUE"""),FALSE)</f>
        <v>0</v>
      </c>
      <c r="E6" s="96" t="str">
        <f>IFERROR(__xludf.DUMMYFUNCTION("""COMPUTED_VALUE"""),"BALDELOVAR")</f>
        <v>BALDELOVAR</v>
      </c>
      <c r="F6" s="96" t="str">
        <f>IFERROR(__xludf.DUMMYFUNCTION("""COMPUTED_VALUE"""),"LEANNE")</f>
        <v>LEANNE</v>
      </c>
    </row>
    <row r="7">
      <c r="A7" s="131">
        <f>IFERROR(__xludf.DUMMYFUNCTION("""COMPUTED_VALUE"""),5.0)</f>
        <v>5</v>
      </c>
      <c r="B7" s="131"/>
      <c r="C7" s="131">
        <f>IFERROR(__xludf.DUMMYFUNCTION("""COMPUTED_VALUE"""),1.0)</f>
        <v>1</v>
      </c>
      <c r="D7" s="131" t="b">
        <f>IFERROR(__xludf.DUMMYFUNCTION("""COMPUTED_VALUE"""),FALSE)</f>
        <v>0</v>
      </c>
      <c r="E7" s="96" t="str">
        <f>IFERROR(__xludf.DUMMYFUNCTION("""COMPUTED_VALUE"""),"BANTAYAN")</f>
        <v>BANTAYAN</v>
      </c>
      <c r="F7" s="96" t="str">
        <f>IFERROR(__xludf.DUMMYFUNCTION("""COMPUTED_VALUE"""),"EURASIA")</f>
        <v>EURASIA</v>
      </c>
    </row>
    <row r="8">
      <c r="A8" s="131">
        <f>IFERROR(__xludf.DUMMYFUNCTION("""COMPUTED_VALUE"""),6.0)</f>
        <v>6</v>
      </c>
      <c r="B8" s="131"/>
      <c r="C8" s="131">
        <f>IFERROR(__xludf.DUMMYFUNCTION("""COMPUTED_VALUE"""),1.0)</f>
        <v>1</v>
      </c>
      <c r="D8" s="131" t="b">
        <f>IFERROR(__xludf.DUMMYFUNCTION("""COMPUTED_VALUE"""),FALSE)</f>
        <v>0</v>
      </c>
      <c r="E8" s="96" t="str">
        <f>IFERROR(__xludf.DUMMYFUNCTION("""COMPUTED_VALUE"""),"BUCTOT")</f>
        <v>BUCTOT</v>
      </c>
      <c r="F8" s="96" t="str">
        <f>IFERROR(__xludf.DUMMYFUNCTION("""COMPUTED_VALUE"""),"JEZEBEL")</f>
        <v>JEZEBEL</v>
      </c>
    </row>
    <row r="9">
      <c r="A9" s="131">
        <f>IFERROR(__xludf.DUMMYFUNCTION("""COMPUTED_VALUE"""),7.0)</f>
        <v>7</v>
      </c>
      <c r="B9" s="131"/>
      <c r="C9" s="131">
        <f>IFERROR(__xludf.DUMMYFUNCTION("""COMPUTED_VALUE"""),1.0)</f>
        <v>1</v>
      </c>
      <c r="D9" s="131" t="b">
        <f>IFERROR(__xludf.DUMMYFUNCTION("""COMPUTED_VALUE"""),FALSE)</f>
        <v>0</v>
      </c>
      <c r="E9" s="96" t="str">
        <f>IFERROR(__xludf.DUMMYFUNCTION("""COMPUTED_VALUE"""),"ENCARNACION")</f>
        <v>ENCARNACION</v>
      </c>
      <c r="F9" s="96" t="str">
        <f>IFERROR(__xludf.DUMMYFUNCTION("""COMPUTED_VALUE"""),"KRISTEL")</f>
        <v>KRISTEL</v>
      </c>
    </row>
    <row r="10">
      <c r="A10" s="131">
        <f>IFERROR(__xludf.DUMMYFUNCTION("""COMPUTED_VALUE"""),8.0)</f>
        <v>8</v>
      </c>
      <c r="B10" s="131"/>
      <c r="C10" s="131">
        <f>IFERROR(__xludf.DUMMYFUNCTION("""COMPUTED_VALUE"""),1.0)</f>
        <v>1</v>
      </c>
      <c r="D10" s="131" t="b">
        <f>IFERROR(__xludf.DUMMYFUNCTION("""COMPUTED_VALUE"""),FALSE)</f>
        <v>0</v>
      </c>
      <c r="E10" s="96" t="str">
        <f>IFERROR(__xludf.DUMMYFUNCTION("""COMPUTED_VALUE"""),"GUTIERREZ")</f>
        <v>GUTIERREZ</v>
      </c>
      <c r="F10" s="96" t="str">
        <f>IFERROR(__xludf.DUMMYFUNCTION("""COMPUTED_VALUE"""),"PAOLA")</f>
        <v>PAOLA</v>
      </c>
    </row>
    <row r="11">
      <c r="A11" s="131">
        <f>IFERROR(__xludf.DUMMYFUNCTION("""COMPUTED_VALUE"""),9.0)</f>
        <v>9</v>
      </c>
      <c r="B11" s="131"/>
      <c r="C11" s="131">
        <f>IFERROR(__xludf.DUMMYFUNCTION("""COMPUTED_VALUE"""),1.0)</f>
        <v>1</v>
      </c>
      <c r="D11" s="131" t="b">
        <f>IFERROR(__xludf.DUMMYFUNCTION("""COMPUTED_VALUE"""),FALSE)</f>
        <v>0</v>
      </c>
      <c r="E11" s="96" t="str">
        <f>IFERROR(__xludf.DUMMYFUNCTION("""COMPUTED_VALUE"""),"HISPANO")</f>
        <v>HISPANO</v>
      </c>
      <c r="F11" s="96" t="str">
        <f>IFERROR(__xludf.DUMMYFUNCTION("""COMPUTED_VALUE"""),"HANNA")</f>
        <v>HANNA</v>
      </c>
    </row>
    <row r="12">
      <c r="A12" s="131">
        <f>IFERROR(__xludf.DUMMYFUNCTION("""COMPUTED_VALUE"""),10.0)</f>
        <v>10</v>
      </c>
      <c r="B12" s="131"/>
      <c r="C12" s="131">
        <f>IFERROR(__xludf.DUMMYFUNCTION("""COMPUTED_VALUE"""),1.0)</f>
        <v>1</v>
      </c>
      <c r="D12" s="131" t="b">
        <f>IFERROR(__xludf.DUMMYFUNCTION("""COMPUTED_VALUE"""),FALSE)</f>
        <v>0</v>
      </c>
      <c r="E12" s="96" t="str">
        <f>IFERROR(__xludf.DUMMYFUNCTION("""COMPUTED_VALUE"""),"MALOLOY-ON")</f>
        <v>MALOLOY-ON</v>
      </c>
      <c r="F12" s="96" t="str">
        <f>IFERROR(__xludf.DUMMYFUNCTION("""COMPUTED_VALUE"""),"MARIANA")</f>
        <v>MARIANA</v>
      </c>
    </row>
    <row r="13">
      <c r="A13" s="131">
        <f>IFERROR(__xludf.DUMMYFUNCTION("""COMPUTED_VALUE"""),11.0)</f>
        <v>11</v>
      </c>
      <c r="B13" s="131"/>
      <c r="C13" s="131">
        <f>IFERROR(__xludf.DUMMYFUNCTION("""COMPUTED_VALUE"""),1.0)</f>
        <v>1</v>
      </c>
      <c r="D13" s="131" t="b">
        <f>IFERROR(__xludf.DUMMYFUNCTION("""COMPUTED_VALUE"""),FALSE)</f>
        <v>0</v>
      </c>
      <c r="E13" s="96" t="str">
        <f>IFERROR(__xludf.DUMMYFUNCTION("""COMPUTED_VALUE"""),"MALOLOY-ON")</f>
        <v>MALOLOY-ON</v>
      </c>
      <c r="F13" s="96" t="str">
        <f>IFERROR(__xludf.DUMMYFUNCTION("""COMPUTED_VALUE"""),"JOISEALAY")</f>
        <v>JOISEALAY</v>
      </c>
    </row>
    <row r="14">
      <c r="A14" s="131">
        <f>IFERROR(__xludf.DUMMYFUNCTION("""COMPUTED_VALUE"""),12.0)</f>
        <v>12</v>
      </c>
      <c r="B14" s="131"/>
      <c r="C14" s="131">
        <f>IFERROR(__xludf.DUMMYFUNCTION("""COMPUTED_VALUE"""),1.0)</f>
        <v>1</v>
      </c>
      <c r="D14" s="131" t="b">
        <f>IFERROR(__xludf.DUMMYFUNCTION("""COMPUTED_VALUE"""),FALSE)</f>
        <v>0</v>
      </c>
      <c r="E14" s="96" t="str">
        <f>IFERROR(__xludf.DUMMYFUNCTION("""COMPUTED_VALUE"""),"ORQUIA")</f>
        <v>ORQUIA</v>
      </c>
      <c r="F14" s="96" t="str">
        <f>IFERROR(__xludf.DUMMYFUNCTION("""COMPUTED_VALUE"""),"KAYLA")</f>
        <v>KAYLA</v>
      </c>
    </row>
    <row r="15">
      <c r="A15" s="131">
        <f>IFERROR(__xludf.DUMMYFUNCTION("""COMPUTED_VALUE"""),13.0)</f>
        <v>13</v>
      </c>
      <c r="B15" s="131"/>
      <c r="C15" s="131">
        <f>IFERROR(__xludf.DUMMYFUNCTION("""COMPUTED_VALUE"""),1.0)</f>
        <v>1</v>
      </c>
      <c r="D15" s="131" t="b">
        <f>IFERROR(__xludf.DUMMYFUNCTION("""COMPUTED_VALUE"""),FALSE)</f>
        <v>0</v>
      </c>
      <c r="E15" s="96" t="str">
        <f>IFERROR(__xludf.DUMMYFUNCTION("""COMPUTED_VALUE"""),"PIGAO")</f>
        <v>PIGAO</v>
      </c>
      <c r="F15" s="96" t="str">
        <f>IFERROR(__xludf.DUMMYFUNCTION("""COMPUTED_VALUE"""),"HANNAH")</f>
        <v>HANNAH</v>
      </c>
    </row>
    <row r="16">
      <c r="A16" s="131">
        <f>IFERROR(__xludf.DUMMYFUNCTION("""COMPUTED_VALUE"""),14.0)</f>
        <v>14</v>
      </c>
      <c r="B16" s="131"/>
      <c r="C16" s="131">
        <f>IFERROR(__xludf.DUMMYFUNCTION("""COMPUTED_VALUE"""),1.0)</f>
        <v>1</v>
      </c>
      <c r="D16" s="131" t="b">
        <f>IFERROR(__xludf.DUMMYFUNCTION("""COMPUTED_VALUE"""),FALSE)</f>
        <v>0</v>
      </c>
      <c r="E16" s="96" t="str">
        <f>IFERROR(__xludf.DUMMYFUNCTION("""COMPUTED_VALUE"""),"RELEVO")</f>
        <v>RELEVO</v>
      </c>
      <c r="F16" s="96" t="str">
        <f>IFERROR(__xludf.DUMMYFUNCTION("""COMPUTED_VALUE"""),"RICA")</f>
        <v>RICA</v>
      </c>
    </row>
    <row r="17">
      <c r="A17" s="131">
        <f>IFERROR(__xludf.DUMMYFUNCTION("""COMPUTED_VALUE"""),15.0)</f>
        <v>15</v>
      </c>
      <c r="B17" s="131"/>
      <c r="C17" s="131">
        <f>IFERROR(__xludf.DUMMYFUNCTION("""COMPUTED_VALUE"""),1.0)</f>
        <v>1</v>
      </c>
      <c r="D17" s="131" t="b">
        <f>IFERROR(__xludf.DUMMYFUNCTION("""COMPUTED_VALUE"""),FALSE)</f>
        <v>0</v>
      </c>
      <c r="E17" s="97" t="str">
        <f>IFERROR(__xludf.DUMMYFUNCTION("""COMPUTED_VALUE"""),"REYES")</f>
        <v>REYES</v>
      </c>
      <c r="F17" s="97" t="str">
        <f>IFERROR(__xludf.DUMMYFUNCTION("""COMPUTED_VALUE"""),"ARIANNE")</f>
        <v>ARIANNE</v>
      </c>
    </row>
    <row r="18">
      <c r="A18" s="131">
        <f>IFERROR(__xludf.DUMMYFUNCTION("""COMPUTED_VALUE"""),16.0)</f>
        <v>16</v>
      </c>
      <c r="B18" s="131"/>
      <c r="C18" s="131">
        <f>IFERROR(__xludf.DUMMYFUNCTION("""COMPUTED_VALUE"""),1.0)</f>
        <v>1</v>
      </c>
      <c r="D18" s="131" t="b">
        <f>IFERROR(__xludf.DUMMYFUNCTION("""COMPUTED_VALUE"""),FALSE)</f>
        <v>0</v>
      </c>
      <c r="E18" s="96" t="str">
        <f>IFERROR(__xludf.DUMMYFUNCTION("""COMPUTED_VALUE"""),"ROMANO")</f>
        <v>ROMANO</v>
      </c>
      <c r="F18" s="96" t="str">
        <f>IFERROR(__xludf.DUMMYFUNCTION("""COMPUTED_VALUE"""),"ROZANE")</f>
        <v>ROZANE</v>
      </c>
    </row>
    <row r="19">
      <c r="A19" s="131">
        <f>IFERROR(__xludf.DUMMYFUNCTION("""COMPUTED_VALUE"""),17.0)</f>
        <v>17</v>
      </c>
      <c r="B19" s="131"/>
      <c r="C19" s="131">
        <f>IFERROR(__xludf.DUMMYFUNCTION("""COMPUTED_VALUE"""),1.0)</f>
        <v>1</v>
      </c>
      <c r="D19" s="131" t="b">
        <f>IFERROR(__xludf.DUMMYFUNCTION("""COMPUTED_VALUE"""),FALSE)</f>
        <v>0</v>
      </c>
      <c r="E19" s="96" t="str">
        <f>IFERROR(__xludf.DUMMYFUNCTION("""COMPUTED_VALUE"""),"SEBASTIAN")</f>
        <v>SEBASTIAN</v>
      </c>
      <c r="F19" s="96" t="str">
        <f>IFERROR(__xludf.DUMMYFUNCTION("""COMPUTED_VALUE"""),"JENNIFER")</f>
        <v>JENNIFER</v>
      </c>
    </row>
    <row r="20">
      <c r="A20" s="131">
        <f>IFERROR(__xludf.DUMMYFUNCTION("""COMPUTED_VALUE"""),18.0)</f>
        <v>18</v>
      </c>
      <c r="B20" s="131"/>
      <c r="C20" s="131">
        <f>IFERROR(__xludf.DUMMYFUNCTION("""COMPUTED_VALUE"""),1.0)</f>
        <v>1</v>
      </c>
      <c r="D20" s="131" t="b">
        <f>IFERROR(__xludf.DUMMYFUNCTION("""COMPUTED_VALUE"""),FALSE)</f>
        <v>0</v>
      </c>
      <c r="E20" s="96" t="str">
        <f>IFERROR(__xludf.DUMMYFUNCTION("""COMPUTED_VALUE"""),"SIMON")</f>
        <v>SIMON</v>
      </c>
      <c r="F20" s="96" t="str">
        <f>IFERROR(__xludf.DUMMYFUNCTION("""COMPUTED_VALUE"""),"SHERRIE")</f>
        <v>SHERRIE</v>
      </c>
    </row>
    <row r="21">
      <c r="A21" s="131">
        <f>IFERROR(__xludf.DUMMYFUNCTION("""COMPUTED_VALUE"""),19.0)</f>
        <v>19</v>
      </c>
      <c r="B21" s="131">
        <f>IFERROR(__xludf.DUMMYFUNCTION("""COMPUTED_VALUE"""),15.0)</f>
        <v>15</v>
      </c>
      <c r="C21" s="131">
        <f>IFERROR(__xludf.DUMMYFUNCTION("""COMPUTED_VALUE"""),1.0)</f>
        <v>1</v>
      </c>
      <c r="D21" s="131" t="b">
        <f>IFERROR(__xludf.DUMMYFUNCTION("""COMPUTED_VALUE"""),FALSE)</f>
        <v>0</v>
      </c>
      <c r="E21" s="96" t="str">
        <f>IFERROR(__xludf.DUMMYFUNCTION("""COMPUTED_VALUE"""),"TAMIDLES")</f>
        <v>TAMIDLES</v>
      </c>
      <c r="F21" s="96" t="str">
        <f>IFERROR(__xludf.DUMMYFUNCTION("""COMPUTED_VALUE"""),"CZARINA")</f>
        <v>CZARINA</v>
      </c>
    </row>
    <row r="22">
      <c r="A22" s="131">
        <f>IFERROR(__xludf.DUMMYFUNCTION("""COMPUTED_VALUE"""),20.0)</f>
        <v>20</v>
      </c>
      <c r="B22" s="131">
        <f>IFERROR(__xludf.DUMMYFUNCTION("""COMPUTED_VALUE"""),15.0)</f>
        <v>15</v>
      </c>
      <c r="C22" s="131">
        <f>IFERROR(__xludf.DUMMYFUNCTION("""COMPUTED_VALUE"""),1.0)</f>
        <v>1</v>
      </c>
      <c r="D22" s="131" t="b">
        <f>IFERROR(__xludf.DUMMYFUNCTION("""COMPUTED_VALUE"""),FALSE)</f>
        <v>0</v>
      </c>
      <c r="E22" s="96" t="str">
        <f>IFERROR(__xludf.DUMMYFUNCTION("""COMPUTED_VALUE"""),"ULAN")</f>
        <v>ULAN</v>
      </c>
      <c r="F22" s="96" t="str">
        <f>IFERROR(__xludf.DUMMYFUNCTION("""COMPUTED_VALUE"""),"MCWAYNE")</f>
        <v>MCWAYNE</v>
      </c>
    </row>
    <row r="23">
      <c r="A23" s="131">
        <f>IFERROR(__xludf.DUMMYFUNCTION("""COMPUTED_VALUE"""),21.0)</f>
        <v>21</v>
      </c>
      <c r="B23" s="131"/>
      <c r="C23" s="131">
        <f>IFERROR(__xludf.DUMMYFUNCTION("""COMPUTED_VALUE"""),1.0)</f>
        <v>1</v>
      </c>
      <c r="D23" s="131" t="b">
        <f>IFERROR(__xludf.DUMMYFUNCTION("""COMPUTED_VALUE"""),FALSE)</f>
        <v>0</v>
      </c>
      <c r="E23" s="96" t="str">
        <f>IFERROR(__xludf.DUMMYFUNCTION("""COMPUTED_VALUE"""),"VILLARTA")</f>
        <v>VILLARTA</v>
      </c>
      <c r="F23" s="96" t="str">
        <f>IFERROR(__xludf.DUMMYFUNCTION("""COMPUTED_VALUE"""),"JERICKA")</f>
        <v>JERICKA</v>
      </c>
    </row>
    <row r="24">
      <c r="A24" s="131">
        <f>IFERROR(__xludf.DUMMYFUNCTION("""COMPUTED_VALUE"""),22.0)</f>
        <v>22</v>
      </c>
      <c r="B24" s="131"/>
      <c r="C24" s="131"/>
      <c r="D24" s="131" t="b">
        <f>IFERROR(__xludf.DUMMYFUNCTION("""COMPUTED_VALUE"""),FALSE)</f>
        <v>0</v>
      </c>
      <c r="E24" s="98"/>
      <c r="F24" s="96" t="str">
        <f>IFERROR(__xludf.DUMMYFUNCTION("""COMPUTED_VALUE"""),"ANGEL")</f>
        <v>ANGEL</v>
      </c>
    </row>
    <row r="25">
      <c r="A25" s="131">
        <f>IFERROR(__xludf.DUMMYFUNCTION("""COMPUTED_VALUE"""),23.0)</f>
        <v>23</v>
      </c>
      <c r="B25" s="131"/>
      <c r="C25" s="131">
        <f>IFERROR(__xludf.DUMMYFUNCTION("""COMPUTED_VALUE"""),23.0)</f>
        <v>23</v>
      </c>
      <c r="D25" s="131" t="b">
        <f>IFERROR(__xludf.DUMMYFUNCTION("""COMPUTED_VALUE"""),TRUE)</f>
        <v>1</v>
      </c>
      <c r="E25" s="99" t="str">
        <f>IFERROR(__xludf.DUMMYFUNCTION("""COMPUTED_VALUE"""),"AVANCENA")</f>
        <v>AVANCENA</v>
      </c>
      <c r="F25" s="99" t="str">
        <f>IFERROR(__xludf.DUMMYFUNCTION("""COMPUTED_VALUE"""),"AIMEE")</f>
        <v>AIMEE</v>
      </c>
    </row>
    <row r="26">
      <c r="A26" s="131">
        <f>IFERROR(__xludf.DUMMYFUNCTION("""COMPUTED_VALUE"""),24.0)</f>
        <v>24</v>
      </c>
      <c r="B26" s="131"/>
      <c r="C26" s="131">
        <f>IFERROR(__xludf.DUMMYFUNCTION("""COMPUTED_VALUE"""),23.0)</f>
        <v>23</v>
      </c>
      <c r="D26" s="131" t="b">
        <f>IFERROR(__xludf.DUMMYFUNCTION("""COMPUTED_VALUE"""),FALSE)</f>
        <v>0</v>
      </c>
      <c r="E26" s="100" t="str">
        <f>IFERROR(__xludf.DUMMYFUNCTION("""COMPUTED_VALUE"""),"CABO")</f>
        <v>CABO</v>
      </c>
      <c r="F26" s="100" t="str">
        <f>IFERROR(__xludf.DUMMYFUNCTION("""COMPUTED_VALUE"""),"MELANIE")</f>
        <v>MELANIE</v>
      </c>
    </row>
    <row r="27">
      <c r="A27" s="131">
        <f>IFERROR(__xludf.DUMMYFUNCTION("""COMPUTED_VALUE"""),25.0)</f>
        <v>25</v>
      </c>
      <c r="B27" s="131">
        <f>IFERROR(__xludf.DUMMYFUNCTION("""COMPUTED_VALUE"""),24.0)</f>
        <v>24</v>
      </c>
      <c r="C27" s="131">
        <f>IFERROR(__xludf.DUMMYFUNCTION("""COMPUTED_VALUE"""),23.0)</f>
        <v>23</v>
      </c>
      <c r="D27" s="131" t="b">
        <f>IFERROR(__xludf.DUMMYFUNCTION("""COMPUTED_VALUE"""),FALSE)</f>
        <v>0</v>
      </c>
      <c r="E27" s="100" t="str">
        <f>IFERROR(__xludf.DUMMYFUNCTION("""COMPUTED_VALUE"""),"CARLOS")</f>
        <v>CARLOS</v>
      </c>
      <c r="F27" s="100" t="str">
        <f>IFERROR(__xludf.DUMMYFUNCTION("""COMPUTED_VALUE"""),"FRANCINE")</f>
        <v>FRANCINE</v>
      </c>
    </row>
    <row r="28">
      <c r="A28" s="131">
        <f>IFERROR(__xludf.DUMMYFUNCTION("""COMPUTED_VALUE"""),26.0)</f>
        <v>26</v>
      </c>
      <c r="B28" s="131"/>
      <c r="C28" s="131">
        <f>IFERROR(__xludf.DUMMYFUNCTION("""COMPUTED_VALUE"""),23.0)</f>
        <v>23</v>
      </c>
      <c r="D28" s="131" t="b">
        <f>IFERROR(__xludf.DUMMYFUNCTION("""COMPUTED_VALUE"""),FALSE)</f>
        <v>0</v>
      </c>
      <c r="E28" s="100" t="str">
        <f>IFERROR(__xludf.DUMMYFUNCTION("""COMPUTED_VALUE"""),"DALIOAN")</f>
        <v>DALIOAN</v>
      </c>
      <c r="F28" s="100" t="str">
        <f>IFERROR(__xludf.DUMMYFUNCTION("""COMPUTED_VALUE"""),"MONIQUE")</f>
        <v>MONIQUE</v>
      </c>
    </row>
    <row r="29">
      <c r="A29" s="131">
        <f>IFERROR(__xludf.DUMMYFUNCTION("""COMPUTED_VALUE"""),27.0)</f>
        <v>27</v>
      </c>
      <c r="B29" s="131"/>
      <c r="C29" s="131">
        <f>IFERROR(__xludf.DUMMYFUNCTION("""COMPUTED_VALUE"""),23.0)</f>
        <v>23</v>
      </c>
      <c r="D29" s="131" t="b">
        <f>IFERROR(__xludf.DUMMYFUNCTION("""COMPUTED_VALUE"""),FALSE)</f>
        <v>0</v>
      </c>
      <c r="E29" s="100" t="str">
        <f>IFERROR(__xludf.DUMMYFUNCTION("""COMPUTED_VALUE"""),"GELICAME")</f>
        <v>GELICAME</v>
      </c>
      <c r="F29" s="100" t="str">
        <f>IFERROR(__xludf.DUMMYFUNCTION("""COMPUTED_VALUE"""),"ARYHANA")</f>
        <v>ARYHANA</v>
      </c>
    </row>
    <row r="30">
      <c r="A30" s="131">
        <f>IFERROR(__xludf.DUMMYFUNCTION("""COMPUTED_VALUE"""),28.0)</f>
        <v>28</v>
      </c>
      <c r="B30" s="131"/>
      <c r="C30" s="131">
        <f>IFERROR(__xludf.DUMMYFUNCTION("""COMPUTED_VALUE"""),23.0)</f>
        <v>23</v>
      </c>
      <c r="D30" s="131" t="b">
        <f>IFERROR(__xludf.DUMMYFUNCTION("""COMPUTED_VALUE"""),FALSE)</f>
        <v>0</v>
      </c>
      <c r="E30" s="100" t="str">
        <f>IFERROR(__xludf.DUMMYFUNCTION("""COMPUTED_VALUE"""),"GUIMONG")</f>
        <v>GUIMONG</v>
      </c>
      <c r="F30" s="100" t="str">
        <f>IFERROR(__xludf.DUMMYFUNCTION("""COMPUTED_VALUE"""),"FAITH")</f>
        <v>FAITH</v>
      </c>
    </row>
    <row r="31">
      <c r="A31" s="131">
        <f>IFERROR(__xludf.DUMMYFUNCTION("""COMPUTED_VALUE"""),29.0)</f>
        <v>29</v>
      </c>
      <c r="B31" s="131"/>
      <c r="C31" s="131">
        <f>IFERROR(__xludf.DUMMYFUNCTION("""COMPUTED_VALUE"""),23.0)</f>
        <v>23</v>
      </c>
      <c r="D31" s="131" t="b">
        <f>IFERROR(__xludf.DUMMYFUNCTION("""COMPUTED_VALUE"""),FALSE)</f>
        <v>0</v>
      </c>
      <c r="E31" s="100" t="str">
        <f>IFERROR(__xludf.DUMMYFUNCTION("""COMPUTED_VALUE"""),"MANALOTO")</f>
        <v>MANALOTO</v>
      </c>
      <c r="F31" s="100" t="str">
        <f>IFERROR(__xludf.DUMMYFUNCTION("""COMPUTED_VALUE"""),"YOSHA")</f>
        <v>YOSHA</v>
      </c>
    </row>
    <row r="32">
      <c r="A32" s="131">
        <f>IFERROR(__xludf.DUMMYFUNCTION("""COMPUTED_VALUE"""),30.0)</f>
        <v>30</v>
      </c>
      <c r="B32" s="131"/>
      <c r="C32" s="131">
        <f>IFERROR(__xludf.DUMMYFUNCTION("""COMPUTED_VALUE"""),23.0)</f>
        <v>23</v>
      </c>
      <c r="D32" s="131" t="b">
        <f>IFERROR(__xludf.DUMMYFUNCTION("""COMPUTED_VALUE"""),FALSE)</f>
        <v>0</v>
      </c>
      <c r="E32" s="100" t="str">
        <f>IFERROR(__xludf.DUMMYFUNCTION("""COMPUTED_VALUE"""),"MARINAS")</f>
        <v>MARINAS</v>
      </c>
      <c r="F32" s="100" t="str">
        <f>IFERROR(__xludf.DUMMYFUNCTION("""COMPUTED_VALUE"""),"CHERRY")</f>
        <v>CHERRY</v>
      </c>
    </row>
    <row r="33">
      <c r="A33" s="131">
        <f>IFERROR(__xludf.DUMMYFUNCTION("""COMPUTED_VALUE"""),31.0)</f>
        <v>31</v>
      </c>
      <c r="B33" s="131"/>
      <c r="C33" s="131">
        <f>IFERROR(__xludf.DUMMYFUNCTION("""COMPUTED_VALUE"""),23.0)</f>
        <v>23</v>
      </c>
      <c r="D33" s="131" t="b">
        <f>IFERROR(__xludf.DUMMYFUNCTION("""COMPUTED_VALUE"""),FALSE)</f>
        <v>0</v>
      </c>
      <c r="E33" s="101" t="str">
        <f>IFERROR(__xludf.DUMMYFUNCTION("""COMPUTED_VALUE"""),"JIMENEZ")</f>
        <v>JIMENEZ</v>
      </c>
      <c r="F33" s="101" t="str">
        <f>IFERROR(__xludf.DUMMYFUNCTION("""COMPUTED_VALUE"""),"RUTH JHAMELA")</f>
        <v>RUTH JHAMELA</v>
      </c>
    </row>
    <row r="34">
      <c r="A34" s="131">
        <f>IFERROR(__xludf.DUMMYFUNCTION("""COMPUTED_VALUE"""),32.0)</f>
        <v>32</v>
      </c>
      <c r="B34" s="131"/>
      <c r="C34" s="131">
        <f>IFERROR(__xludf.DUMMYFUNCTION("""COMPUTED_VALUE"""),23.0)</f>
        <v>23</v>
      </c>
      <c r="D34" s="131" t="b">
        <f>IFERROR(__xludf.DUMMYFUNCTION("""COMPUTED_VALUE"""),FALSE)</f>
        <v>0</v>
      </c>
      <c r="E34" s="100" t="str">
        <f>IFERROR(__xludf.DUMMYFUNCTION("""COMPUTED_VALUE"""),"GUILLERMO")</f>
        <v>GUILLERMO</v>
      </c>
      <c r="F34" s="100" t="str">
        <f>IFERROR(__xludf.DUMMYFUNCTION("""COMPUTED_VALUE"""),"STAR")</f>
        <v>STAR</v>
      </c>
    </row>
    <row r="35">
      <c r="A35" s="131">
        <f>IFERROR(__xludf.DUMMYFUNCTION("""COMPUTED_VALUE"""),33.0)</f>
        <v>33</v>
      </c>
      <c r="B35" s="131"/>
      <c r="C35" s="131">
        <f>IFERROR(__xludf.DUMMYFUNCTION("""COMPUTED_VALUE"""),23.0)</f>
        <v>23</v>
      </c>
      <c r="D35" s="131" t="b">
        <f>IFERROR(__xludf.DUMMYFUNCTION("""COMPUTED_VALUE"""),FALSE)</f>
        <v>0</v>
      </c>
      <c r="E35" s="100" t="str">
        <f>IFERROR(__xludf.DUMMYFUNCTION("""COMPUTED_VALUE"""),"CATENZA")</f>
        <v>CATENZA</v>
      </c>
      <c r="F35" s="100" t="str">
        <f>IFERROR(__xludf.DUMMYFUNCTION("""COMPUTED_VALUE"""),"PRINCESS")</f>
        <v>PRINCESS</v>
      </c>
    </row>
    <row r="36">
      <c r="A36" s="131">
        <f>IFERROR(__xludf.DUMMYFUNCTION("""COMPUTED_VALUE"""),34.0)</f>
        <v>34</v>
      </c>
      <c r="B36" s="131"/>
      <c r="C36" s="131">
        <f>IFERROR(__xludf.DUMMYFUNCTION("""COMPUTED_VALUE"""),23.0)</f>
        <v>23</v>
      </c>
      <c r="D36" s="131" t="b">
        <f>IFERROR(__xludf.DUMMYFUNCTION("""COMPUTED_VALUE"""),FALSE)</f>
        <v>0</v>
      </c>
      <c r="E36" s="102" t="str">
        <f>IFERROR(__xludf.DUMMYFUNCTION("""COMPUTED_VALUE"""),"GORDON")</f>
        <v>GORDON</v>
      </c>
      <c r="F36" s="102" t="str">
        <f>IFERROR(__xludf.DUMMYFUNCTION("""COMPUTED_VALUE"""),"HARRY")</f>
        <v>HARRY</v>
      </c>
    </row>
    <row r="37">
      <c r="A37" s="131">
        <f>IFERROR(__xludf.DUMMYFUNCTION("""COMPUTED_VALUE"""),35.0)</f>
        <v>35</v>
      </c>
      <c r="B37" s="131"/>
      <c r="C37" s="131">
        <f>IFERROR(__xludf.DUMMYFUNCTION("""COMPUTED_VALUE"""),23.0)</f>
        <v>23</v>
      </c>
      <c r="D37" s="131" t="b">
        <f>IFERROR(__xludf.DUMMYFUNCTION("""COMPUTED_VALUE"""),FALSE)</f>
        <v>0</v>
      </c>
      <c r="E37" s="103" t="str">
        <f>IFERROR(__xludf.DUMMYFUNCTION("""COMPUTED_VALUE"""),"AVILLANO")</f>
        <v>AVILLANO</v>
      </c>
      <c r="F37" s="103" t="str">
        <f>IFERROR(__xludf.DUMMYFUNCTION("""COMPUTED_VALUE"""),"ANGEL DIANNE")</f>
        <v>ANGEL DIANNE</v>
      </c>
    </row>
    <row r="38">
      <c r="A38" s="131">
        <f>IFERROR(__xludf.DUMMYFUNCTION("""COMPUTED_VALUE"""),36.0)</f>
        <v>36</v>
      </c>
      <c r="B38" s="131"/>
      <c r="C38" s="131">
        <f>IFERROR(__xludf.DUMMYFUNCTION("""COMPUTED_VALUE"""),23.0)</f>
        <v>23</v>
      </c>
      <c r="D38" s="131" t="b">
        <f>IFERROR(__xludf.DUMMYFUNCTION("""COMPUTED_VALUE"""),FALSE)</f>
        <v>0</v>
      </c>
      <c r="E38" s="103" t="str">
        <f>IFERROR(__xludf.DUMMYFUNCTION("""COMPUTED_VALUE"""),"BALTAZAR")</f>
        <v>BALTAZAR</v>
      </c>
      <c r="F38" s="103" t="str">
        <f>IFERROR(__xludf.DUMMYFUNCTION("""COMPUTED_VALUE"""),"ARSTON")</f>
        <v>ARSTON</v>
      </c>
    </row>
    <row r="39">
      <c r="A39" s="131">
        <f>IFERROR(__xludf.DUMMYFUNCTION("""COMPUTED_VALUE"""),37.0)</f>
        <v>37</v>
      </c>
      <c r="B39" s="131"/>
      <c r="C39" s="131">
        <f>IFERROR(__xludf.DUMMYFUNCTION("""COMPUTED_VALUE"""),23.0)</f>
        <v>23</v>
      </c>
      <c r="D39" s="131" t="b">
        <f>IFERROR(__xludf.DUMMYFUNCTION("""COMPUTED_VALUE"""),FALSE)</f>
        <v>0</v>
      </c>
      <c r="E39" s="102" t="str">
        <f>IFERROR(__xludf.DUMMYFUNCTION("""COMPUTED_VALUE"""),"SISON")</f>
        <v>SISON</v>
      </c>
      <c r="F39" s="103" t="str">
        <f>IFERROR(__xludf.DUMMYFUNCTION("""COMPUTED_VALUE"""),"KRISTA MAE")</f>
        <v>KRISTA MAE</v>
      </c>
    </row>
    <row r="40">
      <c r="A40" s="131">
        <f>IFERROR(__xludf.DUMMYFUNCTION("""COMPUTED_VALUE"""),38.0)</f>
        <v>38</v>
      </c>
      <c r="B40" s="131"/>
      <c r="C40" s="131">
        <f>IFERROR(__xludf.DUMMYFUNCTION("""COMPUTED_VALUE"""),23.0)</f>
        <v>23</v>
      </c>
      <c r="D40" s="131" t="b">
        <f>IFERROR(__xludf.DUMMYFUNCTION("""COMPUTED_VALUE"""),FALSE)</f>
        <v>0</v>
      </c>
      <c r="E40" s="103" t="str">
        <f>IFERROR(__xludf.DUMMYFUNCTION("""COMPUTED_VALUE"""),"GARCIA")</f>
        <v>GARCIA</v>
      </c>
      <c r="F40" s="103" t="str">
        <f>IFERROR(__xludf.DUMMYFUNCTION("""COMPUTED_VALUE"""),"SELTHIEL")</f>
        <v>SELTHIEL</v>
      </c>
    </row>
    <row r="41">
      <c r="A41" s="131">
        <f>IFERROR(__xludf.DUMMYFUNCTION("""COMPUTED_VALUE"""),39.0)</f>
        <v>39</v>
      </c>
      <c r="B41" s="131"/>
      <c r="C41" s="131">
        <f>IFERROR(__xludf.DUMMYFUNCTION("""COMPUTED_VALUE"""),23.0)</f>
        <v>23</v>
      </c>
      <c r="D41" s="131" t="b">
        <f>IFERROR(__xludf.DUMMYFUNCTION("""COMPUTED_VALUE"""),FALSE)</f>
        <v>0</v>
      </c>
      <c r="E41" s="103" t="str">
        <f>IFERROR(__xludf.DUMMYFUNCTION("""COMPUTED_VALUE"""),"HIJARA")</f>
        <v>HIJARA</v>
      </c>
      <c r="F41" s="103" t="str">
        <f>IFERROR(__xludf.DUMMYFUNCTION("""COMPUTED_VALUE"""),"JAIHMIER VIELLE")</f>
        <v>JAIHMIER VIELLE</v>
      </c>
    </row>
    <row r="42">
      <c r="A42" s="131">
        <f>IFERROR(__xludf.DUMMYFUNCTION("""COMPUTED_VALUE"""),40.0)</f>
        <v>40</v>
      </c>
      <c r="B42" s="131"/>
      <c r="C42" s="131">
        <f>IFERROR(__xludf.DUMMYFUNCTION("""COMPUTED_VALUE"""),23.0)</f>
        <v>23</v>
      </c>
      <c r="D42" s="131" t="b">
        <f>IFERROR(__xludf.DUMMYFUNCTION("""COMPUTED_VALUE"""),FALSE)</f>
        <v>0</v>
      </c>
      <c r="E42" s="103" t="str">
        <f>IFERROR(__xludf.DUMMYFUNCTION("""COMPUTED_VALUE"""),"MAGBANUA")</f>
        <v>MAGBANUA</v>
      </c>
      <c r="F42" s="103" t="str">
        <f>IFERROR(__xludf.DUMMYFUNCTION("""COMPUTED_VALUE"""),"MANUEL HARVEY")</f>
        <v>MANUEL HARVEY</v>
      </c>
    </row>
    <row r="43">
      <c r="A43" s="131">
        <f>IFERROR(__xludf.DUMMYFUNCTION("""COMPUTED_VALUE"""),41.0)</f>
        <v>41</v>
      </c>
      <c r="B43" s="131"/>
      <c r="C43" s="131">
        <f>IFERROR(__xludf.DUMMYFUNCTION("""COMPUTED_VALUE"""),23.0)</f>
        <v>23</v>
      </c>
      <c r="D43" s="131" t="b">
        <f>IFERROR(__xludf.DUMMYFUNCTION("""COMPUTED_VALUE"""),FALSE)</f>
        <v>0</v>
      </c>
      <c r="E43" s="103" t="str">
        <f>IFERROR(__xludf.DUMMYFUNCTION("""COMPUTED_VALUE"""),"TABOY")</f>
        <v>TABOY</v>
      </c>
      <c r="F43" s="103" t="str">
        <f>IFERROR(__xludf.DUMMYFUNCTION("""COMPUTED_VALUE"""),"PRIMO KLYDE")</f>
        <v>PRIMO KLYDE</v>
      </c>
    </row>
    <row r="44">
      <c r="A44" s="131">
        <f>IFERROR(__xludf.DUMMYFUNCTION("""COMPUTED_VALUE"""),42.0)</f>
        <v>42</v>
      </c>
      <c r="B44" s="131"/>
      <c r="C44" s="131"/>
      <c r="D44" s="131" t="b">
        <f>IFERROR(__xludf.DUMMYFUNCTION("""COMPUTED_VALUE"""),FALSE)</f>
        <v>0</v>
      </c>
      <c r="E44" s="103"/>
      <c r="F44" s="103"/>
    </row>
    <row r="45">
      <c r="A45" s="131">
        <f>IFERROR(__xludf.DUMMYFUNCTION("""COMPUTED_VALUE"""),43.0)</f>
        <v>43</v>
      </c>
      <c r="B45" s="131"/>
      <c r="C45" s="131">
        <f>IFERROR(__xludf.DUMMYFUNCTION("""COMPUTED_VALUE"""),23.0)</f>
        <v>23</v>
      </c>
      <c r="D45" s="131" t="b">
        <f>IFERROR(__xludf.DUMMYFUNCTION("""COMPUTED_VALUE"""),FALSE)</f>
        <v>0</v>
      </c>
      <c r="E45" s="103" t="str">
        <f>IFERROR(__xludf.DUMMYFUNCTION("""COMPUTED_VALUE"""),"SABEJON")</f>
        <v>SABEJON</v>
      </c>
      <c r="F45" s="103" t="str">
        <f>IFERROR(__xludf.DUMMYFUNCTION("""COMPUTED_VALUE"""),"KENNETH")</f>
        <v>KENNETH</v>
      </c>
    </row>
    <row r="46">
      <c r="A46" s="131">
        <f>IFERROR(__xludf.DUMMYFUNCTION("""COMPUTED_VALUE"""),44.0)</f>
        <v>44</v>
      </c>
      <c r="B46" s="131"/>
      <c r="C46" s="131">
        <f>IFERROR(__xludf.DUMMYFUNCTION("""COMPUTED_VALUE"""),23.0)</f>
        <v>23</v>
      </c>
      <c r="D46" s="131" t="b">
        <f>IFERROR(__xludf.DUMMYFUNCTION("""COMPUTED_VALUE"""),FALSE)</f>
        <v>0</v>
      </c>
      <c r="E46" s="103" t="str">
        <f>IFERROR(__xludf.DUMMYFUNCTION("""COMPUTED_VALUE"""),"LIRRAG")</f>
        <v>LIRRAG</v>
      </c>
      <c r="F46" s="103" t="str">
        <f>IFERROR(__xludf.DUMMYFUNCTION("""COMPUTED_VALUE"""),"DAN EDRIK")</f>
        <v>DAN EDRIK</v>
      </c>
    </row>
    <row r="47">
      <c r="A47" s="131">
        <f>IFERROR(__xludf.DUMMYFUNCTION("""COMPUTED_VALUE"""),45.0)</f>
        <v>45</v>
      </c>
      <c r="B47" s="131"/>
      <c r="C47" s="131">
        <f>IFERROR(__xludf.DUMMYFUNCTION("""COMPUTED_VALUE"""),23.0)</f>
        <v>23</v>
      </c>
      <c r="D47" s="131" t="b">
        <f>IFERROR(__xludf.DUMMYFUNCTION("""COMPUTED_VALUE"""),FALSE)</f>
        <v>0</v>
      </c>
      <c r="E47" s="103" t="str">
        <f>IFERROR(__xludf.DUMMYFUNCTION("""COMPUTED_VALUE"""),"DELA ROSA")</f>
        <v>DELA ROSA</v>
      </c>
      <c r="F47" s="103" t="str">
        <f>IFERROR(__xludf.DUMMYFUNCTION("""COMPUTED_VALUE"""),"JOREVE")</f>
        <v>JOREVE</v>
      </c>
    </row>
    <row r="48">
      <c r="A48" s="131">
        <f>IFERROR(__xludf.DUMMYFUNCTION("""COMPUTED_VALUE"""),46.0)</f>
        <v>46</v>
      </c>
      <c r="B48" s="131"/>
      <c r="C48" s="131">
        <f>IFERROR(__xludf.DUMMYFUNCTION("""COMPUTED_VALUE"""),23.0)</f>
        <v>23</v>
      </c>
      <c r="D48" s="131" t="b">
        <f>IFERROR(__xludf.DUMMYFUNCTION("""COMPUTED_VALUE"""),FALSE)</f>
        <v>0</v>
      </c>
      <c r="E48" s="103" t="str">
        <f>IFERROR(__xludf.DUMMYFUNCTION("""COMPUTED_VALUE"""),"KOI")</f>
        <v>KOI</v>
      </c>
      <c r="F48" s="103" t="str">
        <f>IFERROR(__xludf.DUMMYFUNCTION("""COMPUTED_VALUE"""),"HERMYLYN")</f>
        <v>HERMYLYN</v>
      </c>
    </row>
    <row r="49">
      <c r="A49" s="131">
        <f>IFERROR(__xludf.DUMMYFUNCTION("""COMPUTED_VALUE"""),47.0)</f>
        <v>47</v>
      </c>
      <c r="B49" s="131"/>
      <c r="C49" s="131">
        <f>IFERROR(__xludf.DUMMYFUNCTION("""COMPUTED_VALUE"""),23.0)</f>
        <v>23</v>
      </c>
      <c r="D49" s="131" t="b">
        <f>IFERROR(__xludf.DUMMYFUNCTION("""COMPUTED_VALUE"""),FALSE)</f>
        <v>0</v>
      </c>
      <c r="E49" s="103" t="str">
        <f>IFERROR(__xludf.DUMMYFUNCTION("""COMPUTED_VALUE"""),"SILVANO")</f>
        <v>SILVANO</v>
      </c>
      <c r="F49" s="103" t="str">
        <f>IFERROR(__xludf.DUMMYFUNCTION("""COMPUTED_VALUE"""),"CRISJARED")</f>
        <v>CRISJARED</v>
      </c>
    </row>
    <row r="50">
      <c r="A50" s="131">
        <f>IFERROR(__xludf.DUMMYFUNCTION("""COMPUTED_VALUE"""),48.0)</f>
        <v>48</v>
      </c>
      <c r="B50" s="131"/>
      <c r="C50" s="131">
        <f>IFERROR(__xludf.DUMMYFUNCTION("""COMPUTED_VALUE"""),23.0)</f>
        <v>23</v>
      </c>
      <c r="D50" s="131" t="b">
        <f>IFERROR(__xludf.DUMMYFUNCTION("""COMPUTED_VALUE"""),FALSE)</f>
        <v>0</v>
      </c>
      <c r="E50" s="103" t="str">
        <f>IFERROR(__xludf.DUMMYFUNCTION("""COMPUTED_VALUE"""),"CORONEL")</f>
        <v>CORONEL</v>
      </c>
      <c r="F50" s="103" t="str">
        <f>IFERROR(__xludf.DUMMYFUNCTION("""COMPUTED_VALUE"""),"CARL CEDRICK")</f>
        <v>CARL CEDRICK</v>
      </c>
    </row>
    <row r="51">
      <c r="A51" s="131">
        <f>IFERROR(__xludf.DUMMYFUNCTION("""COMPUTED_VALUE"""),49.0)</f>
        <v>49</v>
      </c>
      <c r="B51" s="131"/>
      <c r="C51" s="131">
        <f>IFERROR(__xludf.DUMMYFUNCTION("""COMPUTED_VALUE"""),23.0)</f>
        <v>23</v>
      </c>
      <c r="D51" s="131" t="b">
        <f>IFERROR(__xludf.DUMMYFUNCTION("""COMPUTED_VALUE"""),FALSE)</f>
        <v>0</v>
      </c>
      <c r="E51" s="103" t="str">
        <f>IFERROR(__xludf.DUMMYFUNCTION("""COMPUTED_VALUE"""),"ORTALEZA")</f>
        <v>ORTALEZA</v>
      </c>
      <c r="F51" s="103" t="str">
        <f>IFERROR(__xludf.DUMMYFUNCTION("""COMPUTED_VALUE"""),"FROI FANCIS")</f>
        <v>FROI FANCIS</v>
      </c>
    </row>
    <row r="52">
      <c r="A52" s="131">
        <f>IFERROR(__xludf.DUMMYFUNCTION("""COMPUTED_VALUE"""),50.0)</f>
        <v>50</v>
      </c>
      <c r="B52" s="131"/>
      <c r="C52" s="131">
        <f>IFERROR(__xludf.DUMMYFUNCTION("""COMPUTED_VALUE"""),23.0)</f>
        <v>23</v>
      </c>
      <c r="D52" s="131" t="b">
        <f>IFERROR(__xludf.DUMMYFUNCTION("""COMPUTED_VALUE"""),FALSE)</f>
        <v>0</v>
      </c>
      <c r="E52" s="103" t="str">
        <f>IFERROR(__xludf.DUMMYFUNCTION("""COMPUTED_VALUE"""),"ESPOZO")</f>
        <v>ESPOZO</v>
      </c>
      <c r="F52" s="103" t="str">
        <f>IFERROR(__xludf.DUMMYFUNCTION("""COMPUTED_VALUE"""),"MAICA ELLA")</f>
        <v>MAICA ELLA</v>
      </c>
    </row>
    <row r="53">
      <c r="A53" s="131">
        <f>IFERROR(__xludf.DUMMYFUNCTION("""COMPUTED_VALUE"""),51.0)</f>
        <v>51</v>
      </c>
      <c r="B53" s="131"/>
      <c r="C53" s="131">
        <f>IFERROR(__xludf.DUMMYFUNCTION("""COMPUTED_VALUE"""),23.0)</f>
        <v>23</v>
      </c>
      <c r="D53" s="131" t="b">
        <f>IFERROR(__xludf.DUMMYFUNCTION("""COMPUTED_VALUE"""),FALSE)</f>
        <v>0</v>
      </c>
      <c r="E53" s="103" t="str">
        <f>IFERROR(__xludf.DUMMYFUNCTION("""COMPUTED_VALUE"""),"SOBERANO")</f>
        <v>SOBERANO</v>
      </c>
      <c r="F53" s="103" t="str">
        <f>IFERROR(__xludf.DUMMYFUNCTION("""COMPUTED_VALUE"""),"ZAIRUS")</f>
        <v>ZAIRUS</v>
      </c>
    </row>
    <row r="54">
      <c r="A54" s="131">
        <f>IFERROR(__xludf.DUMMYFUNCTION("""COMPUTED_VALUE"""),52.0)</f>
        <v>52</v>
      </c>
      <c r="B54" s="131"/>
      <c r="C54" s="131">
        <f>IFERROR(__xludf.DUMMYFUNCTION("""COMPUTED_VALUE"""),23.0)</f>
        <v>23</v>
      </c>
      <c r="D54" s="131" t="b">
        <f>IFERROR(__xludf.DUMMYFUNCTION("""COMPUTED_VALUE"""),FALSE)</f>
        <v>0</v>
      </c>
      <c r="E54" s="99" t="str">
        <f>IFERROR(__xludf.DUMMYFUNCTION("""COMPUTED_VALUE"""),"ERA")</f>
        <v>ERA</v>
      </c>
      <c r="F54" s="99" t="str">
        <f>IFERROR(__xludf.DUMMYFUNCTION("""COMPUTED_VALUE"""),"ANALEZA")</f>
        <v>ANALEZA</v>
      </c>
    </row>
    <row r="55">
      <c r="A55" s="131">
        <f>IFERROR(__xludf.DUMMYFUNCTION("""COMPUTED_VALUE"""),53.0)</f>
        <v>53</v>
      </c>
      <c r="B55" s="131"/>
      <c r="C55" s="131">
        <f>IFERROR(__xludf.DUMMYFUNCTION("""COMPUTED_VALUE"""),23.0)</f>
        <v>23</v>
      </c>
      <c r="D55" s="131" t="b">
        <f>IFERROR(__xludf.DUMMYFUNCTION("""COMPUTED_VALUE"""),FALSE)</f>
        <v>0</v>
      </c>
      <c r="E55" s="100" t="str">
        <f>IFERROR(__xludf.DUMMYFUNCTION("""COMPUTED_VALUE"""),"ARANA")</f>
        <v>ARANA</v>
      </c>
      <c r="F55" s="100" t="str">
        <f>IFERROR(__xludf.DUMMYFUNCTION("""COMPUTED_VALUE"""),"RHEANA")</f>
        <v>RHEANA</v>
      </c>
    </row>
    <row r="56">
      <c r="A56" s="131">
        <f>IFERROR(__xludf.DUMMYFUNCTION("""COMPUTED_VALUE"""),54.0)</f>
        <v>54</v>
      </c>
      <c r="B56" s="131"/>
      <c r="C56" s="131">
        <f>IFERROR(__xludf.DUMMYFUNCTION("""COMPUTED_VALUE"""),23.0)</f>
        <v>23</v>
      </c>
      <c r="D56" s="131" t="b">
        <f>IFERROR(__xludf.DUMMYFUNCTION("""COMPUTED_VALUE"""),FALSE)</f>
        <v>0</v>
      </c>
      <c r="E56" s="100" t="str">
        <f>IFERROR(__xludf.DUMMYFUNCTION("""COMPUTED_VALUE"""),"BANDE")</f>
        <v>BANDE</v>
      </c>
      <c r="F56" s="100" t="str">
        <f>IFERROR(__xludf.DUMMYFUNCTION("""COMPUTED_VALUE"""),"ERICA")</f>
        <v>ERICA</v>
      </c>
    </row>
    <row r="57">
      <c r="A57" s="131">
        <f>IFERROR(__xludf.DUMMYFUNCTION("""COMPUTED_VALUE"""),55.0)</f>
        <v>55</v>
      </c>
      <c r="B57" s="131"/>
      <c r="C57" s="131">
        <f>IFERROR(__xludf.DUMMYFUNCTION("""COMPUTED_VALUE"""),23.0)</f>
        <v>23</v>
      </c>
      <c r="D57" s="131" t="b">
        <f>IFERROR(__xludf.DUMMYFUNCTION("""COMPUTED_VALUE"""),FALSE)</f>
        <v>0</v>
      </c>
      <c r="E57" s="100" t="str">
        <f>IFERROR(__xludf.DUMMYFUNCTION("""COMPUTED_VALUE"""),"DEL ROSARIO")</f>
        <v>DEL ROSARIO</v>
      </c>
      <c r="F57" s="100" t="str">
        <f>IFERROR(__xludf.DUMMYFUNCTION("""COMPUTED_VALUE"""),"JOY")</f>
        <v>JOY</v>
      </c>
    </row>
    <row r="58">
      <c r="A58" s="131">
        <f>IFERROR(__xludf.DUMMYFUNCTION("""COMPUTED_VALUE"""),56.0)</f>
        <v>56</v>
      </c>
      <c r="B58" s="131"/>
      <c r="C58" s="131">
        <f>IFERROR(__xludf.DUMMYFUNCTION("""COMPUTED_VALUE"""),23.0)</f>
        <v>23</v>
      </c>
      <c r="D58" s="131" t="b">
        <f>IFERROR(__xludf.DUMMYFUNCTION("""COMPUTED_VALUE"""),FALSE)</f>
        <v>0</v>
      </c>
      <c r="E58" s="100" t="str">
        <f>IFERROR(__xludf.DUMMYFUNCTION("""COMPUTED_VALUE"""),"GUETA")</f>
        <v>GUETA</v>
      </c>
      <c r="F58" s="100" t="str">
        <f>IFERROR(__xludf.DUMMYFUNCTION("""COMPUTED_VALUE"""),"SEYVEL")</f>
        <v>SEYVEL</v>
      </c>
    </row>
    <row r="59">
      <c r="A59" s="131">
        <f>IFERROR(__xludf.DUMMYFUNCTION("""COMPUTED_VALUE"""),57.0)</f>
        <v>57</v>
      </c>
      <c r="B59" s="131"/>
      <c r="C59" s="131">
        <f>IFERROR(__xludf.DUMMYFUNCTION("""COMPUTED_VALUE"""),23.0)</f>
        <v>23</v>
      </c>
      <c r="D59" s="131" t="b">
        <f>IFERROR(__xludf.DUMMYFUNCTION("""COMPUTED_VALUE"""),FALSE)</f>
        <v>0</v>
      </c>
      <c r="E59" s="100" t="str">
        <f>IFERROR(__xludf.DUMMYFUNCTION("""COMPUTED_VALUE"""),"MALIPOT")</f>
        <v>MALIPOT</v>
      </c>
      <c r="F59" s="100" t="str">
        <f>IFERROR(__xludf.DUMMYFUNCTION("""COMPUTED_VALUE"""),"JUSTINE")</f>
        <v>JUSTINE</v>
      </c>
    </row>
    <row r="60">
      <c r="A60" s="131">
        <f>IFERROR(__xludf.DUMMYFUNCTION("""COMPUTED_VALUE"""),58.0)</f>
        <v>58</v>
      </c>
      <c r="B60" s="131"/>
      <c r="C60" s="131">
        <f>IFERROR(__xludf.DUMMYFUNCTION("""COMPUTED_VALUE"""),23.0)</f>
        <v>23</v>
      </c>
      <c r="D60" s="131" t="b">
        <f>IFERROR(__xludf.DUMMYFUNCTION("""COMPUTED_VALUE"""),FALSE)</f>
        <v>0</v>
      </c>
      <c r="E60" s="100" t="str">
        <f>IFERROR(__xludf.DUMMYFUNCTION("""COMPUTED_VALUE"""),"PATRICIO")</f>
        <v>PATRICIO</v>
      </c>
      <c r="F60" s="100" t="str">
        <f>IFERROR(__xludf.DUMMYFUNCTION("""COMPUTED_VALUE"""),"VANESSA")</f>
        <v>VANESSA</v>
      </c>
    </row>
    <row r="61">
      <c r="A61" s="131">
        <f>IFERROR(__xludf.DUMMYFUNCTION("""COMPUTED_VALUE"""),59.0)</f>
        <v>59</v>
      </c>
      <c r="B61" s="131"/>
      <c r="C61" s="131">
        <f>IFERROR(__xludf.DUMMYFUNCTION("""COMPUTED_VALUE"""),23.0)</f>
        <v>23</v>
      </c>
      <c r="D61" s="131" t="b">
        <f>IFERROR(__xludf.DUMMYFUNCTION("""COMPUTED_VALUE"""),FALSE)</f>
        <v>0</v>
      </c>
      <c r="E61" s="100" t="str">
        <f>IFERROR(__xludf.DUMMYFUNCTION("""COMPUTED_VALUE"""),"PONCE")</f>
        <v>PONCE</v>
      </c>
      <c r="F61" s="100" t="str">
        <f>IFERROR(__xludf.DUMMYFUNCTION("""COMPUTED_VALUE"""),"SHEENA")</f>
        <v>SHEENA</v>
      </c>
    </row>
    <row r="62">
      <c r="A62" s="131">
        <f>IFERROR(__xludf.DUMMYFUNCTION("""COMPUTED_VALUE"""),60.0)</f>
        <v>60</v>
      </c>
      <c r="B62" s="131"/>
      <c r="C62" s="131">
        <f>IFERROR(__xludf.DUMMYFUNCTION("""COMPUTED_VALUE"""),23.0)</f>
        <v>23</v>
      </c>
      <c r="D62" s="131" t="b">
        <f>IFERROR(__xludf.DUMMYFUNCTION("""COMPUTED_VALUE"""),FALSE)</f>
        <v>0</v>
      </c>
      <c r="E62" s="100" t="str">
        <f>IFERROR(__xludf.DUMMYFUNCTION("""COMPUTED_VALUE"""),"RAMOS")</f>
        <v>RAMOS</v>
      </c>
      <c r="F62" s="100" t="str">
        <f>IFERROR(__xludf.DUMMYFUNCTION("""COMPUTED_VALUE"""),"AA")</f>
        <v>AA</v>
      </c>
    </row>
    <row r="63">
      <c r="A63" s="131">
        <f>IFERROR(__xludf.DUMMYFUNCTION("""COMPUTED_VALUE"""),61.0)</f>
        <v>61</v>
      </c>
      <c r="B63" s="131"/>
      <c r="C63" s="131">
        <f>IFERROR(__xludf.DUMMYFUNCTION("""COMPUTED_VALUE"""),23.0)</f>
        <v>23</v>
      </c>
      <c r="D63" s="131" t="b">
        <f>IFERROR(__xludf.DUMMYFUNCTION("""COMPUTED_VALUE"""),FALSE)</f>
        <v>0</v>
      </c>
      <c r="E63" s="100" t="str">
        <f>IFERROR(__xludf.DUMMYFUNCTION("""COMPUTED_VALUE"""),"REPUBLO")</f>
        <v>REPUBLO</v>
      </c>
      <c r="F63" s="100" t="str">
        <f>IFERROR(__xludf.DUMMYFUNCTION("""COMPUTED_VALUE"""),"CLARISSA")</f>
        <v>CLARISSA</v>
      </c>
    </row>
    <row r="64">
      <c r="A64" s="131">
        <f>IFERROR(__xludf.DUMMYFUNCTION("""COMPUTED_VALUE"""),62.0)</f>
        <v>62</v>
      </c>
      <c r="B64" s="131"/>
      <c r="C64" s="131">
        <f>IFERROR(__xludf.DUMMYFUNCTION("""COMPUTED_VALUE"""),23.0)</f>
        <v>23</v>
      </c>
      <c r="D64" s="131" t="b">
        <f>IFERROR(__xludf.DUMMYFUNCTION("""COMPUTED_VALUE"""),FALSE)</f>
        <v>0</v>
      </c>
      <c r="E64" s="100"/>
      <c r="F64" s="100" t="str">
        <f>IFERROR(__xludf.DUMMYFUNCTION("""COMPUTED_VALUE"""),"JENNY")</f>
        <v>JENNY</v>
      </c>
    </row>
    <row r="65">
      <c r="A65" s="131">
        <f>IFERROR(__xludf.DUMMYFUNCTION("""COMPUTED_VALUE"""),63.0)</f>
        <v>63</v>
      </c>
      <c r="B65" s="131"/>
      <c r="C65" s="131">
        <f>IFERROR(__xludf.DUMMYFUNCTION("""COMPUTED_VALUE"""),23.0)</f>
        <v>23</v>
      </c>
      <c r="D65" s="131" t="b">
        <f>IFERROR(__xludf.DUMMYFUNCTION("""COMPUTED_VALUE"""),FALSE)</f>
        <v>0</v>
      </c>
      <c r="E65" s="99" t="str">
        <f>IFERROR(__xludf.DUMMYFUNCTION("""COMPUTED_VALUE"""),"MAGISTRADO")</f>
        <v>MAGISTRADO</v>
      </c>
      <c r="F65" s="99" t="str">
        <f>IFERROR(__xludf.DUMMYFUNCTION("""COMPUTED_VALUE"""),"ERICA")</f>
        <v>ERICA</v>
      </c>
    </row>
    <row r="66">
      <c r="A66" s="131">
        <f>IFERROR(__xludf.DUMMYFUNCTION("""COMPUTED_VALUE"""),64.0)</f>
        <v>64</v>
      </c>
      <c r="B66" s="131"/>
      <c r="C66" s="131">
        <f>IFERROR(__xludf.DUMMYFUNCTION("""COMPUTED_VALUE"""),23.0)</f>
        <v>23</v>
      </c>
      <c r="D66" s="131" t="b">
        <f>IFERROR(__xludf.DUMMYFUNCTION("""COMPUTED_VALUE"""),FALSE)</f>
        <v>0</v>
      </c>
      <c r="E66" s="100" t="str">
        <f>IFERROR(__xludf.DUMMYFUNCTION("""COMPUTED_VALUE"""),"CARANGUIAN")</f>
        <v>CARANGUIAN</v>
      </c>
      <c r="F66" s="100" t="str">
        <f>IFERROR(__xludf.DUMMYFUNCTION("""COMPUTED_VALUE"""),"DIVINA GRACE")</f>
        <v>DIVINA GRACE</v>
      </c>
    </row>
    <row r="67">
      <c r="A67" s="131">
        <f>IFERROR(__xludf.DUMMYFUNCTION("""COMPUTED_VALUE"""),65.0)</f>
        <v>65</v>
      </c>
      <c r="B67" s="131"/>
      <c r="C67" s="131">
        <f>IFERROR(__xludf.DUMMYFUNCTION("""COMPUTED_VALUE"""),23.0)</f>
        <v>23</v>
      </c>
      <c r="D67" s="131" t="b">
        <f>IFERROR(__xludf.DUMMYFUNCTION("""COMPUTED_VALUE"""),FALSE)</f>
        <v>0</v>
      </c>
      <c r="E67" s="100" t="str">
        <f>IFERROR(__xludf.DUMMYFUNCTION("""COMPUTED_VALUE"""),"ERA")</f>
        <v>ERA</v>
      </c>
      <c r="F67" s="100" t="str">
        <f>IFERROR(__xludf.DUMMYFUNCTION("""COMPUTED_VALUE"""),"CHRISTINA")</f>
        <v>CHRISTINA</v>
      </c>
    </row>
    <row r="68">
      <c r="A68" s="131">
        <f>IFERROR(__xludf.DUMMYFUNCTION("""COMPUTED_VALUE"""),66.0)</f>
        <v>66</v>
      </c>
      <c r="B68" s="131"/>
      <c r="C68" s="131">
        <f>IFERROR(__xludf.DUMMYFUNCTION("""COMPUTED_VALUE"""),23.0)</f>
        <v>23</v>
      </c>
      <c r="D68" s="131" t="b">
        <f>IFERROR(__xludf.DUMMYFUNCTION("""COMPUTED_VALUE"""),FALSE)</f>
        <v>0</v>
      </c>
      <c r="E68" s="100" t="str">
        <f>IFERROR(__xludf.DUMMYFUNCTION("""COMPUTED_VALUE"""),"MAGISTRADO")</f>
        <v>MAGISTRADO</v>
      </c>
      <c r="F68" s="100" t="str">
        <f>IFERROR(__xludf.DUMMYFUNCTION("""COMPUTED_VALUE"""),"LOVELY")</f>
        <v>LOVELY</v>
      </c>
    </row>
    <row r="69">
      <c r="A69" s="131">
        <f>IFERROR(__xludf.DUMMYFUNCTION("""COMPUTED_VALUE"""),67.0)</f>
        <v>67</v>
      </c>
      <c r="B69" s="131"/>
      <c r="C69" s="131">
        <f>IFERROR(__xludf.DUMMYFUNCTION("""COMPUTED_VALUE"""),23.0)</f>
        <v>23</v>
      </c>
      <c r="D69" s="131" t="b">
        <f>IFERROR(__xludf.DUMMYFUNCTION("""COMPUTED_VALUE"""),FALSE)</f>
        <v>0</v>
      </c>
      <c r="E69" s="100" t="str">
        <f>IFERROR(__xludf.DUMMYFUNCTION("""COMPUTED_VALUE"""),"PACLITA")</f>
        <v>PACLITA</v>
      </c>
      <c r="F69" s="100" t="str">
        <f>IFERROR(__xludf.DUMMYFUNCTION("""COMPUTED_VALUE"""),"CHERRY ANN")</f>
        <v>CHERRY ANN</v>
      </c>
    </row>
    <row r="70">
      <c r="A70" s="131">
        <f>IFERROR(__xludf.DUMMYFUNCTION("""COMPUTED_VALUE"""),68.0)</f>
        <v>68</v>
      </c>
      <c r="B70" s="131"/>
      <c r="C70" s="131">
        <f>IFERROR(__xludf.DUMMYFUNCTION("""COMPUTED_VALUE"""),23.0)</f>
        <v>23</v>
      </c>
      <c r="D70" s="131" t="b">
        <f>IFERROR(__xludf.DUMMYFUNCTION("""COMPUTED_VALUE"""),FALSE)</f>
        <v>0</v>
      </c>
      <c r="E70" s="100" t="str">
        <f>IFERROR(__xludf.DUMMYFUNCTION("""COMPUTED_VALUE"""),"PALOMA")</f>
        <v>PALOMA</v>
      </c>
      <c r="F70" s="100" t="str">
        <f>IFERROR(__xludf.DUMMYFUNCTION("""COMPUTED_VALUE"""),"ALEAH")</f>
        <v>ALEAH</v>
      </c>
    </row>
    <row r="71">
      <c r="A71" s="131">
        <f>IFERROR(__xludf.DUMMYFUNCTION("""COMPUTED_VALUE"""),69.0)</f>
        <v>69</v>
      </c>
      <c r="B71" s="131"/>
      <c r="C71" s="131">
        <f>IFERROR(__xludf.DUMMYFUNCTION("""COMPUTED_VALUE"""),23.0)</f>
        <v>23</v>
      </c>
      <c r="D71" s="131" t="b">
        <f>IFERROR(__xludf.DUMMYFUNCTION("""COMPUTED_VALUE"""),FALSE)</f>
        <v>0</v>
      </c>
      <c r="E71" s="100" t="str">
        <f>IFERROR(__xludf.DUMMYFUNCTION("""COMPUTED_VALUE"""),"SATURINAS")</f>
        <v>SATURINAS</v>
      </c>
      <c r="F71" s="100" t="str">
        <f>IFERROR(__xludf.DUMMYFUNCTION("""COMPUTED_VALUE"""),"ALEXANDRA GRACE")</f>
        <v>ALEXANDRA GRACE</v>
      </c>
    </row>
    <row r="72">
      <c r="A72" s="131">
        <f>IFERROR(__xludf.DUMMYFUNCTION("""COMPUTED_VALUE"""),70.0)</f>
        <v>70</v>
      </c>
      <c r="B72" s="131"/>
      <c r="C72" s="131">
        <f>IFERROR(__xludf.DUMMYFUNCTION("""COMPUTED_VALUE"""),23.0)</f>
        <v>23</v>
      </c>
      <c r="D72" s="131" t="b">
        <f>IFERROR(__xludf.DUMMYFUNCTION("""COMPUTED_VALUE"""),FALSE)</f>
        <v>0</v>
      </c>
      <c r="E72" s="101" t="str">
        <f>IFERROR(__xludf.DUMMYFUNCTION("""COMPUTED_VALUE"""),"RONQUILLO")</f>
        <v>RONQUILLO</v>
      </c>
      <c r="F72" s="101" t="str">
        <f>IFERROR(__xludf.DUMMYFUNCTION("""COMPUTED_VALUE"""),"SHANE")</f>
        <v>SHANE</v>
      </c>
    </row>
    <row r="73">
      <c r="A73" s="131">
        <f>IFERROR(__xludf.DUMMYFUNCTION("""COMPUTED_VALUE"""),71.0)</f>
        <v>71</v>
      </c>
      <c r="B73" s="131"/>
      <c r="C73" s="131">
        <f>IFERROR(__xludf.DUMMYFUNCTION("""COMPUTED_VALUE"""),23.0)</f>
        <v>23</v>
      </c>
      <c r="D73" s="131" t="b">
        <f>IFERROR(__xludf.DUMMYFUNCTION("""COMPUTED_VALUE"""),FALSE)</f>
        <v>0</v>
      </c>
      <c r="E73" s="101" t="str">
        <f>IFERROR(__xludf.DUMMYFUNCTION("""COMPUTED_VALUE"""),"MARFIL")</f>
        <v>MARFIL</v>
      </c>
      <c r="F73" s="101" t="str">
        <f>IFERROR(__xludf.DUMMYFUNCTION("""COMPUTED_VALUE"""),"ADELAIZA")</f>
        <v>ADELAIZA</v>
      </c>
    </row>
    <row r="74">
      <c r="A74" s="131">
        <f>IFERROR(__xludf.DUMMYFUNCTION("""COMPUTED_VALUE"""),72.0)</f>
        <v>72</v>
      </c>
      <c r="B74" s="131"/>
      <c r="C74" s="131">
        <f>IFERROR(__xludf.DUMMYFUNCTION("""COMPUTED_VALUE"""),23.0)</f>
        <v>23</v>
      </c>
      <c r="D74" s="131" t="b">
        <f>IFERROR(__xludf.DUMMYFUNCTION("""COMPUTED_VALUE"""),FALSE)</f>
        <v>0</v>
      </c>
      <c r="E74" s="101" t="str">
        <f>IFERROR(__xludf.DUMMYFUNCTION("""COMPUTED_VALUE"""),"PERALTA")</f>
        <v>PERALTA</v>
      </c>
      <c r="F74" s="101" t="str">
        <f>IFERROR(__xludf.DUMMYFUNCTION("""COMPUTED_VALUE"""),"ALAICA")</f>
        <v>ALAICA</v>
      </c>
    </row>
    <row r="75">
      <c r="A75" s="131">
        <f>IFERROR(__xludf.DUMMYFUNCTION("""COMPUTED_VALUE"""),73.0)</f>
        <v>73</v>
      </c>
      <c r="B75" s="131"/>
      <c r="C75" s="131">
        <f>IFERROR(__xludf.DUMMYFUNCTION("""COMPUTED_VALUE"""),23.0)</f>
        <v>23</v>
      </c>
      <c r="D75" s="131" t="b">
        <f>IFERROR(__xludf.DUMMYFUNCTION("""COMPUTED_VALUE"""),FALSE)</f>
        <v>0</v>
      </c>
      <c r="E75" s="101"/>
      <c r="F75" s="101" t="str">
        <f>IFERROR(__xludf.DUMMYFUNCTION("""COMPUTED_VALUE"""),"ALISA")</f>
        <v>ALISA</v>
      </c>
    </row>
    <row r="76">
      <c r="A76" s="131">
        <f>IFERROR(__xludf.DUMMYFUNCTION("""COMPUTED_VALUE"""),74.0)</f>
        <v>74</v>
      </c>
      <c r="B76" s="131"/>
      <c r="C76" s="131">
        <f>IFERROR(__xludf.DUMMYFUNCTION("""COMPUTED_VALUE"""),23.0)</f>
        <v>23</v>
      </c>
      <c r="D76" s="131" t="b">
        <f>IFERROR(__xludf.DUMMYFUNCTION("""COMPUTED_VALUE"""),FALSE)</f>
        <v>0</v>
      </c>
      <c r="E76" s="101" t="str">
        <f>IFERROR(__xludf.DUMMYFUNCTION("""COMPUTED_VALUE"""),"VILLANUEVA")</f>
        <v>VILLANUEVA</v>
      </c>
      <c r="F76" s="101" t="str">
        <f>IFERROR(__xludf.DUMMYFUNCTION("""COMPUTED_VALUE"""),"SOFIA")</f>
        <v>SOFIA</v>
      </c>
    </row>
    <row r="77">
      <c r="A77" s="131">
        <f>IFERROR(__xludf.DUMMYFUNCTION("""COMPUTED_VALUE"""),75.0)</f>
        <v>75</v>
      </c>
      <c r="B77" s="131"/>
      <c r="C77" s="131">
        <f>IFERROR(__xludf.DUMMYFUNCTION("""COMPUTED_VALUE"""),23.0)</f>
        <v>23</v>
      </c>
      <c r="D77" s="131" t="b">
        <f>IFERROR(__xludf.DUMMYFUNCTION("""COMPUTED_VALUE"""),FALSE)</f>
        <v>0</v>
      </c>
      <c r="E77" s="101" t="str">
        <f>IFERROR(__xludf.DUMMYFUNCTION("""COMPUTED_VALUE"""),"TAKEYAMA")</f>
        <v>TAKEYAMA</v>
      </c>
      <c r="F77" s="101" t="str">
        <f>IFERROR(__xludf.DUMMYFUNCTION("""COMPUTED_VALUE"""),"YUKA")</f>
        <v>YUKA</v>
      </c>
    </row>
    <row r="78">
      <c r="A78" s="131">
        <f>IFERROR(__xludf.DUMMYFUNCTION("""COMPUTED_VALUE"""),76.0)</f>
        <v>76</v>
      </c>
      <c r="B78" s="131"/>
      <c r="C78" s="131">
        <f>IFERROR(__xludf.DUMMYFUNCTION("""COMPUTED_VALUE"""),76.0)</f>
        <v>76</v>
      </c>
      <c r="D78" s="131" t="b">
        <f>IFERROR(__xludf.DUMMYFUNCTION("""COMPUTED_VALUE"""),TRUE)</f>
        <v>1</v>
      </c>
      <c r="E78" s="105" t="str">
        <f>IFERROR(__xludf.DUMMYFUNCTION("""COMPUTED_VALUE"""),"ANTONIO")</f>
        <v>ANTONIO</v>
      </c>
      <c r="F78" s="105" t="str">
        <f>IFERROR(__xludf.DUMMYFUNCTION("""COMPUTED_VALUE"""),"CHOLO MIGUEL")</f>
        <v>CHOLO MIGUEL</v>
      </c>
    </row>
    <row r="79">
      <c r="A79" s="131">
        <f>IFERROR(__xludf.DUMMYFUNCTION("""COMPUTED_VALUE"""),77.0)</f>
        <v>77</v>
      </c>
      <c r="B79" s="131"/>
      <c r="C79" s="131">
        <f>IFERROR(__xludf.DUMMYFUNCTION("""COMPUTED_VALUE"""),76.0)</f>
        <v>76</v>
      </c>
      <c r="D79" s="131" t="b">
        <f>IFERROR(__xludf.DUMMYFUNCTION("""COMPUTED_VALUE"""),FALSE)</f>
        <v>0</v>
      </c>
      <c r="E79" s="106" t="str">
        <f>IFERROR(__xludf.DUMMYFUNCTION("""COMPUTED_VALUE"""),"ELCANA")</f>
        <v>ELCANA</v>
      </c>
      <c r="F79" s="106" t="str">
        <f>IFERROR(__xludf.DUMMYFUNCTION("""COMPUTED_VALUE"""),"JOAQUIN")</f>
        <v>JOAQUIN</v>
      </c>
    </row>
    <row r="80">
      <c r="A80" s="131">
        <f>IFERROR(__xludf.DUMMYFUNCTION("""COMPUTED_VALUE"""),78.0)</f>
        <v>78</v>
      </c>
      <c r="B80" s="131"/>
      <c r="C80" s="131">
        <f>IFERROR(__xludf.DUMMYFUNCTION("""COMPUTED_VALUE"""),76.0)</f>
        <v>76</v>
      </c>
      <c r="D80" s="131" t="b">
        <f>IFERROR(__xludf.DUMMYFUNCTION("""COMPUTED_VALUE"""),FALSE)</f>
        <v>0</v>
      </c>
      <c r="E80" s="107" t="str">
        <f>IFERROR(__xludf.DUMMYFUNCTION("""COMPUTED_VALUE"""),"VILLARTA")</f>
        <v>VILLARTA</v>
      </c>
      <c r="F80" s="107" t="str">
        <f>IFERROR(__xludf.DUMMYFUNCTION("""COMPUTED_VALUE"""),"JEXTER")</f>
        <v>JEXTER</v>
      </c>
    </row>
    <row r="81">
      <c r="A81" s="131">
        <f>IFERROR(__xludf.DUMMYFUNCTION("""COMPUTED_VALUE"""),79.0)</f>
        <v>79</v>
      </c>
      <c r="B81" s="131"/>
      <c r="C81" s="131">
        <f>IFERROR(__xludf.DUMMYFUNCTION("""COMPUTED_VALUE"""),76.0)</f>
        <v>76</v>
      </c>
      <c r="D81" s="131" t="b">
        <f>IFERROR(__xludf.DUMMYFUNCTION("""COMPUTED_VALUE"""),FALSE)</f>
        <v>0</v>
      </c>
      <c r="E81" s="107" t="str">
        <f>IFERROR(__xludf.DUMMYFUNCTION("""COMPUTED_VALUE"""),"MANUYAG")</f>
        <v>MANUYAG</v>
      </c>
      <c r="F81" s="107" t="str">
        <f>IFERROR(__xludf.DUMMYFUNCTION("""COMPUTED_VALUE"""),"RAYVER")</f>
        <v>RAYVER</v>
      </c>
    </row>
    <row r="82">
      <c r="A82" s="131">
        <f>IFERROR(__xludf.DUMMYFUNCTION("""COMPUTED_VALUE"""),80.0)</f>
        <v>80</v>
      </c>
      <c r="B82" s="131"/>
      <c r="C82" s="131">
        <f>IFERROR(__xludf.DUMMYFUNCTION("""COMPUTED_VALUE"""),76.0)</f>
        <v>76</v>
      </c>
      <c r="D82" s="131" t="b">
        <f>IFERROR(__xludf.DUMMYFUNCTION("""COMPUTED_VALUE"""),FALSE)</f>
        <v>0</v>
      </c>
      <c r="E82" s="108" t="str">
        <f>IFERROR(__xludf.DUMMYFUNCTION("""COMPUTED_VALUE"""),"RAAGAS")</f>
        <v>RAAGAS</v>
      </c>
      <c r="F82" s="108" t="str">
        <f>IFERROR(__xludf.DUMMYFUNCTION("""COMPUTED_VALUE"""),"PRINCE JHAMIR (YOHAN)")</f>
        <v>PRINCE JHAMIR (YOHAN)</v>
      </c>
    </row>
    <row r="83">
      <c r="A83" s="131">
        <f>IFERROR(__xludf.DUMMYFUNCTION("""COMPUTED_VALUE"""),81.0)</f>
        <v>81</v>
      </c>
      <c r="B83" s="131"/>
      <c r="C83" s="131">
        <f>IFERROR(__xludf.DUMMYFUNCTION("""COMPUTED_VALUE"""),76.0)</f>
        <v>76</v>
      </c>
      <c r="D83" s="131" t="b">
        <f>IFERROR(__xludf.DUMMYFUNCTION("""COMPUTED_VALUE"""),FALSE)</f>
        <v>0</v>
      </c>
      <c r="E83" s="107" t="str">
        <f>IFERROR(__xludf.DUMMYFUNCTION("""COMPUTED_VALUE"""),"MALOLOY-ON")</f>
        <v>MALOLOY-ON</v>
      </c>
      <c r="F83" s="107" t="str">
        <f>IFERROR(__xludf.DUMMYFUNCTION("""COMPUTED_VALUE"""),"HARLEY")</f>
        <v>HARLEY</v>
      </c>
    </row>
    <row r="84">
      <c r="A84" s="131">
        <f>IFERROR(__xludf.DUMMYFUNCTION("""COMPUTED_VALUE"""),82.0)</f>
        <v>82</v>
      </c>
      <c r="B84" s="131"/>
      <c r="C84" s="131">
        <f>IFERROR(__xludf.DUMMYFUNCTION("""COMPUTED_VALUE"""),76.0)</f>
        <v>76</v>
      </c>
      <c r="D84" s="131" t="b">
        <f>IFERROR(__xludf.DUMMYFUNCTION("""COMPUTED_VALUE"""),FALSE)</f>
        <v>0</v>
      </c>
      <c r="E84" s="106" t="str">
        <f>IFERROR(__xludf.DUMMYFUNCTION("""COMPUTED_VALUE"""),"MEDINA")</f>
        <v>MEDINA</v>
      </c>
      <c r="F84" s="106" t="str">
        <f>IFERROR(__xludf.DUMMYFUNCTION("""COMPUTED_VALUE"""),"JOHN PAUL")</f>
        <v>JOHN PAUL</v>
      </c>
    </row>
    <row r="85">
      <c r="A85" s="131">
        <f>IFERROR(__xludf.DUMMYFUNCTION("""COMPUTED_VALUE"""),83.0)</f>
        <v>83</v>
      </c>
      <c r="B85" s="131"/>
      <c r="C85" s="131">
        <f>IFERROR(__xludf.DUMMYFUNCTION("""COMPUTED_VALUE"""),76.0)</f>
        <v>76</v>
      </c>
      <c r="D85" s="131" t="b">
        <f>IFERROR(__xludf.DUMMYFUNCTION("""COMPUTED_VALUE"""),FALSE)</f>
        <v>0</v>
      </c>
      <c r="E85" s="107" t="str">
        <f>IFERROR(__xludf.DUMMYFUNCTION("""COMPUTED_VALUE"""),"SALTA")</f>
        <v>SALTA</v>
      </c>
      <c r="F85" s="107" t="str">
        <f>IFERROR(__xludf.DUMMYFUNCTION("""COMPUTED_VALUE"""),"KARL")</f>
        <v>KARL</v>
      </c>
    </row>
    <row r="86">
      <c r="A86" s="131">
        <f>IFERROR(__xludf.DUMMYFUNCTION("""COMPUTED_VALUE"""),84.0)</f>
        <v>84</v>
      </c>
      <c r="B86" s="131"/>
      <c r="C86" s="131">
        <f>IFERROR(__xludf.DUMMYFUNCTION("""COMPUTED_VALUE"""),76.0)</f>
        <v>76</v>
      </c>
      <c r="D86" s="131" t="b">
        <f>IFERROR(__xludf.DUMMYFUNCTION("""COMPUTED_VALUE"""),FALSE)</f>
        <v>0</v>
      </c>
      <c r="E86" s="107" t="str">
        <f>IFERROR(__xludf.DUMMYFUNCTION("""COMPUTED_VALUE"""),"ROBLOS")</f>
        <v>ROBLOS</v>
      </c>
      <c r="F86" s="107" t="str">
        <f>IFERROR(__xludf.DUMMYFUNCTION("""COMPUTED_VALUE"""),"CEDRIC")</f>
        <v>CEDRIC</v>
      </c>
    </row>
    <row r="87">
      <c r="A87" s="131">
        <f>IFERROR(__xludf.DUMMYFUNCTION("""COMPUTED_VALUE"""),85.0)</f>
        <v>85</v>
      </c>
      <c r="B87" s="131"/>
      <c r="C87" s="131">
        <f>IFERROR(__xludf.DUMMYFUNCTION("""COMPUTED_VALUE"""),76.0)</f>
        <v>76</v>
      </c>
      <c r="D87" s="131" t="b">
        <f>IFERROR(__xludf.DUMMYFUNCTION("""COMPUTED_VALUE"""),FALSE)</f>
        <v>0</v>
      </c>
      <c r="E87" s="107" t="str">
        <f>IFERROR(__xludf.DUMMYFUNCTION("""COMPUTED_VALUE"""),"RIVAS")</f>
        <v>RIVAS</v>
      </c>
      <c r="F87" s="107" t="str">
        <f>IFERROR(__xludf.DUMMYFUNCTION("""COMPUTED_VALUE"""),"RAY ALLEN")</f>
        <v>RAY ALLEN</v>
      </c>
    </row>
    <row r="88">
      <c r="A88" s="131">
        <f>IFERROR(__xludf.DUMMYFUNCTION("""COMPUTED_VALUE"""),86.0)</f>
        <v>86</v>
      </c>
      <c r="B88" s="131"/>
      <c r="C88" s="131">
        <f>IFERROR(__xludf.DUMMYFUNCTION("""COMPUTED_VALUE"""),76.0)</f>
        <v>76</v>
      </c>
      <c r="D88" s="131" t="b">
        <f>IFERROR(__xludf.DUMMYFUNCTION("""COMPUTED_VALUE"""),FALSE)</f>
        <v>0</v>
      </c>
      <c r="E88" s="107" t="str">
        <f>IFERROR(__xludf.DUMMYFUNCTION("""COMPUTED_VALUE"""),"MAGDANGAN")</f>
        <v>MAGDANGAN</v>
      </c>
      <c r="F88" s="107" t="str">
        <f>IFERROR(__xludf.DUMMYFUNCTION("""COMPUTED_VALUE"""),"DENMARK")</f>
        <v>DENMARK</v>
      </c>
    </row>
    <row r="89">
      <c r="A89" s="131">
        <f>IFERROR(__xludf.DUMMYFUNCTION("""COMPUTED_VALUE"""),87.0)</f>
        <v>87</v>
      </c>
      <c r="B89" s="131"/>
      <c r="C89" s="131">
        <f>IFERROR(__xludf.DUMMYFUNCTION("""COMPUTED_VALUE"""),76.0)</f>
        <v>76</v>
      </c>
      <c r="D89" s="131" t="b">
        <f>IFERROR(__xludf.DUMMYFUNCTION("""COMPUTED_VALUE"""),FALSE)</f>
        <v>0</v>
      </c>
      <c r="E89" s="106" t="str">
        <f>IFERROR(__xludf.DUMMYFUNCTION("""COMPUTED_VALUE"""),"SABONG")</f>
        <v>SABONG</v>
      </c>
      <c r="F89" s="106" t="str">
        <f>IFERROR(__xludf.DUMMYFUNCTION("""COMPUTED_VALUE"""),"VINCE")</f>
        <v>VINCE</v>
      </c>
    </row>
    <row r="90">
      <c r="A90" s="131">
        <f>IFERROR(__xludf.DUMMYFUNCTION("""COMPUTED_VALUE"""),88.0)</f>
        <v>88</v>
      </c>
      <c r="B90" s="131"/>
      <c r="C90" s="131">
        <f>IFERROR(__xludf.DUMMYFUNCTION("""COMPUTED_VALUE"""),76.0)</f>
        <v>76</v>
      </c>
      <c r="D90" s="131" t="b">
        <f>IFERROR(__xludf.DUMMYFUNCTION("""COMPUTED_VALUE"""),FALSE)</f>
        <v>0</v>
      </c>
      <c r="E90" s="107" t="str">
        <f>IFERROR(__xludf.DUMMYFUNCTION("""COMPUTED_VALUE"""),"AQUINO")</f>
        <v>AQUINO</v>
      </c>
      <c r="F90" s="107" t="str">
        <f>IFERROR(__xludf.DUMMYFUNCTION("""COMPUTED_VALUE"""),"MARVIN")</f>
        <v>MARVIN</v>
      </c>
    </row>
    <row r="91">
      <c r="A91" s="131">
        <f>IFERROR(__xludf.DUMMYFUNCTION("""COMPUTED_VALUE"""),89.0)</f>
        <v>89</v>
      </c>
      <c r="B91" s="131"/>
      <c r="C91" s="131">
        <f>IFERROR(__xludf.DUMMYFUNCTION("""COMPUTED_VALUE"""),76.0)</f>
        <v>76</v>
      </c>
      <c r="D91" s="131" t="b">
        <f>IFERROR(__xludf.DUMMYFUNCTION("""COMPUTED_VALUE"""),FALSE)</f>
        <v>0</v>
      </c>
      <c r="E91" s="109" t="str">
        <f>IFERROR(__xludf.DUMMYFUNCTION("""COMPUTED_VALUE"""),"LANOZO")</f>
        <v>LANOZO</v>
      </c>
      <c r="F91" s="109" t="str">
        <f>IFERROR(__xludf.DUMMYFUNCTION("""COMPUTED_VALUE"""),"REGGIENALD")</f>
        <v>REGGIENALD</v>
      </c>
    </row>
    <row r="92">
      <c r="A92" s="131">
        <f>IFERROR(__xludf.DUMMYFUNCTION("""COMPUTED_VALUE"""),90.0)</f>
        <v>90</v>
      </c>
      <c r="B92" s="131"/>
      <c r="C92" s="131">
        <f>IFERROR(__xludf.DUMMYFUNCTION("""COMPUTED_VALUE"""),76.0)</f>
        <v>76</v>
      </c>
      <c r="D92" s="131" t="b">
        <f>IFERROR(__xludf.DUMMYFUNCTION("""COMPUTED_VALUE"""),FALSE)</f>
        <v>0</v>
      </c>
      <c r="E92" s="110" t="str">
        <f>IFERROR(__xludf.DUMMYFUNCTION("""COMPUTED_VALUE"""),"QUIRONA")</f>
        <v>QUIRONA</v>
      </c>
      <c r="F92" s="110" t="str">
        <f>IFERROR(__xludf.DUMMYFUNCTION("""COMPUTED_VALUE"""),"IAN CHRISTOPHER")</f>
        <v>IAN CHRISTOPHER</v>
      </c>
    </row>
    <row r="93">
      <c r="A93" s="131">
        <f>IFERROR(__xludf.DUMMYFUNCTION("""COMPUTED_VALUE"""),91.0)</f>
        <v>91</v>
      </c>
      <c r="B93" s="131"/>
      <c r="C93" s="131">
        <f>IFERROR(__xludf.DUMMYFUNCTION("""COMPUTED_VALUE"""),76.0)</f>
        <v>76</v>
      </c>
      <c r="D93" s="131" t="b">
        <f>IFERROR(__xludf.DUMMYFUNCTION("""COMPUTED_VALUE"""),FALSE)</f>
        <v>0</v>
      </c>
      <c r="E93" s="110" t="str">
        <f>IFERROR(__xludf.DUMMYFUNCTION("""COMPUTED_VALUE"""),"BAUYON")</f>
        <v>BAUYON</v>
      </c>
      <c r="F93" s="110" t="str">
        <f>IFERROR(__xludf.DUMMYFUNCTION("""COMPUTED_VALUE"""),"JOHN CARLO")</f>
        <v>JOHN CARLO</v>
      </c>
    </row>
    <row r="94">
      <c r="A94" s="131">
        <f>IFERROR(__xludf.DUMMYFUNCTION("""COMPUTED_VALUE"""),92.0)</f>
        <v>92</v>
      </c>
      <c r="B94" s="131"/>
      <c r="C94" s="131">
        <f>IFERROR(__xludf.DUMMYFUNCTION("""COMPUTED_VALUE"""),76.0)</f>
        <v>76</v>
      </c>
      <c r="D94" s="131" t="b">
        <f>IFERROR(__xludf.DUMMYFUNCTION("""COMPUTED_VALUE"""),FALSE)</f>
        <v>0</v>
      </c>
      <c r="E94" s="111" t="str">
        <f>IFERROR(__xludf.DUMMYFUNCTION("""COMPUTED_VALUE"""),"FIGUEROA")</f>
        <v>FIGUEROA</v>
      </c>
      <c r="F94" s="111" t="str">
        <f>IFERROR(__xludf.DUMMYFUNCTION("""COMPUTED_VALUE"""),"RONALD")</f>
        <v>RONALD</v>
      </c>
    </row>
    <row r="95">
      <c r="A95" s="131"/>
      <c r="B95" s="131"/>
      <c r="C95" s="131"/>
      <c r="D95" s="131"/>
      <c r="E95" s="112"/>
      <c r="F95" s="112"/>
    </row>
    <row r="96">
      <c r="A96" s="131"/>
      <c r="B96" s="131"/>
      <c r="C96" s="131"/>
      <c r="D96" s="131"/>
      <c r="E96" s="112"/>
      <c r="F96" s="112"/>
    </row>
    <row r="97">
      <c r="A97" s="131"/>
      <c r="B97" s="131"/>
      <c r="C97" s="131"/>
      <c r="D97" s="131"/>
      <c r="E97" s="112"/>
      <c r="F97" s="112"/>
    </row>
    <row r="98">
      <c r="A98" s="131"/>
      <c r="B98" s="131"/>
      <c r="C98" s="131"/>
      <c r="D98" s="131"/>
      <c r="E98" s="112"/>
      <c r="F98" s="112"/>
    </row>
    <row r="99">
      <c r="A99" s="131"/>
      <c r="B99" s="131"/>
      <c r="C99" s="131">
        <f>IFERROR(__xludf.DUMMYFUNCTION("""COMPUTED_VALUE"""),76.0)</f>
        <v>76</v>
      </c>
      <c r="D99" s="131" t="b">
        <f>IFERROR(__xludf.DUMMYFUNCTION("""COMPUTED_VALUE"""),FALSE)</f>
        <v>0</v>
      </c>
      <c r="E99" s="112" t="str">
        <f>IFERROR(__xludf.DUMMYFUNCTION("""COMPUTED_VALUE"""),"INACTIVE")</f>
        <v>INACTIVE</v>
      </c>
      <c r="F99" s="112"/>
    </row>
    <row r="100">
      <c r="A100" s="131">
        <f>IFERROR(__xludf.DUMMYFUNCTION("""COMPUTED_VALUE"""),99.0)</f>
        <v>99</v>
      </c>
      <c r="B100" s="131"/>
      <c r="C100" s="131">
        <f>IFERROR(__xludf.DUMMYFUNCTION("""COMPUTED_VALUE"""),76.0)</f>
        <v>76</v>
      </c>
      <c r="D100" s="131" t="b">
        <f>IFERROR(__xludf.DUMMYFUNCTION("""COMPUTED_VALUE"""),FALSE)</f>
        <v>0</v>
      </c>
      <c r="E100" s="113" t="str">
        <f>IFERROR(__xludf.DUMMYFUNCTION("""COMPUTED_VALUE"""),"BONIFACIO")</f>
        <v>BONIFACIO</v>
      </c>
      <c r="F100" s="110" t="str">
        <f>IFERROR(__xludf.DUMMYFUNCTION("""COMPUTED_VALUE"""),"JUNIOR")</f>
        <v>JUNIOR</v>
      </c>
    </row>
    <row r="101">
      <c r="A101" s="131">
        <f>IFERROR(__xludf.DUMMYFUNCTION("""COMPUTED_VALUE"""),100.0)</f>
        <v>100</v>
      </c>
      <c r="B101" s="131"/>
      <c r="C101" s="131">
        <f>IFERROR(__xludf.DUMMYFUNCTION("""COMPUTED_VALUE"""),76.0)</f>
        <v>76</v>
      </c>
      <c r="D101" s="131" t="b">
        <f>IFERROR(__xludf.DUMMYFUNCTION("""COMPUTED_VALUE"""),FALSE)</f>
        <v>0</v>
      </c>
      <c r="E101" s="114" t="str">
        <f>IFERROR(__xludf.DUMMYFUNCTION("""COMPUTED_VALUE"""),"CASTILLO")</f>
        <v>CASTILLO</v>
      </c>
      <c r="F101" s="114" t="str">
        <f>IFERROR(__xludf.DUMMYFUNCTION("""COMPUTED_VALUE"""),"JOHNREY")</f>
        <v>JOHNREY</v>
      </c>
    </row>
    <row r="102">
      <c r="A102" s="131">
        <f>IFERROR(__xludf.DUMMYFUNCTION("""COMPUTED_VALUE"""),101.0)</f>
        <v>101</v>
      </c>
      <c r="B102" s="131"/>
      <c r="C102" s="131">
        <f>IFERROR(__xludf.DUMMYFUNCTION("""COMPUTED_VALUE"""),76.0)</f>
        <v>76</v>
      </c>
      <c r="D102" s="131" t="b">
        <f>IFERROR(__xludf.DUMMYFUNCTION("""COMPUTED_VALUE"""),FALSE)</f>
        <v>0</v>
      </c>
      <c r="E102" s="114" t="str">
        <f>IFERROR(__xludf.DUMMYFUNCTION("""COMPUTED_VALUE"""),"MENDOZA")</f>
        <v>MENDOZA</v>
      </c>
      <c r="F102" s="114" t="str">
        <f>IFERROR(__xludf.DUMMYFUNCTION("""COMPUTED_VALUE"""),"JUSTINE IAN")</f>
        <v>JUSTINE IAN</v>
      </c>
    </row>
    <row r="103">
      <c r="A103" s="131">
        <f>IFERROR(__xludf.DUMMYFUNCTION("""COMPUTED_VALUE"""),102.0)</f>
        <v>102</v>
      </c>
      <c r="B103" s="131"/>
      <c r="C103" s="131">
        <f>IFERROR(__xludf.DUMMYFUNCTION("""COMPUTED_VALUE"""),76.0)</f>
        <v>76</v>
      </c>
      <c r="D103" s="131" t="b">
        <f>IFERROR(__xludf.DUMMYFUNCTION("""COMPUTED_VALUE"""),FALSE)</f>
        <v>0</v>
      </c>
      <c r="E103" s="114" t="str">
        <f>IFERROR(__xludf.DUMMYFUNCTION("""COMPUTED_VALUE"""),"FERMIN")</f>
        <v>FERMIN</v>
      </c>
      <c r="F103" s="114" t="str">
        <f>IFERROR(__xludf.DUMMYFUNCTION("""COMPUTED_VALUE"""),"HARIMAR")</f>
        <v>HARIMAR</v>
      </c>
    </row>
    <row r="104">
      <c r="A104" s="131">
        <f>IFERROR(__xludf.DUMMYFUNCTION("""COMPUTED_VALUE"""),103.0)</f>
        <v>103</v>
      </c>
      <c r="B104" s="131"/>
      <c r="C104" s="131">
        <f>IFERROR(__xludf.DUMMYFUNCTION("""COMPUTED_VALUE"""),76.0)</f>
        <v>76</v>
      </c>
      <c r="D104" s="131" t="b">
        <f>IFERROR(__xludf.DUMMYFUNCTION("""COMPUTED_VALUE"""),FALSE)</f>
        <v>0</v>
      </c>
      <c r="E104" s="114" t="str">
        <f>IFERROR(__xludf.DUMMYFUNCTION("""COMPUTED_VALUE"""),"ADEME")</f>
        <v>ADEME</v>
      </c>
      <c r="F104" s="114" t="str">
        <f>IFERROR(__xludf.DUMMYFUNCTION("""COMPUTED_VALUE"""),"JOHN EVO")</f>
        <v>JOHN EVO</v>
      </c>
    </row>
    <row r="105">
      <c r="A105" s="131">
        <f>IFERROR(__xludf.DUMMYFUNCTION("""COMPUTED_VALUE"""),104.0)</f>
        <v>104</v>
      </c>
      <c r="B105" s="131"/>
      <c r="C105" s="131">
        <f>IFERROR(__xludf.DUMMYFUNCTION("""COMPUTED_VALUE"""),76.0)</f>
        <v>76</v>
      </c>
      <c r="D105" s="131" t="b">
        <f>IFERROR(__xludf.DUMMYFUNCTION("""COMPUTED_VALUE"""),FALSE)</f>
        <v>0</v>
      </c>
      <c r="E105" s="114" t="str">
        <f>IFERROR(__xludf.DUMMYFUNCTION("""COMPUTED_VALUE"""),"FLAGNE")</f>
        <v>FLAGNE</v>
      </c>
      <c r="F105" s="114" t="str">
        <f>IFERROR(__xludf.DUMMYFUNCTION("""COMPUTED_VALUE"""),"JHANDY")</f>
        <v>JHANDY</v>
      </c>
    </row>
    <row r="106">
      <c r="A106" s="131">
        <f>IFERROR(__xludf.DUMMYFUNCTION("""COMPUTED_VALUE"""),105.0)</f>
        <v>105</v>
      </c>
      <c r="B106" s="131"/>
      <c r="C106" s="131">
        <f>IFERROR(__xludf.DUMMYFUNCTION("""COMPUTED_VALUE"""),76.0)</f>
        <v>76</v>
      </c>
      <c r="D106" s="131" t="b">
        <f>IFERROR(__xludf.DUMMYFUNCTION("""COMPUTED_VALUE"""),FALSE)</f>
        <v>0</v>
      </c>
      <c r="E106" s="114" t="str">
        <f>IFERROR(__xludf.DUMMYFUNCTION("""COMPUTED_VALUE"""),"GURION")</f>
        <v>GURION</v>
      </c>
      <c r="F106" s="114" t="str">
        <f>IFERROR(__xludf.DUMMYFUNCTION("""COMPUTED_VALUE"""),"ARJIE")</f>
        <v>ARJIE</v>
      </c>
    </row>
    <row r="107">
      <c r="A107" s="131">
        <f>IFERROR(__xludf.DUMMYFUNCTION("""COMPUTED_VALUE"""),106.0)</f>
        <v>106</v>
      </c>
      <c r="B107" s="131"/>
      <c r="C107" s="131">
        <f>IFERROR(__xludf.DUMMYFUNCTION("""COMPUTED_VALUE"""),76.0)</f>
        <v>76</v>
      </c>
      <c r="D107" s="131" t="b">
        <f>IFERROR(__xludf.DUMMYFUNCTION("""COMPUTED_VALUE"""),FALSE)</f>
        <v>0</v>
      </c>
      <c r="E107" s="114" t="str">
        <f>IFERROR(__xludf.DUMMYFUNCTION("""COMPUTED_VALUE"""),"INAJE")</f>
        <v>INAJE</v>
      </c>
      <c r="F107" s="114" t="str">
        <f>IFERROR(__xludf.DUMMYFUNCTION("""COMPUTED_VALUE"""),"JAYSON")</f>
        <v>JAYSON</v>
      </c>
    </row>
    <row r="108">
      <c r="A108" s="131">
        <f>IFERROR(__xludf.DUMMYFUNCTION("""COMPUTED_VALUE"""),107.0)</f>
        <v>107</v>
      </c>
      <c r="B108" s="131"/>
      <c r="C108" s="131">
        <f>IFERROR(__xludf.DUMMYFUNCTION("""COMPUTED_VALUE"""),76.0)</f>
        <v>76</v>
      </c>
      <c r="D108" s="131" t="b">
        <f>IFERROR(__xludf.DUMMYFUNCTION("""COMPUTED_VALUE"""),FALSE)</f>
        <v>0</v>
      </c>
      <c r="E108" s="114" t="str">
        <f>IFERROR(__xludf.DUMMYFUNCTION("""COMPUTED_VALUE"""),"LUANGCO")</f>
        <v>LUANGCO</v>
      </c>
      <c r="F108" s="114" t="str">
        <f>IFERROR(__xludf.DUMMYFUNCTION("""COMPUTED_VALUE"""),"MARKHIEL")</f>
        <v>MARKHIEL</v>
      </c>
    </row>
    <row r="109">
      <c r="A109" s="131">
        <f>IFERROR(__xludf.DUMMYFUNCTION("""COMPUTED_VALUE"""),108.0)</f>
        <v>108</v>
      </c>
      <c r="B109" s="131"/>
      <c r="C109" s="131">
        <f>IFERROR(__xludf.DUMMYFUNCTION("""COMPUTED_VALUE"""),76.0)</f>
        <v>76</v>
      </c>
      <c r="D109" s="131" t="b">
        <f>IFERROR(__xludf.DUMMYFUNCTION("""COMPUTED_VALUE"""),FALSE)</f>
        <v>0</v>
      </c>
      <c r="E109" s="114" t="str">
        <f>IFERROR(__xludf.DUMMYFUNCTION("""COMPUTED_VALUE"""),"NAPARATO")</f>
        <v>NAPARATO</v>
      </c>
      <c r="F109" s="114" t="str">
        <f>IFERROR(__xludf.DUMMYFUNCTION("""COMPUTED_VALUE"""),"JONEL")</f>
        <v>JONEL</v>
      </c>
    </row>
    <row r="110">
      <c r="A110" s="131">
        <f>IFERROR(__xludf.DUMMYFUNCTION("""COMPUTED_VALUE"""),109.0)</f>
        <v>109</v>
      </c>
      <c r="B110" s="131"/>
      <c r="C110" s="131">
        <f>IFERROR(__xludf.DUMMYFUNCTION("""COMPUTED_VALUE"""),76.0)</f>
        <v>76</v>
      </c>
      <c r="D110" s="131" t="b">
        <f>IFERROR(__xludf.DUMMYFUNCTION("""COMPUTED_VALUE"""),FALSE)</f>
        <v>0</v>
      </c>
      <c r="E110" s="114" t="str">
        <f>IFERROR(__xludf.DUMMYFUNCTION("""COMPUTED_VALUE"""),"NAPARATO")</f>
        <v>NAPARATO</v>
      </c>
      <c r="F110" s="114" t="str">
        <f>IFERROR(__xludf.DUMMYFUNCTION("""COMPUTED_VALUE"""),"JEFF")</f>
        <v>JEFF</v>
      </c>
    </row>
    <row r="111">
      <c r="A111" s="131">
        <f>IFERROR(__xludf.DUMMYFUNCTION("""COMPUTED_VALUE"""),110.0)</f>
        <v>110</v>
      </c>
      <c r="B111" s="131"/>
      <c r="C111" s="131">
        <f>IFERROR(__xludf.DUMMYFUNCTION("""COMPUTED_VALUE"""),76.0)</f>
        <v>76</v>
      </c>
      <c r="D111" s="131" t="b">
        <f>IFERROR(__xludf.DUMMYFUNCTION("""COMPUTED_VALUE"""),FALSE)</f>
        <v>0</v>
      </c>
      <c r="E111" s="114" t="str">
        <f>IFERROR(__xludf.DUMMYFUNCTION("""COMPUTED_VALUE"""),"PABILLO")</f>
        <v>PABILLO</v>
      </c>
      <c r="F111" s="114" t="str">
        <f>IFERROR(__xludf.DUMMYFUNCTION("""COMPUTED_VALUE"""),"PRINCE ALECK")</f>
        <v>PRINCE ALECK</v>
      </c>
    </row>
    <row r="112">
      <c r="A112" s="131">
        <f>IFERROR(__xludf.DUMMYFUNCTION("""COMPUTED_VALUE"""),111.0)</f>
        <v>111</v>
      </c>
      <c r="B112" s="131"/>
      <c r="C112" s="131">
        <f>IFERROR(__xludf.DUMMYFUNCTION("""COMPUTED_VALUE"""),76.0)</f>
        <v>76</v>
      </c>
      <c r="D112" s="131" t="b">
        <f>IFERROR(__xludf.DUMMYFUNCTION("""COMPUTED_VALUE"""),FALSE)</f>
        <v>0</v>
      </c>
      <c r="E112" s="114" t="str">
        <f>IFERROR(__xludf.DUMMYFUNCTION("""COMPUTED_VALUE"""),"PRINCESA")</f>
        <v>PRINCESA</v>
      </c>
      <c r="F112" s="114" t="str">
        <f>IFERROR(__xludf.DUMMYFUNCTION("""COMPUTED_VALUE"""),"ADRIAN CARL")</f>
        <v>ADRIAN CARL</v>
      </c>
    </row>
    <row r="113">
      <c r="A113" s="131">
        <f>IFERROR(__xludf.DUMMYFUNCTION("""COMPUTED_VALUE"""),112.0)</f>
        <v>112</v>
      </c>
      <c r="B113" s="131"/>
      <c r="C113" s="131">
        <f>IFERROR(__xludf.DUMMYFUNCTION("""COMPUTED_VALUE"""),76.0)</f>
        <v>76</v>
      </c>
      <c r="D113" s="131" t="b">
        <f>IFERROR(__xludf.DUMMYFUNCTION("""COMPUTED_VALUE"""),FALSE)</f>
        <v>0</v>
      </c>
      <c r="E113" s="114" t="str">
        <f>IFERROR(__xludf.DUMMYFUNCTION("""COMPUTED_VALUE"""),"RAMOS")</f>
        <v>RAMOS</v>
      </c>
      <c r="F113" s="114" t="str">
        <f>IFERROR(__xludf.DUMMYFUNCTION("""COMPUTED_VALUE"""),"JEREMIAH")</f>
        <v>JEREMIAH</v>
      </c>
    </row>
    <row r="114">
      <c r="A114" s="131">
        <f>IFERROR(__xludf.DUMMYFUNCTION("""COMPUTED_VALUE"""),113.0)</f>
        <v>113</v>
      </c>
      <c r="B114" s="131"/>
      <c r="C114" s="131">
        <f>IFERROR(__xludf.DUMMYFUNCTION("""COMPUTED_VALUE"""),76.0)</f>
        <v>76</v>
      </c>
      <c r="D114" s="131" t="b">
        <f>IFERROR(__xludf.DUMMYFUNCTION("""COMPUTED_VALUE"""),FALSE)</f>
        <v>0</v>
      </c>
      <c r="E114" s="114" t="str">
        <f>IFERROR(__xludf.DUMMYFUNCTION("""COMPUTED_VALUE"""),"RAMOS")</f>
        <v>RAMOS</v>
      </c>
      <c r="F114" s="114" t="str">
        <f>IFERROR(__xludf.DUMMYFUNCTION("""COMPUTED_VALUE"""),"MATTHEW")</f>
        <v>MATTHEW</v>
      </c>
    </row>
    <row r="115">
      <c r="A115" s="131">
        <f>IFERROR(__xludf.DUMMYFUNCTION("""COMPUTED_VALUE"""),114.0)</f>
        <v>114</v>
      </c>
      <c r="B115" s="131"/>
      <c r="C115" s="131">
        <f>IFERROR(__xludf.DUMMYFUNCTION("""COMPUTED_VALUE"""),76.0)</f>
        <v>76</v>
      </c>
      <c r="D115" s="131" t="b">
        <f>IFERROR(__xludf.DUMMYFUNCTION("""COMPUTED_VALUE"""),FALSE)</f>
        <v>0</v>
      </c>
      <c r="E115" s="114" t="str">
        <f>IFERROR(__xludf.DUMMYFUNCTION("""COMPUTED_VALUE"""),"RAMOS")</f>
        <v>RAMOS</v>
      </c>
      <c r="F115" s="114" t="str">
        <f>IFERROR(__xludf.DUMMYFUNCTION("""COMPUTED_VALUE"""),"JONAS")</f>
        <v>JONAS</v>
      </c>
    </row>
    <row r="116">
      <c r="A116" s="131">
        <f>IFERROR(__xludf.DUMMYFUNCTION("""COMPUTED_VALUE"""),115.0)</f>
        <v>115</v>
      </c>
      <c r="B116" s="131"/>
      <c r="C116" s="131">
        <f>IFERROR(__xludf.DUMMYFUNCTION("""COMPUTED_VALUE"""),76.0)</f>
        <v>76</v>
      </c>
      <c r="D116" s="131" t="b">
        <f>IFERROR(__xludf.DUMMYFUNCTION("""COMPUTED_VALUE"""),FALSE)</f>
        <v>0</v>
      </c>
      <c r="E116" s="114" t="str">
        <f>IFERROR(__xludf.DUMMYFUNCTION("""COMPUTED_VALUE"""),"ROMANO")</f>
        <v>ROMANO</v>
      </c>
      <c r="F116" s="114" t="str">
        <f>IFERROR(__xludf.DUMMYFUNCTION("""COMPUTED_VALUE"""),"XIANREY")</f>
        <v>XIANREY</v>
      </c>
    </row>
    <row r="117">
      <c r="A117" s="131">
        <f>IFERROR(__xludf.DUMMYFUNCTION("""COMPUTED_VALUE"""),116.0)</f>
        <v>116</v>
      </c>
      <c r="B117" s="131"/>
      <c r="C117" s="131">
        <f>IFERROR(__xludf.DUMMYFUNCTION("""COMPUTED_VALUE"""),76.0)</f>
        <v>76</v>
      </c>
      <c r="D117" s="131" t="b">
        <f>IFERROR(__xludf.DUMMYFUNCTION("""COMPUTED_VALUE"""),FALSE)</f>
        <v>0</v>
      </c>
      <c r="E117" s="114" t="str">
        <f>IFERROR(__xludf.DUMMYFUNCTION("""COMPUTED_VALUE"""),"AMBROCIO")</f>
        <v>AMBROCIO</v>
      </c>
      <c r="F117" s="114" t="str">
        <f>IFERROR(__xludf.DUMMYFUNCTION("""COMPUTED_VALUE"""),"JAMES")</f>
        <v>JAMES</v>
      </c>
    </row>
    <row r="118">
      <c r="A118" s="131">
        <f>IFERROR(__xludf.DUMMYFUNCTION("""COMPUTED_VALUE"""),117.0)</f>
        <v>117</v>
      </c>
      <c r="B118" s="131"/>
      <c r="C118" s="131">
        <f>IFERROR(__xludf.DUMMYFUNCTION("""COMPUTED_VALUE"""),76.0)</f>
        <v>76</v>
      </c>
      <c r="D118" s="131" t="b">
        <f>IFERROR(__xludf.DUMMYFUNCTION("""COMPUTED_VALUE"""),FALSE)</f>
        <v>0</v>
      </c>
      <c r="E118" s="114" t="str">
        <f>IFERROR(__xludf.DUMMYFUNCTION("""COMPUTED_VALUE"""),"PANADO")</f>
        <v>PANADO</v>
      </c>
      <c r="F118" s="114" t="str">
        <f>IFERROR(__xludf.DUMMYFUNCTION("""COMPUTED_VALUE"""),"JAMES")</f>
        <v>JAMES</v>
      </c>
    </row>
    <row r="119">
      <c r="A119" s="131">
        <f>IFERROR(__xludf.DUMMYFUNCTION("""COMPUTED_VALUE"""),118.0)</f>
        <v>118</v>
      </c>
      <c r="B119" s="131"/>
      <c r="C119" s="131">
        <f>IFERROR(__xludf.DUMMYFUNCTION("""COMPUTED_VALUE"""),76.0)</f>
        <v>76</v>
      </c>
      <c r="D119" s="131" t="b">
        <f>IFERROR(__xludf.DUMMYFUNCTION("""COMPUTED_VALUE"""),FALSE)</f>
        <v>0</v>
      </c>
      <c r="E119" s="114" t="str">
        <f>IFERROR(__xludf.DUMMYFUNCTION("""COMPUTED_VALUE"""),"MALLARI")</f>
        <v>MALLARI</v>
      </c>
      <c r="F119" s="114" t="str">
        <f>IFERROR(__xludf.DUMMYFUNCTION("""COMPUTED_VALUE"""),"JAY IAN")</f>
        <v>JAY IAN</v>
      </c>
    </row>
    <row r="120">
      <c r="A120" s="131"/>
      <c r="B120" s="131"/>
      <c r="C120" s="131"/>
      <c r="D120" s="131"/>
      <c r="E120" s="114"/>
      <c r="F120" s="114"/>
    </row>
    <row r="121">
      <c r="A121" s="131">
        <f>IFERROR(__xludf.DUMMYFUNCTION("""COMPUTED_VALUE"""),120.0)</f>
        <v>120</v>
      </c>
      <c r="B121" s="131"/>
      <c r="C121" s="131">
        <f>IFERROR(__xludf.DUMMYFUNCTION("""COMPUTED_VALUE"""),120.0)</f>
        <v>120</v>
      </c>
      <c r="D121" s="131" t="b">
        <f>IFERROR(__xludf.DUMMYFUNCTION("""COMPUTED_VALUE"""),TRUE)</f>
        <v>1</v>
      </c>
      <c r="E121" s="131" t="str">
        <f>IFERROR(__xludf.DUMMYFUNCTION("""COMPUTED_VALUE"""),"MACASA")</f>
        <v>MACASA</v>
      </c>
      <c r="F121" s="131" t="str">
        <f>IFERROR(__xludf.DUMMYFUNCTION("""COMPUTED_VALUE"""),"POLO")</f>
        <v>POLO</v>
      </c>
    </row>
    <row r="122">
      <c r="A122" s="131">
        <f>IFERROR(__xludf.DUMMYFUNCTION("""COMPUTED_VALUE"""),121.0)</f>
        <v>121</v>
      </c>
      <c r="B122" s="131"/>
      <c r="C122" s="131">
        <f>IFERROR(__xludf.DUMMYFUNCTION("""COMPUTED_VALUE"""),120.0)</f>
        <v>120</v>
      </c>
      <c r="D122" s="131" t="b">
        <f>IFERROR(__xludf.DUMMYFUNCTION("""COMPUTED_VALUE"""),FALSE)</f>
        <v>0</v>
      </c>
      <c r="E122" s="105" t="str">
        <f>IFERROR(__xludf.DUMMYFUNCTION("""COMPUTED_VALUE"""),"ALCANTARA")</f>
        <v>ALCANTARA</v>
      </c>
      <c r="F122" s="105" t="str">
        <f>IFERROR(__xludf.DUMMYFUNCTION("""COMPUTED_VALUE"""),"GERALD")</f>
        <v>GERALD</v>
      </c>
    </row>
    <row r="123">
      <c r="A123" s="131">
        <f>IFERROR(__xludf.DUMMYFUNCTION("""COMPUTED_VALUE"""),122.0)</f>
        <v>122</v>
      </c>
      <c r="B123" s="131"/>
      <c r="C123" s="131">
        <f>IFERROR(__xludf.DUMMYFUNCTION("""COMPUTED_VALUE"""),120.0)</f>
        <v>120</v>
      </c>
      <c r="D123" s="131" t="b">
        <f>IFERROR(__xludf.DUMMYFUNCTION("""COMPUTED_VALUE"""),FALSE)</f>
        <v>0</v>
      </c>
      <c r="E123" s="107" t="str">
        <f>IFERROR(__xludf.DUMMYFUNCTION("""COMPUTED_VALUE"""),"ALVIAR")</f>
        <v>ALVIAR</v>
      </c>
      <c r="F123" s="107" t="str">
        <f>IFERROR(__xludf.DUMMYFUNCTION("""COMPUTED_VALUE"""),"PETER")</f>
        <v>PETER</v>
      </c>
    </row>
    <row r="124">
      <c r="A124" s="131">
        <f>IFERROR(__xludf.DUMMYFUNCTION("""COMPUTED_VALUE"""),123.0)</f>
        <v>123</v>
      </c>
      <c r="B124" s="131"/>
      <c r="C124" s="131">
        <f>IFERROR(__xludf.DUMMYFUNCTION("""COMPUTED_VALUE"""),120.0)</f>
        <v>120</v>
      </c>
      <c r="D124" s="131" t="b">
        <f>IFERROR(__xludf.DUMMYFUNCTION("""COMPUTED_VALUE"""),FALSE)</f>
        <v>0</v>
      </c>
      <c r="E124" s="107" t="str">
        <f>IFERROR(__xludf.DUMMYFUNCTION("""COMPUTED_VALUE"""),"BUCTOT")</f>
        <v>BUCTOT</v>
      </c>
      <c r="F124" s="107" t="str">
        <f>IFERROR(__xludf.DUMMYFUNCTION("""COMPUTED_VALUE"""),"JEFFREY")</f>
        <v>JEFFREY</v>
      </c>
    </row>
    <row r="125">
      <c r="A125" s="131">
        <f>IFERROR(__xludf.DUMMYFUNCTION("""COMPUTED_VALUE"""),124.0)</f>
        <v>124</v>
      </c>
      <c r="B125" s="131"/>
      <c r="C125" s="131">
        <f>IFERROR(__xludf.DUMMYFUNCTION("""COMPUTED_VALUE"""),120.0)</f>
        <v>120</v>
      </c>
      <c r="D125" s="131" t="b">
        <f>IFERROR(__xludf.DUMMYFUNCTION("""COMPUTED_VALUE"""),FALSE)</f>
        <v>0</v>
      </c>
      <c r="E125" s="116" t="str">
        <f>IFERROR(__xludf.DUMMYFUNCTION("""COMPUTED_VALUE"""),"CABRERA")</f>
        <v>CABRERA</v>
      </c>
      <c r="F125" s="107" t="str">
        <f>IFERROR(__xludf.DUMMYFUNCTION("""COMPUTED_VALUE"""),"LANCE")</f>
        <v>LANCE</v>
      </c>
    </row>
    <row r="126">
      <c r="A126" s="131">
        <f>IFERROR(__xludf.DUMMYFUNCTION("""COMPUTED_VALUE"""),125.0)</f>
        <v>125</v>
      </c>
      <c r="B126" s="131"/>
      <c r="C126" s="131">
        <f>IFERROR(__xludf.DUMMYFUNCTION("""COMPUTED_VALUE"""),120.0)</f>
        <v>120</v>
      </c>
      <c r="D126" s="131" t="b">
        <f>IFERROR(__xludf.DUMMYFUNCTION("""COMPUTED_VALUE"""),FALSE)</f>
        <v>0</v>
      </c>
      <c r="E126" s="107" t="str">
        <f>IFERROR(__xludf.DUMMYFUNCTION("""COMPUTED_VALUE"""),"CANDIDO")</f>
        <v>CANDIDO</v>
      </c>
      <c r="F126" s="107" t="str">
        <f>IFERROR(__xludf.DUMMYFUNCTION("""COMPUTED_VALUE"""),"PRINCE")</f>
        <v>PRINCE</v>
      </c>
    </row>
    <row r="127">
      <c r="A127" s="131">
        <f>IFERROR(__xludf.DUMMYFUNCTION("""COMPUTED_VALUE"""),126.0)</f>
        <v>126</v>
      </c>
      <c r="B127" s="131"/>
      <c r="C127" s="131">
        <f>IFERROR(__xludf.DUMMYFUNCTION("""COMPUTED_VALUE"""),120.0)</f>
        <v>120</v>
      </c>
      <c r="D127" s="131" t="b">
        <f>IFERROR(__xludf.DUMMYFUNCTION("""COMPUTED_VALUE"""),FALSE)</f>
        <v>0</v>
      </c>
      <c r="E127" s="107" t="str">
        <f>IFERROR(__xludf.DUMMYFUNCTION("""COMPUTED_VALUE"""),"LOUIE")</f>
        <v>LOUIE</v>
      </c>
      <c r="F127" s="107" t="str">
        <f>IFERROR(__xludf.DUMMYFUNCTION("""COMPUTED_VALUE"""),"JAMES")</f>
        <v>JAMES</v>
      </c>
    </row>
    <row r="128">
      <c r="A128" s="131">
        <f>IFERROR(__xludf.DUMMYFUNCTION("""COMPUTED_VALUE"""),127.0)</f>
        <v>127</v>
      </c>
      <c r="B128" s="131"/>
      <c r="C128" s="131">
        <f>IFERROR(__xludf.DUMMYFUNCTION("""COMPUTED_VALUE"""),120.0)</f>
        <v>120</v>
      </c>
      <c r="D128" s="131" t="b">
        <f>IFERROR(__xludf.DUMMYFUNCTION("""COMPUTED_VALUE"""),FALSE)</f>
        <v>0</v>
      </c>
      <c r="E128" s="107" t="str">
        <f>IFERROR(__xludf.DUMMYFUNCTION("""COMPUTED_VALUE"""),"MALIGTAS")</f>
        <v>MALIGTAS</v>
      </c>
      <c r="F128" s="107" t="str">
        <f>IFERROR(__xludf.DUMMYFUNCTION("""COMPUTED_VALUE"""),"SKYE")</f>
        <v>SKYE</v>
      </c>
    </row>
    <row r="129">
      <c r="A129" s="131">
        <f>IFERROR(__xludf.DUMMYFUNCTION("""COMPUTED_VALUE"""),128.0)</f>
        <v>128</v>
      </c>
      <c r="B129" s="131"/>
      <c r="C129" s="131">
        <f>IFERROR(__xludf.DUMMYFUNCTION("""COMPUTED_VALUE"""),120.0)</f>
        <v>120</v>
      </c>
      <c r="D129" s="131" t="b">
        <f>IFERROR(__xludf.DUMMYFUNCTION("""COMPUTED_VALUE"""),FALSE)</f>
        <v>0</v>
      </c>
      <c r="E129" s="107" t="str">
        <f>IFERROR(__xludf.DUMMYFUNCTION("""COMPUTED_VALUE"""),"NEHEMIAH")</f>
        <v>NEHEMIAH</v>
      </c>
      <c r="F129" s="107" t="str">
        <f>IFERROR(__xludf.DUMMYFUNCTION("""COMPUTED_VALUE"""),"ARKHEL")</f>
        <v>ARKHEL</v>
      </c>
    </row>
    <row r="130">
      <c r="A130" s="131">
        <f>IFERROR(__xludf.DUMMYFUNCTION("""COMPUTED_VALUE"""),129.0)</f>
        <v>129</v>
      </c>
      <c r="B130" s="131"/>
      <c r="C130" s="131">
        <f>IFERROR(__xludf.DUMMYFUNCTION("""COMPUTED_VALUE"""),120.0)</f>
        <v>120</v>
      </c>
      <c r="D130" s="131" t="b">
        <f>IFERROR(__xludf.DUMMYFUNCTION("""COMPUTED_VALUE"""),FALSE)</f>
        <v>0</v>
      </c>
      <c r="E130" s="107" t="str">
        <f>IFERROR(__xludf.DUMMYFUNCTION("""COMPUTED_VALUE"""),"OLASO")</f>
        <v>OLASO</v>
      </c>
      <c r="F130" s="107" t="str">
        <f>IFERROR(__xludf.DUMMYFUNCTION("""COMPUTED_VALUE"""),"CHARLES")</f>
        <v>CHARLES</v>
      </c>
    </row>
    <row r="131">
      <c r="A131" s="131">
        <f>IFERROR(__xludf.DUMMYFUNCTION("""COMPUTED_VALUE"""),130.0)</f>
        <v>130</v>
      </c>
      <c r="B131" s="131"/>
      <c r="C131" s="131">
        <f>IFERROR(__xludf.DUMMYFUNCTION("""COMPUTED_VALUE"""),120.0)</f>
        <v>120</v>
      </c>
      <c r="D131" s="131" t="b">
        <f>IFERROR(__xludf.DUMMYFUNCTION("""COMPUTED_VALUE"""),FALSE)</f>
        <v>0</v>
      </c>
      <c r="E131" s="107" t="str">
        <f>IFERROR(__xludf.DUMMYFUNCTION("""COMPUTED_VALUE"""),"PASCUA")</f>
        <v>PASCUA</v>
      </c>
      <c r="F131" s="107" t="str">
        <f>IFERROR(__xludf.DUMMYFUNCTION("""COMPUTED_VALUE"""),"JOHN MICHAEL")</f>
        <v>JOHN MICHAEL</v>
      </c>
    </row>
    <row r="132">
      <c r="A132" s="131">
        <f>IFERROR(__xludf.DUMMYFUNCTION("""COMPUTED_VALUE"""),131.0)</f>
        <v>131</v>
      </c>
      <c r="B132" s="131"/>
      <c r="C132" s="131">
        <f>IFERROR(__xludf.DUMMYFUNCTION("""COMPUTED_VALUE"""),120.0)</f>
        <v>120</v>
      </c>
      <c r="D132" s="131" t="b">
        <f>IFERROR(__xludf.DUMMYFUNCTION("""COMPUTED_VALUE"""),FALSE)</f>
        <v>0</v>
      </c>
      <c r="E132" s="107" t="str">
        <f>IFERROR(__xludf.DUMMYFUNCTION("""COMPUTED_VALUE"""),"PERALTA")</f>
        <v>PERALTA</v>
      </c>
      <c r="F132" s="107" t="str">
        <f>IFERROR(__xludf.DUMMYFUNCTION("""COMPUTED_VALUE"""),"MARLON")</f>
        <v>MARLON</v>
      </c>
    </row>
    <row r="133">
      <c r="A133" s="131">
        <f>IFERROR(__xludf.DUMMYFUNCTION("""COMPUTED_VALUE"""),132.0)</f>
        <v>132</v>
      </c>
      <c r="B133" s="131"/>
      <c r="C133" s="131">
        <f>IFERROR(__xludf.DUMMYFUNCTION("""COMPUTED_VALUE"""),120.0)</f>
        <v>120</v>
      </c>
      <c r="D133" s="131" t="b">
        <f>IFERROR(__xludf.DUMMYFUNCTION("""COMPUTED_VALUE"""),FALSE)</f>
        <v>0</v>
      </c>
      <c r="E133" s="107" t="str">
        <f>IFERROR(__xludf.DUMMYFUNCTION("""COMPUTED_VALUE"""),"PESAYCO")</f>
        <v>PESAYCO</v>
      </c>
      <c r="F133" s="107" t="str">
        <f>IFERROR(__xludf.DUMMYFUNCTION("""COMPUTED_VALUE"""),"KEITH")</f>
        <v>KEITH</v>
      </c>
    </row>
    <row r="134">
      <c r="A134" s="131">
        <f>IFERROR(__xludf.DUMMYFUNCTION("""COMPUTED_VALUE"""),133.0)</f>
        <v>133</v>
      </c>
      <c r="B134" s="131"/>
      <c r="C134" s="131">
        <f>IFERROR(__xludf.DUMMYFUNCTION("""COMPUTED_VALUE"""),120.0)</f>
        <v>120</v>
      </c>
      <c r="D134" s="131" t="b">
        <f>IFERROR(__xludf.DUMMYFUNCTION("""COMPUTED_VALUE"""),FALSE)</f>
        <v>0</v>
      </c>
      <c r="E134" s="107" t="str">
        <f>IFERROR(__xludf.DUMMYFUNCTION("""COMPUTED_VALUE"""),"RAZON")</f>
        <v>RAZON</v>
      </c>
      <c r="F134" s="107" t="str">
        <f>IFERROR(__xludf.DUMMYFUNCTION("""COMPUTED_VALUE"""),"JOSHUA")</f>
        <v>JOSHUA</v>
      </c>
    </row>
    <row r="135">
      <c r="A135" s="131">
        <f>IFERROR(__xludf.DUMMYFUNCTION("""COMPUTED_VALUE"""),134.0)</f>
        <v>134</v>
      </c>
      <c r="B135" s="131"/>
      <c r="C135" s="131">
        <f>IFERROR(__xludf.DUMMYFUNCTION("""COMPUTED_VALUE"""),120.0)</f>
        <v>120</v>
      </c>
      <c r="D135" s="131" t="b">
        <f>IFERROR(__xludf.DUMMYFUNCTION("""COMPUTED_VALUE"""),FALSE)</f>
        <v>0</v>
      </c>
      <c r="E135" s="107" t="str">
        <f>IFERROR(__xludf.DUMMYFUNCTION("""COMPUTED_VALUE"""),"ROCCO")</f>
        <v>ROCCO</v>
      </c>
      <c r="F135" s="107" t="str">
        <f>IFERROR(__xludf.DUMMYFUNCTION("""COMPUTED_VALUE"""),"MARK")</f>
        <v>MARK</v>
      </c>
    </row>
    <row r="136">
      <c r="A136" s="131">
        <f>IFERROR(__xludf.DUMMYFUNCTION("""COMPUTED_VALUE"""),135.0)</f>
        <v>135</v>
      </c>
      <c r="B136" s="131"/>
      <c r="C136" s="131">
        <f>IFERROR(__xludf.DUMMYFUNCTION("""COMPUTED_VALUE"""),120.0)</f>
        <v>120</v>
      </c>
      <c r="D136" s="131" t="b">
        <f>IFERROR(__xludf.DUMMYFUNCTION("""COMPUTED_VALUE"""),FALSE)</f>
        <v>0</v>
      </c>
      <c r="E136" s="107" t="str">
        <f>IFERROR(__xludf.DUMMYFUNCTION("""COMPUTED_VALUE"""),"ROME")</f>
        <v>ROME</v>
      </c>
      <c r="F136" s="107" t="str">
        <f>IFERROR(__xludf.DUMMYFUNCTION("""COMPUTED_VALUE"""),"ZAYIN")</f>
        <v>ZAYIN</v>
      </c>
    </row>
    <row r="137">
      <c r="A137" s="131">
        <f>IFERROR(__xludf.DUMMYFUNCTION("""COMPUTED_VALUE"""),136.0)</f>
        <v>136</v>
      </c>
      <c r="B137" s="131"/>
      <c r="C137" s="131">
        <f>IFERROR(__xludf.DUMMYFUNCTION("""COMPUTED_VALUE"""),120.0)</f>
        <v>120</v>
      </c>
      <c r="D137" s="131" t="b">
        <f>IFERROR(__xludf.DUMMYFUNCTION("""COMPUTED_VALUE"""),FALSE)</f>
        <v>0</v>
      </c>
      <c r="E137" s="107" t="str">
        <f>IFERROR(__xludf.DUMMYFUNCTION("""COMPUTED_VALUE"""),"ROME")</f>
        <v>ROME</v>
      </c>
      <c r="F137" s="107" t="str">
        <f>IFERROR(__xludf.DUMMYFUNCTION("""COMPUTED_VALUE"""),"ZACH")</f>
        <v>ZACH</v>
      </c>
    </row>
    <row r="138">
      <c r="A138" s="131">
        <f>IFERROR(__xludf.DUMMYFUNCTION("""COMPUTED_VALUE"""),137.0)</f>
        <v>137</v>
      </c>
      <c r="B138" s="131"/>
      <c r="C138" s="131">
        <f>IFERROR(__xludf.DUMMYFUNCTION("""COMPUTED_VALUE"""),120.0)</f>
        <v>120</v>
      </c>
      <c r="D138" s="131" t="b">
        <f>IFERROR(__xludf.DUMMYFUNCTION("""COMPUTED_VALUE"""),FALSE)</f>
        <v>0</v>
      </c>
      <c r="E138" s="107" t="str">
        <f>IFERROR(__xludf.DUMMYFUNCTION("""COMPUTED_VALUE"""),"SERRANO")</f>
        <v>SERRANO</v>
      </c>
      <c r="F138" s="107" t="str">
        <f>IFERROR(__xludf.DUMMYFUNCTION("""COMPUTED_VALUE"""),"MICO")</f>
        <v>MICO</v>
      </c>
    </row>
    <row r="139">
      <c r="A139" s="131">
        <f>IFERROR(__xludf.DUMMYFUNCTION("""COMPUTED_VALUE"""),138.0)</f>
        <v>138</v>
      </c>
      <c r="B139" s="131"/>
      <c r="C139" s="131">
        <f>IFERROR(__xludf.DUMMYFUNCTION("""COMPUTED_VALUE"""),120.0)</f>
        <v>120</v>
      </c>
      <c r="D139" s="131" t="b">
        <f>IFERROR(__xludf.DUMMYFUNCTION("""COMPUTED_VALUE"""),FALSE)</f>
        <v>0</v>
      </c>
      <c r="E139" s="107"/>
      <c r="F139" s="107" t="str">
        <f>IFERROR(__xludf.DUMMYFUNCTION("""COMPUTED_VALUE"""),"PAUL")</f>
        <v>PAUL</v>
      </c>
    </row>
    <row r="140">
      <c r="A140" s="131"/>
      <c r="B140" s="131"/>
      <c r="C140" s="131"/>
      <c r="D140" s="131"/>
      <c r="E140" s="98"/>
      <c r="F140" s="107"/>
    </row>
    <row r="141">
      <c r="A141" s="131">
        <f>IFERROR(__xludf.DUMMYFUNCTION("""COMPUTED_VALUE"""),140.0)</f>
        <v>140</v>
      </c>
      <c r="B141" s="131"/>
      <c r="C141" s="131">
        <f>IFERROR(__xludf.DUMMYFUNCTION("""COMPUTED_VALUE"""),140.0)</f>
        <v>140</v>
      </c>
      <c r="D141" s="131" t="b">
        <f>IFERROR(__xludf.DUMMYFUNCTION("""COMPUTED_VALUE"""),TRUE)</f>
        <v>1</v>
      </c>
      <c r="E141" s="105" t="str">
        <f>IFERROR(__xludf.DUMMYFUNCTION("""COMPUTED_VALUE"""),"ARANDA")</f>
        <v>ARANDA</v>
      </c>
      <c r="F141" s="105" t="str">
        <f>IFERROR(__xludf.DUMMYFUNCTION("""COMPUTED_VALUE"""),"IYA")</f>
        <v>IYA</v>
      </c>
    </row>
    <row r="142">
      <c r="A142" s="131">
        <f>IFERROR(__xludf.DUMMYFUNCTION("""COMPUTED_VALUE"""),141.0)</f>
        <v>141</v>
      </c>
      <c r="B142" s="131"/>
      <c r="C142" s="131">
        <f>IFERROR(__xludf.DUMMYFUNCTION("""COMPUTED_VALUE"""),140.0)</f>
        <v>140</v>
      </c>
      <c r="D142" s="131" t="b">
        <f>IFERROR(__xludf.DUMMYFUNCTION("""COMPUTED_VALUE"""),FALSE)</f>
        <v>0</v>
      </c>
      <c r="E142" s="109" t="str">
        <f>IFERROR(__xludf.DUMMYFUNCTION("""COMPUTED_VALUE"""),"ALIANZA")</f>
        <v>ALIANZA</v>
      </c>
      <c r="F142" s="109" t="str">
        <f>IFERROR(__xludf.DUMMYFUNCTION("""COMPUTED_VALUE"""),"JESEMIL")</f>
        <v>JESEMIL</v>
      </c>
    </row>
    <row r="143">
      <c r="A143" s="131">
        <f>IFERROR(__xludf.DUMMYFUNCTION("""COMPUTED_VALUE"""),142.0)</f>
        <v>142</v>
      </c>
      <c r="B143" s="131"/>
      <c r="C143" s="131">
        <f>IFERROR(__xludf.DUMMYFUNCTION("""COMPUTED_VALUE"""),140.0)</f>
        <v>140</v>
      </c>
      <c r="D143" s="131" t="b">
        <f>IFERROR(__xludf.DUMMYFUNCTION("""COMPUTED_VALUE"""),FALSE)</f>
        <v>0</v>
      </c>
      <c r="E143" s="109" t="str">
        <f>IFERROR(__xludf.DUMMYFUNCTION("""COMPUTED_VALUE"""),"ANTONIO")</f>
        <v>ANTONIO</v>
      </c>
      <c r="F143" s="109" t="str">
        <f>IFERROR(__xludf.DUMMYFUNCTION("""COMPUTED_VALUE"""),"CHAM")</f>
        <v>CHAM</v>
      </c>
    </row>
    <row r="144">
      <c r="A144" s="131">
        <f>IFERROR(__xludf.DUMMYFUNCTION("""COMPUTED_VALUE"""),143.0)</f>
        <v>143</v>
      </c>
      <c r="B144" s="131"/>
      <c r="C144" s="131">
        <f>IFERROR(__xludf.DUMMYFUNCTION("""COMPUTED_VALUE"""),140.0)</f>
        <v>140</v>
      </c>
      <c r="D144" s="131" t="b">
        <f>IFERROR(__xludf.DUMMYFUNCTION("""COMPUTED_VALUE"""),FALSE)</f>
        <v>0</v>
      </c>
      <c r="E144" s="109" t="str">
        <f>IFERROR(__xludf.DUMMYFUNCTION("""COMPUTED_VALUE"""),"AQUINO")</f>
        <v>AQUINO</v>
      </c>
      <c r="F144" s="109" t="str">
        <f>IFERROR(__xludf.DUMMYFUNCTION("""COMPUTED_VALUE"""),"JOANNA")</f>
        <v>JOANNA</v>
      </c>
    </row>
    <row r="145">
      <c r="A145" s="131">
        <f>IFERROR(__xludf.DUMMYFUNCTION("""COMPUTED_VALUE"""),144.0)</f>
        <v>144</v>
      </c>
      <c r="B145" s="131"/>
      <c r="C145" s="131">
        <f>IFERROR(__xludf.DUMMYFUNCTION("""COMPUTED_VALUE"""),140.0)</f>
        <v>140</v>
      </c>
      <c r="D145" s="131" t="b">
        <f>IFERROR(__xludf.DUMMYFUNCTION("""COMPUTED_VALUE"""),FALSE)</f>
        <v>0</v>
      </c>
      <c r="E145" s="109" t="str">
        <f>IFERROR(__xludf.DUMMYFUNCTION("""COMPUTED_VALUE"""),"ARANDA")</f>
        <v>ARANDA</v>
      </c>
      <c r="F145" s="109" t="str">
        <f>IFERROR(__xludf.DUMMYFUNCTION("""COMPUTED_VALUE"""),"ALEXANDRA")</f>
        <v>ALEXANDRA</v>
      </c>
    </row>
    <row r="146">
      <c r="A146" s="131">
        <f>IFERROR(__xludf.DUMMYFUNCTION("""COMPUTED_VALUE"""),145.0)</f>
        <v>145</v>
      </c>
      <c r="B146" s="131"/>
      <c r="C146" s="131">
        <f>IFERROR(__xludf.DUMMYFUNCTION("""COMPUTED_VALUE"""),140.0)</f>
        <v>140</v>
      </c>
      <c r="D146" s="131" t="b">
        <f>IFERROR(__xludf.DUMMYFUNCTION("""COMPUTED_VALUE"""),FALSE)</f>
        <v>0</v>
      </c>
      <c r="E146" s="109" t="str">
        <f>IFERROR(__xludf.DUMMYFUNCTION("""COMPUTED_VALUE"""),"CARAAN")</f>
        <v>CARAAN</v>
      </c>
      <c r="F146" s="109" t="str">
        <f>IFERROR(__xludf.DUMMYFUNCTION("""COMPUTED_VALUE"""),"CATHLINE")</f>
        <v>CATHLINE</v>
      </c>
    </row>
    <row r="147">
      <c r="A147" s="131">
        <f>IFERROR(__xludf.DUMMYFUNCTION("""COMPUTED_VALUE"""),146.0)</f>
        <v>146</v>
      </c>
      <c r="B147" s="131"/>
      <c r="C147" s="131">
        <f>IFERROR(__xludf.DUMMYFUNCTION("""COMPUTED_VALUE"""),140.0)</f>
        <v>140</v>
      </c>
      <c r="D147" s="131" t="b">
        <f>IFERROR(__xludf.DUMMYFUNCTION("""COMPUTED_VALUE"""),FALSE)</f>
        <v>0</v>
      </c>
      <c r="E147" s="109" t="str">
        <f>IFERROR(__xludf.DUMMYFUNCTION("""COMPUTED_VALUE"""),"CASTILLO")</f>
        <v>CASTILLO</v>
      </c>
      <c r="F147" s="109" t="str">
        <f>IFERROR(__xludf.DUMMYFUNCTION("""COMPUTED_VALUE"""),"JASIEL")</f>
        <v>JASIEL</v>
      </c>
    </row>
    <row r="148">
      <c r="A148" s="131">
        <f>IFERROR(__xludf.DUMMYFUNCTION("""COMPUTED_VALUE"""),147.0)</f>
        <v>147</v>
      </c>
      <c r="B148" s="131"/>
      <c r="C148" s="131">
        <f>IFERROR(__xludf.DUMMYFUNCTION("""COMPUTED_VALUE"""),140.0)</f>
        <v>140</v>
      </c>
      <c r="D148" s="131" t="b">
        <f>IFERROR(__xludf.DUMMYFUNCTION("""COMPUTED_VALUE"""),FALSE)</f>
        <v>0</v>
      </c>
      <c r="E148" s="109" t="str">
        <f>IFERROR(__xludf.DUMMYFUNCTION("""COMPUTED_VALUE"""),"CEA")</f>
        <v>CEA</v>
      </c>
      <c r="F148" s="109" t="str">
        <f>IFERROR(__xludf.DUMMYFUNCTION("""COMPUTED_VALUE"""),"DIANA")</f>
        <v>DIANA</v>
      </c>
    </row>
    <row r="149">
      <c r="A149" s="131">
        <f>IFERROR(__xludf.DUMMYFUNCTION("""COMPUTED_VALUE"""),148.0)</f>
        <v>148</v>
      </c>
      <c r="B149" s="131"/>
      <c r="C149" s="131">
        <f>IFERROR(__xludf.DUMMYFUNCTION("""COMPUTED_VALUE"""),140.0)</f>
        <v>140</v>
      </c>
      <c r="D149" s="131" t="b">
        <f>IFERROR(__xludf.DUMMYFUNCTION("""COMPUTED_VALUE"""),FALSE)</f>
        <v>0</v>
      </c>
      <c r="E149" s="109" t="str">
        <f>IFERROR(__xludf.DUMMYFUNCTION("""COMPUTED_VALUE"""),"CHUA")</f>
        <v>CHUA</v>
      </c>
      <c r="F149" s="109" t="str">
        <f>IFERROR(__xludf.DUMMYFUNCTION("""COMPUTED_VALUE"""),"PJ")</f>
        <v>PJ</v>
      </c>
    </row>
    <row r="150">
      <c r="A150" s="131">
        <f>IFERROR(__xludf.DUMMYFUNCTION("""COMPUTED_VALUE"""),149.0)</f>
        <v>149</v>
      </c>
      <c r="B150" s="131"/>
      <c r="C150" s="131">
        <f>IFERROR(__xludf.DUMMYFUNCTION("""COMPUTED_VALUE"""),140.0)</f>
        <v>140</v>
      </c>
      <c r="D150" s="131" t="b">
        <f>IFERROR(__xludf.DUMMYFUNCTION("""COMPUTED_VALUE"""),FALSE)</f>
        <v>0</v>
      </c>
      <c r="E150" s="109" t="str">
        <f>IFERROR(__xludf.DUMMYFUNCTION("""COMPUTED_VALUE"""),"DIZON")</f>
        <v>DIZON</v>
      </c>
      <c r="F150" s="109" t="str">
        <f>IFERROR(__xludf.DUMMYFUNCTION("""COMPUTED_VALUE"""),"ARRA")</f>
        <v>ARRA</v>
      </c>
    </row>
    <row r="151">
      <c r="A151" s="131">
        <f>IFERROR(__xludf.DUMMYFUNCTION("""COMPUTED_VALUE"""),150.0)</f>
        <v>150</v>
      </c>
      <c r="B151" s="131"/>
      <c r="C151" s="131">
        <f>IFERROR(__xludf.DUMMYFUNCTION("""COMPUTED_VALUE"""),140.0)</f>
        <v>140</v>
      </c>
      <c r="D151" s="131" t="b">
        <f>IFERROR(__xludf.DUMMYFUNCTION("""COMPUTED_VALUE"""),FALSE)</f>
        <v>0</v>
      </c>
      <c r="E151" s="109" t="str">
        <f>IFERROR(__xludf.DUMMYFUNCTION("""COMPUTED_VALUE"""),"ECLEVIA")</f>
        <v>ECLEVIA</v>
      </c>
      <c r="F151" s="109" t="str">
        <f>IFERROR(__xludf.DUMMYFUNCTION("""COMPUTED_VALUE"""),"ANGELICA")</f>
        <v>ANGELICA</v>
      </c>
    </row>
    <row r="152">
      <c r="A152" s="131">
        <f>IFERROR(__xludf.DUMMYFUNCTION("""COMPUTED_VALUE"""),151.0)</f>
        <v>151</v>
      </c>
      <c r="B152" s="131"/>
      <c r="C152" s="131">
        <f>IFERROR(__xludf.DUMMYFUNCTION("""COMPUTED_VALUE"""),140.0)</f>
        <v>140</v>
      </c>
      <c r="D152" s="131" t="b">
        <f>IFERROR(__xludf.DUMMYFUNCTION("""COMPUTED_VALUE"""),FALSE)</f>
        <v>0</v>
      </c>
      <c r="E152" s="109" t="str">
        <f>IFERROR(__xludf.DUMMYFUNCTION("""COMPUTED_VALUE"""),"FELIPE")</f>
        <v>FELIPE</v>
      </c>
      <c r="F152" s="109" t="str">
        <f>IFERROR(__xludf.DUMMYFUNCTION("""COMPUTED_VALUE"""),"JAIMIE")</f>
        <v>JAIMIE</v>
      </c>
    </row>
    <row r="153">
      <c r="A153" s="131">
        <f>IFERROR(__xludf.DUMMYFUNCTION("""COMPUTED_VALUE"""),152.0)</f>
        <v>152</v>
      </c>
      <c r="B153" s="131"/>
      <c r="C153" s="131">
        <f>IFERROR(__xludf.DUMMYFUNCTION("""COMPUTED_VALUE"""),140.0)</f>
        <v>140</v>
      </c>
      <c r="D153" s="131" t="b">
        <f>IFERROR(__xludf.DUMMYFUNCTION("""COMPUTED_VALUE"""),FALSE)</f>
        <v>0</v>
      </c>
      <c r="E153" s="109" t="str">
        <f>IFERROR(__xludf.DUMMYFUNCTION("""COMPUTED_VALUE"""),"FERNANDEZ")</f>
        <v>FERNANDEZ</v>
      </c>
      <c r="F153" s="109" t="str">
        <f>IFERROR(__xludf.DUMMYFUNCTION("""COMPUTED_VALUE"""),"SHARMAINE")</f>
        <v>SHARMAINE</v>
      </c>
    </row>
    <row r="154">
      <c r="A154" s="131">
        <f>IFERROR(__xludf.DUMMYFUNCTION("""COMPUTED_VALUE"""),153.0)</f>
        <v>153</v>
      </c>
      <c r="B154" s="131"/>
      <c r="C154" s="131">
        <f>IFERROR(__xludf.DUMMYFUNCTION("""COMPUTED_VALUE"""),140.0)</f>
        <v>140</v>
      </c>
      <c r="D154" s="131" t="b">
        <f>IFERROR(__xludf.DUMMYFUNCTION("""COMPUTED_VALUE"""),FALSE)</f>
        <v>0</v>
      </c>
      <c r="E154" s="109" t="str">
        <f>IFERROR(__xludf.DUMMYFUNCTION("""COMPUTED_VALUE"""),"FILIO")</f>
        <v>FILIO</v>
      </c>
      <c r="F154" s="109" t="str">
        <f>IFERROR(__xludf.DUMMYFUNCTION("""COMPUTED_VALUE"""),"DAISY")</f>
        <v>DAISY</v>
      </c>
    </row>
    <row r="155">
      <c r="A155" s="131">
        <f>IFERROR(__xludf.DUMMYFUNCTION("""COMPUTED_VALUE"""),154.0)</f>
        <v>154</v>
      </c>
      <c r="B155" s="131"/>
      <c r="C155" s="131">
        <f>IFERROR(__xludf.DUMMYFUNCTION("""COMPUTED_VALUE"""),140.0)</f>
        <v>140</v>
      </c>
      <c r="D155" s="131" t="b">
        <f>IFERROR(__xludf.DUMMYFUNCTION("""COMPUTED_VALUE"""),FALSE)</f>
        <v>0</v>
      </c>
      <c r="E155" s="109" t="str">
        <f>IFERROR(__xludf.DUMMYFUNCTION("""COMPUTED_VALUE"""),"FILIO")</f>
        <v>FILIO</v>
      </c>
      <c r="F155" s="109" t="str">
        <f>IFERROR(__xludf.DUMMYFUNCTION("""COMPUTED_VALUE"""),"JENNY")</f>
        <v>JENNY</v>
      </c>
    </row>
    <row r="156">
      <c r="A156" s="131">
        <f>IFERROR(__xludf.DUMMYFUNCTION("""COMPUTED_VALUE"""),155.0)</f>
        <v>155</v>
      </c>
      <c r="B156" s="131"/>
      <c r="C156" s="131">
        <f>IFERROR(__xludf.DUMMYFUNCTION("""COMPUTED_VALUE"""),140.0)</f>
        <v>140</v>
      </c>
      <c r="D156" s="131" t="b">
        <f>IFERROR(__xludf.DUMMYFUNCTION("""COMPUTED_VALUE"""),FALSE)</f>
        <v>0</v>
      </c>
      <c r="E156" s="109" t="str">
        <f>IFERROR(__xludf.DUMMYFUNCTION("""COMPUTED_VALUE"""),"FLORO")</f>
        <v>FLORO</v>
      </c>
      <c r="F156" s="109" t="str">
        <f>IFERROR(__xludf.DUMMYFUNCTION("""COMPUTED_VALUE"""),"JUSTINE")</f>
        <v>JUSTINE</v>
      </c>
    </row>
    <row r="157">
      <c r="A157" s="131">
        <f>IFERROR(__xludf.DUMMYFUNCTION("""COMPUTED_VALUE"""),156.0)</f>
        <v>156</v>
      </c>
      <c r="B157" s="131"/>
      <c r="C157" s="131">
        <f>IFERROR(__xludf.DUMMYFUNCTION("""COMPUTED_VALUE"""),140.0)</f>
        <v>140</v>
      </c>
      <c r="D157" s="131" t="b">
        <f>IFERROR(__xludf.DUMMYFUNCTION("""COMPUTED_VALUE"""),FALSE)</f>
        <v>0</v>
      </c>
      <c r="E157" s="109" t="str">
        <f>IFERROR(__xludf.DUMMYFUNCTION("""COMPUTED_VALUE"""),"FLORO")</f>
        <v>FLORO</v>
      </c>
      <c r="F157" s="109" t="str">
        <f>IFERROR(__xludf.DUMMYFUNCTION("""COMPUTED_VALUE"""),"MICA")</f>
        <v>MICA</v>
      </c>
    </row>
    <row r="158">
      <c r="A158" s="131">
        <f>IFERROR(__xludf.DUMMYFUNCTION("""COMPUTED_VALUE"""),157.0)</f>
        <v>157</v>
      </c>
      <c r="B158" s="131"/>
      <c r="C158" s="131">
        <f>IFERROR(__xludf.DUMMYFUNCTION("""COMPUTED_VALUE"""),140.0)</f>
        <v>140</v>
      </c>
      <c r="D158" s="131" t="b">
        <f>IFERROR(__xludf.DUMMYFUNCTION("""COMPUTED_VALUE"""),FALSE)</f>
        <v>0</v>
      </c>
      <c r="E158" s="109" t="str">
        <f>IFERROR(__xludf.DUMMYFUNCTION("""COMPUTED_VALUE"""),"FRANCISCO")</f>
        <v>FRANCISCO</v>
      </c>
      <c r="F158" s="109" t="str">
        <f>IFERROR(__xludf.DUMMYFUNCTION("""COMPUTED_VALUE"""),"RAMILYN")</f>
        <v>RAMILYN</v>
      </c>
    </row>
    <row r="159">
      <c r="A159" s="131">
        <f>IFERROR(__xludf.DUMMYFUNCTION("""COMPUTED_VALUE"""),158.0)</f>
        <v>158</v>
      </c>
      <c r="B159" s="131"/>
      <c r="C159" s="131">
        <f>IFERROR(__xludf.DUMMYFUNCTION("""COMPUTED_VALUE"""),140.0)</f>
        <v>140</v>
      </c>
      <c r="D159" s="131" t="b">
        <f>IFERROR(__xludf.DUMMYFUNCTION("""COMPUTED_VALUE"""),FALSE)</f>
        <v>0</v>
      </c>
      <c r="E159" s="109" t="str">
        <f>IFERROR(__xludf.DUMMYFUNCTION("""COMPUTED_VALUE"""),"GEMOTO")</f>
        <v>GEMOTO</v>
      </c>
      <c r="F159" s="109" t="str">
        <f>IFERROR(__xludf.DUMMYFUNCTION("""COMPUTED_VALUE"""),"JASMINE")</f>
        <v>JASMINE</v>
      </c>
    </row>
    <row r="160">
      <c r="A160" s="131">
        <f>IFERROR(__xludf.DUMMYFUNCTION("""COMPUTED_VALUE"""),159.0)</f>
        <v>159</v>
      </c>
      <c r="B160" s="131"/>
      <c r="C160" s="131">
        <f>IFERROR(__xludf.DUMMYFUNCTION("""COMPUTED_VALUE"""),140.0)</f>
        <v>140</v>
      </c>
      <c r="D160" s="131" t="b">
        <f>IFERROR(__xludf.DUMMYFUNCTION("""COMPUTED_VALUE"""),FALSE)</f>
        <v>0</v>
      </c>
      <c r="E160" s="109" t="str">
        <f>IFERROR(__xludf.DUMMYFUNCTION("""COMPUTED_VALUE"""),"LABAYNE")</f>
        <v>LABAYNE</v>
      </c>
      <c r="F160" s="109" t="str">
        <f>IFERROR(__xludf.DUMMYFUNCTION("""COMPUTED_VALUE"""),"GRACE")</f>
        <v>GRACE</v>
      </c>
    </row>
    <row r="161">
      <c r="A161" s="131">
        <f>IFERROR(__xludf.DUMMYFUNCTION("""COMPUTED_VALUE"""),160.0)</f>
        <v>160</v>
      </c>
      <c r="B161" s="131"/>
      <c r="C161" s="131">
        <f>IFERROR(__xludf.DUMMYFUNCTION("""COMPUTED_VALUE"""),140.0)</f>
        <v>140</v>
      </c>
      <c r="D161" s="131" t="b">
        <f>IFERROR(__xludf.DUMMYFUNCTION("""COMPUTED_VALUE"""),FALSE)</f>
        <v>0</v>
      </c>
      <c r="E161" s="109" t="str">
        <f>IFERROR(__xludf.DUMMYFUNCTION("""COMPUTED_VALUE"""),"OCEMAN")</f>
        <v>OCEMAN</v>
      </c>
      <c r="F161" s="109" t="str">
        <f>IFERROR(__xludf.DUMMYFUNCTION("""COMPUTED_VALUE"""),"RAI-RAI")</f>
        <v>RAI-RAI</v>
      </c>
    </row>
    <row r="162">
      <c r="A162" s="131">
        <f>IFERROR(__xludf.DUMMYFUNCTION("""COMPUTED_VALUE"""),161.0)</f>
        <v>161</v>
      </c>
      <c r="B162" s="131"/>
      <c r="C162" s="131">
        <f>IFERROR(__xludf.DUMMYFUNCTION("""COMPUTED_VALUE"""),140.0)</f>
        <v>140</v>
      </c>
      <c r="D162" s="131" t="b">
        <f>IFERROR(__xludf.DUMMYFUNCTION("""COMPUTED_VALUE"""),FALSE)</f>
        <v>0</v>
      </c>
      <c r="E162" s="109" t="str">
        <f>IFERROR(__xludf.DUMMYFUNCTION("""COMPUTED_VALUE"""),"ORQUIA")</f>
        <v>ORQUIA</v>
      </c>
      <c r="F162" s="109" t="str">
        <f>IFERROR(__xludf.DUMMYFUNCTION("""COMPUTED_VALUE"""),"KEZA")</f>
        <v>KEZA</v>
      </c>
    </row>
    <row r="163">
      <c r="A163" s="131">
        <f>IFERROR(__xludf.DUMMYFUNCTION("""COMPUTED_VALUE"""),162.0)</f>
        <v>162</v>
      </c>
      <c r="B163" s="131"/>
      <c r="C163" s="131">
        <f>IFERROR(__xludf.DUMMYFUNCTION("""COMPUTED_VALUE"""),140.0)</f>
        <v>140</v>
      </c>
      <c r="D163" s="131" t="b">
        <f>IFERROR(__xludf.DUMMYFUNCTION("""COMPUTED_VALUE"""),FALSE)</f>
        <v>0</v>
      </c>
      <c r="E163" s="109" t="str">
        <f>IFERROR(__xludf.DUMMYFUNCTION("""COMPUTED_VALUE"""),"PERALTA")</f>
        <v>PERALTA</v>
      </c>
      <c r="F163" s="109" t="str">
        <f>IFERROR(__xludf.DUMMYFUNCTION("""COMPUTED_VALUE"""),"YEN")</f>
        <v>YEN</v>
      </c>
    </row>
    <row r="164">
      <c r="A164" s="131">
        <f>IFERROR(__xludf.DUMMYFUNCTION("""COMPUTED_VALUE"""),163.0)</f>
        <v>163</v>
      </c>
      <c r="B164" s="131"/>
      <c r="C164" s="131">
        <f>IFERROR(__xludf.DUMMYFUNCTION("""COMPUTED_VALUE"""),140.0)</f>
        <v>140</v>
      </c>
      <c r="D164" s="131" t="b">
        <f>IFERROR(__xludf.DUMMYFUNCTION("""COMPUTED_VALUE"""),FALSE)</f>
        <v>0</v>
      </c>
      <c r="E164" s="109" t="str">
        <f>IFERROR(__xludf.DUMMYFUNCTION("""COMPUTED_VALUE"""),"TAN SANCHEZ")</f>
        <v>TAN SANCHEZ</v>
      </c>
      <c r="F164" s="109" t="str">
        <f>IFERROR(__xludf.DUMMYFUNCTION("""COMPUTED_VALUE"""),"MARY KHAYE")</f>
        <v>MARY KHAYE</v>
      </c>
    </row>
    <row r="165">
      <c r="A165" s="131">
        <f>IFERROR(__xludf.DUMMYFUNCTION("""COMPUTED_VALUE"""),164.0)</f>
        <v>164</v>
      </c>
      <c r="B165" s="131"/>
      <c r="C165" s="131">
        <f>IFERROR(__xludf.DUMMYFUNCTION("""COMPUTED_VALUE"""),140.0)</f>
        <v>140</v>
      </c>
      <c r="D165" s="131" t="b">
        <f>IFERROR(__xludf.DUMMYFUNCTION("""COMPUTED_VALUE"""),FALSE)</f>
        <v>0</v>
      </c>
      <c r="E165" s="109" t="str">
        <f>IFERROR(__xludf.DUMMYFUNCTION("""COMPUTED_VALUE"""),"TANDUL")</f>
        <v>TANDUL</v>
      </c>
      <c r="F165" s="109" t="str">
        <f>IFERROR(__xludf.DUMMYFUNCTION("""COMPUTED_VALUE"""),"ELAIJAH")</f>
        <v>ELAIJAH</v>
      </c>
    </row>
    <row r="166">
      <c r="A166" s="131">
        <f>IFERROR(__xludf.DUMMYFUNCTION("""COMPUTED_VALUE"""),165.0)</f>
        <v>165</v>
      </c>
      <c r="B166" s="131"/>
      <c r="C166" s="131">
        <f>IFERROR(__xludf.DUMMYFUNCTION("""COMPUTED_VALUE"""),140.0)</f>
        <v>140</v>
      </c>
      <c r="D166" s="131" t="b">
        <f>IFERROR(__xludf.DUMMYFUNCTION("""COMPUTED_VALUE"""),FALSE)</f>
        <v>0</v>
      </c>
      <c r="E166" s="109" t="str">
        <f>IFERROR(__xludf.DUMMYFUNCTION("""COMPUTED_VALUE"""),"VILLONES")</f>
        <v>VILLONES</v>
      </c>
      <c r="F166" s="109" t="str">
        <f>IFERROR(__xludf.DUMMYFUNCTION("""COMPUTED_VALUE"""),"RHEA")</f>
        <v>RHEA</v>
      </c>
    </row>
    <row r="167">
      <c r="A167" s="131">
        <f>IFERROR(__xludf.DUMMYFUNCTION("""COMPUTED_VALUE"""),166.0)</f>
        <v>166</v>
      </c>
      <c r="B167" s="131"/>
      <c r="C167" s="131"/>
      <c r="D167" s="131" t="b">
        <f>IFERROR(__xludf.DUMMYFUNCTION("""COMPUTED_VALUE"""),FALSE)</f>
        <v>0</v>
      </c>
      <c r="E167" s="131"/>
      <c r="F167" s="131"/>
    </row>
    <row r="168">
      <c r="A168" s="131">
        <f>IFERROR(__xludf.DUMMYFUNCTION("""COMPUTED_VALUE"""),167.0)</f>
        <v>167</v>
      </c>
      <c r="B168" s="131"/>
      <c r="C168" s="131">
        <f>IFERROR(__xludf.DUMMYFUNCTION("""COMPUTED_VALUE"""),167.0)</f>
        <v>167</v>
      </c>
      <c r="D168" s="131" t="b">
        <f>IFERROR(__xludf.DUMMYFUNCTION("""COMPUTED_VALUE"""),TRUE)</f>
        <v>1</v>
      </c>
      <c r="E168" s="105" t="str">
        <f>IFERROR(__xludf.DUMMYFUNCTION("""COMPUTED_VALUE"""),"DE-DIOS")</f>
        <v>DE-DIOS</v>
      </c>
      <c r="F168" s="105" t="str">
        <f>IFERROR(__xludf.DUMMYFUNCTION("""COMPUTED_VALUE"""),"JAY-EL")</f>
        <v>JAY-EL</v>
      </c>
    </row>
    <row r="169">
      <c r="A169" s="131">
        <f>IFERROR(__xludf.DUMMYFUNCTION("""COMPUTED_VALUE"""),168.0)</f>
        <v>168</v>
      </c>
      <c r="B169" s="131"/>
      <c r="C169" s="131">
        <f>IFERROR(__xludf.DUMMYFUNCTION("""COMPUTED_VALUE"""),167.0)</f>
        <v>167</v>
      </c>
      <c r="D169" s="131" t="b">
        <f>IFERROR(__xludf.DUMMYFUNCTION("""COMPUTED_VALUE"""),FALSE)</f>
        <v>0</v>
      </c>
      <c r="E169" s="107" t="str">
        <f>IFERROR(__xludf.DUMMYFUNCTION("""COMPUTED_VALUE"""),"BARONGGO")</f>
        <v>BARONGGO</v>
      </c>
      <c r="F169" s="107" t="str">
        <f>IFERROR(__xludf.DUMMYFUNCTION("""COMPUTED_VALUE"""),"FRANK")</f>
        <v>FRANK</v>
      </c>
    </row>
    <row r="170">
      <c r="A170" s="131">
        <f>IFERROR(__xludf.DUMMYFUNCTION("""COMPUTED_VALUE"""),169.0)</f>
        <v>169</v>
      </c>
      <c r="B170" s="131"/>
      <c r="C170" s="131">
        <f>IFERROR(__xludf.DUMMYFUNCTION("""COMPUTED_VALUE"""),167.0)</f>
        <v>167</v>
      </c>
      <c r="D170" s="131" t="b">
        <f>IFERROR(__xludf.DUMMYFUNCTION("""COMPUTED_VALUE"""),FALSE)</f>
        <v>0</v>
      </c>
      <c r="E170" s="107" t="str">
        <f>IFERROR(__xludf.DUMMYFUNCTION("""COMPUTED_VALUE"""),"ABENOJAR")</f>
        <v>ABENOJAR</v>
      </c>
      <c r="F170" s="107" t="str">
        <f>IFERROR(__xludf.DUMMYFUNCTION("""COMPUTED_VALUE"""),"CLIFFORD")</f>
        <v>CLIFFORD</v>
      </c>
    </row>
    <row r="171">
      <c r="A171" s="131">
        <f>IFERROR(__xludf.DUMMYFUNCTION("""COMPUTED_VALUE"""),170.0)</f>
        <v>170</v>
      </c>
      <c r="B171" s="131"/>
      <c r="C171" s="131">
        <f>IFERROR(__xludf.DUMMYFUNCTION("""COMPUTED_VALUE"""),167.0)</f>
        <v>167</v>
      </c>
      <c r="D171" s="131" t="b">
        <f>IFERROR(__xludf.DUMMYFUNCTION("""COMPUTED_VALUE"""),FALSE)</f>
        <v>0</v>
      </c>
      <c r="E171" s="107" t="str">
        <f>IFERROR(__xludf.DUMMYFUNCTION("""COMPUTED_VALUE"""),"ABUS")</f>
        <v>ABUS</v>
      </c>
      <c r="F171" s="107" t="str">
        <f>IFERROR(__xludf.DUMMYFUNCTION("""COMPUTED_VALUE"""),"RV PETER")</f>
        <v>RV PETER</v>
      </c>
    </row>
    <row r="172">
      <c r="A172" s="131">
        <f>IFERROR(__xludf.DUMMYFUNCTION("""COMPUTED_VALUE"""),171.0)</f>
        <v>171</v>
      </c>
      <c r="B172" s="131"/>
      <c r="C172" s="131">
        <f>IFERROR(__xludf.DUMMYFUNCTION("""COMPUTED_VALUE"""),167.0)</f>
        <v>167</v>
      </c>
      <c r="D172" s="131" t="b">
        <f>IFERROR(__xludf.DUMMYFUNCTION("""COMPUTED_VALUE"""),FALSE)</f>
        <v>0</v>
      </c>
      <c r="E172" s="107" t="str">
        <f>IFERROR(__xludf.DUMMYFUNCTION("""COMPUTED_VALUE"""),"ANTONIO")</f>
        <v>ANTONIO</v>
      </c>
      <c r="F172" s="107" t="str">
        <f>IFERROR(__xludf.DUMMYFUNCTION("""COMPUTED_VALUE"""),"DON")</f>
        <v>DON</v>
      </c>
    </row>
    <row r="173">
      <c r="A173" s="131">
        <f>IFERROR(__xludf.DUMMYFUNCTION("""COMPUTED_VALUE"""),172.0)</f>
        <v>172</v>
      </c>
      <c r="B173" s="131"/>
      <c r="C173" s="131">
        <f>IFERROR(__xludf.DUMMYFUNCTION("""COMPUTED_VALUE"""),167.0)</f>
        <v>167</v>
      </c>
      <c r="D173" s="131" t="b">
        <f>IFERROR(__xludf.DUMMYFUNCTION("""COMPUTED_VALUE"""),FALSE)</f>
        <v>0</v>
      </c>
      <c r="E173" s="107" t="str">
        <f>IFERROR(__xludf.DUMMYFUNCTION("""COMPUTED_VALUE"""),"BERDIN")</f>
        <v>BERDIN</v>
      </c>
      <c r="F173" s="107" t="str">
        <f>IFERROR(__xludf.DUMMYFUNCTION("""COMPUTED_VALUE"""),"KURT")</f>
        <v>KURT</v>
      </c>
    </row>
    <row r="174">
      <c r="A174" s="131">
        <f>IFERROR(__xludf.DUMMYFUNCTION("""COMPUTED_VALUE"""),173.0)</f>
        <v>173</v>
      </c>
      <c r="B174" s="131"/>
      <c r="C174" s="131">
        <f>IFERROR(__xludf.DUMMYFUNCTION("""COMPUTED_VALUE"""),167.0)</f>
        <v>167</v>
      </c>
      <c r="D174" s="131" t="b">
        <f>IFERROR(__xludf.DUMMYFUNCTION("""COMPUTED_VALUE"""),FALSE)</f>
        <v>0</v>
      </c>
      <c r="E174" s="107" t="str">
        <f>IFERROR(__xludf.DUMMYFUNCTION("""COMPUTED_VALUE"""),"CALUBIRAN")</f>
        <v>CALUBIRAN</v>
      </c>
      <c r="F174" s="107" t="str">
        <f>IFERROR(__xludf.DUMMYFUNCTION("""COMPUTED_VALUE"""),"JOEL")</f>
        <v>JOEL</v>
      </c>
    </row>
    <row r="175">
      <c r="A175" s="131">
        <f>IFERROR(__xludf.DUMMYFUNCTION("""COMPUTED_VALUE"""),174.0)</f>
        <v>174</v>
      </c>
      <c r="B175" s="131"/>
      <c r="C175" s="131">
        <f>IFERROR(__xludf.DUMMYFUNCTION("""COMPUTED_VALUE"""),167.0)</f>
        <v>167</v>
      </c>
      <c r="D175" s="131" t="b">
        <f>IFERROR(__xludf.DUMMYFUNCTION("""COMPUTED_VALUE"""),FALSE)</f>
        <v>0</v>
      </c>
      <c r="E175" s="107" t="str">
        <f>IFERROR(__xludf.DUMMYFUNCTION("""COMPUTED_VALUE"""),"CARANGAN")</f>
        <v>CARANGAN</v>
      </c>
      <c r="F175" s="107" t="str">
        <f>IFERROR(__xludf.DUMMYFUNCTION("""COMPUTED_VALUE"""),"LANCE")</f>
        <v>LANCE</v>
      </c>
    </row>
    <row r="176">
      <c r="A176" s="131">
        <f>IFERROR(__xludf.DUMMYFUNCTION("""COMPUTED_VALUE"""),175.0)</f>
        <v>175</v>
      </c>
      <c r="B176" s="131"/>
      <c r="C176" s="131">
        <f>IFERROR(__xludf.DUMMYFUNCTION("""COMPUTED_VALUE"""),167.0)</f>
        <v>167</v>
      </c>
      <c r="D176" s="131" t="b">
        <f>IFERROR(__xludf.DUMMYFUNCTION("""COMPUTED_VALUE"""),FALSE)</f>
        <v>0</v>
      </c>
      <c r="E176" s="107" t="str">
        <f>IFERROR(__xludf.DUMMYFUNCTION("""COMPUTED_VALUE"""),"CASINUSIMAN")</f>
        <v>CASINUSIMAN</v>
      </c>
      <c r="F176" s="107" t="str">
        <f>IFERROR(__xludf.DUMMYFUNCTION("""COMPUTED_VALUE"""),"RAINER")</f>
        <v>RAINER</v>
      </c>
    </row>
    <row r="177">
      <c r="A177" s="131">
        <f>IFERROR(__xludf.DUMMYFUNCTION("""COMPUTED_VALUE"""),176.0)</f>
        <v>176</v>
      </c>
      <c r="B177" s="131"/>
      <c r="C177" s="131">
        <f>IFERROR(__xludf.DUMMYFUNCTION("""COMPUTED_VALUE"""),167.0)</f>
        <v>167</v>
      </c>
      <c r="D177" s="131" t="b">
        <f>IFERROR(__xludf.DUMMYFUNCTION("""COMPUTED_VALUE"""),FALSE)</f>
        <v>0</v>
      </c>
      <c r="E177" s="107" t="str">
        <f>IFERROR(__xludf.DUMMYFUNCTION("""COMPUTED_VALUE"""),"CORVERA")</f>
        <v>CORVERA</v>
      </c>
      <c r="F177" s="107" t="str">
        <f>IFERROR(__xludf.DUMMYFUNCTION("""COMPUTED_VALUE"""),"FLORENCE")</f>
        <v>FLORENCE</v>
      </c>
    </row>
    <row r="178">
      <c r="A178" s="131">
        <f>IFERROR(__xludf.DUMMYFUNCTION("""COMPUTED_VALUE"""),177.0)</f>
        <v>177</v>
      </c>
      <c r="B178" s="131"/>
      <c r="C178" s="131">
        <f>IFERROR(__xludf.DUMMYFUNCTION("""COMPUTED_VALUE"""),167.0)</f>
        <v>167</v>
      </c>
      <c r="D178" s="131" t="b">
        <f>IFERROR(__xludf.DUMMYFUNCTION("""COMPUTED_VALUE"""),FALSE)</f>
        <v>0</v>
      </c>
      <c r="E178" s="115" t="str">
        <f>IFERROR(__xludf.DUMMYFUNCTION("""COMPUTED_VALUE"""),"DABALOS")</f>
        <v>DABALOS</v>
      </c>
      <c r="F178" s="115" t="str">
        <f>IFERROR(__xludf.DUMMYFUNCTION("""COMPUTED_VALUE"""),"MERVIN")</f>
        <v>MERVIN</v>
      </c>
    </row>
    <row r="179">
      <c r="A179" s="131">
        <f>IFERROR(__xludf.DUMMYFUNCTION("""COMPUTED_VALUE"""),178.0)</f>
        <v>178</v>
      </c>
      <c r="B179" s="131"/>
      <c r="C179" s="131">
        <f>IFERROR(__xludf.DUMMYFUNCTION("""COMPUTED_VALUE"""),167.0)</f>
        <v>167</v>
      </c>
      <c r="D179" s="131" t="b">
        <f>IFERROR(__xludf.DUMMYFUNCTION("""COMPUTED_VALUE"""),FALSE)</f>
        <v>0</v>
      </c>
      <c r="E179" s="107" t="str">
        <f>IFERROR(__xludf.DUMMYFUNCTION("""COMPUTED_VALUE"""),"DATO")</f>
        <v>DATO</v>
      </c>
      <c r="F179" s="107" t="str">
        <f>IFERROR(__xludf.DUMMYFUNCTION("""COMPUTED_VALUE"""),"JOHN AL")</f>
        <v>JOHN AL</v>
      </c>
    </row>
    <row r="180">
      <c r="A180" s="131">
        <f>IFERROR(__xludf.DUMMYFUNCTION("""COMPUTED_VALUE"""),179.0)</f>
        <v>179</v>
      </c>
      <c r="B180" s="131"/>
      <c r="C180" s="131">
        <f>IFERROR(__xludf.DUMMYFUNCTION("""COMPUTED_VALUE"""),167.0)</f>
        <v>167</v>
      </c>
      <c r="D180" s="131" t="b">
        <f>IFERROR(__xludf.DUMMYFUNCTION("""COMPUTED_VALUE"""),FALSE)</f>
        <v>0</v>
      </c>
      <c r="E180" s="107" t="str">
        <f>IFERROR(__xludf.DUMMYFUNCTION("""COMPUTED_VALUE"""),"DELA CRUZ")</f>
        <v>DELA CRUZ</v>
      </c>
      <c r="F180" s="107" t="str">
        <f>IFERROR(__xludf.DUMMYFUNCTION("""COMPUTED_VALUE"""),"DYLAN")</f>
        <v>DYLAN</v>
      </c>
    </row>
    <row r="181">
      <c r="A181" s="131">
        <f>IFERROR(__xludf.DUMMYFUNCTION("""COMPUTED_VALUE"""),180.0)</f>
        <v>180</v>
      </c>
      <c r="B181" s="131"/>
      <c r="C181" s="131">
        <f>IFERROR(__xludf.DUMMYFUNCTION("""COMPUTED_VALUE"""),167.0)</f>
        <v>167</v>
      </c>
      <c r="D181" s="131" t="b">
        <f>IFERROR(__xludf.DUMMYFUNCTION("""COMPUTED_VALUE"""),FALSE)</f>
        <v>0</v>
      </c>
      <c r="E181" s="107" t="str">
        <f>IFERROR(__xludf.DUMMYFUNCTION("""COMPUTED_VALUE"""),"DELA PEÑA")</f>
        <v>DELA PEÑA</v>
      </c>
      <c r="F181" s="107" t="str">
        <f>IFERROR(__xludf.DUMMYFUNCTION("""COMPUTED_VALUE"""),"ACEL")</f>
        <v>ACEL</v>
      </c>
    </row>
    <row r="182">
      <c r="A182" s="131">
        <f>IFERROR(__xludf.DUMMYFUNCTION("""COMPUTED_VALUE"""),181.0)</f>
        <v>181</v>
      </c>
      <c r="B182" s="131"/>
      <c r="C182" s="131">
        <f>IFERROR(__xludf.DUMMYFUNCTION("""COMPUTED_VALUE"""),167.0)</f>
        <v>167</v>
      </c>
      <c r="D182" s="131" t="b">
        <f>IFERROR(__xludf.DUMMYFUNCTION("""COMPUTED_VALUE"""),FALSE)</f>
        <v>0</v>
      </c>
      <c r="E182" s="107" t="str">
        <f>IFERROR(__xludf.DUMMYFUNCTION("""COMPUTED_VALUE"""),"DELECTOR")</f>
        <v>DELECTOR</v>
      </c>
      <c r="F182" s="107" t="str">
        <f>IFERROR(__xludf.DUMMYFUNCTION("""COMPUTED_VALUE"""),"FRANCIS CRISTEL")</f>
        <v>FRANCIS CRISTEL</v>
      </c>
    </row>
    <row r="183">
      <c r="A183" s="131">
        <f>IFERROR(__xludf.DUMMYFUNCTION("""COMPUTED_VALUE"""),182.0)</f>
        <v>182</v>
      </c>
      <c r="B183" s="131"/>
      <c r="C183" s="131">
        <f>IFERROR(__xludf.DUMMYFUNCTION("""COMPUTED_VALUE"""),167.0)</f>
        <v>167</v>
      </c>
      <c r="D183" s="131" t="b">
        <f>IFERROR(__xludf.DUMMYFUNCTION("""COMPUTED_VALUE"""),FALSE)</f>
        <v>0</v>
      </c>
      <c r="E183" s="107" t="str">
        <f>IFERROR(__xludf.DUMMYFUNCTION("""COMPUTED_VALUE"""),"DELECTOR")</f>
        <v>DELECTOR</v>
      </c>
      <c r="F183" s="107" t="str">
        <f>IFERROR(__xludf.DUMMYFUNCTION("""COMPUTED_VALUE"""),"FRANZINE CARLO")</f>
        <v>FRANZINE CARLO</v>
      </c>
    </row>
    <row r="184">
      <c r="A184" s="131">
        <f>IFERROR(__xludf.DUMMYFUNCTION("""COMPUTED_VALUE"""),183.0)</f>
        <v>183</v>
      </c>
      <c r="B184" s="131"/>
      <c r="C184" s="131">
        <f>IFERROR(__xludf.DUMMYFUNCTION("""COMPUTED_VALUE"""),167.0)</f>
        <v>167</v>
      </c>
      <c r="D184" s="131" t="b">
        <f>IFERROR(__xludf.DUMMYFUNCTION("""COMPUTED_VALUE"""),FALSE)</f>
        <v>0</v>
      </c>
      <c r="E184" s="107" t="str">
        <f>IFERROR(__xludf.DUMMYFUNCTION("""COMPUTED_VALUE"""),"FRONDA")</f>
        <v>FRONDA</v>
      </c>
      <c r="F184" s="107" t="str">
        <f>IFERROR(__xludf.DUMMYFUNCTION("""COMPUTED_VALUE"""),"ED")</f>
        <v>ED</v>
      </c>
    </row>
    <row r="185">
      <c r="A185" s="131">
        <f>IFERROR(__xludf.DUMMYFUNCTION("""COMPUTED_VALUE"""),184.0)</f>
        <v>184</v>
      </c>
      <c r="B185" s="131"/>
      <c r="C185" s="131">
        <f>IFERROR(__xludf.DUMMYFUNCTION("""COMPUTED_VALUE"""),167.0)</f>
        <v>167</v>
      </c>
      <c r="D185" s="131" t="b">
        <f>IFERROR(__xludf.DUMMYFUNCTION("""COMPUTED_VALUE"""),FALSE)</f>
        <v>0</v>
      </c>
      <c r="E185" s="107" t="str">
        <f>IFERROR(__xludf.DUMMYFUNCTION("""COMPUTED_VALUE"""),"GELICAME")</f>
        <v>GELICAME</v>
      </c>
      <c r="F185" s="107" t="str">
        <f>IFERROR(__xludf.DUMMYFUNCTION("""COMPUTED_VALUE"""),"ALJHUN")</f>
        <v>ALJHUN</v>
      </c>
    </row>
    <row r="186">
      <c r="A186" s="131">
        <f>IFERROR(__xludf.DUMMYFUNCTION("""COMPUTED_VALUE"""),185.0)</f>
        <v>185</v>
      </c>
      <c r="B186" s="131"/>
      <c r="C186" s="131">
        <f>IFERROR(__xludf.DUMMYFUNCTION("""COMPUTED_VALUE"""),167.0)</f>
        <v>167</v>
      </c>
      <c r="D186" s="131" t="b">
        <f>IFERROR(__xludf.DUMMYFUNCTION("""COMPUTED_VALUE"""),FALSE)</f>
        <v>0</v>
      </c>
      <c r="E186" s="107" t="str">
        <f>IFERROR(__xludf.DUMMYFUNCTION("""COMPUTED_VALUE"""),"LABAYNE")</f>
        <v>LABAYNE</v>
      </c>
      <c r="F186" s="107" t="str">
        <f>IFERROR(__xludf.DUMMYFUNCTION("""COMPUTED_VALUE"""),"JOSHUA")</f>
        <v>JOSHUA</v>
      </c>
    </row>
    <row r="187">
      <c r="A187" s="131">
        <f>IFERROR(__xludf.DUMMYFUNCTION("""COMPUTED_VALUE"""),186.0)</f>
        <v>186</v>
      </c>
      <c r="B187" s="131"/>
      <c r="C187" s="131">
        <f>IFERROR(__xludf.DUMMYFUNCTION("""COMPUTED_VALUE"""),167.0)</f>
        <v>167</v>
      </c>
      <c r="D187" s="131" t="b">
        <f>IFERROR(__xludf.DUMMYFUNCTION("""COMPUTED_VALUE"""),FALSE)</f>
        <v>0</v>
      </c>
      <c r="E187" s="107" t="str">
        <f>IFERROR(__xludf.DUMMYFUNCTION("""COMPUTED_VALUE"""),"LABAYNE")</f>
        <v>LABAYNE</v>
      </c>
      <c r="F187" s="107" t="str">
        <f>IFERROR(__xludf.DUMMYFUNCTION("""COMPUTED_VALUE"""),"MARK")</f>
        <v>MARK</v>
      </c>
    </row>
    <row r="188">
      <c r="A188" s="131">
        <f>IFERROR(__xludf.DUMMYFUNCTION("""COMPUTED_VALUE"""),187.0)</f>
        <v>187</v>
      </c>
      <c r="B188" s="131"/>
      <c r="C188" s="131">
        <f>IFERROR(__xludf.DUMMYFUNCTION("""COMPUTED_VALUE"""),167.0)</f>
        <v>167</v>
      </c>
      <c r="D188" s="131" t="b">
        <f>IFERROR(__xludf.DUMMYFUNCTION("""COMPUTED_VALUE"""),FALSE)</f>
        <v>0</v>
      </c>
      <c r="E188" s="107" t="str">
        <f>IFERROR(__xludf.DUMMYFUNCTION("""COMPUTED_VALUE"""),"LABAYNE")</f>
        <v>LABAYNE</v>
      </c>
      <c r="F188" s="107" t="str">
        <f>IFERROR(__xludf.DUMMYFUNCTION("""COMPUTED_VALUE"""),"JAMES")</f>
        <v>JAMES</v>
      </c>
    </row>
    <row r="189">
      <c r="A189" s="131">
        <f>IFERROR(__xludf.DUMMYFUNCTION("""COMPUTED_VALUE"""),188.0)</f>
        <v>188</v>
      </c>
      <c r="B189" s="131"/>
      <c r="C189" s="131">
        <f>IFERROR(__xludf.DUMMYFUNCTION("""COMPUTED_VALUE"""),167.0)</f>
        <v>167</v>
      </c>
      <c r="D189" s="131" t="b">
        <f>IFERROR(__xludf.DUMMYFUNCTION("""COMPUTED_VALUE"""),FALSE)</f>
        <v>0</v>
      </c>
      <c r="E189" s="107" t="str">
        <f>IFERROR(__xludf.DUMMYFUNCTION("""COMPUTED_VALUE"""),"LLORENTE")</f>
        <v>LLORENTE</v>
      </c>
      <c r="F189" s="107" t="str">
        <f>IFERROR(__xludf.DUMMYFUNCTION("""COMPUTED_VALUE"""),"MILLS")</f>
        <v>MILLS</v>
      </c>
    </row>
    <row r="190">
      <c r="A190" s="131">
        <f>IFERROR(__xludf.DUMMYFUNCTION("""COMPUTED_VALUE"""),189.0)</f>
        <v>189</v>
      </c>
      <c r="B190" s="131"/>
      <c r="C190" s="131">
        <f>IFERROR(__xludf.DUMMYFUNCTION("""COMPUTED_VALUE"""),167.0)</f>
        <v>167</v>
      </c>
      <c r="D190" s="131" t="b">
        <f>IFERROR(__xludf.DUMMYFUNCTION("""COMPUTED_VALUE"""),FALSE)</f>
        <v>0</v>
      </c>
      <c r="E190" s="107" t="str">
        <f>IFERROR(__xludf.DUMMYFUNCTION("""COMPUTED_VALUE"""),"MANUEL")</f>
        <v>MANUEL</v>
      </c>
      <c r="F190" s="107" t="str">
        <f>IFERROR(__xludf.DUMMYFUNCTION("""COMPUTED_VALUE"""),"JOHN MARK")</f>
        <v>JOHN MARK</v>
      </c>
    </row>
    <row r="191">
      <c r="A191" s="131">
        <f>IFERROR(__xludf.DUMMYFUNCTION("""COMPUTED_VALUE"""),190.0)</f>
        <v>190</v>
      </c>
      <c r="B191" s="131"/>
      <c r="C191" s="131">
        <f>IFERROR(__xludf.DUMMYFUNCTION("""COMPUTED_VALUE"""),167.0)</f>
        <v>167</v>
      </c>
      <c r="D191" s="131" t="b">
        <f>IFERROR(__xludf.DUMMYFUNCTION("""COMPUTED_VALUE"""),FALSE)</f>
        <v>0</v>
      </c>
      <c r="E191" s="107" t="str">
        <f>IFERROR(__xludf.DUMMYFUNCTION("""COMPUTED_VALUE"""),"MENDOZA")</f>
        <v>MENDOZA</v>
      </c>
      <c r="F191" s="107" t="str">
        <f>IFERROR(__xludf.DUMMYFUNCTION("""COMPUTED_VALUE"""),"JM")</f>
        <v>JM</v>
      </c>
    </row>
    <row r="192">
      <c r="A192" s="131">
        <f>IFERROR(__xludf.DUMMYFUNCTION("""COMPUTED_VALUE"""),191.0)</f>
        <v>191</v>
      </c>
      <c r="B192" s="131"/>
      <c r="C192" s="131">
        <f>IFERROR(__xludf.DUMMYFUNCTION("""COMPUTED_VALUE"""),167.0)</f>
        <v>167</v>
      </c>
      <c r="D192" s="131" t="b">
        <f>IFERROR(__xludf.DUMMYFUNCTION("""COMPUTED_VALUE"""),FALSE)</f>
        <v>0</v>
      </c>
      <c r="E192" s="107" t="str">
        <f>IFERROR(__xludf.DUMMYFUNCTION("""COMPUTED_VALUE"""),"MOLINA")</f>
        <v>MOLINA</v>
      </c>
      <c r="F192" s="107" t="str">
        <f>IFERROR(__xludf.DUMMYFUNCTION("""COMPUTED_VALUE"""),"ADRIAN")</f>
        <v>ADRIAN</v>
      </c>
    </row>
    <row r="193">
      <c r="A193" s="131">
        <f>IFERROR(__xludf.DUMMYFUNCTION("""COMPUTED_VALUE"""),192.0)</f>
        <v>192</v>
      </c>
      <c r="B193" s="131"/>
      <c r="C193" s="131">
        <f>IFERROR(__xludf.DUMMYFUNCTION("""COMPUTED_VALUE"""),167.0)</f>
        <v>167</v>
      </c>
      <c r="D193" s="131" t="b">
        <f>IFERROR(__xludf.DUMMYFUNCTION("""COMPUTED_VALUE"""),FALSE)</f>
        <v>0</v>
      </c>
      <c r="E193" s="107" t="str">
        <f>IFERROR(__xludf.DUMMYFUNCTION("""COMPUTED_VALUE"""),"MONTECER")</f>
        <v>MONTECER</v>
      </c>
      <c r="F193" s="107" t="str">
        <f>IFERROR(__xludf.DUMMYFUNCTION("""COMPUTED_VALUE"""),"RYAN")</f>
        <v>RYAN</v>
      </c>
    </row>
    <row r="194">
      <c r="A194" s="131">
        <f>IFERROR(__xludf.DUMMYFUNCTION("""COMPUTED_VALUE"""),193.0)</f>
        <v>193</v>
      </c>
      <c r="B194" s="131"/>
      <c r="C194" s="131">
        <f>IFERROR(__xludf.DUMMYFUNCTION("""COMPUTED_VALUE"""),167.0)</f>
        <v>167</v>
      </c>
      <c r="D194" s="131" t="b">
        <f>IFERROR(__xludf.DUMMYFUNCTION("""COMPUTED_VALUE"""),FALSE)</f>
        <v>0</v>
      </c>
      <c r="E194" s="107" t="str">
        <f>IFERROR(__xludf.DUMMYFUNCTION("""COMPUTED_VALUE"""),"MOSQUITO")</f>
        <v>MOSQUITO</v>
      </c>
      <c r="F194" s="107" t="str">
        <f>IFERROR(__xludf.DUMMYFUNCTION("""COMPUTED_VALUE"""),"JOHN MARK")</f>
        <v>JOHN MARK</v>
      </c>
    </row>
    <row r="195">
      <c r="A195" s="131">
        <f>IFERROR(__xludf.DUMMYFUNCTION("""COMPUTED_VALUE"""),194.0)</f>
        <v>194</v>
      </c>
      <c r="B195" s="131"/>
      <c r="C195" s="131">
        <f>IFERROR(__xludf.DUMMYFUNCTION("""COMPUTED_VALUE"""),167.0)</f>
        <v>167</v>
      </c>
      <c r="D195" s="131" t="b">
        <f>IFERROR(__xludf.DUMMYFUNCTION("""COMPUTED_VALUE"""),FALSE)</f>
        <v>0</v>
      </c>
      <c r="E195" s="107" t="str">
        <f>IFERROR(__xludf.DUMMYFUNCTION("""COMPUTED_VALUE"""),"PASCUAL")</f>
        <v>PASCUAL</v>
      </c>
      <c r="F195" s="107" t="str">
        <f>IFERROR(__xludf.DUMMYFUNCTION("""COMPUTED_VALUE"""),"KIOSKE")</f>
        <v>KIOSKE</v>
      </c>
    </row>
    <row r="196">
      <c r="A196" s="131">
        <f>IFERROR(__xludf.DUMMYFUNCTION("""COMPUTED_VALUE"""),195.0)</f>
        <v>195</v>
      </c>
      <c r="B196" s="131"/>
      <c r="C196" s="131">
        <f>IFERROR(__xludf.DUMMYFUNCTION("""COMPUTED_VALUE"""),167.0)</f>
        <v>167</v>
      </c>
      <c r="D196" s="131" t="b">
        <f>IFERROR(__xludf.DUMMYFUNCTION("""COMPUTED_VALUE"""),FALSE)</f>
        <v>0</v>
      </c>
      <c r="E196" s="107" t="str">
        <f>IFERROR(__xludf.DUMMYFUNCTION("""COMPUTED_VALUE"""),"PERALTA")</f>
        <v>PERALTA</v>
      </c>
      <c r="F196" s="107" t="str">
        <f>IFERROR(__xludf.DUMMYFUNCTION("""COMPUTED_VALUE"""),"MARION")</f>
        <v>MARION</v>
      </c>
    </row>
    <row r="197">
      <c r="A197" s="131">
        <f>IFERROR(__xludf.DUMMYFUNCTION("""COMPUTED_VALUE"""),196.0)</f>
        <v>196</v>
      </c>
      <c r="B197" s="131"/>
      <c r="C197" s="131">
        <f>IFERROR(__xludf.DUMMYFUNCTION("""COMPUTED_VALUE"""),167.0)</f>
        <v>167</v>
      </c>
      <c r="D197" s="131" t="b">
        <f>IFERROR(__xludf.DUMMYFUNCTION("""COMPUTED_VALUE"""),FALSE)</f>
        <v>0</v>
      </c>
      <c r="E197" s="107" t="str">
        <f>IFERROR(__xludf.DUMMYFUNCTION("""COMPUTED_VALUE"""),"RANOLA")</f>
        <v>RANOLA</v>
      </c>
      <c r="F197" s="107" t="str">
        <f>IFERROR(__xludf.DUMMYFUNCTION("""COMPUTED_VALUE"""),"JOHN GABRIELLE P.")</f>
        <v>JOHN GABRIELLE P.</v>
      </c>
    </row>
    <row r="198">
      <c r="A198" s="131">
        <f>IFERROR(__xludf.DUMMYFUNCTION("""COMPUTED_VALUE"""),197.0)</f>
        <v>197</v>
      </c>
      <c r="B198" s="131"/>
      <c r="C198" s="131">
        <f>IFERROR(__xludf.DUMMYFUNCTION("""COMPUTED_VALUE"""),167.0)</f>
        <v>167</v>
      </c>
      <c r="D198" s="131" t="b">
        <f>IFERROR(__xludf.DUMMYFUNCTION("""COMPUTED_VALUE"""),FALSE)</f>
        <v>0</v>
      </c>
      <c r="E198" s="107" t="str">
        <f>IFERROR(__xludf.DUMMYFUNCTION("""COMPUTED_VALUE"""),"REMOPALOS")</f>
        <v>REMOPALOS</v>
      </c>
      <c r="F198" s="107" t="str">
        <f>IFERROR(__xludf.DUMMYFUNCTION("""COMPUTED_VALUE"""),"ZION")</f>
        <v>ZION</v>
      </c>
    </row>
    <row r="199">
      <c r="A199" s="131">
        <f>IFERROR(__xludf.DUMMYFUNCTION("""COMPUTED_VALUE"""),198.0)</f>
        <v>198</v>
      </c>
      <c r="B199" s="131"/>
      <c r="C199" s="131">
        <f>IFERROR(__xludf.DUMMYFUNCTION("""COMPUTED_VALUE"""),167.0)</f>
        <v>167</v>
      </c>
      <c r="D199" s="131" t="b">
        <f>IFERROR(__xludf.DUMMYFUNCTION("""COMPUTED_VALUE"""),FALSE)</f>
        <v>0</v>
      </c>
      <c r="E199" s="107" t="str">
        <f>IFERROR(__xludf.DUMMYFUNCTION("""COMPUTED_VALUE"""),"ROSAL")</f>
        <v>ROSAL</v>
      </c>
      <c r="F199" s="107" t="str">
        <f>IFERROR(__xludf.DUMMYFUNCTION("""COMPUTED_VALUE"""),"CYRUS JOSEPH")</f>
        <v>CYRUS JOSEPH</v>
      </c>
    </row>
    <row r="200">
      <c r="A200" s="131">
        <f>IFERROR(__xludf.DUMMYFUNCTION("""COMPUTED_VALUE"""),199.0)</f>
        <v>199</v>
      </c>
      <c r="B200" s="131"/>
      <c r="C200" s="131">
        <f>IFERROR(__xludf.DUMMYFUNCTION("""COMPUTED_VALUE"""),167.0)</f>
        <v>167</v>
      </c>
      <c r="D200" s="131" t="b">
        <f>IFERROR(__xludf.DUMMYFUNCTION("""COMPUTED_VALUE"""),FALSE)</f>
        <v>0</v>
      </c>
      <c r="E200" s="107" t="str">
        <f>IFERROR(__xludf.DUMMYFUNCTION("""COMPUTED_VALUE"""),"SAMONTANES")</f>
        <v>SAMONTANES</v>
      </c>
      <c r="F200" s="107" t="str">
        <f>IFERROR(__xludf.DUMMYFUNCTION("""COMPUTED_VALUE"""),"DAVID")</f>
        <v>DAVID</v>
      </c>
    </row>
    <row r="201">
      <c r="A201" s="131">
        <f>IFERROR(__xludf.DUMMYFUNCTION("""COMPUTED_VALUE"""),200.0)</f>
        <v>200</v>
      </c>
      <c r="B201" s="131"/>
      <c r="C201" s="131">
        <f>IFERROR(__xludf.DUMMYFUNCTION("""COMPUTED_VALUE"""),167.0)</f>
        <v>167</v>
      </c>
      <c r="D201" s="131" t="b">
        <f>IFERROR(__xludf.DUMMYFUNCTION("""COMPUTED_VALUE"""),FALSE)</f>
        <v>0</v>
      </c>
      <c r="E201" s="107" t="str">
        <f>IFERROR(__xludf.DUMMYFUNCTION("""COMPUTED_VALUE"""),"SISON")</f>
        <v>SISON</v>
      </c>
      <c r="F201" s="107" t="str">
        <f>IFERROR(__xludf.DUMMYFUNCTION("""COMPUTED_VALUE"""),"RAVEN JAZZ")</f>
        <v>RAVEN JAZZ</v>
      </c>
    </row>
    <row r="202">
      <c r="A202" s="131">
        <f>IFERROR(__xludf.DUMMYFUNCTION("""COMPUTED_VALUE"""),201.0)</f>
        <v>201</v>
      </c>
      <c r="B202" s="131"/>
      <c r="C202" s="131">
        <f>IFERROR(__xludf.DUMMYFUNCTION("""COMPUTED_VALUE"""),167.0)</f>
        <v>167</v>
      </c>
      <c r="D202" s="131" t="b">
        <f>IFERROR(__xludf.DUMMYFUNCTION("""COMPUTED_VALUE"""),FALSE)</f>
        <v>0</v>
      </c>
      <c r="E202" s="107" t="str">
        <f>IFERROR(__xludf.DUMMYFUNCTION("""COMPUTED_VALUE"""),"SOMERA")</f>
        <v>SOMERA</v>
      </c>
      <c r="F202" s="107" t="str">
        <f>IFERROR(__xludf.DUMMYFUNCTION("""COMPUTED_VALUE"""),"MICHAEL")</f>
        <v>MICHAEL</v>
      </c>
    </row>
    <row r="203">
      <c r="A203" s="131">
        <f>IFERROR(__xludf.DUMMYFUNCTION("""COMPUTED_VALUE"""),202.0)</f>
        <v>202</v>
      </c>
      <c r="B203" s="131"/>
      <c r="C203" s="131">
        <f>IFERROR(__xludf.DUMMYFUNCTION("""COMPUTED_VALUE"""),167.0)</f>
        <v>167</v>
      </c>
      <c r="D203" s="131" t="b">
        <f>IFERROR(__xludf.DUMMYFUNCTION("""COMPUTED_VALUE"""),FALSE)</f>
        <v>0</v>
      </c>
      <c r="E203" s="107" t="str">
        <f>IFERROR(__xludf.DUMMYFUNCTION("""COMPUTED_VALUE"""),"TAMIDLES")</f>
        <v>TAMIDLES</v>
      </c>
      <c r="F203" s="107" t="str">
        <f>IFERROR(__xludf.DUMMYFUNCTION("""COMPUTED_VALUE"""),"KARL")</f>
        <v>KARL</v>
      </c>
    </row>
    <row r="204">
      <c r="A204" s="131">
        <f>IFERROR(__xludf.DUMMYFUNCTION("""COMPUTED_VALUE"""),203.0)</f>
        <v>203</v>
      </c>
      <c r="B204" s="131"/>
      <c r="C204" s="131">
        <f>IFERROR(__xludf.DUMMYFUNCTION("""COMPUTED_VALUE"""),167.0)</f>
        <v>167</v>
      </c>
      <c r="D204" s="131" t="b">
        <f>IFERROR(__xludf.DUMMYFUNCTION("""COMPUTED_VALUE"""),FALSE)</f>
        <v>0</v>
      </c>
      <c r="E204" s="107" t="str">
        <f>IFERROR(__xludf.DUMMYFUNCTION("""COMPUTED_VALUE"""),"TAN")</f>
        <v>TAN</v>
      </c>
      <c r="F204" s="107" t="str">
        <f>IFERROR(__xludf.DUMMYFUNCTION("""COMPUTED_VALUE"""),"RAMON")</f>
        <v>RAMON</v>
      </c>
    </row>
    <row r="205">
      <c r="A205" s="131">
        <f>IFERROR(__xludf.DUMMYFUNCTION("""COMPUTED_VALUE"""),204.0)</f>
        <v>204</v>
      </c>
      <c r="B205" s="131"/>
      <c r="C205" s="131">
        <f>IFERROR(__xludf.DUMMYFUNCTION("""COMPUTED_VALUE"""),167.0)</f>
        <v>167</v>
      </c>
      <c r="D205" s="131" t="b">
        <f>IFERROR(__xludf.DUMMYFUNCTION("""COMPUTED_VALUE"""),FALSE)</f>
        <v>0</v>
      </c>
      <c r="E205" s="116" t="str">
        <f>IFERROR(__xludf.DUMMYFUNCTION("""COMPUTED_VALUE"""),"TOLEDO")</f>
        <v>TOLEDO</v>
      </c>
      <c r="F205" s="107" t="str">
        <f>IFERROR(__xludf.DUMMYFUNCTION("""COMPUTED_VALUE"""),"ASZHER")</f>
        <v>ASZHER</v>
      </c>
    </row>
    <row r="206">
      <c r="A206" s="131">
        <f>IFERROR(__xludf.DUMMYFUNCTION("""COMPUTED_VALUE"""),205.0)</f>
        <v>205</v>
      </c>
      <c r="B206" s="131"/>
      <c r="C206" s="131">
        <f>IFERROR(__xludf.DUMMYFUNCTION("""COMPUTED_VALUE"""),167.0)</f>
        <v>167</v>
      </c>
      <c r="D206" s="131" t="b">
        <f>IFERROR(__xludf.DUMMYFUNCTION("""COMPUTED_VALUE"""),FALSE)</f>
        <v>0</v>
      </c>
      <c r="E206" s="107" t="str">
        <f>IFERROR(__xludf.DUMMYFUNCTION("""COMPUTED_VALUE"""),"TAMIDLES")</f>
        <v>TAMIDLES</v>
      </c>
      <c r="F206" s="107" t="str">
        <f>IFERROR(__xludf.DUMMYFUNCTION("""COMPUTED_VALUE"""),"ZHAIRON")</f>
        <v>ZHAIRON</v>
      </c>
    </row>
    <row r="207">
      <c r="A207" s="131">
        <f>IFERROR(__xludf.DUMMYFUNCTION("""COMPUTED_VALUE"""),206.0)</f>
        <v>206</v>
      </c>
      <c r="B207" s="131"/>
      <c r="C207" s="131">
        <f>IFERROR(__xludf.DUMMYFUNCTION("""COMPUTED_VALUE"""),167.0)</f>
        <v>167</v>
      </c>
      <c r="D207" s="131" t="b">
        <f>IFERROR(__xludf.DUMMYFUNCTION("""COMPUTED_VALUE"""),FALSE)</f>
        <v>0</v>
      </c>
      <c r="E207" s="107" t="str">
        <f>IFERROR(__xludf.DUMMYFUNCTION("""COMPUTED_VALUE"""),"VERTUDAZO")</f>
        <v>VERTUDAZO</v>
      </c>
      <c r="F207" s="107" t="str">
        <f>IFERROR(__xludf.DUMMYFUNCTION("""COMPUTED_VALUE"""),"KENNETH")</f>
        <v>KENNETH</v>
      </c>
    </row>
    <row r="208">
      <c r="A208" s="131">
        <f>IFERROR(__xludf.DUMMYFUNCTION("""COMPUTED_VALUE"""),207.0)</f>
        <v>207</v>
      </c>
      <c r="B208" s="131"/>
      <c r="C208" s="131">
        <f>IFERROR(__xludf.DUMMYFUNCTION("""COMPUTED_VALUE"""),167.0)</f>
        <v>167</v>
      </c>
      <c r="D208" s="131" t="b">
        <f>IFERROR(__xludf.DUMMYFUNCTION("""COMPUTED_VALUE"""),FALSE)</f>
        <v>0</v>
      </c>
      <c r="E208" s="107" t="str">
        <f>IFERROR(__xludf.DUMMYFUNCTION("""COMPUTED_VALUE"""),"VILLARUEL")</f>
        <v>VILLARUEL</v>
      </c>
      <c r="F208" s="107" t="str">
        <f>IFERROR(__xludf.DUMMYFUNCTION("""COMPUTED_VALUE"""),"KIAN")</f>
        <v>KIAN</v>
      </c>
    </row>
    <row r="209">
      <c r="A209" s="131">
        <f>IFERROR(__xludf.DUMMYFUNCTION("""COMPUTED_VALUE"""),208.0)</f>
        <v>208</v>
      </c>
      <c r="B209" s="131"/>
      <c r="C209" s="131">
        <f>IFERROR(__xludf.DUMMYFUNCTION("""COMPUTED_VALUE"""),167.0)</f>
        <v>167</v>
      </c>
      <c r="D209" s="131" t="b">
        <f>IFERROR(__xludf.DUMMYFUNCTION("""COMPUTED_VALUE"""),FALSE)</f>
        <v>0</v>
      </c>
      <c r="E209" s="107" t="str">
        <f>IFERROR(__xludf.DUMMYFUNCTION("""COMPUTED_VALUE"""),"VILLARUEL")</f>
        <v>VILLARUEL</v>
      </c>
      <c r="F209" s="107" t="str">
        <f>IFERROR(__xludf.DUMMYFUNCTION("""COMPUTED_VALUE"""),"KYLE")</f>
        <v>KYLE</v>
      </c>
    </row>
    <row r="210">
      <c r="A210" s="131">
        <f>IFERROR(__xludf.DUMMYFUNCTION("""COMPUTED_VALUE"""),209.0)</f>
        <v>209</v>
      </c>
      <c r="B210" s="131"/>
      <c r="C210" s="131">
        <f>IFERROR(__xludf.DUMMYFUNCTION("""COMPUTED_VALUE"""),167.0)</f>
        <v>167</v>
      </c>
      <c r="D210" s="131" t="b">
        <f>IFERROR(__xludf.DUMMYFUNCTION("""COMPUTED_VALUE"""),FALSE)</f>
        <v>0</v>
      </c>
      <c r="E210" s="118" t="str">
        <f>IFERROR(__xludf.DUMMYFUNCTION("""COMPUTED_VALUE"""),"PADLAN")</f>
        <v>PADLAN</v>
      </c>
      <c r="F210" s="107" t="str">
        <f>IFERROR(__xludf.DUMMYFUNCTION("""COMPUTED_VALUE"""),"STEPHEN")</f>
        <v>STEPHEN</v>
      </c>
    </row>
    <row r="211">
      <c r="A211" s="131">
        <f>IFERROR(__xludf.DUMMYFUNCTION("""COMPUTED_VALUE"""),210.0)</f>
        <v>210</v>
      </c>
      <c r="B211" s="131"/>
      <c r="C211" s="131">
        <f>IFERROR(__xludf.DUMMYFUNCTION("""COMPUTED_VALUE"""),167.0)</f>
        <v>167</v>
      </c>
      <c r="D211" s="131" t="b">
        <f>IFERROR(__xludf.DUMMYFUNCTION("""COMPUTED_VALUE"""),FALSE)</f>
        <v>0</v>
      </c>
      <c r="E211" s="118"/>
      <c r="F211" s="107" t="str">
        <f>IFERROR(__xludf.DUMMYFUNCTION("""COMPUTED_VALUE"""),"SIMON")</f>
        <v>SIMON</v>
      </c>
    </row>
    <row r="212">
      <c r="A212" s="131">
        <f>IFERROR(__xludf.DUMMYFUNCTION("""COMPUTED_VALUE"""),211.0)</f>
        <v>211</v>
      </c>
      <c r="B212" s="131"/>
      <c r="C212" s="131">
        <f>IFERROR(__xludf.DUMMYFUNCTION("""COMPUTED_VALUE"""),167.0)</f>
        <v>167</v>
      </c>
      <c r="D212" s="131" t="b">
        <f>IFERROR(__xludf.DUMMYFUNCTION("""COMPUTED_VALUE"""),FALSE)</f>
        <v>0</v>
      </c>
      <c r="E212" s="118"/>
      <c r="F212" s="107" t="str">
        <f>IFERROR(__xludf.DUMMYFUNCTION("""COMPUTED_VALUE"""),"NICO")</f>
        <v>NICO</v>
      </c>
    </row>
    <row r="213">
      <c r="A213" s="131">
        <f>IFERROR(__xludf.DUMMYFUNCTION("""COMPUTED_VALUE"""),212.0)</f>
        <v>212</v>
      </c>
      <c r="B213" s="131"/>
      <c r="C213" s="131">
        <f>IFERROR(__xludf.DUMMYFUNCTION("""COMPUTED_VALUE"""),167.0)</f>
        <v>167</v>
      </c>
      <c r="D213" s="131" t="b">
        <f>IFERROR(__xludf.DUMMYFUNCTION("""COMPUTED_VALUE"""),FALSE)</f>
        <v>0</v>
      </c>
      <c r="E213" s="118"/>
      <c r="F213" s="107" t="str">
        <f>IFERROR(__xludf.DUMMYFUNCTION("""COMPUTED_VALUE"""),"JERVISH")</f>
        <v>JERVISH</v>
      </c>
    </row>
    <row r="214">
      <c r="A214" s="131">
        <f>IFERROR(__xludf.DUMMYFUNCTION("""COMPUTED_VALUE"""),213.0)</f>
        <v>213</v>
      </c>
      <c r="B214" s="131"/>
      <c r="C214" s="131">
        <f>IFERROR(__xludf.DUMMYFUNCTION("""COMPUTED_VALUE"""),23.0)</f>
        <v>23</v>
      </c>
      <c r="D214" s="131" t="b">
        <f>IFERROR(__xludf.DUMMYFUNCTION("""COMPUTED_VALUE"""),TRUE)</f>
        <v>1</v>
      </c>
      <c r="E214" s="105" t="str">
        <f>IFERROR(__xludf.DUMMYFUNCTION("""COMPUTED_VALUE"""),"UDAUNDO")</f>
        <v>UDAUNDO</v>
      </c>
      <c r="F214" s="105" t="str">
        <f>IFERROR(__xludf.DUMMYFUNCTION("""COMPUTED_VALUE"""),"RINOA MAE")</f>
        <v>RINOA MAE</v>
      </c>
    </row>
    <row r="215">
      <c r="A215" s="131">
        <f>IFERROR(__xludf.DUMMYFUNCTION("""COMPUTED_VALUE"""),214.0)</f>
        <v>214</v>
      </c>
      <c r="B215" s="131"/>
      <c r="C215" s="131">
        <f>IFERROR(__xludf.DUMMYFUNCTION("""COMPUTED_VALUE"""),23.0)</f>
        <v>23</v>
      </c>
      <c r="D215" s="131" t="b">
        <f>IFERROR(__xludf.DUMMYFUNCTION("""COMPUTED_VALUE"""),FALSE)</f>
        <v>0</v>
      </c>
      <c r="E215" s="107" t="str">
        <f>IFERROR(__xludf.DUMMYFUNCTION("""COMPUTED_VALUE"""),"CASERO")</f>
        <v>CASERO</v>
      </c>
      <c r="F215" s="107" t="str">
        <f>IFERROR(__xludf.DUMMYFUNCTION("""COMPUTED_VALUE"""),"AALIYAH")</f>
        <v>AALIYAH</v>
      </c>
    </row>
    <row r="216">
      <c r="A216" s="131">
        <f>IFERROR(__xludf.DUMMYFUNCTION("""COMPUTED_VALUE"""),215.0)</f>
        <v>215</v>
      </c>
      <c r="B216" s="131"/>
      <c r="C216" s="131">
        <f>IFERROR(__xludf.DUMMYFUNCTION("""COMPUTED_VALUE"""),23.0)</f>
        <v>23</v>
      </c>
      <c r="D216" s="131" t="b">
        <f>IFERROR(__xludf.DUMMYFUNCTION("""COMPUTED_VALUE"""),FALSE)</f>
        <v>0</v>
      </c>
      <c r="E216" s="107" t="str">
        <f>IFERROR(__xludf.DUMMYFUNCTION("""COMPUTED_VALUE"""),"CELASES")</f>
        <v>CELASES</v>
      </c>
      <c r="F216" s="107" t="str">
        <f>IFERROR(__xludf.DUMMYFUNCTION("""COMPUTED_VALUE"""),"SOFIA")</f>
        <v>SOFIA</v>
      </c>
    </row>
    <row r="217">
      <c r="A217" s="131">
        <f>IFERROR(__xludf.DUMMYFUNCTION("""COMPUTED_VALUE"""),216.0)</f>
        <v>216</v>
      </c>
      <c r="B217" s="131"/>
      <c r="C217" s="131">
        <f>IFERROR(__xludf.DUMMYFUNCTION("""COMPUTED_VALUE"""),23.0)</f>
        <v>23</v>
      </c>
      <c r="D217" s="131" t="b">
        <f>IFERROR(__xludf.DUMMYFUNCTION("""COMPUTED_VALUE"""),FALSE)</f>
        <v>0</v>
      </c>
      <c r="E217" s="107" t="str">
        <f>IFERROR(__xludf.DUMMYFUNCTION("""COMPUTED_VALUE"""),"LACONSAY")</f>
        <v>LACONSAY</v>
      </c>
      <c r="F217" s="107" t="str">
        <f>IFERROR(__xludf.DUMMYFUNCTION("""COMPUTED_VALUE"""),"MAIYA")</f>
        <v>MAIYA</v>
      </c>
    </row>
    <row r="218">
      <c r="A218" s="131">
        <f>IFERROR(__xludf.DUMMYFUNCTION("""COMPUTED_VALUE"""),217.0)</f>
        <v>217</v>
      </c>
      <c r="B218" s="131"/>
      <c r="C218" s="131">
        <f>IFERROR(__xludf.DUMMYFUNCTION("""COMPUTED_VALUE"""),23.0)</f>
        <v>23</v>
      </c>
      <c r="D218" s="131" t="b">
        <f>IFERROR(__xludf.DUMMYFUNCTION("""COMPUTED_VALUE"""),FALSE)</f>
        <v>0</v>
      </c>
      <c r="E218" s="107" t="str">
        <f>IFERROR(__xludf.DUMMYFUNCTION("""COMPUTED_VALUE"""),"MADLANGAWA")</f>
        <v>MADLANGAWA</v>
      </c>
      <c r="F218" s="107" t="str">
        <f>IFERROR(__xludf.DUMMYFUNCTION("""COMPUTED_VALUE"""),"INGRID")</f>
        <v>INGRID</v>
      </c>
    </row>
    <row r="219">
      <c r="A219" s="131">
        <f>IFERROR(__xludf.DUMMYFUNCTION("""COMPUTED_VALUE"""),218.0)</f>
        <v>218</v>
      </c>
      <c r="B219" s="131"/>
      <c r="C219" s="131">
        <f>IFERROR(__xludf.DUMMYFUNCTION("""COMPUTED_VALUE"""),23.0)</f>
        <v>23</v>
      </c>
      <c r="D219" s="131" t="b">
        <f>IFERROR(__xludf.DUMMYFUNCTION("""COMPUTED_VALUE"""),FALSE)</f>
        <v>0</v>
      </c>
      <c r="E219" s="107" t="str">
        <f>IFERROR(__xludf.DUMMYFUNCTION("""COMPUTED_VALUE"""),"MALAGOTNOT")</f>
        <v>MALAGOTNOT</v>
      </c>
      <c r="F219" s="107" t="str">
        <f>IFERROR(__xludf.DUMMYFUNCTION("""COMPUTED_VALUE"""),"PHOEBE")</f>
        <v>PHOEBE</v>
      </c>
    </row>
    <row r="220">
      <c r="A220" s="131">
        <f>IFERROR(__xludf.DUMMYFUNCTION("""COMPUTED_VALUE"""),219.0)</f>
        <v>219</v>
      </c>
      <c r="B220" s="131"/>
      <c r="C220" s="131">
        <f>IFERROR(__xludf.DUMMYFUNCTION("""COMPUTED_VALUE"""),23.0)</f>
        <v>23</v>
      </c>
      <c r="D220" s="131" t="b">
        <f>IFERROR(__xludf.DUMMYFUNCTION("""COMPUTED_VALUE"""),FALSE)</f>
        <v>0</v>
      </c>
      <c r="E220" s="107" t="str">
        <f>IFERROR(__xludf.DUMMYFUNCTION("""COMPUTED_VALUE"""),"MALOLOY-ON")</f>
        <v>MALOLOY-ON</v>
      </c>
      <c r="F220" s="107" t="str">
        <f>IFERROR(__xludf.DUMMYFUNCTION("""COMPUTED_VALUE"""),"EUNICE")</f>
        <v>EUNICE</v>
      </c>
    </row>
    <row r="221">
      <c r="A221" s="131">
        <f>IFERROR(__xludf.DUMMYFUNCTION("""COMPUTED_VALUE"""),220.0)</f>
        <v>220</v>
      </c>
      <c r="B221" s="131"/>
      <c r="C221" s="131">
        <f>IFERROR(__xludf.DUMMYFUNCTION("""COMPUTED_VALUE"""),23.0)</f>
        <v>23</v>
      </c>
      <c r="D221" s="131" t="b">
        <f>IFERROR(__xludf.DUMMYFUNCTION("""COMPUTED_VALUE"""),FALSE)</f>
        <v>0</v>
      </c>
      <c r="E221" s="107" t="str">
        <f>IFERROR(__xludf.DUMMYFUNCTION("""COMPUTED_VALUE"""),"OBASAN")</f>
        <v>OBASAN</v>
      </c>
      <c r="F221" s="107" t="str">
        <f>IFERROR(__xludf.DUMMYFUNCTION("""COMPUTED_VALUE"""),"AUDREY")</f>
        <v>AUDREY</v>
      </c>
    </row>
    <row r="222">
      <c r="A222" s="131">
        <f>IFERROR(__xludf.DUMMYFUNCTION("""COMPUTED_VALUE"""),221.0)</f>
        <v>221</v>
      </c>
      <c r="B222" s="131"/>
      <c r="C222" s="131">
        <f>IFERROR(__xludf.DUMMYFUNCTION("""COMPUTED_VALUE"""),23.0)</f>
        <v>23</v>
      </c>
      <c r="D222" s="131" t="b">
        <f>IFERROR(__xludf.DUMMYFUNCTION("""COMPUTED_VALUE"""),FALSE)</f>
        <v>0</v>
      </c>
      <c r="E222" s="107" t="str">
        <f>IFERROR(__xludf.DUMMYFUNCTION("""COMPUTED_VALUE"""),"OBASAN")</f>
        <v>OBASAN</v>
      </c>
      <c r="F222" s="107" t="str">
        <f>IFERROR(__xludf.DUMMYFUNCTION("""COMPUTED_VALUE"""),"ACEZZY")</f>
        <v>ACEZZY</v>
      </c>
    </row>
    <row r="223">
      <c r="A223" s="131">
        <f>IFERROR(__xludf.DUMMYFUNCTION("""COMPUTED_VALUE"""),222.0)</f>
        <v>222</v>
      </c>
      <c r="B223" s="131"/>
      <c r="C223" s="131">
        <f>IFERROR(__xludf.DUMMYFUNCTION("""COMPUTED_VALUE"""),23.0)</f>
        <v>23</v>
      </c>
      <c r="D223" s="131" t="b">
        <f>IFERROR(__xludf.DUMMYFUNCTION("""COMPUTED_VALUE"""),FALSE)</f>
        <v>0</v>
      </c>
      <c r="E223" s="107" t="str">
        <f>IFERROR(__xludf.DUMMYFUNCTION("""COMPUTED_VALUE"""),"OBASAN")</f>
        <v>OBASAN</v>
      </c>
      <c r="F223" s="107" t="str">
        <f>IFERROR(__xludf.DUMMYFUNCTION("""COMPUTED_VALUE"""),"AYESHA")</f>
        <v>AYESHA</v>
      </c>
    </row>
    <row r="224">
      <c r="A224" s="131">
        <f>IFERROR(__xludf.DUMMYFUNCTION("""COMPUTED_VALUE"""),223.0)</f>
        <v>223</v>
      </c>
      <c r="B224" s="131"/>
      <c r="C224" s="131">
        <f>IFERROR(__xludf.DUMMYFUNCTION("""COMPUTED_VALUE"""),23.0)</f>
        <v>23</v>
      </c>
      <c r="D224" s="131" t="b">
        <f>IFERROR(__xludf.DUMMYFUNCTION("""COMPUTED_VALUE"""),FALSE)</f>
        <v>0</v>
      </c>
      <c r="E224" s="107" t="str">
        <f>IFERROR(__xludf.DUMMYFUNCTION("""COMPUTED_VALUE"""),"PACSON")</f>
        <v>PACSON</v>
      </c>
      <c r="F224" s="107" t="str">
        <f>IFERROR(__xludf.DUMMYFUNCTION("""COMPUTED_VALUE"""),"KAYTE")</f>
        <v>KAYTE</v>
      </c>
    </row>
    <row r="225">
      <c r="A225" s="131">
        <f>IFERROR(__xludf.DUMMYFUNCTION("""COMPUTED_VALUE"""),224.0)</f>
        <v>224</v>
      </c>
      <c r="B225" s="131"/>
      <c r="C225" s="131">
        <f>IFERROR(__xludf.DUMMYFUNCTION("""COMPUTED_VALUE"""),23.0)</f>
        <v>23</v>
      </c>
      <c r="D225" s="131" t="b">
        <f>IFERROR(__xludf.DUMMYFUNCTION("""COMPUTED_VALUE"""),FALSE)</f>
        <v>0</v>
      </c>
      <c r="E225" s="107" t="str">
        <f>IFERROR(__xludf.DUMMYFUNCTION("""COMPUTED_VALUE"""),"PACSON")</f>
        <v>PACSON</v>
      </c>
      <c r="F225" s="107" t="str">
        <f>IFERROR(__xludf.DUMMYFUNCTION("""COMPUTED_VALUE"""),"MICAELLA")</f>
        <v>MICAELLA</v>
      </c>
    </row>
    <row r="226">
      <c r="A226" s="131">
        <f>IFERROR(__xludf.DUMMYFUNCTION("""COMPUTED_VALUE"""),225.0)</f>
        <v>225</v>
      </c>
      <c r="B226" s="131"/>
      <c r="C226" s="131">
        <f>IFERROR(__xludf.DUMMYFUNCTION("""COMPUTED_VALUE"""),23.0)</f>
        <v>23</v>
      </c>
      <c r="D226" s="131" t="b">
        <f>IFERROR(__xludf.DUMMYFUNCTION("""COMPUTED_VALUE"""),FALSE)</f>
        <v>0</v>
      </c>
      <c r="E226" s="107" t="str">
        <f>IFERROR(__xludf.DUMMYFUNCTION("""COMPUTED_VALUE"""),"RETAMAR")</f>
        <v>RETAMAR</v>
      </c>
      <c r="F226" s="107" t="str">
        <f>IFERROR(__xludf.DUMMYFUNCTION("""COMPUTED_VALUE"""),"JASMINE")</f>
        <v>JASMINE</v>
      </c>
    </row>
    <row r="227">
      <c r="A227" s="131">
        <f>IFERROR(__xludf.DUMMYFUNCTION("""COMPUTED_VALUE"""),226.0)</f>
        <v>226</v>
      </c>
      <c r="B227" s="131"/>
      <c r="C227" s="131">
        <f>IFERROR(__xludf.DUMMYFUNCTION("""COMPUTED_VALUE"""),23.0)</f>
        <v>23</v>
      </c>
      <c r="D227" s="131" t="b">
        <f>IFERROR(__xludf.DUMMYFUNCTION("""COMPUTED_VALUE"""),FALSE)</f>
        <v>0</v>
      </c>
      <c r="E227" s="107" t="str">
        <f>IFERROR(__xludf.DUMMYFUNCTION("""COMPUTED_VALUE"""),"ROGACION")</f>
        <v>ROGACION</v>
      </c>
      <c r="F227" s="107" t="str">
        <f>IFERROR(__xludf.DUMMYFUNCTION("""COMPUTED_VALUE"""),"LYKA")</f>
        <v>LYKA</v>
      </c>
    </row>
    <row r="228">
      <c r="A228" s="131">
        <f>IFERROR(__xludf.DUMMYFUNCTION("""COMPUTED_VALUE"""),227.0)</f>
        <v>227</v>
      </c>
      <c r="B228" s="131"/>
      <c r="C228" s="131">
        <f>IFERROR(__xludf.DUMMYFUNCTION("""COMPUTED_VALUE"""),23.0)</f>
        <v>23</v>
      </c>
      <c r="D228" s="131" t="b">
        <f>IFERROR(__xludf.DUMMYFUNCTION("""COMPUTED_VALUE"""),FALSE)</f>
        <v>0</v>
      </c>
      <c r="E228" s="107" t="str">
        <f>IFERROR(__xludf.DUMMYFUNCTION("""COMPUTED_VALUE"""),"TINGSON")</f>
        <v>TINGSON</v>
      </c>
      <c r="F228" s="107" t="str">
        <f>IFERROR(__xludf.DUMMYFUNCTION("""COMPUTED_VALUE"""),"JANELLE")</f>
        <v>JANELLE</v>
      </c>
    </row>
    <row r="229">
      <c r="A229" s="131">
        <f>IFERROR(__xludf.DUMMYFUNCTION("""COMPUTED_VALUE"""),228.0)</f>
        <v>228</v>
      </c>
      <c r="B229" s="131"/>
      <c r="C229" s="131">
        <f>IFERROR(__xludf.DUMMYFUNCTION("""COMPUTED_VALUE"""),23.0)</f>
        <v>23</v>
      </c>
      <c r="D229" s="131" t="b">
        <f>IFERROR(__xludf.DUMMYFUNCTION("""COMPUTED_VALUE"""),FALSE)</f>
        <v>0</v>
      </c>
      <c r="E229" s="107" t="str">
        <f>IFERROR(__xludf.DUMMYFUNCTION("""COMPUTED_VALUE"""),"TOLEDO")</f>
        <v>TOLEDO</v>
      </c>
      <c r="F229" s="107" t="str">
        <f>IFERROR(__xludf.DUMMYFUNCTION("""COMPUTED_VALUE"""),"AKIZSAH")</f>
        <v>AKIZSAH</v>
      </c>
    </row>
    <row r="230">
      <c r="A230" s="131">
        <f>IFERROR(__xludf.DUMMYFUNCTION("""COMPUTED_VALUE"""),229.0)</f>
        <v>229</v>
      </c>
      <c r="B230" s="131"/>
      <c r="C230" s="131">
        <f>IFERROR(__xludf.DUMMYFUNCTION("""COMPUTED_VALUE"""),23.0)</f>
        <v>23</v>
      </c>
      <c r="D230" s="131" t="b">
        <f>IFERROR(__xludf.DUMMYFUNCTION("""COMPUTED_VALUE"""),FALSE)</f>
        <v>0</v>
      </c>
      <c r="E230" s="107" t="str">
        <f>IFERROR(__xludf.DUMMYFUNCTION("""COMPUTED_VALUE"""),"UDAUNDO")</f>
        <v>UDAUNDO</v>
      </c>
      <c r="F230" s="107" t="str">
        <f>IFERROR(__xludf.DUMMYFUNCTION("""COMPUTED_VALUE"""),"ELLA")</f>
        <v>ELLA</v>
      </c>
    </row>
    <row r="231">
      <c r="A231" s="131">
        <f>IFERROR(__xludf.DUMMYFUNCTION("""COMPUTED_VALUE"""),230.0)</f>
        <v>230</v>
      </c>
      <c r="B231" s="131"/>
      <c r="C231" s="131">
        <f>IFERROR(__xludf.DUMMYFUNCTION("""COMPUTED_VALUE"""),1.0)</f>
        <v>1</v>
      </c>
      <c r="D231" s="131" t="b">
        <f>IFERROR(__xludf.DUMMYFUNCTION("""COMPUTED_VALUE"""),FALSE)</f>
        <v>0</v>
      </c>
      <c r="E231" s="131" t="str">
        <f>IFERROR(__xludf.DUMMYFUNCTION("""COMPUTED_VALUE"""),"ROMUALDO")</f>
        <v>ROMUALDO</v>
      </c>
      <c r="F231" s="131" t="str">
        <f>IFERROR(__xludf.DUMMYFUNCTION("""COMPUTED_VALUE"""),"AC")</f>
        <v>AC</v>
      </c>
    </row>
    <row r="232">
      <c r="A232" s="131">
        <f>IFERROR(__xludf.DUMMYFUNCTION("""COMPUTED_VALUE"""),231.0)</f>
        <v>231</v>
      </c>
      <c r="B232" s="131"/>
      <c r="C232" s="131">
        <f>IFERROR(__xludf.DUMMYFUNCTION("""COMPUTED_VALUE"""),1.0)</f>
        <v>1</v>
      </c>
      <c r="D232" s="131" t="b">
        <f>IFERROR(__xludf.DUMMYFUNCTION("""COMPUTED_VALUE"""),FALSE)</f>
        <v>0</v>
      </c>
      <c r="E232" s="131" t="str">
        <f>IFERROR(__xludf.DUMMYFUNCTION("""COMPUTED_VALUE"""),"SEBASTIAN")</f>
        <v>SEBASTIAN</v>
      </c>
      <c r="F232" s="131" t="str">
        <f>IFERROR(__xludf.DUMMYFUNCTION("""COMPUTED_VALUE"""),"NEHEMIAH")</f>
        <v>NEHEMIAH</v>
      </c>
    </row>
    <row r="233">
      <c r="A233" s="131">
        <f>IFERROR(__xludf.DUMMYFUNCTION("""COMPUTED_VALUE"""),232.0)</f>
        <v>232</v>
      </c>
      <c r="B233" s="131"/>
      <c r="C233" s="131">
        <f>IFERROR(__xludf.DUMMYFUNCTION("""COMPUTED_VALUE"""),1.0)</f>
        <v>1</v>
      </c>
      <c r="D233" s="131" t="b">
        <f>IFERROR(__xludf.DUMMYFUNCTION("""COMPUTED_VALUE"""),FALSE)</f>
        <v>0</v>
      </c>
      <c r="E233" s="131" t="str">
        <f>IFERROR(__xludf.DUMMYFUNCTION("""COMPUTED_VALUE"""),"GINONGALA")</f>
        <v>GINONGALA</v>
      </c>
      <c r="F233" s="131" t="str">
        <f>IFERROR(__xludf.DUMMYFUNCTION("""COMPUTED_VALUE"""),"HANNAH MAE")</f>
        <v>HANNAH MAE</v>
      </c>
    </row>
    <row r="234">
      <c r="A234" s="131">
        <f>IFERROR(__xludf.DUMMYFUNCTION("""COMPUTED_VALUE"""),233.0)</f>
        <v>233</v>
      </c>
      <c r="B234" s="131"/>
      <c r="C234" s="131">
        <f>IFERROR(__xludf.DUMMYFUNCTION("""COMPUTED_VALUE"""),76.0)</f>
        <v>76</v>
      </c>
      <c r="D234" s="131" t="b">
        <f>IFERROR(__xludf.DUMMYFUNCTION("""COMPUTED_VALUE"""),FALSE)</f>
        <v>0</v>
      </c>
      <c r="E234" s="131" t="str">
        <f>IFERROR(__xludf.DUMMYFUNCTION("""COMPUTED_VALUE"""),"NIONES")</f>
        <v>NIONES</v>
      </c>
      <c r="F234" s="131" t="str">
        <f>IFERROR(__xludf.DUMMYFUNCTION("""COMPUTED_VALUE"""),"LOUIS")</f>
        <v>LOUIS</v>
      </c>
    </row>
    <row r="235">
      <c r="A235" s="131">
        <f>IFERROR(__xludf.DUMMYFUNCTION("""COMPUTED_VALUE"""),234.0)</f>
        <v>234</v>
      </c>
      <c r="B235" s="131"/>
      <c r="C235" s="131">
        <f>IFERROR(__xludf.DUMMYFUNCTION("""COMPUTED_VALUE"""),76.0)</f>
        <v>76</v>
      </c>
      <c r="D235" s="131" t="b">
        <f>IFERROR(__xludf.DUMMYFUNCTION("""COMPUTED_VALUE"""),FALSE)</f>
        <v>0</v>
      </c>
      <c r="E235" s="131" t="str">
        <f>IFERROR(__xludf.DUMMYFUNCTION("""COMPUTED_VALUE"""),"ACA")</f>
        <v>ACA</v>
      </c>
      <c r="F235" s="131" t="str">
        <f>IFERROR(__xludf.DUMMYFUNCTION("""COMPUTED_VALUE"""),"ELIJAH")</f>
        <v>ELIJAH</v>
      </c>
    </row>
    <row r="236">
      <c r="A236" s="131">
        <f>IFERROR(__xludf.DUMMYFUNCTION("""COMPUTED_VALUE"""),235.0)</f>
        <v>235</v>
      </c>
      <c r="B236" s="131"/>
      <c r="C236" s="131">
        <f>IFERROR(__xludf.DUMMYFUNCTION("""COMPUTED_VALUE"""),120.0)</f>
        <v>120</v>
      </c>
      <c r="D236" s="131" t="b">
        <f>IFERROR(__xludf.DUMMYFUNCTION("""COMPUTED_VALUE"""),FALSE)</f>
        <v>0</v>
      </c>
      <c r="E236" s="131" t="str">
        <f>IFERROR(__xludf.DUMMYFUNCTION("""COMPUTED_VALUE"""),"CERBETO")</f>
        <v>CERBETO</v>
      </c>
      <c r="F236" s="131" t="str">
        <f>IFERROR(__xludf.DUMMYFUNCTION("""COMPUTED_VALUE"""),"AIVANNE")</f>
        <v>AIVANNE</v>
      </c>
    </row>
    <row r="237">
      <c r="A237" s="131">
        <f>IFERROR(__xludf.DUMMYFUNCTION("""COMPUTED_VALUE"""),236.0)</f>
        <v>236</v>
      </c>
      <c r="B237" s="131"/>
      <c r="C237" s="131">
        <f>IFERROR(__xludf.DUMMYFUNCTION("""COMPUTED_VALUE"""),120.0)</f>
        <v>120</v>
      </c>
      <c r="D237" s="131" t="b">
        <f>IFERROR(__xludf.DUMMYFUNCTION("""COMPUTED_VALUE"""),FALSE)</f>
        <v>0</v>
      </c>
      <c r="E237" s="131" t="str">
        <f>IFERROR(__xludf.DUMMYFUNCTION("""COMPUTED_VALUE"""),"PARAZO")</f>
        <v>PARAZO</v>
      </c>
      <c r="F237" s="131" t="str">
        <f>IFERROR(__xludf.DUMMYFUNCTION("""COMPUTED_VALUE"""),"CJ")</f>
        <v>CJ</v>
      </c>
    </row>
    <row r="238">
      <c r="A238" s="131">
        <f>IFERROR(__xludf.DUMMYFUNCTION("""COMPUTED_VALUE"""),237.0)</f>
        <v>237</v>
      </c>
      <c r="B238" s="131"/>
      <c r="C238" s="131">
        <f>IFERROR(__xludf.DUMMYFUNCTION("""COMPUTED_VALUE"""),120.0)</f>
        <v>120</v>
      </c>
      <c r="D238" s="131" t="b">
        <f>IFERROR(__xludf.DUMMYFUNCTION("""COMPUTED_VALUE"""),FALSE)</f>
        <v>0</v>
      </c>
      <c r="E238" s="131" t="str">
        <f>IFERROR(__xludf.DUMMYFUNCTION("""COMPUTED_VALUE"""),"AWA-AW")</f>
        <v>AWA-AW</v>
      </c>
      <c r="F238" s="131" t="str">
        <f>IFERROR(__xludf.DUMMYFUNCTION("""COMPUTED_VALUE"""),"CARL")</f>
        <v>CARL</v>
      </c>
    </row>
    <row r="239">
      <c r="A239" s="131">
        <f>IFERROR(__xludf.DUMMYFUNCTION("""COMPUTED_VALUE"""),238.0)</f>
        <v>238</v>
      </c>
      <c r="B239" s="131"/>
      <c r="C239" s="131">
        <f>IFERROR(__xludf.DUMMYFUNCTION("""COMPUTED_VALUE"""),23.0)</f>
        <v>23</v>
      </c>
      <c r="D239" s="131" t="b">
        <f>IFERROR(__xludf.DUMMYFUNCTION("""COMPUTED_VALUE"""),FALSE)</f>
        <v>0</v>
      </c>
      <c r="E239" s="131" t="str">
        <f>IFERROR(__xludf.DUMMYFUNCTION("""COMPUTED_VALUE"""),"ALAYON")</f>
        <v>ALAYON</v>
      </c>
      <c r="F239" s="131" t="str">
        <f>IFERROR(__xludf.DUMMYFUNCTION("""COMPUTED_VALUE"""),"PATRICIA")</f>
        <v>PATRICIA</v>
      </c>
    </row>
    <row r="240">
      <c r="A240" s="131">
        <f>IFERROR(__xludf.DUMMYFUNCTION("""COMPUTED_VALUE"""),239.0)</f>
        <v>239</v>
      </c>
      <c r="B240" s="131"/>
      <c r="C240" s="131">
        <f>IFERROR(__xludf.DUMMYFUNCTION("""COMPUTED_VALUE"""),23.0)</f>
        <v>23</v>
      </c>
      <c r="D240" s="131" t="b">
        <f>IFERROR(__xludf.DUMMYFUNCTION("""COMPUTED_VALUE"""),FALSE)</f>
        <v>0</v>
      </c>
      <c r="E240" s="131" t="str">
        <f>IFERROR(__xludf.DUMMYFUNCTION("""COMPUTED_VALUE"""),"UDAUNDO")</f>
        <v>UDAUNDO</v>
      </c>
      <c r="F240" s="131" t="str">
        <f>IFERROR(__xludf.DUMMYFUNCTION("""COMPUTED_VALUE"""),"MICA ELLA")</f>
        <v>MICA ELLA</v>
      </c>
    </row>
    <row r="241">
      <c r="A241" s="131">
        <f>IFERROR(__xludf.DUMMYFUNCTION("""COMPUTED_VALUE"""),240.0)</f>
        <v>240</v>
      </c>
      <c r="B241" s="131"/>
      <c r="C241" s="131">
        <f>IFERROR(__xludf.DUMMYFUNCTION("""COMPUTED_VALUE"""),23.0)</f>
        <v>23</v>
      </c>
      <c r="D241" s="131" t="b">
        <f>IFERROR(__xludf.DUMMYFUNCTION("""COMPUTED_VALUE"""),FALSE)</f>
        <v>0</v>
      </c>
      <c r="E241" s="131" t="str">
        <f>IFERROR(__xludf.DUMMYFUNCTION("""COMPUTED_VALUE"""),"CALUBIRAN")</f>
        <v>CALUBIRAN</v>
      </c>
      <c r="F241" s="131" t="str">
        <f>IFERROR(__xludf.DUMMYFUNCTION("""COMPUTED_VALUE"""),"JACKIELYN")</f>
        <v>JACKIELYN</v>
      </c>
    </row>
    <row r="242">
      <c r="A242" s="131">
        <f>IFERROR(__xludf.DUMMYFUNCTION("""COMPUTED_VALUE"""),241.0)</f>
        <v>241</v>
      </c>
      <c r="B242" s="131"/>
      <c r="C242" s="131">
        <f>IFERROR(__xludf.DUMMYFUNCTION("""COMPUTED_VALUE"""),23.0)</f>
        <v>23</v>
      </c>
      <c r="D242" s="131" t="b">
        <f>IFERROR(__xludf.DUMMYFUNCTION("""COMPUTED_VALUE"""),FALSE)</f>
        <v>0</v>
      </c>
      <c r="E242" s="131" t="str">
        <f>IFERROR(__xludf.DUMMYFUNCTION("""COMPUTED_VALUE"""),"MATAMIS")</f>
        <v>MATAMIS</v>
      </c>
      <c r="F242" s="131" t="str">
        <f>IFERROR(__xludf.DUMMYFUNCTION("""COMPUTED_VALUE"""),"JEAH G.")</f>
        <v>JEAH G.</v>
      </c>
    </row>
    <row r="243">
      <c r="A243" s="131">
        <f>IFERROR(__xludf.DUMMYFUNCTION("""COMPUTED_VALUE"""),242.0)</f>
        <v>242</v>
      </c>
      <c r="B243" s="131"/>
      <c r="C243" s="131">
        <f>IFERROR(__xludf.DUMMYFUNCTION("""COMPUTED_VALUE"""),23.0)</f>
        <v>23</v>
      </c>
      <c r="D243" s="131" t="b">
        <f>IFERROR(__xludf.DUMMYFUNCTION("""COMPUTED_VALUE"""),FALSE)</f>
        <v>0</v>
      </c>
      <c r="E243" s="131" t="str">
        <f>IFERROR(__xludf.DUMMYFUNCTION("""COMPUTED_VALUE"""),"MATAMIS")</f>
        <v>MATAMIS</v>
      </c>
      <c r="F243" s="131" t="str">
        <f>IFERROR(__xludf.DUMMYFUNCTION("""COMPUTED_VALUE"""),"JANELA")</f>
        <v>JANELA</v>
      </c>
    </row>
    <row r="244">
      <c r="A244" s="131">
        <f>IFERROR(__xludf.DUMMYFUNCTION("""COMPUTED_VALUE"""),243.0)</f>
        <v>243</v>
      </c>
      <c r="B244" s="131"/>
      <c r="C244" s="131">
        <f>IFERROR(__xludf.DUMMYFUNCTION("""COMPUTED_VALUE"""),23.0)</f>
        <v>23</v>
      </c>
      <c r="D244" s="131" t="b">
        <f>IFERROR(__xludf.DUMMYFUNCTION("""COMPUTED_VALUE"""),FALSE)</f>
        <v>0</v>
      </c>
      <c r="E244" s="131" t="str">
        <f>IFERROR(__xludf.DUMMYFUNCTION("""COMPUTED_VALUE"""),"GALANG")</f>
        <v>GALANG</v>
      </c>
      <c r="F244" s="131" t="str">
        <f>IFERROR(__xludf.DUMMYFUNCTION("""COMPUTED_VALUE"""),"MAGGA")</f>
        <v>MAGGA</v>
      </c>
    </row>
    <row r="245">
      <c r="A245" s="131">
        <f>IFERROR(__xludf.DUMMYFUNCTION("""COMPUTED_VALUE"""),244.0)</f>
        <v>244</v>
      </c>
      <c r="B245" s="131"/>
      <c r="C245" s="131">
        <f>IFERROR(__xludf.DUMMYFUNCTION("""COMPUTED_VALUE"""),244.0)</f>
        <v>244</v>
      </c>
      <c r="D245" s="131" t="b">
        <f>IFERROR(__xludf.DUMMYFUNCTION("""COMPUTED_VALUE"""),TRUE)</f>
        <v>1</v>
      </c>
      <c r="E245" s="131" t="str">
        <f>IFERROR(__xludf.DUMMYFUNCTION("""COMPUTED_VALUE"""),"ORQUIA")</f>
        <v>ORQUIA</v>
      </c>
      <c r="F245" s="131" t="str">
        <f>IFERROR(__xludf.DUMMYFUNCTION("""COMPUTED_VALUE"""),"HANNA ")</f>
        <v>HANNA </v>
      </c>
    </row>
    <row r="246">
      <c r="A246" s="131">
        <f>IFERROR(__xludf.DUMMYFUNCTION("""COMPUTED_VALUE"""),245.0)</f>
        <v>245</v>
      </c>
      <c r="B246" s="131"/>
      <c r="C246" s="131">
        <f>IFERROR(__xludf.DUMMYFUNCTION("""COMPUTED_VALUE"""),244.0)</f>
        <v>244</v>
      </c>
      <c r="D246" s="131" t="b">
        <f>IFERROR(__xludf.DUMMYFUNCTION("""COMPUTED_VALUE"""),FALSE)</f>
        <v>0</v>
      </c>
      <c r="E246" s="131" t="str">
        <f>IFERROR(__xludf.DUMMYFUNCTION("""COMPUTED_VALUE"""),"DEL ROSARIO")</f>
        <v>DEL ROSARIO</v>
      </c>
      <c r="F246" s="131" t="str">
        <f>IFERROR(__xludf.DUMMYFUNCTION("""COMPUTED_VALUE"""),"GRACE")</f>
        <v>GRACE</v>
      </c>
    </row>
    <row r="247">
      <c r="A247" s="131">
        <f>IFERROR(__xludf.DUMMYFUNCTION("""COMPUTED_VALUE"""),246.0)</f>
        <v>246</v>
      </c>
      <c r="B247" s="131"/>
      <c r="C247" s="131">
        <f>IFERROR(__xludf.DUMMYFUNCTION("""COMPUTED_VALUE"""),244.0)</f>
        <v>244</v>
      </c>
      <c r="D247" s="131" t="b">
        <f>IFERROR(__xludf.DUMMYFUNCTION("""COMPUTED_VALUE"""),FALSE)</f>
        <v>0</v>
      </c>
      <c r="E247" s="131" t="str">
        <f>IFERROR(__xludf.DUMMYFUNCTION("""COMPUTED_VALUE"""),"CODILLA")</f>
        <v>CODILLA</v>
      </c>
      <c r="F247" s="131" t="str">
        <f>IFERROR(__xludf.DUMMYFUNCTION("""COMPUTED_VALUE"""),"JANNA")</f>
        <v>JANNA</v>
      </c>
    </row>
    <row r="248">
      <c r="A248" s="131">
        <f>IFERROR(__xludf.DUMMYFUNCTION("""COMPUTED_VALUE"""),247.0)</f>
        <v>247</v>
      </c>
      <c r="B248" s="131"/>
      <c r="C248" s="131">
        <f>IFERROR(__xludf.DUMMYFUNCTION("""COMPUTED_VALUE"""),244.0)</f>
        <v>244</v>
      </c>
      <c r="D248" s="131" t="b">
        <f>IFERROR(__xludf.DUMMYFUNCTION("""COMPUTED_VALUE"""),FALSE)</f>
        <v>0</v>
      </c>
      <c r="E248" s="131" t="str">
        <f>IFERROR(__xludf.DUMMYFUNCTION("""COMPUTED_VALUE"""),"WALATH")</f>
        <v>WALATH</v>
      </c>
      <c r="F248" s="131" t="str">
        <f>IFERROR(__xludf.DUMMYFUNCTION("""COMPUTED_VALUE"""),"AILEEN")</f>
        <v>AILEEN</v>
      </c>
    </row>
    <row r="249">
      <c r="A249" s="131">
        <f>IFERROR(__xludf.DUMMYFUNCTION("""COMPUTED_VALUE"""),248.0)</f>
        <v>248</v>
      </c>
      <c r="B249" s="131"/>
      <c r="C249" s="131">
        <f>IFERROR(__xludf.DUMMYFUNCTION("""COMPUTED_VALUE"""),244.0)</f>
        <v>244</v>
      </c>
      <c r="D249" s="131" t="b">
        <f>IFERROR(__xludf.DUMMYFUNCTION("""COMPUTED_VALUE"""),FALSE)</f>
        <v>0</v>
      </c>
      <c r="E249" s="131" t="str">
        <f>IFERROR(__xludf.DUMMYFUNCTION("""COMPUTED_VALUE"""),"FULLON")</f>
        <v>FULLON</v>
      </c>
      <c r="F249" s="131" t="str">
        <f>IFERROR(__xludf.DUMMYFUNCTION("""COMPUTED_VALUE"""),"SARAH")</f>
        <v>SARAH</v>
      </c>
    </row>
    <row r="250">
      <c r="A250" s="131">
        <f>IFERROR(__xludf.DUMMYFUNCTION("""COMPUTED_VALUE"""),249.0)</f>
        <v>249</v>
      </c>
      <c r="B250" s="131"/>
      <c r="C250" s="131">
        <f>IFERROR(__xludf.DUMMYFUNCTION("""COMPUTED_VALUE"""),244.0)</f>
        <v>244</v>
      </c>
      <c r="D250" s="131" t="b">
        <f>IFERROR(__xludf.DUMMYFUNCTION("""COMPUTED_VALUE"""),FALSE)</f>
        <v>0</v>
      </c>
      <c r="E250" s="131" t="str">
        <f>IFERROR(__xludf.DUMMYFUNCTION("""COMPUTED_VALUE"""),"MONTERDE")</f>
        <v>MONTERDE</v>
      </c>
      <c r="F250" s="131" t="str">
        <f>IFERROR(__xludf.DUMMYFUNCTION("""COMPUTED_VALUE"""),"BELLE")</f>
        <v>BELLE</v>
      </c>
    </row>
    <row r="251">
      <c r="A251" s="131">
        <f>IFERROR(__xludf.DUMMYFUNCTION("""COMPUTED_VALUE"""),250.0)</f>
        <v>250</v>
      </c>
      <c r="B251" s="131"/>
      <c r="C251" s="131">
        <f>IFERROR(__xludf.DUMMYFUNCTION("""COMPUTED_VALUE"""),167.0)</f>
        <v>167</v>
      </c>
      <c r="D251" s="131"/>
      <c r="E251" s="131" t="str">
        <f>IFERROR(__xludf.DUMMYFUNCTION("""COMPUTED_VALUE"""),"RAUSO")</f>
        <v>RAUSO</v>
      </c>
      <c r="F251" s="131" t="str">
        <f>IFERROR(__xludf.DUMMYFUNCTION("""COMPUTED_VALUE"""),"STEVE")</f>
        <v>STEVE</v>
      </c>
    </row>
    <row r="252">
      <c r="A252" s="131">
        <f>IFERROR(__xludf.DUMMYFUNCTION("""COMPUTED_VALUE"""),251.0)</f>
        <v>251</v>
      </c>
      <c r="B252" s="131"/>
      <c r="C252" s="131">
        <f>IFERROR(__xludf.DUMMYFUNCTION("""COMPUTED_VALUE"""),167.0)</f>
        <v>167</v>
      </c>
      <c r="D252" s="131" t="b">
        <f>IFERROR(__xludf.DUMMYFUNCTION("""COMPUTED_VALUE"""),FALSE)</f>
        <v>0</v>
      </c>
      <c r="E252" s="131" t="str">
        <f>IFERROR(__xludf.DUMMYFUNCTION("""COMPUTED_VALUE"""),"LIBRES")</f>
        <v>LIBRES</v>
      </c>
      <c r="F252" s="131" t="str">
        <f>IFERROR(__xludf.DUMMYFUNCTION("""COMPUTED_VALUE"""),"GABRIEL")</f>
        <v>GABRIEL</v>
      </c>
    </row>
    <row r="253">
      <c r="A253" s="131">
        <f>IFERROR(__xludf.DUMMYFUNCTION("""COMPUTED_VALUE"""),252.0)</f>
        <v>252</v>
      </c>
      <c r="B253" s="131"/>
      <c r="C253" s="131">
        <f>IFERROR(__xludf.DUMMYFUNCTION("""COMPUTED_VALUE"""),167.0)</f>
        <v>167</v>
      </c>
      <c r="D253" s="131" t="b">
        <f>IFERROR(__xludf.DUMMYFUNCTION("""COMPUTED_VALUE"""),FALSE)</f>
        <v>0</v>
      </c>
      <c r="E253" s="131" t="str">
        <f>IFERROR(__xludf.DUMMYFUNCTION("""COMPUTED_VALUE"""),"PARONGAN")</f>
        <v>PARONGAN</v>
      </c>
      <c r="F253" s="131" t="str">
        <f>IFERROR(__xludf.DUMMYFUNCTION("""COMPUTED_VALUE"""),"KIAN")</f>
        <v>KIAN</v>
      </c>
    </row>
    <row r="254">
      <c r="A254" s="131">
        <f>IFERROR(__xludf.DUMMYFUNCTION("""COMPUTED_VALUE"""),253.0)</f>
        <v>253</v>
      </c>
      <c r="B254" s="131"/>
      <c r="C254" s="131">
        <f>IFERROR(__xludf.DUMMYFUNCTION("""COMPUTED_VALUE"""),167.0)</f>
        <v>167</v>
      </c>
      <c r="D254" s="131" t="b">
        <f>IFERROR(__xludf.DUMMYFUNCTION("""COMPUTED_VALUE"""),FALSE)</f>
        <v>0</v>
      </c>
      <c r="E254" s="131" t="str">
        <f>IFERROR(__xludf.DUMMYFUNCTION("""COMPUTED_VALUE"""),"RACCA")</f>
        <v>RACCA</v>
      </c>
      <c r="F254" s="131" t="str">
        <f>IFERROR(__xludf.DUMMYFUNCTION("""COMPUTED_VALUE"""),"GRANT EL")</f>
        <v>GRANT EL</v>
      </c>
    </row>
    <row r="255">
      <c r="A255" s="131">
        <f>IFERROR(__xludf.DUMMYFUNCTION("""COMPUTED_VALUE"""),254.0)</f>
        <v>254</v>
      </c>
      <c r="B255" s="131"/>
      <c r="C255" s="131">
        <f>IFERROR(__xludf.DUMMYFUNCTION("""COMPUTED_VALUE"""),23.0)</f>
        <v>23</v>
      </c>
      <c r="D255" s="131" t="b">
        <f>IFERROR(__xludf.DUMMYFUNCTION("""COMPUTED_VALUE"""),FALSE)</f>
        <v>0</v>
      </c>
      <c r="E255" s="131" t="str">
        <f>IFERROR(__xludf.DUMMYFUNCTION("""COMPUTED_VALUE"""),"MATAMIS")</f>
        <v>MATAMIS</v>
      </c>
      <c r="F255" s="131" t="str">
        <f>IFERROR(__xludf.DUMMYFUNCTION("""COMPUTED_VALUE"""),"SEYVEL")</f>
        <v>SEYVEL</v>
      </c>
    </row>
    <row r="256">
      <c r="A256" s="131">
        <f>IFERROR(__xludf.DUMMYFUNCTION("""COMPUTED_VALUE"""),257.0)</f>
        <v>257</v>
      </c>
      <c r="B256" s="131"/>
      <c r="C256" s="131">
        <f>IFERROR(__xludf.DUMMYFUNCTION("""COMPUTED_VALUE"""),23.0)</f>
        <v>23</v>
      </c>
      <c r="D256" s="131" t="b">
        <f>IFERROR(__xludf.DUMMYFUNCTION("""COMPUTED_VALUE"""),FALSE)</f>
        <v>0</v>
      </c>
      <c r="E256" s="131" t="str">
        <f>IFERROR(__xludf.DUMMYFUNCTION("""COMPUTED_VALUE"""),"PARCAREY")</f>
        <v>PARCAREY</v>
      </c>
      <c r="F256" s="131" t="str">
        <f>IFERROR(__xludf.DUMMYFUNCTION("""COMPUTED_VALUE"""),"MARZETTI")</f>
        <v>MARZETTI</v>
      </c>
    </row>
    <row r="257">
      <c r="A257" s="131">
        <f>IFERROR(__xludf.DUMMYFUNCTION("""COMPUTED_VALUE"""),256.0)</f>
        <v>256</v>
      </c>
      <c r="B257" s="131"/>
      <c r="C257" s="131">
        <f>IFERROR(__xludf.DUMMYFUNCTION("""COMPUTED_VALUE"""),23.0)</f>
        <v>23</v>
      </c>
      <c r="D257" s="131" t="b">
        <f>IFERROR(__xludf.DUMMYFUNCTION("""COMPUTED_VALUE"""),FALSE)</f>
        <v>0</v>
      </c>
      <c r="E257" s="131" t="str">
        <f>IFERROR(__xludf.DUMMYFUNCTION("""COMPUTED_VALUE"""),"AGSALUD")</f>
        <v>AGSALUD</v>
      </c>
      <c r="F257" s="131" t="str">
        <f>IFERROR(__xludf.DUMMYFUNCTION("""COMPUTED_VALUE"""),"ROSE MARIE")</f>
        <v>ROSE MARIE</v>
      </c>
    </row>
    <row r="258">
      <c r="A258" s="131">
        <f>IFERROR(__xludf.DUMMYFUNCTION("""COMPUTED_VALUE"""),259.0)</f>
        <v>259</v>
      </c>
      <c r="B258" s="131"/>
      <c r="C258" s="131">
        <f>IFERROR(__xludf.DUMMYFUNCTION("""COMPUTED_VALUE"""),167.0)</f>
        <v>167</v>
      </c>
      <c r="D258" s="131"/>
      <c r="E258" s="131" t="str">
        <f>IFERROR(__xludf.DUMMYFUNCTION("""COMPUTED_VALUE"""),"Gelicame")</f>
        <v>Gelicame</v>
      </c>
      <c r="F258" s="131" t="str">
        <f>IFERROR(__xludf.DUMMYFUNCTION("""COMPUTED_VALUE"""),"Aljun")</f>
        <v>Aljun</v>
      </c>
    </row>
    <row r="259">
      <c r="A259" s="131">
        <f>IFERROR(__xludf.DUMMYFUNCTION("""COMPUTED_VALUE"""),260.0)</f>
        <v>260</v>
      </c>
      <c r="B259" s="131"/>
      <c r="C259" s="131">
        <f>IFERROR(__xludf.DUMMYFUNCTION("""COMPUTED_VALUE"""),167.0)</f>
        <v>167</v>
      </c>
      <c r="D259" s="131"/>
      <c r="E259" s="131" t="str">
        <f>IFERROR(__xludf.DUMMYFUNCTION("""COMPUTED_VALUE"""),"Valera")</f>
        <v>Valera</v>
      </c>
      <c r="F259" s="131" t="str">
        <f>IFERROR(__xludf.DUMMYFUNCTION("""COMPUTED_VALUE"""),"Edward Luis")</f>
        <v>Edward Luis</v>
      </c>
    </row>
    <row r="260">
      <c r="A260" s="131">
        <f>IFERROR(__xludf.DUMMYFUNCTION("""COMPUTED_VALUE"""),261.0)</f>
        <v>261</v>
      </c>
      <c r="B260" s="131"/>
      <c r="C260" s="131">
        <f>IFERROR(__xludf.DUMMYFUNCTION("""COMPUTED_VALUE"""),23.0)</f>
        <v>23</v>
      </c>
      <c r="D260" s="131"/>
      <c r="E260" s="131" t="str">
        <f>IFERROR(__xludf.DUMMYFUNCTION("""COMPUTED_VALUE"""),"CERBETO")</f>
        <v>CERBETO</v>
      </c>
      <c r="F260" s="131" t="str">
        <f>IFERROR(__xludf.DUMMYFUNCTION("""COMPUTED_VALUE"""),"AIFHA")</f>
        <v>AIFHA</v>
      </c>
    </row>
    <row r="261">
      <c r="A261" s="131">
        <f>IFERROR(__xludf.DUMMYFUNCTION("""COMPUTED_VALUE"""),262.0)</f>
        <v>262</v>
      </c>
      <c r="B261" s="131"/>
      <c r="C261" s="131">
        <f>IFERROR(__xludf.DUMMYFUNCTION("""COMPUTED_VALUE"""),23.0)</f>
        <v>23</v>
      </c>
      <c r="D261" s="131"/>
      <c r="E261" s="131" t="str">
        <f>IFERROR(__xludf.DUMMYFUNCTION("""COMPUTED_VALUE"""),"PARCAREY")</f>
        <v>PARCAREY</v>
      </c>
      <c r="F261" s="131" t="str">
        <f>IFERROR(__xludf.DUMMYFUNCTION("""COMPUTED_VALUE"""),"MARZETTI")</f>
        <v>MARZETTI</v>
      </c>
    </row>
    <row r="262">
      <c r="A262" s="131">
        <f>IFERROR(__xludf.DUMMYFUNCTION("""COMPUTED_VALUE"""),263.0)</f>
        <v>263</v>
      </c>
      <c r="B262" s="131"/>
      <c r="C262" s="131">
        <f>IFERROR(__xludf.DUMMYFUNCTION("""COMPUTED_VALUE"""),1.0)</f>
        <v>1</v>
      </c>
      <c r="D262" s="131"/>
      <c r="E262" s="131" t="str">
        <f>IFERROR(__xludf.DUMMYFUNCTION("""COMPUTED_VALUE"""),"MABAO")</f>
        <v>MABAO</v>
      </c>
      <c r="F262" s="131" t="str">
        <f>IFERROR(__xludf.DUMMYFUNCTION("""COMPUTED_VALUE"""),"ROSELYN")</f>
        <v>ROSELYN</v>
      </c>
    </row>
    <row r="263">
      <c r="A263" s="131">
        <f>IFERROR(__xludf.DUMMYFUNCTION("""COMPUTED_VALUE"""),264.0)</f>
        <v>264</v>
      </c>
      <c r="B263" s="131"/>
      <c r="C263" s="131">
        <f>IFERROR(__xludf.DUMMYFUNCTION("""COMPUTED_VALUE"""),167.0)</f>
        <v>167</v>
      </c>
      <c r="D263" s="131"/>
      <c r="E263" s="131" t="str">
        <f>IFERROR(__xludf.DUMMYFUNCTION("""COMPUTED_VALUE"""),"VALERA")</f>
        <v>VALERA</v>
      </c>
      <c r="F263" s="131" t="str">
        <f>IFERROR(__xludf.DUMMYFUNCTION("""COMPUTED_VALUE"""),"ELY")</f>
        <v>ELY</v>
      </c>
    </row>
    <row r="264">
      <c r="A264" s="131">
        <f>IFERROR(__xludf.DUMMYFUNCTION("""COMPUTED_VALUE"""),265.0)</f>
        <v>265</v>
      </c>
      <c r="B264" s="131"/>
      <c r="C264" s="131">
        <f>IFERROR(__xludf.DUMMYFUNCTION("""COMPUTED_VALUE"""),167.0)</f>
        <v>167</v>
      </c>
      <c r="D264" s="131"/>
      <c r="E264" s="131" t="str">
        <f>IFERROR(__xludf.DUMMYFUNCTION("""COMPUTED_VALUE"""),"RAUSO")</f>
        <v>RAUSO</v>
      </c>
      <c r="F264" s="131" t="str">
        <f>IFERROR(__xludf.DUMMYFUNCTION("""COMPUTED_VALUE"""),"GABRIEL")</f>
        <v>GABRIEL</v>
      </c>
    </row>
    <row r="265">
      <c r="A265" s="131"/>
      <c r="B265" s="131"/>
      <c r="C265" s="131"/>
      <c r="D265" s="131"/>
      <c r="E265" s="131"/>
      <c r="F265" s="131"/>
    </row>
    <row r="266">
      <c r="A266" s="131">
        <f>IFERROR(__xludf.DUMMYFUNCTION("""COMPUTED_VALUE"""),1230.0)</f>
        <v>1230</v>
      </c>
      <c r="B266" s="131"/>
      <c r="C266" s="131">
        <f>IFERROR(__xludf.DUMMYFUNCTION("""COMPUTED_VALUE"""),1230.0)</f>
        <v>1230</v>
      </c>
      <c r="D266" s="131" t="b">
        <f>IFERROR(__xludf.DUMMYFUNCTION("""COMPUTED_VALUE"""),TRUE)</f>
        <v>1</v>
      </c>
      <c r="E266" s="131" t="str">
        <f>IFERROR(__xludf.DUMMYFUNCTION("""COMPUTED_VALUE"""),"CALUALHATIAN")</f>
        <v>CALUALHATIAN</v>
      </c>
      <c r="F266" s="131" t="str">
        <f>IFERROR(__xludf.DUMMYFUNCTION("""COMPUTED_VALUE"""),"DANTE")</f>
        <v>DANTE</v>
      </c>
    </row>
    <row r="267">
      <c r="A267" s="131">
        <f>IFERROR(__xludf.DUMMYFUNCTION("""COMPUTED_VALUE"""),1231.0)</f>
        <v>1231</v>
      </c>
      <c r="B267" s="131"/>
      <c r="C267" s="131">
        <f>IFERROR(__xludf.DUMMYFUNCTION("""COMPUTED_VALUE"""),1230.0)</f>
        <v>1230</v>
      </c>
      <c r="D267" s="131"/>
      <c r="E267" s="131" t="str">
        <f>IFERROR(__xludf.DUMMYFUNCTION("""COMPUTED_VALUE"""),"A.")</f>
        <v>A.</v>
      </c>
      <c r="F267" s="131" t="str">
        <f>IFERROR(__xludf.DUMMYFUNCTION("""COMPUTED_VALUE"""),"BONG")</f>
        <v>BONG</v>
      </c>
    </row>
    <row r="268">
      <c r="A268" s="131">
        <f>IFERROR(__xludf.DUMMYFUNCTION("""COMPUTED_VALUE"""),1232.0)</f>
        <v>1232</v>
      </c>
      <c r="B268" s="131"/>
      <c r="C268" s="131">
        <f>IFERROR(__xludf.DUMMYFUNCTION("""COMPUTED_VALUE"""),1230.0)</f>
        <v>1230</v>
      </c>
      <c r="D268" s="131"/>
      <c r="E268" s="131" t="str">
        <f>IFERROR(__xludf.DUMMYFUNCTION("""COMPUTED_VALUE"""),"SALAC")</f>
        <v>SALAC</v>
      </c>
      <c r="F268" s="131" t="str">
        <f>IFERROR(__xludf.DUMMYFUNCTION("""COMPUTED_VALUE"""),"ROMEO")</f>
        <v>ROMEO</v>
      </c>
    </row>
    <row r="269">
      <c r="A269" s="131">
        <f>IFERROR(__xludf.DUMMYFUNCTION("""COMPUTED_VALUE"""),1233.0)</f>
        <v>1233</v>
      </c>
      <c r="B269" s="131"/>
      <c r="C269" s="131">
        <f>IFERROR(__xludf.DUMMYFUNCTION("""COMPUTED_VALUE"""),1230.0)</f>
        <v>1230</v>
      </c>
      <c r="D269" s="131"/>
      <c r="E269" s="131" t="str">
        <f>IFERROR(__xludf.DUMMYFUNCTION("""COMPUTED_VALUE"""),"GREGORIO")</f>
        <v>GREGORIO</v>
      </c>
      <c r="F269" s="131" t="str">
        <f>IFERROR(__xludf.DUMMYFUNCTION("""COMPUTED_VALUE"""),"MARLOU")</f>
        <v>MARLOU</v>
      </c>
    </row>
    <row r="270">
      <c r="A270" s="131">
        <f>IFERROR(__xludf.DUMMYFUNCTION("""COMPUTED_VALUE"""),1234.0)</f>
        <v>1234</v>
      </c>
      <c r="B270" s="131"/>
      <c r="C270" s="131">
        <f>IFERROR(__xludf.DUMMYFUNCTION("""COMPUTED_VALUE"""),1230.0)</f>
        <v>1230</v>
      </c>
      <c r="D270" s="131"/>
      <c r="E270" s="131" t="str">
        <f>IFERROR(__xludf.DUMMYFUNCTION("""COMPUTED_VALUE"""),"SOMERA")</f>
        <v>SOMERA</v>
      </c>
      <c r="F270" s="131" t="str">
        <f>IFERROR(__xludf.DUMMYFUNCTION("""COMPUTED_VALUE"""),"JAY")</f>
        <v>JAY</v>
      </c>
    </row>
    <row r="271">
      <c r="A271" s="131">
        <f>IFERROR(__xludf.DUMMYFUNCTION("""COMPUTED_VALUE"""),1235.0)</f>
        <v>1235</v>
      </c>
      <c r="B271" s="131"/>
      <c r="C271" s="131">
        <f>IFERROR(__xludf.DUMMYFUNCTION("""COMPUTED_VALUE"""),1230.0)</f>
        <v>1230</v>
      </c>
      <c r="D271" s="131"/>
      <c r="E271" s="131" t="str">
        <f>IFERROR(__xludf.DUMMYFUNCTION("""COMPUTED_VALUE"""),"MALIWAT")</f>
        <v>MALIWAT</v>
      </c>
      <c r="F271" s="131" t="str">
        <f>IFERROR(__xludf.DUMMYFUNCTION("""COMPUTED_VALUE"""),"LEO")</f>
        <v>LEO</v>
      </c>
    </row>
    <row r="272">
      <c r="A272" s="131"/>
      <c r="B272" s="131"/>
      <c r="C272" s="131"/>
      <c r="D272" s="131"/>
      <c r="E272" s="131"/>
      <c r="F272" s="131"/>
    </row>
    <row r="273">
      <c r="A273" s="131">
        <f>IFERROR(__xludf.DUMMYFUNCTION("""COMPUTED_VALUE"""),1236.0)</f>
        <v>1236</v>
      </c>
      <c r="B273" s="131"/>
      <c r="C273" s="131">
        <f>IFERROR(__xludf.DUMMYFUNCTION("""COMPUTED_VALUE"""),1236.0)</f>
        <v>1236</v>
      </c>
      <c r="D273" s="131" t="b">
        <f>IFERROR(__xludf.DUMMYFUNCTION("""COMPUTED_VALUE"""),TRUE)</f>
        <v>1</v>
      </c>
      <c r="E273" s="131" t="str">
        <f>IFERROR(__xludf.DUMMYFUNCTION("""COMPUTED_VALUE"""),"RETAMAR")</f>
        <v>RETAMAR</v>
      </c>
      <c r="F273" s="131" t="str">
        <f>IFERROR(__xludf.DUMMYFUNCTION("""COMPUTED_VALUE"""),"ELENA")</f>
        <v>ELENA</v>
      </c>
    </row>
    <row r="274">
      <c r="A274" s="131">
        <f>IFERROR(__xludf.DUMMYFUNCTION("""COMPUTED_VALUE"""),1237.0)</f>
        <v>1237</v>
      </c>
      <c r="B274" s="131"/>
      <c r="C274" s="131">
        <f>IFERROR(__xludf.DUMMYFUNCTION("""COMPUTED_VALUE"""),1236.0)</f>
        <v>1236</v>
      </c>
      <c r="D274" s="131"/>
      <c r="E274" s="131" t="str">
        <f>IFERROR(__xludf.DUMMYFUNCTION("""COMPUTED_VALUE"""),"VILLA")</f>
        <v>VILLA</v>
      </c>
      <c r="F274" s="131" t="str">
        <f>IFERROR(__xludf.DUMMYFUNCTION("""COMPUTED_VALUE"""),"WENG NIONES")</f>
        <v>WENG NIONES</v>
      </c>
    </row>
    <row r="275">
      <c r="A275" s="131">
        <f>IFERROR(__xludf.DUMMYFUNCTION("""COMPUTED_VALUE"""),1238.0)</f>
        <v>1238</v>
      </c>
      <c r="B275" s="131"/>
      <c r="C275" s="131">
        <f>IFERROR(__xludf.DUMMYFUNCTION("""COMPUTED_VALUE"""),1236.0)</f>
        <v>1236</v>
      </c>
      <c r="D275" s="131"/>
      <c r="E275" s="131" t="str">
        <f>IFERROR(__xludf.DUMMYFUNCTION("""COMPUTED_VALUE"""),"V")</f>
        <v>V</v>
      </c>
      <c r="F275" s="131" t="str">
        <f>IFERROR(__xludf.DUMMYFUNCTION("""COMPUTED_VALUE"""),"ROSE")</f>
        <v>ROSE</v>
      </c>
    </row>
    <row r="276">
      <c r="A276" s="131">
        <f>IFERROR(__xludf.DUMMYFUNCTION("""COMPUTED_VALUE"""),1239.0)</f>
        <v>1239</v>
      </c>
      <c r="B276" s="131"/>
      <c r="C276" s="131">
        <f>IFERROR(__xludf.DUMMYFUNCTION("""COMPUTED_VALUE"""),1236.0)</f>
        <v>1236</v>
      </c>
      <c r="D276" s="131"/>
      <c r="E276" s="131" t="str">
        <f>IFERROR(__xludf.DUMMYFUNCTION("""COMPUTED_VALUE"""),"DATO")</f>
        <v>DATO</v>
      </c>
      <c r="F276" s="131" t="str">
        <f>IFERROR(__xludf.DUMMYFUNCTION("""COMPUTED_VALUE"""),"EVELYN")</f>
        <v>EVELYN</v>
      </c>
    </row>
    <row r="277">
      <c r="A277" s="131">
        <f>IFERROR(__xludf.DUMMYFUNCTION("""COMPUTED_VALUE"""),1240.0)</f>
        <v>1240</v>
      </c>
      <c r="B277" s="131"/>
      <c r="C277" s="131">
        <f>IFERROR(__xludf.DUMMYFUNCTION("""COMPUTED_VALUE"""),1236.0)</f>
        <v>1236</v>
      </c>
      <c r="D277" s="131"/>
      <c r="E277" s="131"/>
      <c r="F277" s="131" t="str">
        <f>IFERROR(__xludf.DUMMYFUNCTION("""COMPUTED_VALUE"""),"ELIZABETH")</f>
        <v>ELIZABETH</v>
      </c>
    </row>
    <row r="278">
      <c r="A278" s="131">
        <f>IFERROR(__xludf.DUMMYFUNCTION("""COMPUTED_VALUE"""),1241.0)</f>
        <v>1241</v>
      </c>
      <c r="B278" s="131"/>
      <c r="C278" s="131">
        <f>IFERROR(__xludf.DUMMYFUNCTION("""COMPUTED_VALUE"""),1236.0)</f>
        <v>1236</v>
      </c>
      <c r="D278" s="131"/>
      <c r="E278" s="131"/>
      <c r="F278" s="131" t="str">
        <f>IFERROR(__xludf.DUMMYFUNCTION("""COMPUTED_VALUE"""),"WINNIE")</f>
        <v>WINNIE</v>
      </c>
    </row>
    <row r="279">
      <c r="A279" s="131">
        <f>IFERROR(__xludf.DUMMYFUNCTION("""COMPUTED_VALUE"""),1242.0)</f>
        <v>1242</v>
      </c>
      <c r="B279" s="131"/>
      <c r="C279" s="131">
        <f>IFERROR(__xludf.DUMMYFUNCTION("""COMPUTED_VALUE"""),1236.0)</f>
        <v>1236</v>
      </c>
      <c r="D279" s="131"/>
      <c r="E279" s="131"/>
      <c r="F279" s="131" t="str">
        <f>IFERROR(__xludf.DUMMYFUNCTION("""COMPUTED_VALUE"""),"MALOU")</f>
        <v>MALOU</v>
      </c>
    </row>
    <row r="280">
      <c r="A280" s="131">
        <f>IFERROR(__xludf.DUMMYFUNCTION("""COMPUTED_VALUE"""),1243.0)</f>
        <v>1243</v>
      </c>
      <c r="B280" s="131"/>
      <c r="C280" s="131">
        <f>IFERROR(__xludf.DUMMYFUNCTION("""COMPUTED_VALUE"""),1236.0)</f>
        <v>1236</v>
      </c>
      <c r="D280" s="131"/>
      <c r="E280" s="131" t="str">
        <f>IFERROR(__xludf.DUMMYFUNCTION("""COMPUTED_VALUE"""),"TOLEDO")</f>
        <v>TOLEDO</v>
      </c>
      <c r="F280" s="131" t="str">
        <f>IFERROR(__xludf.DUMMYFUNCTION("""COMPUTED_VALUE"""),"MAYE")</f>
        <v>MAYE</v>
      </c>
    </row>
    <row r="281">
      <c r="A281" s="131">
        <f>IFERROR(__xludf.DUMMYFUNCTION("""COMPUTED_VALUE"""),1244.0)</f>
        <v>1244</v>
      </c>
      <c r="B281" s="131"/>
      <c r="C281" s="131">
        <f>IFERROR(__xludf.DUMMYFUNCTION("""COMPUTED_VALUE"""),1236.0)</f>
        <v>1236</v>
      </c>
      <c r="D281" s="131"/>
      <c r="E281" s="131" t="str">
        <f>IFERROR(__xludf.DUMMYFUNCTION("""COMPUTED_VALUE"""),"LIM")</f>
        <v>LIM</v>
      </c>
      <c r="F281" s="131" t="str">
        <f>IFERROR(__xludf.DUMMYFUNCTION("""COMPUTED_VALUE"""),"GRACE")</f>
        <v>GRACE</v>
      </c>
    </row>
    <row r="282">
      <c r="A282" s="131">
        <f>IFERROR(__xludf.DUMMYFUNCTION("""COMPUTED_VALUE"""),1245.0)</f>
        <v>1245</v>
      </c>
      <c r="B282" s="131"/>
      <c r="C282" s="131">
        <f>IFERROR(__xludf.DUMMYFUNCTION("""COMPUTED_VALUE"""),1236.0)</f>
        <v>1236</v>
      </c>
      <c r="D282" s="131"/>
      <c r="E282" s="131" t="str">
        <f>IFERROR(__xludf.DUMMYFUNCTION("""COMPUTED_VALUE"""),"CALUALHATIAN")</f>
        <v>CALUALHATIAN</v>
      </c>
      <c r="F282" s="131" t="str">
        <f>IFERROR(__xludf.DUMMYFUNCTION("""COMPUTED_VALUE"""),"ADELAIDA")</f>
        <v>ADELAIDA</v>
      </c>
    </row>
    <row r="283">
      <c r="A283" s="131">
        <f>IFERROR(__xludf.DUMMYFUNCTION("""COMPUTED_VALUE"""),1246.0)</f>
        <v>1246</v>
      </c>
      <c r="B283" s="131"/>
      <c r="C283" s="131">
        <f>IFERROR(__xludf.DUMMYFUNCTION("""COMPUTED_VALUE"""),1236.0)</f>
        <v>1236</v>
      </c>
      <c r="D283" s="131"/>
      <c r="E283" s="131" t="str">
        <f>IFERROR(__xludf.DUMMYFUNCTION("""COMPUTED_VALUE"""),"CALUALHATIAN")</f>
        <v>CALUALHATIAN</v>
      </c>
      <c r="F283" s="131" t="str">
        <f>IFERROR(__xludf.DUMMYFUNCTION("""COMPUTED_VALUE"""),"DAHNA")</f>
        <v>DAHNA</v>
      </c>
    </row>
    <row r="284">
      <c r="A284" s="131">
        <f>IFERROR(__xludf.DUMMYFUNCTION("""COMPUTED_VALUE"""),1247.0)</f>
        <v>1247</v>
      </c>
      <c r="B284" s="131"/>
      <c r="C284" s="131">
        <f>IFERROR(__xludf.DUMMYFUNCTION("""COMPUTED_VALUE"""),1236.0)</f>
        <v>1236</v>
      </c>
      <c r="D284" s="131"/>
      <c r="E284" s="131" t="str">
        <f>IFERROR(__xludf.DUMMYFUNCTION("""COMPUTED_VALUE"""),"SEXON")</f>
        <v>SEXON</v>
      </c>
      <c r="F284" s="131" t="str">
        <f>IFERROR(__xludf.DUMMYFUNCTION("""COMPUTED_VALUE"""),"MARILYN")</f>
        <v>MARILYN</v>
      </c>
    </row>
    <row r="285">
      <c r="A285" s="131">
        <f>IFERROR(__xludf.DUMMYFUNCTION("""COMPUTED_VALUE"""),1248.0)</f>
        <v>1248</v>
      </c>
      <c r="B285" s="131"/>
      <c r="C285" s="131">
        <f>IFERROR(__xludf.DUMMYFUNCTION("""COMPUTED_VALUE"""),1236.0)</f>
        <v>1236</v>
      </c>
      <c r="D285" s="131"/>
      <c r="E285" s="131" t="str">
        <f>IFERROR(__xludf.DUMMYFUNCTION("""COMPUTED_VALUE"""),"CALUALHATIAN")</f>
        <v>CALUALHATIAN</v>
      </c>
      <c r="F285" s="131" t="str">
        <f>IFERROR(__xludf.DUMMYFUNCTION("""COMPUTED_VALUE"""),"DANIKKA")</f>
        <v>DANIKKA</v>
      </c>
    </row>
    <row r="286">
      <c r="A286" s="131">
        <f>IFERROR(__xludf.DUMMYFUNCTION("""COMPUTED_VALUE"""),1249.0)</f>
        <v>1249</v>
      </c>
      <c r="B286" s="131"/>
      <c r="C286" s="131">
        <f>IFERROR(__xludf.DUMMYFUNCTION("""COMPUTED_VALUE"""),1236.0)</f>
        <v>1236</v>
      </c>
      <c r="D286" s="131"/>
      <c r="E286" s="131" t="str">
        <f>IFERROR(__xludf.DUMMYFUNCTION("""COMPUTED_VALUE"""),"CODILLA")</f>
        <v>CODILLA</v>
      </c>
      <c r="F286" s="131" t="str">
        <f>IFERROR(__xludf.DUMMYFUNCTION("""COMPUTED_VALUE"""),"CORY")</f>
        <v>CORY</v>
      </c>
    </row>
    <row r="287">
      <c r="A287" s="131">
        <f>IFERROR(__xludf.DUMMYFUNCTION("""COMPUTED_VALUE"""),1250.0)</f>
        <v>1250</v>
      </c>
      <c r="B287" s="131"/>
      <c r="C287" s="131">
        <f>IFERROR(__xludf.DUMMYFUNCTION("""COMPUTED_VALUE"""),1236.0)</f>
        <v>1236</v>
      </c>
      <c r="D287" s="131"/>
      <c r="E287" s="131" t="str">
        <f>IFERROR(__xludf.DUMMYFUNCTION("""COMPUTED_VALUE"""),"LANGITAN")</f>
        <v>LANGITAN</v>
      </c>
      <c r="F287" s="131" t="str">
        <f>IFERROR(__xludf.DUMMYFUNCTION("""COMPUTED_VALUE"""),"SARAH")</f>
        <v>SARAH</v>
      </c>
    </row>
    <row r="288">
      <c r="A288" s="131">
        <f>IFERROR(__xludf.DUMMYFUNCTION("""COMPUTED_VALUE"""),1251.0)</f>
        <v>1251</v>
      </c>
      <c r="B288" s="131"/>
      <c r="C288" s="131">
        <f>IFERROR(__xludf.DUMMYFUNCTION("""COMPUTED_VALUE"""),1236.0)</f>
        <v>1236</v>
      </c>
      <c r="D288" s="131"/>
      <c r="E288" s="131" t="str">
        <f>IFERROR(__xludf.DUMMYFUNCTION("""COMPUTED_VALUE"""),"LACONSAY")</f>
        <v>LACONSAY</v>
      </c>
      <c r="F288" s="131" t="str">
        <f>IFERROR(__xludf.DUMMYFUNCTION("""COMPUTED_VALUE"""),"MA. LOURDES")</f>
        <v>MA. LOURDES</v>
      </c>
    </row>
    <row r="289">
      <c r="A289" s="131">
        <f>IFERROR(__xludf.DUMMYFUNCTION("""COMPUTED_VALUE"""),1252.0)</f>
        <v>1252</v>
      </c>
      <c r="B289" s="131"/>
      <c r="C289" s="131">
        <f>IFERROR(__xludf.DUMMYFUNCTION("""COMPUTED_VALUE"""),1236.0)</f>
        <v>1236</v>
      </c>
      <c r="D289" s="131"/>
      <c r="E289" s="131" t="str">
        <f>IFERROR(__xludf.DUMMYFUNCTION("""COMPUTED_VALUE"""),"LACONSAY")</f>
        <v>LACONSAY</v>
      </c>
      <c r="F289" s="131" t="str">
        <f>IFERROR(__xludf.DUMMYFUNCTION("""COMPUTED_VALUE"""),"MA. ELENA")</f>
        <v>MA. ELENA</v>
      </c>
    </row>
    <row r="290">
      <c r="A290" s="131">
        <f>IFERROR(__xludf.DUMMYFUNCTION("""COMPUTED_VALUE"""),1253.0)</f>
        <v>1253</v>
      </c>
      <c r="B290" s="131"/>
      <c r="C290" s="131">
        <f>IFERROR(__xludf.DUMMYFUNCTION("""COMPUTED_VALUE"""),1236.0)</f>
        <v>1236</v>
      </c>
      <c r="D290" s="131"/>
      <c r="E290" s="131" t="str">
        <f>IFERROR(__xludf.DUMMYFUNCTION("""COMPUTED_VALUE"""),"MENOSO")</f>
        <v>MENOSO</v>
      </c>
      <c r="F290" s="131" t="str">
        <f>IFERROR(__xludf.DUMMYFUNCTION("""COMPUTED_VALUE"""),"DANICA")</f>
        <v>DANICA</v>
      </c>
    </row>
    <row r="291">
      <c r="A291" s="131">
        <f>IFERROR(__xludf.DUMMYFUNCTION("""COMPUTED_VALUE"""),1254.0)</f>
        <v>1254</v>
      </c>
      <c r="B291" s="131"/>
      <c r="C291" s="131">
        <f>IFERROR(__xludf.DUMMYFUNCTION("""COMPUTED_VALUE"""),1236.0)</f>
        <v>1236</v>
      </c>
      <c r="D291" s="131"/>
      <c r="E291" s="131"/>
      <c r="F291" s="131" t="str">
        <f>IFERROR(__xludf.DUMMYFUNCTION("""COMPUTED_VALUE"""),"AGNES")</f>
        <v>AGNES</v>
      </c>
    </row>
    <row r="292">
      <c r="A292" s="131"/>
      <c r="B292" s="131"/>
      <c r="C292" s="131"/>
      <c r="D292" s="131"/>
      <c r="E292" s="131"/>
      <c r="F292" s="131"/>
    </row>
    <row r="293">
      <c r="A293" s="131">
        <f>IFERROR(__xludf.DUMMYFUNCTION("""COMPUTED_VALUE"""),1255.0)</f>
        <v>1255</v>
      </c>
      <c r="B293" s="131"/>
      <c r="C293" s="131">
        <f>IFERROR(__xludf.DUMMYFUNCTION("""COMPUTED_VALUE"""),1255.0)</f>
        <v>1255</v>
      </c>
      <c r="D293" s="131" t="b">
        <f>IFERROR(__xludf.DUMMYFUNCTION("""COMPUTED_VALUE"""),TRUE)</f>
        <v>1</v>
      </c>
      <c r="E293" s="131" t="str">
        <f>IFERROR(__xludf.DUMMYFUNCTION("""COMPUTED_VALUE"""),"VERTODAZO")</f>
        <v>VERTODAZO</v>
      </c>
      <c r="F293" s="131" t="str">
        <f>IFERROR(__xludf.DUMMYFUNCTION("""COMPUTED_VALUE"""),"MONETH")</f>
        <v>MONETH</v>
      </c>
    </row>
    <row r="294">
      <c r="A294" s="131">
        <f>IFERROR(__xludf.DUMMYFUNCTION("""COMPUTED_VALUE"""),1256.0)</f>
        <v>1256</v>
      </c>
      <c r="B294" s="131"/>
      <c r="C294" s="131">
        <f>IFERROR(__xludf.DUMMYFUNCTION("""COMPUTED_VALUE"""),1255.0)</f>
        <v>1255</v>
      </c>
      <c r="D294" s="131"/>
      <c r="E294" s="131" t="str">
        <f>IFERROR(__xludf.DUMMYFUNCTION("""COMPUTED_VALUE"""),"SOMERA")</f>
        <v>SOMERA</v>
      </c>
      <c r="F294" s="131" t="str">
        <f>IFERROR(__xludf.DUMMYFUNCTION("""COMPUTED_VALUE"""),"CHA")</f>
        <v>CHA</v>
      </c>
    </row>
    <row r="295">
      <c r="A295" s="131">
        <f>IFERROR(__xludf.DUMMYFUNCTION("""COMPUTED_VALUE"""),1257.0)</f>
        <v>1257</v>
      </c>
      <c r="B295" s="131"/>
      <c r="C295" s="131">
        <f>IFERROR(__xludf.DUMMYFUNCTION("""COMPUTED_VALUE"""),1255.0)</f>
        <v>1255</v>
      </c>
      <c r="D295" s="131"/>
      <c r="E295" s="131" t="str">
        <f>IFERROR(__xludf.DUMMYFUNCTION("""COMPUTED_VALUE"""),"MAGDUAY")</f>
        <v>MAGDUAY</v>
      </c>
      <c r="F295" s="131" t="str">
        <f>IFERROR(__xludf.DUMMYFUNCTION("""COMPUTED_VALUE"""),"HEIDEE")</f>
        <v>HEIDEE</v>
      </c>
    </row>
    <row r="296">
      <c r="A296" s="131">
        <f>IFERROR(__xludf.DUMMYFUNCTION("""COMPUTED_VALUE"""),1258.0)</f>
        <v>1258</v>
      </c>
      <c r="B296" s="131"/>
      <c r="C296" s="131">
        <f>IFERROR(__xludf.DUMMYFUNCTION("""COMPUTED_VALUE"""),1255.0)</f>
        <v>1255</v>
      </c>
      <c r="D296" s="131"/>
      <c r="E296" s="131" t="str">
        <f>IFERROR(__xludf.DUMMYFUNCTION("""COMPUTED_VALUE"""),"TANDUL")</f>
        <v>TANDUL</v>
      </c>
      <c r="F296" s="131" t="str">
        <f>IFERROR(__xludf.DUMMYFUNCTION("""COMPUTED_VALUE"""),"RAQUEL")</f>
        <v>RAQUEL</v>
      </c>
    </row>
    <row r="297">
      <c r="A297" s="131">
        <f>IFERROR(__xludf.DUMMYFUNCTION("""COMPUTED_VALUE"""),1259.0)</f>
        <v>1259</v>
      </c>
      <c r="B297" s="131"/>
      <c r="C297" s="131">
        <f>IFERROR(__xludf.DUMMYFUNCTION("""COMPUTED_VALUE"""),1255.0)</f>
        <v>1255</v>
      </c>
      <c r="D297" s="131"/>
      <c r="E297" s="131" t="str">
        <f>IFERROR(__xludf.DUMMYFUNCTION("""COMPUTED_VALUE"""),"ARTICULO")</f>
        <v>ARTICULO</v>
      </c>
      <c r="F297" s="131" t="str">
        <f>IFERROR(__xludf.DUMMYFUNCTION("""COMPUTED_VALUE"""),"LEILA M.")</f>
        <v>LEILA M.</v>
      </c>
    </row>
    <row r="298">
      <c r="A298" s="131">
        <f>IFERROR(__xludf.DUMMYFUNCTION("""COMPUTED_VALUE"""),1260.0)</f>
        <v>1260</v>
      </c>
      <c r="B298" s="131"/>
      <c r="C298" s="131">
        <f>IFERROR(__xludf.DUMMYFUNCTION("""COMPUTED_VALUE"""),1255.0)</f>
        <v>1255</v>
      </c>
      <c r="D298" s="131"/>
      <c r="E298" s="131" t="str">
        <f>IFERROR(__xludf.DUMMYFUNCTION("""COMPUTED_VALUE"""),"BALDONADO")</f>
        <v>BALDONADO</v>
      </c>
      <c r="F298" s="131" t="str">
        <f>IFERROR(__xludf.DUMMYFUNCTION("""COMPUTED_VALUE"""),"JULIETA")</f>
        <v>JULIETA</v>
      </c>
    </row>
    <row r="299">
      <c r="A299" s="131">
        <f>IFERROR(__xludf.DUMMYFUNCTION("""COMPUTED_VALUE"""),1261.0)</f>
        <v>1261</v>
      </c>
      <c r="B299" s="131"/>
      <c r="C299" s="131">
        <f>IFERROR(__xludf.DUMMYFUNCTION("""COMPUTED_VALUE"""),1255.0)</f>
        <v>1255</v>
      </c>
      <c r="D299" s="131"/>
      <c r="E299" s="131" t="str">
        <f>IFERROR(__xludf.DUMMYFUNCTION("""COMPUTED_VALUE"""),"CARLOS")</f>
        <v>CARLOS</v>
      </c>
      <c r="F299" s="131" t="str">
        <f>IFERROR(__xludf.DUMMYFUNCTION("""COMPUTED_VALUE"""),"ANTONETTE M.")</f>
        <v>ANTONETTE M.</v>
      </c>
    </row>
    <row r="300">
      <c r="A300" s="131">
        <f>IFERROR(__xludf.DUMMYFUNCTION("""COMPUTED_VALUE"""),1262.0)</f>
        <v>1262</v>
      </c>
      <c r="B300" s="131"/>
      <c r="C300" s="131">
        <f>IFERROR(__xludf.DUMMYFUNCTION("""COMPUTED_VALUE"""),1255.0)</f>
        <v>1255</v>
      </c>
      <c r="D300" s="131"/>
      <c r="E300" s="131" t="str">
        <f>IFERROR(__xludf.DUMMYFUNCTION("""COMPUTED_VALUE"""),"INCARNATION")</f>
        <v>INCARNATION</v>
      </c>
      <c r="F300" s="131" t="str">
        <f>IFERROR(__xludf.DUMMYFUNCTION("""COMPUTED_VALUE"""),"LUCILA")</f>
        <v>LUCILA</v>
      </c>
    </row>
    <row r="301">
      <c r="A301" s="131">
        <f>IFERROR(__xludf.DUMMYFUNCTION("""COMPUTED_VALUE"""),1263.0)</f>
        <v>1263</v>
      </c>
      <c r="B301" s="131"/>
      <c r="C301" s="131">
        <f>IFERROR(__xludf.DUMMYFUNCTION("""COMPUTED_VALUE"""),1255.0)</f>
        <v>1255</v>
      </c>
      <c r="D301" s="131"/>
      <c r="E301" s="131" t="str">
        <f>IFERROR(__xludf.DUMMYFUNCTION("""COMPUTED_VALUE"""),"MAGAT")</f>
        <v>MAGAT</v>
      </c>
      <c r="F301" s="131" t="str">
        <f>IFERROR(__xludf.DUMMYFUNCTION("""COMPUTED_VALUE"""),"SYLVIA")</f>
        <v>SYLVIA</v>
      </c>
    </row>
    <row r="302">
      <c r="A302" s="131">
        <f>IFERROR(__xludf.DUMMYFUNCTION("""COMPUTED_VALUE"""),1264.0)</f>
        <v>1264</v>
      </c>
      <c r="B302" s="131"/>
      <c r="C302" s="131">
        <f>IFERROR(__xludf.DUMMYFUNCTION("""COMPUTED_VALUE"""),1255.0)</f>
        <v>1255</v>
      </c>
      <c r="D302" s="131"/>
      <c r="E302" s="131" t="str">
        <f>IFERROR(__xludf.DUMMYFUNCTION("""COMPUTED_VALUE"""),"MAGAT")</f>
        <v>MAGAT</v>
      </c>
      <c r="F302" s="131" t="str">
        <f>IFERROR(__xludf.DUMMYFUNCTION("""COMPUTED_VALUE"""),"JOSEPHINA")</f>
        <v>JOSEPHINA</v>
      </c>
    </row>
    <row r="303">
      <c r="A303" s="131">
        <f>IFERROR(__xludf.DUMMYFUNCTION("""COMPUTED_VALUE"""),1265.0)</f>
        <v>1265</v>
      </c>
      <c r="B303" s="131"/>
      <c r="C303" s="131">
        <f>IFERROR(__xludf.DUMMYFUNCTION("""COMPUTED_VALUE"""),1255.0)</f>
        <v>1255</v>
      </c>
      <c r="D303" s="131"/>
      <c r="E303" s="131" t="str">
        <f>IFERROR(__xludf.DUMMYFUNCTION("""COMPUTED_VALUE"""),"VILLARTA")</f>
        <v>VILLARTA</v>
      </c>
      <c r="F303" s="131" t="str">
        <f>IFERROR(__xludf.DUMMYFUNCTION("""COMPUTED_VALUE"""),"JESSICA")</f>
        <v>JESSICA</v>
      </c>
    </row>
    <row r="304">
      <c r="A304" s="131">
        <f>IFERROR(__xludf.DUMMYFUNCTION("""COMPUTED_VALUE"""),1266.0)</f>
        <v>1266</v>
      </c>
      <c r="B304" s="131"/>
      <c r="C304" s="131">
        <f>IFERROR(__xludf.DUMMYFUNCTION("""COMPUTED_VALUE"""),1255.0)</f>
        <v>1255</v>
      </c>
      <c r="D304" s="131"/>
      <c r="E304" s="131" t="str">
        <f>IFERROR(__xludf.DUMMYFUNCTION("""COMPUTED_VALUE"""),"MORAL")</f>
        <v>MORAL</v>
      </c>
      <c r="F304" s="131" t="str">
        <f>IFERROR(__xludf.DUMMYFUNCTION("""COMPUTED_VALUE"""),"LUCHELLE")</f>
        <v>LUCHELLE</v>
      </c>
    </row>
    <row r="305">
      <c r="A305" s="131">
        <f>IFERROR(__xludf.DUMMYFUNCTION("""COMPUTED_VALUE"""),1267.0)</f>
        <v>1267</v>
      </c>
      <c r="B305" s="131"/>
      <c r="C305" s="131">
        <f>IFERROR(__xludf.DUMMYFUNCTION("""COMPUTED_VALUE"""),1255.0)</f>
        <v>1255</v>
      </c>
      <c r="D305" s="131"/>
      <c r="E305" s="131" t="str">
        <f>IFERROR(__xludf.DUMMYFUNCTION("""COMPUTED_VALUE"""),"BRUSOLA")</f>
        <v>BRUSOLA</v>
      </c>
      <c r="F305" s="131" t="str">
        <f>IFERROR(__xludf.DUMMYFUNCTION("""COMPUTED_VALUE"""),"MERLY")</f>
        <v>MERLY</v>
      </c>
    </row>
    <row r="306">
      <c r="A306" s="131">
        <f>IFERROR(__xludf.DUMMYFUNCTION("""COMPUTED_VALUE"""),1268.0)</f>
        <v>1268</v>
      </c>
      <c r="B306" s="131"/>
      <c r="C306" s="131">
        <f>IFERROR(__xludf.DUMMYFUNCTION("""COMPUTED_VALUE"""),1255.0)</f>
        <v>1255</v>
      </c>
      <c r="D306" s="131"/>
      <c r="E306" s="131" t="str">
        <f>IFERROR(__xludf.DUMMYFUNCTION("""COMPUTED_VALUE"""),"TARINAY")</f>
        <v>TARINAY</v>
      </c>
      <c r="F306" s="131" t="str">
        <f>IFERROR(__xludf.DUMMYFUNCTION("""COMPUTED_VALUE"""),"MARILYN")</f>
        <v>MARILYN</v>
      </c>
    </row>
    <row r="307">
      <c r="A307" s="131">
        <f>IFERROR(__xludf.DUMMYFUNCTION("""COMPUTED_VALUE"""),1269.0)</f>
        <v>1269</v>
      </c>
      <c r="B307" s="131"/>
      <c r="C307" s="131">
        <f>IFERROR(__xludf.DUMMYFUNCTION("""COMPUTED_VALUE"""),1255.0)</f>
        <v>1255</v>
      </c>
      <c r="D307" s="131"/>
      <c r="E307" s="131" t="str">
        <f>IFERROR(__xludf.DUMMYFUNCTION("""COMPUTED_VALUE"""),"VARGAS")</f>
        <v>VARGAS</v>
      </c>
      <c r="F307" s="131" t="str">
        <f>IFERROR(__xludf.DUMMYFUNCTION("""COMPUTED_VALUE"""),"VILMA")</f>
        <v>VILMA</v>
      </c>
    </row>
    <row r="308">
      <c r="A308" s="131">
        <f>IFERROR(__xludf.DUMMYFUNCTION("""COMPUTED_VALUE"""),1270.0)</f>
        <v>1270</v>
      </c>
      <c r="B308" s="131"/>
      <c r="C308" s="131">
        <f>IFERROR(__xludf.DUMMYFUNCTION("""COMPUTED_VALUE"""),1255.0)</f>
        <v>1255</v>
      </c>
      <c r="D308" s="131"/>
      <c r="E308" s="131" t="str">
        <f>IFERROR(__xludf.DUMMYFUNCTION("""COMPUTED_VALUE"""),"GAPAS")</f>
        <v>GAPAS</v>
      </c>
      <c r="F308" s="131" t="str">
        <f>IFERROR(__xludf.DUMMYFUNCTION("""COMPUTED_VALUE"""),"EDITH")</f>
        <v>EDITH</v>
      </c>
    </row>
    <row r="309">
      <c r="A309" s="131">
        <f>IFERROR(__xludf.DUMMYFUNCTION("""COMPUTED_VALUE"""),1271.0)</f>
        <v>1271</v>
      </c>
      <c r="B309" s="131"/>
      <c r="C309" s="131">
        <f>IFERROR(__xludf.DUMMYFUNCTION("""COMPUTED_VALUE"""),1255.0)</f>
        <v>1255</v>
      </c>
      <c r="D309" s="131"/>
      <c r="E309" s="131" t="str">
        <f>IFERROR(__xludf.DUMMYFUNCTION("""COMPUTED_VALUE"""),"PACHECO")</f>
        <v>PACHECO</v>
      </c>
      <c r="F309" s="131" t="str">
        <f>IFERROR(__xludf.DUMMYFUNCTION("""COMPUTED_VALUE"""),"CAROLINE")</f>
        <v>CAROLINE</v>
      </c>
    </row>
    <row r="310">
      <c r="A310" s="131">
        <f>IFERROR(__xludf.DUMMYFUNCTION("""COMPUTED_VALUE"""),1272.0)</f>
        <v>1272</v>
      </c>
      <c r="B310" s="131"/>
      <c r="C310" s="131">
        <f>IFERROR(__xludf.DUMMYFUNCTION("""COMPUTED_VALUE"""),1255.0)</f>
        <v>1255</v>
      </c>
      <c r="D310" s="131"/>
      <c r="E310" s="131" t="str">
        <f>IFERROR(__xludf.DUMMYFUNCTION("""COMPUTED_VALUE"""),"BACOSA")</f>
        <v>BACOSA</v>
      </c>
      <c r="F310" s="131" t="str">
        <f>IFERROR(__xludf.DUMMYFUNCTION("""COMPUTED_VALUE"""),"MAIDA")</f>
        <v>MAIDA</v>
      </c>
    </row>
    <row r="311">
      <c r="A311" s="131">
        <f>IFERROR(__xludf.DUMMYFUNCTION("""COMPUTED_VALUE"""),1273.0)</f>
        <v>1273</v>
      </c>
      <c r="B311" s="131"/>
      <c r="C311" s="131">
        <f>IFERROR(__xludf.DUMMYFUNCTION("""COMPUTED_VALUE"""),1255.0)</f>
        <v>1255</v>
      </c>
      <c r="D311" s="131"/>
      <c r="E311" s="131" t="str">
        <f>IFERROR(__xludf.DUMMYFUNCTION("""COMPUTED_VALUE"""),"LIM")</f>
        <v>LIM</v>
      </c>
      <c r="F311" s="131" t="str">
        <f>IFERROR(__xludf.DUMMYFUNCTION("""COMPUTED_VALUE"""),"LANIE")</f>
        <v>LANIE</v>
      </c>
    </row>
    <row r="312">
      <c r="A312" s="131">
        <f>IFERROR(__xludf.DUMMYFUNCTION("""COMPUTED_VALUE"""),1274.0)</f>
        <v>1274</v>
      </c>
      <c r="B312" s="131"/>
      <c r="C312" s="131">
        <f>IFERROR(__xludf.DUMMYFUNCTION("""COMPUTED_VALUE"""),1255.0)</f>
        <v>1255</v>
      </c>
      <c r="D312" s="131"/>
      <c r="E312" s="131" t="str">
        <f>IFERROR(__xludf.DUMMYFUNCTION("""COMPUTED_VALUE"""),"DELA VEGA")</f>
        <v>DELA VEGA</v>
      </c>
      <c r="F312" s="131" t="str">
        <f>IFERROR(__xludf.DUMMYFUNCTION("""COMPUTED_VALUE"""),"MAVIC")</f>
        <v>MAVIC</v>
      </c>
    </row>
    <row r="313">
      <c r="A313" s="131">
        <f>IFERROR(__xludf.DUMMYFUNCTION("""COMPUTED_VALUE"""),1275.0)</f>
        <v>1275</v>
      </c>
      <c r="B313" s="131"/>
      <c r="C313" s="131">
        <f>IFERROR(__xludf.DUMMYFUNCTION("""COMPUTED_VALUE"""),1255.0)</f>
        <v>1255</v>
      </c>
      <c r="D313" s="131"/>
      <c r="E313" s="131"/>
      <c r="F313" s="131" t="str">
        <f>IFERROR(__xludf.DUMMYFUNCTION("""COMPUTED_VALUE"""),"MILA M.")</f>
        <v>MILA M.</v>
      </c>
    </row>
    <row r="314">
      <c r="A314" s="131">
        <f>IFERROR(__xludf.DUMMYFUNCTION("""COMPUTED_VALUE"""),1276.0)</f>
        <v>1276</v>
      </c>
      <c r="B314" s="131"/>
      <c r="C314" s="131">
        <f>IFERROR(__xludf.DUMMYFUNCTION("""COMPUTED_VALUE"""),1230.0)</f>
        <v>1230</v>
      </c>
      <c r="D314" s="131"/>
      <c r="E314" s="131" t="str">
        <f>IFERROR(__xludf.DUMMYFUNCTION("""COMPUTED_VALUE"""),"TANDUL")</f>
        <v>TANDUL</v>
      </c>
      <c r="F314" s="131" t="str">
        <f>IFERROR(__xludf.DUMMYFUNCTION("""COMPUTED_VALUE"""),"ED")</f>
        <v>ED</v>
      </c>
    </row>
    <row r="315">
      <c r="A315" s="131">
        <f>IFERROR(__xludf.DUMMYFUNCTION("""COMPUTED_VALUE"""),1277.0)</f>
        <v>1277</v>
      </c>
      <c r="B315" s="131"/>
      <c r="C315" s="131">
        <f>IFERROR(__xludf.DUMMYFUNCTION("""COMPUTED_VALUE"""),1230.0)</f>
        <v>1230</v>
      </c>
      <c r="D315" s="131"/>
      <c r="E315" s="131" t="str">
        <f>IFERROR(__xludf.DUMMYFUNCTION("""COMPUTED_VALUE"""),"VILLA")</f>
        <v>VILLA</v>
      </c>
      <c r="F315" s="131" t="str">
        <f>IFERROR(__xludf.DUMMYFUNCTION("""COMPUTED_VALUE"""),"EDWARD")</f>
        <v>EDWARD</v>
      </c>
    </row>
    <row r="316">
      <c r="A316" s="131">
        <f>IFERROR(__xludf.DUMMYFUNCTION("""COMPUTED_VALUE"""),1278.0)</f>
        <v>1278</v>
      </c>
      <c r="B316" s="131"/>
      <c r="C316" s="131">
        <f>IFERROR(__xludf.DUMMYFUNCTION("""COMPUTED_VALUE"""),1230.0)</f>
        <v>1230</v>
      </c>
      <c r="D316" s="131"/>
      <c r="E316" s="131" t="str">
        <f>IFERROR(__xludf.DUMMYFUNCTION("""COMPUTED_VALUE"""),"RETAMAR")</f>
        <v>RETAMAR</v>
      </c>
      <c r="F316" s="131" t="str">
        <f>IFERROR(__xludf.DUMMYFUNCTION("""COMPUTED_VALUE"""),"GLEN")</f>
        <v>GLEN</v>
      </c>
    </row>
    <row r="317">
      <c r="A317" s="131">
        <f>IFERROR(__xludf.DUMMYFUNCTION("""COMPUTED_VALUE"""),1279.0)</f>
        <v>1279</v>
      </c>
      <c r="B317" s="131"/>
      <c r="C317" s="131">
        <f>IFERROR(__xludf.DUMMYFUNCTION("""COMPUTED_VALUE"""),1230.0)</f>
        <v>1230</v>
      </c>
      <c r="D317" s="131"/>
      <c r="E317" s="131" t="str">
        <f>IFERROR(__xludf.DUMMYFUNCTION("""COMPUTED_VALUE"""),"PASAYLON")</f>
        <v>PASAYLON</v>
      </c>
      <c r="F317" s="131" t="str">
        <f>IFERROR(__xludf.DUMMYFUNCTION("""COMPUTED_VALUE"""),"RAYMOND")</f>
        <v>RAYMOND</v>
      </c>
    </row>
    <row r="318">
      <c r="A318" s="131">
        <f>IFERROR(__xludf.DUMMYFUNCTION("""COMPUTED_VALUE"""),1280.0)</f>
        <v>1280</v>
      </c>
      <c r="B318" s="131"/>
      <c r="C318" s="131">
        <f>IFERROR(__xludf.DUMMYFUNCTION("""COMPUTED_VALUE"""),1230.0)</f>
        <v>1230</v>
      </c>
      <c r="D318" s="131"/>
      <c r="E318" s="131" t="str">
        <f>IFERROR(__xludf.DUMMYFUNCTION("""COMPUTED_VALUE"""),"CODILLA")</f>
        <v>CODILLA</v>
      </c>
      <c r="F318" s="131" t="str">
        <f>IFERROR(__xludf.DUMMYFUNCTION("""COMPUTED_VALUE"""),"JONNEL")</f>
        <v>JONNEL</v>
      </c>
    </row>
    <row r="319">
      <c r="A319" s="131">
        <f>IFERROR(__xludf.DUMMYFUNCTION("""COMPUTED_VALUE"""),1281.0)</f>
        <v>1281</v>
      </c>
      <c r="B319" s="131"/>
      <c r="C319" s="131">
        <f>IFERROR(__xludf.DUMMYFUNCTION("""COMPUTED_VALUE"""),1230.0)</f>
        <v>1230</v>
      </c>
      <c r="D319" s="131"/>
      <c r="E319" s="131" t="str">
        <f>IFERROR(__xludf.DUMMYFUNCTION("""COMPUTED_VALUE"""),"AZUL")</f>
        <v>AZUL</v>
      </c>
      <c r="F319" s="131" t="str">
        <f>IFERROR(__xludf.DUMMYFUNCTION("""COMPUTED_VALUE"""),"BENIE")</f>
        <v>BENIE</v>
      </c>
    </row>
    <row r="320">
      <c r="A320" s="131">
        <f>IFERROR(__xludf.DUMMYFUNCTION("""COMPUTED_VALUE"""),1282.0)</f>
        <v>1282</v>
      </c>
      <c r="B320" s="131"/>
      <c r="C320" s="131">
        <f>IFERROR(__xludf.DUMMYFUNCTION("""COMPUTED_VALUE"""),1230.0)</f>
        <v>1230</v>
      </c>
      <c r="D320" s="131"/>
      <c r="E320" s="131" t="str">
        <f>IFERROR(__xludf.DUMMYFUNCTION("""COMPUTED_VALUE"""),"E.")</f>
        <v>E.</v>
      </c>
      <c r="F320" s="131" t="str">
        <f>IFERROR(__xludf.DUMMYFUNCTION("""COMPUTED_VALUE"""),"MANNY")</f>
        <v>MANNY</v>
      </c>
    </row>
    <row r="321">
      <c r="A321" s="131"/>
      <c r="B321" s="131"/>
      <c r="C321" s="131"/>
      <c r="D321" s="131"/>
      <c r="E321" s="131"/>
      <c r="F321" s="131"/>
    </row>
    <row r="322">
      <c r="A322" s="131">
        <f>IFERROR(__xludf.DUMMYFUNCTION("""COMPUTED_VALUE"""),1283.0)</f>
        <v>1283</v>
      </c>
      <c r="B322" s="131"/>
      <c r="C322" s="131">
        <f>IFERROR(__xludf.DUMMYFUNCTION("""COMPUTED_VALUE"""),1283.0)</f>
        <v>1283</v>
      </c>
      <c r="D322" s="131" t="b">
        <f>IFERROR(__xludf.DUMMYFUNCTION("""COMPUTED_VALUE"""),TRUE)</f>
        <v>1</v>
      </c>
      <c r="E322" s="131" t="str">
        <f>IFERROR(__xludf.DUMMYFUNCTION("""COMPUTED_VALUE"""),"LIM")</f>
        <v>LIM</v>
      </c>
      <c r="F322" s="131" t="str">
        <f>IFERROR(__xludf.DUMMYFUNCTION("""COMPUTED_VALUE"""),"MARLINA")</f>
        <v>MARLINA</v>
      </c>
    </row>
    <row r="323">
      <c r="A323" s="131"/>
      <c r="B323" s="131"/>
      <c r="C323" s="131"/>
      <c r="D323" s="131"/>
      <c r="E323" s="131"/>
      <c r="F323" s="131"/>
    </row>
    <row r="324">
      <c r="A324" s="131"/>
      <c r="B324" s="131"/>
      <c r="C324" s="131"/>
      <c r="D324" s="131"/>
      <c r="E324" s="131"/>
      <c r="F324" s="131"/>
    </row>
    <row r="325">
      <c r="A325" s="131"/>
      <c r="B325" s="131"/>
      <c r="C325" s="131"/>
      <c r="D325" s="131"/>
      <c r="E325" s="131"/>
      <c r="F325" s="131"/>
    </row>
    <row r="326">
      <c r="A326" s="131"/>
      <c r="B326" s="131"/>
      <c r="C326" s="131"/>
      <c r="D326" s="131"/>
      <c r="E326" s="131"/>
      <c r="F326" s="131"/>
    </row>
    <row r="327">
      <c r="A327" s="131"/>
      <c r="B327" s="131"/>
      <c r="C327" s="131"/>
      <c r="D327" s="131"/>
      <c r="E327" s="131"/>
      <c r="F327" s="131"/>
    </row>
    <row r="328">
      <c r="A328" s="131"/>
      <c r="B328" s="131"/>
      <c r="C328" s="131"/>
      <c r="D328" s="131"/>
      <c r="E328" s="131"/>
      <c r="F328" s="131"/>
    </row>
    <row r="329">
      <c r="A329" s="131"/>
      <c r="B329" s="131"/>
      <c r="C329" s="131"/>
      <c r="D329" s="131"/>
      <c r="E329" s="131"/>
      <c r="F329" s="131"/>
    </row>
    <row r="330">
      <c r="A330" s="131"/>
      <c r="B330" s="131"/>
      <c r="C330" s="131"/>
      <c r="D330" s="131"/>
      <c r="E330" s="131"/>
      <c r="F330" s="131"/>
    </row>
    <row r="331">
      <c r="A331" s="131"/>
      <c r="B331" s="131"/>
      <c r="C331" s="131"/>
      <c r="D331" s="131"/>
      <c r="E331" s="131"/>
      <c r="F331" s="131"/>
    </row>
    <row r="332">
      <c r="A332" s="131"/>
      <c r="B332" s="131"/>
      <c r="C332" s="131"/>
      <c r="D332" s="131"/>
      <c r="E332" s="131"/>
      <c r="F332" s="131"/>
    </row>
    <row r="333">
      <c r="A333" s="131"/>
      <c r="B333" s="131"/>
      <c r="C333" s="131"/>
      <c r="D333" s="131"/>
      <c r="E333" s="131"/>
      <c r="F333" s="131"/>
    </row>
    <row r="334">
      <c r="A334" s="131"/>
      <c r="B334" s="131"/>
      <c r="C334" s="131"/>
      <c r="D334" s="131"/>
      <c r="E334" s="131"/>
      <c r="F334" s="131"/>
    </row>
    <row r="335">
      <c r="A335" s="131"/>
      <c r="B335" s="131"/>
      <c r="C335" s="131"/>
      <c r="D335" s="131"/>
      <c r="E335" s="131"/>
      <c r="F335" s="131"/>
    </row>
    <row r="336">
      <c r="A336" s="131"/>
      <c r="B336" s="131"/>
      <c r="C336" s="131"/>
      <c r="D336" s="131"/>
      <c r="E336" s="131"/>
      <c r="F336" s="131"/>
    </row>
    <row r="337">
      <c r="A337" s="131"/>
      <c r="B337" s="131"/>
      <c r="C337" s="131"/>
      <c r="D337" s="131"/>
      <c r="E337" s="131"/>
      <c r="F337" s="131"/>
    </row>
    <row r="338">
      <c r="A338" s="131"/>
      <c r="B338" s="131"/>
      <c r="C338" s="131"/>
      <c r="D338" s="131"/>
      <c r="E338" s="131"/>
      <c r="F338" s="131"/>
    </row>
    <row r="339">
      <c r="A339" s="131"/>
      <c r="B339" s="131"/>
      <c r="C339" s="131"/>
      <c r="D339" s="131"/>
      <c r="E339" s="131"/>
      <c r="F339" s="131"/>
    </row>
    <row r="340">
      <c r="A340" s="131"/>
      <c r="B340" s="131"/>
      <c r="C340" s="131"/>
      <c r="D340" s="131"/>
      <c r="E340" s="131"/>
      <c r="F340" s="131"/>
    </row>
    <row r="341">
      <c r="A341" s="131"/>
      <c r="B341" s="131"/>
      <c r="C341" s="131"/>
      <c r="D341" s="131"/>
      <c r="E341" s="131"/>
      <c r="F341" s="131"/>
    </row>
    <row r="342">
      <c r="A342" s="131"/>
      <c r="B342" s="131"/>
      <c r="C342" s="131"/>
      <c r="D342" s="131"/>
      <c r="E342" s="131"/>
      <c r="F342" s="131"/>
    </row>
    <row r="343">
      <c r="A343" s="131"/>
      <c r="B343" s="131"/>
      <c r="C343" s="131"/>
      <c r="D343" s="131"/>
      <c r="E343" s="131"/>
      <c r="F343" s="131"/>
    </row>
    <row r="344">
      <c r="A344" s="131"/>
      <c r="B344" s="131"/>
      <c r="C344" s="131"/>
      <c r="D344" s="131"/>
      <c r="E344" s="131"/>
      <c r="F344" s="131"/>
    </row>
    <row r="345">
      <c r="A345" s="131"/>
      <c r="B345" s="131"/>
      <c r="C345" s="131"/>
      <c r="D345" s="131"/>
      <c r="E345" s="131"/>
      <c r="F345" s="131"/>
    </row>
    <row r="346">
      <c r="A346" s="131"/>
      <c r="B346" s="131"/>
      <c r="C346" s="131"/>
      <c r="D346" s="131"/>
      <c r="E346" s="131"/>
      <c r="F346" s="131"/>
    </row>
    <row r="347">
      <c r="A347" s="131"/>
      <c r="B347" s="131"/>
      <c r="C347" s="131"/>
      <c r="D347" s="131"/>
      <c r="E347" s="131"/>
      <c r="F347" s="131"/>
    </row>
    <row r="348">
      <c r="A348" s="131"/>
      <c r="B348" s="131"/>
      <c r="C348" s="131"/>
      <c r="D348" s="131"/>
      <c r="E348" s="131"/>
      <c r="F348" s="131"/>
    </row>
    <row r="349">
      <c r="A349" s="131"/>
      <c r="B349" s="131"/>
      <c r="C349" s="131"/>
      <c r="D349" s="131"/>
      <c r="E349" s="131"/>
      <c r="F349" s="131"/>
    </row>
    <row r="350">
      <c r="A350" s="131"/>
      <c r="B350" s="131"/>
      <c r="C350" s="131"/>
      <c r="D350" s="131"/>
      <c r="E350" s="131"/>
      <c r="F350" s="131"/>
    </row>
    <row r="351">
      <c r="A351" s="131"/>
      <c r="B351" s="131"/>
      <c r="C351" s="131"/>
      <c r="D351" s="131"/>
      <c r="E351" s="131"/>
      <c r="F351" s="131"/>
    </row>
    <row r="352">
      <c r="A352" s="131"/>
      <c r="B352" s="131"/>
      <c r="C352" s="131"/>
      <c r="D352" s="131"/>
      <c r="E352" s="131"/>
      <c r="F352" s="131"/>
    </row>
    <row r="353">
      <c r="A353" s="131"/>
      <c r="B353" s="131"/>
      <c r="C353" s="131"/>
      <c r="D353" s="131"/>
      <c r="E353" s="131"/>
      <c r="F353" s="131"/>
    </row>
    <row r="354">
      <c r="A354" s="131"/>
      <c r="B354" s="131"/>
      <c r="C354" s="131"/>
      <c r="D354" s="131"/>
      <c r="E354" s="131"/>
      <c r="F354" s="131"/>
    </row>
    <row r="355">
      <c r="A355" s="131"/>
      <c r="B355" s="131"/>
      <c r="C355" s="131"/>
      <c r="D355" s="131"/>
      <c r="E355" s="131"/>
      <c r="F355" s="131"/>
    </row>
    <row r="356">
      <c r="A356" s="131"/>
      <c r="B356" s="131"/>
      <c r="C356" s="131"/>
      <c r="D356" s="131"/>
      <c r="E356" s="131"/>
      <c r="F356" s="131"/>
    </row>
    <row r="357">
      <c r="A357" s="131"/>
      <c r="B357" s="131"/>
      <c r="C357" s="131"/>
      <c r="D357" s="131"/>
      <c r="E357" s="131"/>
      <c r="F357" s="131"/>
    </row>
    <row r="358">
      <c r="A358" s="131"/>
      <c r="B358" s="131"/>
      <c r="C358" s="131"/>
      <c r="D358" s="131"/>
      <c r="E358" s="131"/>
      <c r="F358" s="131"/>
    </row>
    <row r="359">
      <c r="A359" s="131"/>
      <c r="B359" s="131"/>
      <c r="C359" s="131"/>
      <c r="D359" s="131"/>
      <c r="E359" s="131"/>
      <c r="F359" s="131"/>
    </row>
    <row r="360">
      <c r="A360" s="131"/>
      <c r="B360" s="131"/>
      <c r="C360" s="131"/>
      <c r="D360" s="131"/>
      <c r="E360" s="131"/>
      <c r="F360" s="131"/>
    </row>
    <row r="361">
      <c r="A361" s="131"/>
      <c r="B361" s="131"/>
      <c r="C361" s="131"/>
      <c r="D361" s="131"/>
      <c r="E361" s="131"/>
      <c r="F361" s="131"/>
    </row>
    <row r="362">
      <c r="A362" s="131"/>
      <c r="B362" s="131"/>
      <c r="C362" s="131"/>
      <c r="D362" s="131"/>
      <c r="E362" s="131"/>
      <c r="F362" s="131"/>
    </row>
    <row r="363">
      <c r="A363" s="131"/>
      <c r="B363" s="131"/>
      <c r="C363" s="131"/>
      <c r="D363" s="131"/>
      <c r="E363" s="131"/>
      <c r="F363" s="131"/>
    </row>
    <row r="364">
      <c r="A364" s="131"/>
      <c r="B364" s="131"/>
      <c r="C364" s="131"/>
      <c r="D364" s="131"/>
      <c r="E364" s="131"/>
      <c r="F364" s="131"/>
    </row>
    <row r="365">
      <c r="A365" s="131"/>
      <c r="B365" s="131"/>
      <c r="C365" s="131"/>
      <c r="D365" s="131"/>
      <c r="E365" s="131"/>
      <c r="F365" s="131"/>
    </row>
    <row r="366">
      <c r="A366" s="131"/>
      <c r="B366" s="131"/>
      <c r="C366" s="131"/>
      <c r="D366" s="131"/>
      <c r="E366" s="131"/>
      <c r="F366" s="131"/>
    </row>
    <row r="367">
      <c r="A367" s="131"/>
      <c r="B367" s="131"/>
      <c r="C367" s="131"/>
      <c r="D367" s="131"/>
      <c r="E367" s="131"/>
      <c r="F367" s="131"/>
    </row>
    <row r="368">
      <c r="A368" s="131"/>
      <c r="B368" s="131"/>
      <c r="C368" s="131"/>
      <c r="D368" s="131"/>
      <c r="E368" s="131"/>
      <c r="F368" s="131"/>
    </row>
    <row r="369">
      <c r="A369" s="131"/>
      <c r="B369" s="131"/>
      <c r="C369" s="131"/>
      <c r="D369" s="131"/>
      <c r="E369" s="131"/>
      <c r="F369" s="131"/>
    </row>
    <row r="370">
      <c r="A370" s="131"/>
      <c r="B370" s="131"/>
      <c r="C370" s="131"/>
      <c r="D370" s="131"/>
      <c r="E370" s="131"/>
      <c r="F370" s="131"/>
    </row>
    <row r="371">
      <c r="A371" s="131"/>
      <c r="B371" s="131"/>
      <c r="C371" s="131"/>
      <c r="D371" s="131"/>
      <c r="E371" s="131"/>
      <c r="F371" s="131"/>
    </row>
    <row r="372">
      <c r="A372" s="131"/>
      <c r="B372" s="131"/>
      <c r="C372" s="131"/>
      <c r="D372" s="131"/>
      <c r="E372" s="131"/>
      <c r="F372" s="131"/>
    </row>
    <row r="373">
      <c r="A373" s="131"/>
      <c r="B373" s="131"/>
      <c r="C373" s="131"/>
      <c r="D373" s="131"/>
      <c r="E373" s="131"/>
      <c r="F373" s="131"/>
    </row>
    <row r="374">
      <c r="A374" s="131"/>
      <c r="B374" s="131"/>
      <c r="C374" s="131"/>
      <c r="D374" s="131"/>
      <c r="E374" s="131"/>
      <c r="F374" s="131"/>
    </row>
    <row r="375">
      <c r="A375" s="131"/>
      <c r="B375" s="131"/>
      <c r="C375" s="131"/>
      <c r="D375" s="131"/>
      <c r="E375" s="131"/>
      <c r="F375" s="131"/>
    </row>
    <row r="376">
      <c r="A376" s="131"/>
      <c r="B376" s="131"/>
      <c r="C376" s="131"/>
      <c r="D376" s="131"/>
      <c r="E376" s="131"/>
      <c r="F376" s="131"/>
    </row>
    <row r="377">
      <c r="A377" s="131"/>
      <c r="B377" s="131"/>
      <c r="C377" s="131"/>
      <c r="D377" s="131"/>
      <c r="E377" s="131"/>
      <c r="F377" s="131"/>
    </row>
    <row r="378">
      <c r="A378" s="131"/>
      <c r="B378" s="131"/>
      <c r="C378" s="131"/>
      <c r="D378" s="131"/>
      <c r="E378" s="131"/>
      <c r="F378" s="131"/>
    </row>
    <row r="379">
      <c r="A379" s="131"/>
      <c r="B379" s="131"/>
      <c r="C379" s="131"/>
      <c r="D379" s="131"/>
      <c r="E379" s="131"/>
      <c r="F379" s="131"/>
    </row>
    <row r="380">
      <c r="A380" s="131"/>
      <c r="B380" s="131"/>
      <c r="C380" s="131"/>
      <c r="D380" s="131"/>
      <c r="E380" s="131"/>
      <c r="F380" s="131"/>
    </row>
    <row r="381">
      <c r="A381" s="131"/>
      <c r="B381" s="131"/>
      <c r="C381" s="131"/>
      <c r="D381" s="131"/>
      <c r="E381" s="131"/>
      <c r="F381" s="131"/>
    </row>
    <row r="382">
      <c r="A382" s="131"/>
      <c r="B382" s="131"/>
      <c r="C382" s="131"/>
      <c r="D382" s="131"/>
      <c r="E382" s="131"/>
      <c r="F382" s="131"/>
    </row>
    <row r="383">
      <c r="A383" s="131"/>
      <c r="B383" s="131"/>
      <c r="C383" s="131"/>
      <c r="D383" s="131"/>
      <c r="E383" s="131"/>
      <c r="F383" s="131"/>
    </row>
    <row r="384">
      <c r="A384" s="131"/>
      <c r="B384" s="131"/>
      <c r="C384" s="131"/>
      <c r="D384" s="131"/>
      <c r="E384" s="131"/>
      <c r="F384" s="131"/>
    </row>
    <row r="385">
      <c r="A385" s="131"/>
      <c r="B385" s="131"/>
      <c r="C385" s="131"/>
      <c r="D385" s="131"/>
      <c r="E385" s="131"/>
      <c r="F385" s="131"/>
    </row>
    <row r="386">
      <c r="A386" s="131"/>
      <c r="B386" s="131"/>
      <c r="C386" s="131"/>
      <c r="D386" s="131"/>
      <c r="E386" s="131"/>
      <c r="F386" s="131"/>
    </row>
    <row r="387">
      <c r="A387" s="131"/>
      <c r="B387" s="131"/>
      <c r="C387" s="131"/>
      <c r="D387" s="131"/>
      <c r="E387" s="131"/>
      <c r="F387" s="131"/>
    </row>
    <row r="388">
      <c r="A388" s="131"/>
      <c r="B388" s="131"/>
      <c r="C388" s="131"/>
      <c r="D388" s="131"/>
      <c r="E388" s="131"/>
      <c r="F388" s="131"/>
    </row>
    <row r="389">
      <c r="A389" s="131"/>
      <c r="B389" s="131"/>
      <c r="C389" s="131"/>
      <c r="D389" s="131"/>
      <c r="E389" s="131"/>
      <c r="F389" s="131"/>
    </row>
    <row r="390">
      <c r="A390" s="131"/>
      <c r="B390" s="131"/>
      <c r="C390" s="131"/>
      <c r="D390" s="131"/>
      <c r="E390" s="131"/>
      <c r="F390" s="131"/>
    </row>
    <row r="391">
      <c r="A391" s="131"/>
      <c r="B391" s="131"/>
      <c r="C391" s="131"/>
      <c r="D391" s="131"/>
      <c r="E391" s="131"/>
      <c r="F391" s="131"/>
    </row>
    <row r="392">
      <c r="A392" s="131"/>
      <c r="B392" s="131"/>
      <c r="C392" s="131"/>
      <c r="D392" s="131"/>
      <c r="E392" s="131"/>
      <c r="F392" s="131"/>
    </row>
    <row r="393">
      <c r="A393" s="131"/>
      <c r="B393" s="131"/>
      <c r="C393" s="131"/>
      <c r="D393" s="131"/>
      <c r="E393" s="131"/>
      <c r="F393" s="131"/>
    </row>
    <row r="394">
      <c r="A394" s="131"/>
      <c r="B394" s="131"/>
      <c r="C394" s="131"/>
      <c r="D394" s="131"/>
      <c r="E394" s="131"/>
      <c r="F394" s="131"/>
    </row>
    <row r="395">
      <c r="A395" s="131"/>
      <c r="B395" s="131"/>
      <c r="C395" s="131"/>
      <c r="D395" s="131"/>
      <c r="E395" s="131"/>
      <c r="F395" s="131"/>
    </row>
    <row r="396">
      <c r="A396" s="131"/>
      <c r="B396" s="131"/>
      <c r="C396" s="131"/>
      <c r="D396" s="131"/>
      <c r="E396" s="131"/>
      <c r="F396" s="131"/>
    </row>
    <row r="397">
      <c r="A397" s="131"/>
      <c r="B397" s="131"/>
      <c r="C397" s="131"/>
      <c r="D397" s="131"/>
      <c r="E397" s="131"/>
      <c r="F397" s="131"/>
    </row>
    <row r="398">
      <c r="A398" s="131"/>
      <c r="B398" s="131"/>
      <c r="C398" s="131"/>
      <c r="D398" s="131"/>
      <c r="E398" s="131"/>
      <c r="F398" s="131"/>
    </row>
    <row r="399">
      <c r="A399" s="131"/>
      <c r="B399" s="131"/>
      <c r="C399" s="131"/>
      <c r="D399" s="131"/>
      <c r="E399" s="131"/>
      <c r="F399" s="131"/>
    </row>
    <row r="400">
      <c r="A400" s="131"/>
      <c r="B400" s="131"/>
      <c r="C400" s="131"/>
      <c r="D400" s="131"/>
      <c r="E400" s="131"/>
      <c r="F400" s="131"/>
    </row>
    <row r="401">
      <c r="A401" s="131"/>
      <c r="B401" s="131"/>
      <c r="C401" s="131"/>
      <c r="D401" s="131"/>
      <c r="E401" s="131"/>
      <c r="F401" s="131"/>
    </row>
    <row r="402">
      <c r="A402" s="131"/>
      <c r="B402" s="131"/>
      <c r="C402" s="131"/>
      <c r="D402" s="131"/>
      <c r="E402" s="131"/>
      <c r="F402" s="131"/>
    </row>
    <row r="403">
      <c r="A403" s="131"/>
      <c r="B403" s="131"/>
      <c r="C403" s="131"/>
      <c r="D403" s="131"/>
      <c r="E403" s="131"/>
      <c r="F403" s="131"/>
    </row>
    <row r="404">
      <c r="A404" s="131"/>
      <c r="B404" s="131"/>
      <c r="C404" s="131"/>
      <c r="D404" s="131"/>
      <c r="E404" s="131"/>
      <c r="F404" s="131"/>
    </row>
    <row r="405">
      <c r="A405" s="131"/>
      <c r="B405" s="131"/>
      <c r="C405" s="131"/>
      <c r="D405" s="131"/>
      <c r="E405" s="131"/>
      <c r="F405" s="131"/>
    </row>
    <row r="406">
      <c r="A406" s="131"/>
      <c r="B406" s="131"/>
      <c r="C406" s="131"/>
      <c r="D406" s="131"/>
      <c r="E406" s="131"/>
      <c r="F406" s="131"/>
    </row>
    <row r="407">
      <c r="A407" s="131"/>
      <c r="B407" s="131"/>
      <c r="C407" s="131"/>
      <c r="D407" s="131"/>
      <c r="E407" s="131"/>
      <c r="F407" s="131"/>
    </row>
    <row r="408">
      <c r="A408" s="131"/>
      <c r="B408" s="131"/>
      <c r="C408" s="131"/>
      <c r="D408" s="131"/>
      <c r="E408" s="131"/>
      <c r="F408" s="131"/>
    </row>
    <row r="409">
      <c r="A409" s="131"/>
      <c r="B409" s="131"/>
      <c r="C409" s="131"/>
      <c r="D409" s="131"/>
      <c r="E409" s="131"/>
      <c r="F409" s="131"/>
    </row>
    <row r="410">
      <c r="A410" s="131"/>
      <c r="B410" s="131"/>
      <c r="C410" s="131"/>
      <c r="D410" s="131"/>
      <c r="E410" s="131"/>
      <c r="F410" s="131"/>
    </row>
    <row r="411">
      <c r="A411" s="131"/>
      <c r="B411" s="131"/>
      <c r="C411" s="131"/>
      <c r="D411" s="131"/>
      <c r="E411" s="131"/>
      <c r="F411" s="131"/>
    </row>
    <row r="412">
      <c r="A412" s="131"/>
      <c r="B412" s="131"/>
      <c r="C412" s="131"/>
      <c r="D412" s="131"/>
      <c r="E412" s="131"/>
      <c r="F412" s="131"/>
    </row>
    <row r="413">
      <c r="A413" s="131"/>
      <c r="B413" s="131"/>
      <c r="C413" s="131"/>
      <c r="D413" s="131"/>
      <c r="E413" s="131"/>
      <c r="F413" s="131"/>
    </row>
    <row r="414">
      <c r="A414" s="131"/>
      <c r="B414" s="131"/>
      <c r="C414" s="131"/>
      <c r="D414" s="131"/>
      <c r="E414" s="131"/>
      <c r="F414" s="131"/>
    </row>
    <row r="415">
      <c r="A415" s="131"/>
      <c r="B415" s="131"/>
      <c r="C415" s="131"/>
      <c r="D415" s="131"/>
      <c r="E415" s="131"/>
      <c r="F415" s="131"/>
    </row>
    <row r="416">
      <c r="A416" s="131"/>
      <c r="B416" s="131"/>
      <c r="C416" s="131"/>
      <c r="D416" s="131"/>
      <c r="E416" s="131"/>
      <c r="F416" s="131"/>
    </row>
    <row r="417">
      <c r="A417" s="131"/>
      <c r="B417" s="131"/>
      <c r="C417" s="131"/>
      <c r="D417" s="131"/>
      <c r="E417" s="131"/>
      <c r="F417" s="131"/>
    </row>
    <row r="418">
      <c r="A418" s="131"/>
      <c r="B418" s="131"/>
      <c r="C418" s="131"/>
      <c r="D418" s="131"/>
      <c r="E418" s="131"/>
      <c r="F418" s="131"/>
    </row>
    <row r="419">
      <c r="A419" s="131"/>
      <c r="B419" s="131"/>
      <c r="C419" s="131"/>
      <c r="D419" s="131"/>
      <c r="E419" s="131"/>
      <c r="F419" s="131"/>
    </row>
    <row r="420">
      <c r="A420" s="131"/>
      <c r="B420" s="131"/>
      <c r="C420" s="131"/>
      <c r="D420" s="131"/>
      <c r="E420" s="131"/>
      <c r="F420" s="131"/>
    </row>
    <row r="421">
      <c r="A421" s="131"/>
      <c r="B421" s="131"/>
      <c r="C421" s="131"/>
      <c r="D421" s="131"/>
      <c r="E421" s="131"/>
      <c r="F421" s="131"/>
    </row>
    <row r="422">
      <c r="A422" s="131"/>
      <c r="B422" s="131"/>
      <c r="C422" s="131"/>
      <c r="D422" s="131"/>
      <c r="E422" s="131"/>
      <c r="F422" s="131"/>
    </row>
    <row r="423">
      <c r="A423" s="131"/>
      <c r="B423" s="131"/>
      <c r="C423" s="131"/>
      <c r="D423" s="131"/>
      <c r="E423" s="131"/>
      <c r="F423" s="131"/>
    </row>
    <row r="424">
      <c r="A424" s="131"/>
      <c r="B424" s="131"/>
      <c r="C424" s="131"/>
      <c r="D424" s="131"/>
      <c r="E424" s="131"/>
      <c r="F424" s="131"/>
    </row>
    <row r="425">
      <c r="A425" s="131"/>
      <c r="B425" s="131"/>
      <c r="C425" s="131"/>
      <c r="D425" s="131"/>
      <c r="E425" s="131"/>
      <c r="F425" s="131"/>
    </row>
    <row r="426">
      <c r="A426" s="131"/>
      <c r="B426" s="131"/>
      <c r="C426" s="131"/>
      <c r="D426" s="131"/>
      <c r="E426" s="131"/>
      <c r="F426" s="131"/>
    </row>
    <row r="427">
      <c r="A427" s="131"/>
      <c r="B427" s="131"/>
      <c r="C427" s="131"/>
      <c r="D427" s="131"/>
      <c r="E427" s="131"/>
      <c r="F427" s="131"/>
    </row>
    <row r="428">
      <c r="A428" s="131"/>
      <c r="B428" s="131"/>
      <c r="C428" s="131"/>
      <c r="D428" s="131"/>
      <c r="E428" s="131"/>
      <c r="F428" s="131"/>
    </row>
    <row r="429">
      <c r="A429" s="131"/>
      <c r="B429" s="131"/>
      <c r="C429" s="131"/>
      <c r="D429" s="131"/>
      <c r="E429" s="131"/>
      <c r="F429" s="131"/>
    </row>
    <row r="430">
      <c r="A430" s="131"/>
      <c r="B430" s="131"/>
      <c r="C430" s="131"/>
      <c r="D430" s="131"/>
      <c r="E430" s="131"/>
      <c r="F430" s="131"/>
    </row>
    <row r="431">
      <c r="A431" s="131"/>
      <c r="B431" s="131"/>
      <c r="C431" s="131"/>
      <c r="D431" s="131"/>
      <c r="E431" s="131"/>
      <c r="F431" s="131"/>
    </row>
    <row r="432">
      <c r="A432" s="131"/>
      <c r="B432" s="131"/>
      <c r="C432" s="131"/>
      <c r="D432" s="131"/>
      <c r="E432" s="131"/>
      <c r="F432" s="131"/>
    </row>
    <row r="433">
      <c r="A433" s="131"/>
      <c r="B433" s="131"/>
      <c r="C433" s="131"/>
      <c r="D433" s="131"/>
      <c r="E433" s="131"/>
      <c r="F433" s="131"/>
    </row>
    <row r="434">
      <c r="A434" s="131"/>
      <c r="B434" s="131"/>
      <c r="C434" s="131"/>
      <c r="D434" s="131"/>
      <c r="E434" s="131"/>
      <c r="F434" s="131"/>
    </row>
    <row r="435">
      <c r="A435" s="131"/>
      <c r="B435" s="131"/>
      <c r="C435" s="131"/>
      <c r="D435" s="131"/>
      <c r="E435" s="131"/>
      <c r="F435" s="131"/>
    </row>
    <row r="436">
      <c r="A436" s="131"/>
      <c r="B436" s="131"/>
      <c r="C436" s="131"/>
      <c r="D436" s="131"/>
      <c r="E436" s="131"/>
      <c r="F436" s="131"/>
    </row>
    <row r="437">
      <c r="A437" s="131"/>
      <c r="B437" s="131"/>
      <c r="C437" s="131"/>
      <c r="D437" s="131"/>
      <c r="E437" s="131"/>
      <c r="F437" s="131"/>
    </row>
    <row r="438">
      <c r="A438" s="131"/>
      <c r="B438" s="131"/>
      <c r="C438" s="131"/>
      <c r="D438" s="131"/>
      <c r="E438" s="131"/>
      <c r="F438" s="131"/>
    </row>
    <row r="439">
      <c r="A439" s="131"/>
      <c r="B439" s="131"/>
      <c r="C439" s="131"/>
      <c r="D439" s="131"/>
      <c r="E439" s="131"/>
      <c r="F439" s="131"/>
    </row>
    <row r="440">
      <c r="A440" s="131"/>
      <c r="B440" s="131"/>
      <c r="C440" s="131"/>
      <c r="D440" s="131"/>
      <c r="E440" s="131"/>
      <c r="F440" s="131"/>
    </row>
    <row r="441">
      <c r="A441" s="131"/>
      <c r="B441" s="131"/>
      <c r="C441" s="131"/>
      <c r="D441" s="131"/>
      <c r="E441" s="131"/>
      <c r="F441" s="131"/>
    </row>
    <row r="442">
      <c r="A442" s="131"/>
      <c r="B442" s="131"/>
      <c r="C442" s="131"/>
      <c r="D442" s="131"/>
      <c r="E442" s="131"/>
      <c r="F442" s="131"/>
    </row>
    <row r="443">
      <c r="A443" s="131"/>
      <c r="B443" s="131"/>
      <c r="C443" s="131"/>
      <c r="D443" s="131"/>
      <c r="E443" s="131"/>
      <c r="F443" s="131"/>
    </row>
    <row r="444">
      <c r="A444" s="131"/>
      <c r="B444" s="131"/>
      <c r="C444" s="131"/>
      <c r="D444" s="131"/>
      <c r="E444" s="131"/>
      <c r="F444" s="131"/>
    </row>
    <row r="445">
      <c r="A445" s="131"/>
      <c r="B445" s="131"/>
      <c r="C445" s="131"/>
      <c r="D445" s="131"/>
      <c r="E445" s="131"/>
      <c r="F445" s="131"/>
    </row>
    <row r="446">
      <c r="A446" s="131"/>
      <c r="B446" s="131"/>
      <c r="C446" s="131"/>
      <c r="D446" s="131"/>
      <c r="E446" s="131"/>
      <c r="F446" s="131"/>
    </row>
    <row r="447">
      <c r="A447" s="131"/>
      <c r="B447" s="131"/>
      <c r="C447" s="131"/>
      <c r="D447" s="131"/>
      <c r="E447" s="131"/>
      <c r="F447" s="131"/>
    </row>
    <row r="448">
      <c r="A448" s="131"/>
      <c r="B448" s="131"/>
      <c r="C448" s="131"/>
      <c r="D448" s="131"/>
      <c r="E448" s="131"/>
      <c r="F448" s="131"/>
    </row>
    <row r="449">
      <c r="A449" s="131"/>
      <c r="B449" s="131"/>
      <c r="C449" s="131"/>
      <c r="D449" s="131"/>
      <c r="E449" s="131"/>
      <c r="F449" s="131"/>
    </row>
    <row r="450">
      <c r="A450" s="131"/>
      <c r="B450" s="131"/>
      <c r="C450" s="131"/>
      <c r="D450" s="131"/>
      <c r="E450" s="131"/>
      <c r="F450" s="131"/>
    </row>
    <row r="451">
      <c r="A451" s="131"/>
      <c r="B451" s="131"/>
      <c r="C451" s="131"/>
      <c r="D451" s="131"/>
      <c r="E451" s="131"/>
      <c r="F451" s="131"/>
    </row>
    <row r="452">
      <c r="A452" s="131"/>
      <c r="B452" s="131"/>
      <c r="C452" s="131"/>
      <c r="D452" s="131"/>
      <c r="E452" s="131"/>
      <c r="F452" s="131"/>
    </row>
    <row r="453">
      <c r="A453" s="131"/>
      <c r="B453" s="131"/>
      <c r="C453" s="131"/>
      <c r="D453" s="131"/>
      <c r="E453" s="131"/>
      <c r="F453" s="131"/>
    </row>
    <row r="454">
      <c r="A454" s="131"/>
      <c r="B454" s="131"/>
      <c r="C454" s="131"/>
      <c r="D454" s="131"/>
      <c r="E454" s="131"/>
      <c r="F454" s="131"/>
    </row>
    <row r="455">
      <c r="A455" s="131"/>
      <c r="B455" s="131"/>
      <c r="C455" s="131"/>
      <c r="D455" s="131"/>
      <c r="E455" s="131"/>
      <c r="F455" s="131"/>
    </row>
    <row r="456">
      <c r="A456" s="131"/>
      <c r="B456" s="131"/>
      <c r="C456" s="131"/>
      <c r="D456" s="131"/>
      <c r="E456" s="131"/>
      <c r="F456" s="131"/>
    </row>
    <row r="457">
      <c r="A457" s="131"/>
      <c r="B457" s="131"/>
      <c r="C457" s="131"/>
      <c r="D457" s="131"/>
      <c r="E457" s="131"/>
      <c r="F457" s="131"/>
    </row>
    <row r="458">
      <c r="A458" s="131"/>
      <c r="B458" s="131"/>
      <c r="C458" s="131"/>
      <c r="D458" s="131"/>
      <c r="E458" s="131"/>
      <c r="F458" s="131"/>
    </row>
    <row r="459">
      <c r="A459" s="131"/>
      <c r="B459" s="131"/>
      <c r="C459" s="131"/>
      <c r="D459" s="131"/>
      <c r="E459" s="131"/>
      <c r="F459" s="131"/>
    </row>
    <row r="460">
      <c r="A460" s="131"/>
      <c r="B460" s="131"/>
      <c r="C460" s="131"/>
      <c r="D460" s="131"/>
      <c r="E460" s="131"/>
      <c r="F460" s="131"/>
    </row>
    <row r="461">
      <c r="A461" s="131"/>
      <c r="B461" s="131"/>
      <c r="C461" s="131"/>
      <c r="D461" s="131"/>
      <c r="E461" s="131"/>
      <c r="F461" s="131"/>
    </row>
    <row r="462">
      <c r="A462" s="131"/>
      <c r="B462" s="131"/>
      <c r="C462" s="131"/>
      <c r="D462" s="131"/>
      <c r="E462" s="131"/>
      <c r="F462" s="131"/>
    </row>
    <row r="463">
      <c r="A463" s="131"/>
      <c r="B463" s="131"/>
      <c r="C463" s="131"/>
      <c r="D463" s="131"/>
      <c r="E463" s="131"/>
      <c r="F463" s="131"/>
    </row>
    <row r="464">
      <c r="A464" s="131"/>
      <c r="B464" s="131"/>
      <c r="C464" s="131"/>
      <c r="D464" s="131"/>
      <c r="E464" s="131"/>
      <c r="F464" s="131"/>
    </row>
    <row r="465">
      <c r="A465" s="131"/>
      <c r="B465" s="131"/>
      <c r="C465" s="131"/>
      <c r="D465" s="131"/>
      <c r="E465" s="131"/>
      <c r="F465" s="131"/>
    </row>
    <row r="466">
      <c r="A466" s="131"/>
      <c r="B466" s="131"/>
      <c r="C466" s="131"/>
      <c r="D466" s="131"/>
      <c r="E466" s="131"/>
      <c r="F466" s="131"/>
    </row>
    <row r="467">
      <c r="A467" s="131"/>
      <c r="B467" s="131"/>
      <c r="C467" s="131"/>
      <c r="D467" s="131"/>
      <c r="E467" s="131"/>
      <c r="F467" s="131"/>
    </row>
    <row r="468">
      <c r="A468" s="131"/>
      <c r="B468" s="131"/>
      <c r="C468" s="131"/>
      <c r="D468" s="131"/>
      <c r="E468" s="131"/>
      <c r="F468" s="131"/>
    </row>
    <row r="469">
      <c r="A469" s="131"/>
      <c r="B469" s="131"/>
      <c r="C469" s="131"/>
      <c r="D469" s="131"/>
      <c r="E469" s="131"/>
      <c r="F469" s="131"/>
    </row>
    <row r="470">
      <c r="A470" s="131"/>
      <c r="B470" s="131"/>
      <c r="C470" s="131"/>
      <c r="D470" s="131"/>
      <c r="E470" s="131"/>
      <c r="F470" s="131"/>
    </row>
    <row r="471">
      <c r="A471" s="131"/>
      <c r="B471" s="131"/>
      <c r="C471" s="131"/>
      <c r="D471" s="131"/>
      <c r="E471" s="131"/>
      <c r="F471" s="131"/>
    </row>
    <row r="472">
      <c r="A472" s="131"/>
      <c r="B472" s="131"/>
      <c r="C472" s="131"/>
      <c r="D472" s="131"/>
      <c r="E472" s="131"/>
      <c r="F472" s="131"/>
    </row>
    <row r="473">
      <c r="A473" s="131"/>
      <c r="B473" s="131"/>
      <c r="C473" s="131"/>
      <c r="D473" s="131"/>
      <c r="E473" s="131"/>
      <c r="F473" s="131"/>
    </row>
    <row r="474">
      <c r="A474" s="131"/>
      <c r="B474" s="131"/>
      <c r="C474" s="131"/>
      <c r="D474" s="131"/>
      <c r="E474" s="131"/>
      <c r="F474" s="131"/>
    </row>
    <row r="475">
      <c r="A475" s="131"/>
      <c r="B475" s="131"/>
      <c r="C475" s="131"/>
      <c r="D475" s="131"/>
      <c r="E475" s="131"/>
      <c r="F475" s="131"/>
    </row>
    <row r="476">
      <c r="A476" s="131"/>
      <c r="B476" s="131"/>
      <c r="C476" s="131"/>
      <c r="D476" s="131"/>
      <c r="E476" s="131"/>
      <c r="F476" s="131"/>
    </row>
    <row r="477">
      <c r="A477" s="131"/>
      <c r="B477" s="131"/>
      <c r="C477" s="131"/>
      <c r="D477" s="131"/>
      <c r="E477" s="131"/>
      <c r="F477" s="131"/>
    </row>
    <row r="478">
      <c r="A478" s="131"/>
      <c r="B478" s="131"/>
      <c r="C478" s="131"/>
      <c r="D478" s="131"/>
      <c r="E478" s="131"/>
      <c r="F478" s="131"/>
    </row>
    <row r="479">
      <c r="A479" s="131"/>
      <c r="B479" s="131"/>
      <c r="C479" s="131"/>
      <c r="D479" s="131"/>
      <c r="E479" s="131"/>
      <c r="F479" s="131"/>
    </row>
    <row r="480">
      <c r="A480" s="131"/>
      <c r="B480" s="131"/>
      <c r="C480" s="131"/>
      <c r="D480" s="131"/>
      <c r="E480" s="131"/>
      <c r="F480" s="131"/>
    </row>
    <row r="481">
      <c r="A481" s="131"/>
      <c r="B481" s="131"/>
      <c r="C481" s="131"/>
      <c r="D481" s="131"/>
      <c r="E481" s="131"/>
      <c r="F481" s="131"/>
    </row>
    <row r="482">
      <c r="A482" s="131"/>
      <c r="B482" s="131"/>
      <c r="C482" s="131"/>
      <c r="D482" s="131"/>
      <c r="E482" s="131"/>
      <c r="F482" s="131"/>
    </row>
    <row r="483">
      <c r="A483" s="131"/>
      <c r="B483" s="131"/>
      <c r="C483" s="131"/>
      <c r="D483" s="131"/>
      <c r="E483" s="131"/>
      <c r="F483" s="131"/>
    </row>
    <row r="484">
      <c r="A484" s="131"/>
      <c r="B484" s="131"/>
      <c r="C484" s="131"/>
      <c r="D484" s="131"/>
      <c r="E484" s="131"/>
      <c r="F484" s="131"/>
    </row>
    <row r="485">
      <c r="A485" s="131"/>
      <c r="B485" s="131"/>
      <c r="C485" s="131"/>
      <c r="D485" s="131"/>
      <c r="E485" s="131"/>
      <c r="F485" s="131"/>
    </row>
    <row r="486">
      <c r="A486" s="131"/>
      <c r="B486" s="131"/>
      <c r="C486" s="131"/>
      <c r="D486" s="131"/>
      <c r="E486" s="131"/>
      <c r="F486" s="131"/>
    </row>
    <row r="487">
      <c r="A487" s="131"/>
      <c r="B487" s="131"/>
      <c r="C487" s="131"/>
      <c r="D487" s="131"/>
      <c r="E487" s="131"/>
      <c r="F487" s="131"/>
    </row>
    <row r="488">
      <c r="A488" s="131"/>
      <c r="B488" s="131"/>
      <c r="C488" s="131"/>
      <c r="D488" s="131"/>
      <c r="E488" s="131"/>
      <c r="F488" s="131"/>
    </row>
    <row r="489">
      <c r="A489" s="131"/>
      <c r="B489" s="131"/>
      <c r="C489" s="131"/>
      <c r="D489" s="131"/>
      <c r="E489" s="131"/>
      <c r="F489" s="131"/>
    </row>
    <row r="490">
      <c r="A490" s="131"/>
      <c r="B490" s="131"/>
      <c r="C490" s="131"/>
      <c r="D490" s="131"/>
      <c r="E490" s="131"/>
      <c r="F490" s="131"/>
    </row>
    <row r="491">
      <c r="A491" s="131"/>
      <c r="B491" s="131"/>
      <c r="C491" s="131"/>
      <c r="D491" s="131"/>
      <c r="E491" s="131"/>
      <c r="F491" s="131"/>
    </row>
    <row r="492">
      <c r="A492" s="131"/>
      <c r="B492" s="131"/>
      <c r="C492" s="131"/>
      <c r="D492" s="131"/>
      <c r="E492" s="131"/>
      <c r="F492" s="131"/>
    </row>
    <row r="493">
      <c r="A493" s="131"/>
      <c r="B493" s="131"/>
      <c r="C493" s="131"/>
      <c r="D493" s="131"/>
      <c r="E493" s="131"/>
      <c r="F493" s="131"/>
    </row>
    <row r="494">
      <c r="A494" s="131"/>
      <c r="B494" s="131"/>
      <c r="C494" s="131"/>
      <c r="D494" s="131"/>
      <c r="E494" s="131"/>
      <c r="F494" s="131"/>
    </row>
    <row r="495">
      <c r="A495" s="131"/>
      <c r="B495" s="131"/>
      <c r="C495" s="131"/>
      <c r="D495" s="131"/>
      <c r="E495" s="131"/>
      <c r="F495" s="131"/>
    </row>
    <row r="496">
      <c r="A496" s="131"/>
      <c r="B496" s="131"/>
      <c r="C496" s="131"/>
      <c r="D496" s="131"/>
      <c r="E496" s="131"/>
      <c r="F496" s="131"/>
    </row>
    <row r="497">
      <c r="A497" s="131"/>
      <c r="B497" s="131"/>
      <c r="C497" s="131"/>
      <c r="D497" s="131"/>
      <c r="E497" s="131"/>
      <c r="F497" s="131"/>
    </row>
    <row r="498">
      <c r="A498" s="131"/>
      <c r="B498" s="131"/>
      <c r="C498" s="131"/>
      <c r="D498" s="131"/>
      <c r="E498" s="131"/>
      <c r="F498" s="131"/>
    </row>
    <row r="499">
      <c r="A499" s="131"/>
      <c r="B499" s="131"/>
      <c r="C499" s="131"/>
      <c r="D499" s="131"/>
      <c r="E499" s="131"/>
      <c r="F499" s="131"/>
    </row>
    <row r="500">
      <c r="A500" s="131"/>
      <c r="B500" s="131"/>
      <c r="C500" s="131"/>
      <c r="D500" s="131"/>
      <c r="E500" s="131"/>
      <c r="F500" s="131"/>
    </row>
    <row r="501">
      <c r="A501" s="131"/>
      <c r="B501" s="131"/>
      <c r="C501" s="131"/>
      <c r="D501" s="131"/>
      <c r="E501" s="131"/>
      <c r="F501" s="131"/>
    </row>
    <row r="502">
      <c r="A502" s="131"/>
      <c r="B502" s="131"/>
      <c r="C502" s="131"/>
      <c r="D502" s="131"/>
      <c r="E502" s="131"/>
      <c r="F502" s="131"/>
    </row>
    <row r="503">
      <c r="A503" s="131"/>
      <c r="B503" s="131"/>
      <c r="C503" s="131"/>
      <c r="D503" s="131"/>
      <c r="E503" s="131"/>
      <c r="F503" s="131"/>
    </row>
    <row r="504">
      <c r="A504" s="131"/>
      <c r="B504" s="131"/>
      <c r="C504" s="131"/>
      <c r="D504" s="131"/>
      <c r="E504" s="131"/>
      <c r="F504" s="131"/>
    </row>
    <row r="505">
      <c r="A505" s="131"/>
      <c r="B505" s="131"/>
      <c r="C505" s="131"/>
      <c r="D505" s="131"/>
      <c r="E505" s="131"/>
      <c r="F505" s="131"/>
    </row>
    <row r="506">
      <c r="A506" s="131"/>
      <c r="B506" s="131"/>
      <c r="C506" s="131"/>
      <c r="D506" s="131"/>
      <c r="E506" s="131"/>
      <c r="F506" s="131"/>
    </row>
    <row r="507">
      <c r="A507" s="131"/>
      <c r="B507" s="131"/>
      <c r="C507" s="131"/>
      <c r="D507" s="131"/>
      <c r="E507" s="131"/>
      <c r="F507" s="131"/>
    </row>
    <row r="508">
      <c r="A508" s="131"/>
      <c r="B508" s="131"/>
      <c r="C508" s="131"/>
      <c r="D508" s="131"/>
      <c r="E508" s="131"/>
      <c r="F508" s="131"/>
    </row>
    <row r="509">
      <c r="A509" s="131"/>
      <c r="B509" s="131"/>
      <c r="C509" s="131"/>
      <c r="D509" s="131"/>
      <c r="E509" s="131"/>
      <c r="F509" s="131"/>
    </row>
    <row r="510">
      <c r="A510" s="131"/>
      <c r="B510" s="131"/>
      <c r="C510" s="131"/>
      <c r="D510" s="131"/>
      <c r="E510" s="131"/>
      <c r="F510" s="131"/>
    </row>
    <row r="511">
      <c r="A511" s="131"/>
      <c r="B511" s="131"/>
      <c r="C511" s="131"/>
      <c r="D511" s="131"/>
      <c r="E511" s="131"/>
      <c r="F511" s="131"/>
    </row>
    <row r="512">
      <c r="A512" s="131"/>
      <c r="B512" s="131"/>
      <c r="C512" s="131"/>
      <c r="D512" s="131"/>
      <c r="E512" s="131"/>
      <c r="F512" s="131"/>
    </row>
    <row r="513">
      <c r="A513" s="131"/>
      <c r="B513" s="131"/>
      <c r="C513" s="131"/>
      <c r="D513" s="131"/>
      <c r="E513" s="131"/>
      <c r="F513" s="131"/>
    </row>
    <row r="514">
      <c r="A514" s="131"/>
      <c r="B514" s="131"/>
      <c r="C514" s="131"/>
      <c r="D514" s="131"/>
      <c r="E514" s="131"/>
      <c r="F514" s="131"/>
    </row>
    <row r="515">
      <c r="A515" s="131"/>
      <c r="B515" s="131"/>
      <c r="C515" s="131"/>
      <c r="D515" s="131"/>
      <c r="E515" s="131"/>
      <c r="F515" s="131"/>
    </row>
    <row r="516">
      <c r="A516" s="131"/>
      <c r="B516" s="131"/>
      <c r="C516" s="131"/>
      <c r="D516" s="131"/>
      <c r="E516" s="131"/>
      <c r="F516" s="131"/>
    </row>
    <row r="517">
      <c r="A517" s="131"/>
      <c r="B517" s="131"/>
      <c r="C517" s="131"/>
      <c r="D517" s="131"/>
      <c r="E517" s="131"/>
      <c r="F517" s="131"/>
    </row>
    <row r="518">
      <c r="A518" s="131"/>
      <c r="B518" s="131"/>
      <c r="C518" s="131"/>
      <c r="D518" s="131"/>
      <c r="E518" s="131"/>
      <c r="F518" s="131"/>
    </row>
    <row r="519">
      <c r="A519" s="131"/>
      <c r="B519" s="131"/>
      <c r="C519" s="131"/>
      <c r="D519" s="131"/>
      <c r="E519" s="131"/>
      <c r="F519" s="131"/>
    </row>
    <row r="520">
      <c r="A520" s="131"/>
      <c r="B520" s="131"/>
      <c r="C520" s="131"/>
      <c r="D520" s="131"/>
      <c r="E520" s="131"/>
      <c r="F520" s="131"/>
    </row>
    <row r="521">
      <c r="A521" s="131"/>
      <c r="B521" s="131"/>
      <c r="C521" s="131"/>
      <c r="D521" s="131"/>
      <c r="E521" s="131"/>
      <c r="F521" s="131"/>
    </row>
    <row r="522">
      <c r="A522" s="131"/>
      <c r="B522" s="131"/>
      <c r="C522" s="131"/>
      <c r="D522" s="131"/>
      <c r="E522" s="131"/>
      <c r="F522" s="131"/>
    </row>
    <row r="523">
      <c r="A523" s="131"/>
      <c r="B523" s="131"/>
      <c r="C523" s="131"/>
      <c r="D523" s="131"/>
      <c r="E523" s="131"/>
      <c r="F523" s="131"/>
    </row>
    <row r="524">
      <c r="A524" s="131"/>
      <c r="B524" s="131"/>
      <c r="C524" s="131"/>
      <c r="D524" s="131"/>
      <c r="E524" s="131"/>
      <c r="F524" s="131"/>
    </row>
    <row r="525">
      <c r="A525" s="131"/>
      <c r="B525" s="131"/>
      <c r="C525" s="131"/>
      <c r="D525" s="131"/>
      <c r="E525" s="131"/>
      <c r="F525" s="131"/>
    </row>
    <row r="526">
      <c r="A526" s="131"/>
      <c r="B526" s="131"/>
      <c r="C526" s="131"/>
      <c r="D526" s="131"/>
      <c r="E526" s="131"/>
      <c r="F526" s="131"/>
    </row>
    <row r="527">
      <c r="A527" s="131"/>
      <c r="B527" s="131"/>
      <c r="C527" s="131"/>
      <c r="D527" s="131"/>
      <c r="E527" s="131"/>
      <c r="F527" s="131"/>
    </row>
    <row r="528">
      <c r="A528" s="131"/>
      <c r="B528" s="131"/>
      <c r="C528" s="131"/>
      <c r="D528" s="131"/>
      <c r="E528" s="131"/>
      <c r="F528" s="131"/>
    </row>
    <row r="529">
      <c r="A529" s="131"/>
      <c r="B529" s="131"/>
      <c r="C529" s="131"/>
      <c r="D529" s="131"/>
      <c r="E529" s="131"/>
      <c r="F529" s="131"/>
    </row>
    <row r="530">
      <c r="A530" s="131"/>
      <c r="B530" s="131"/>
      <c r="C530" s="131"/>
      <c r="D530" s="131"/>
      <c r="E530" s="131"/>
      <c r="F530" s="131"/>
    </row>
    <row r="531">
      <c r="A531" s="131"/>
      <c r="B531" s="131"/>
      <c r="C531" s="131"/>
      <c r="D531" s="131"/>
      <c r="E531" s="131"/>
      <c r="F531" s="131"/>
    </row>
    <row r="532">
      <c r="A532" s="131"/>
      <c r="B532" s="131"/>
      <c r="C532" s="131"/>
      <c r="D532" s="131"/>
      <c r="E532" s="131"/>
      <c r="F532" s="131"/>
    </row>
    <row r="533">
      <c r="A533" s="131"/>
      <c r="B533" s="131"/>
      <c r="C533" s="131"/>
      <c r="D533" s="131"/>
      <c r="E533" s="131"/>
      <c r="F533" s="131"/>
    </row>
    <row r="534">
      <c r="A534" s="131"/>
      <c r="B534" s="131"/>
      <c r="C534" s="131"/>
      <c r="D534" s="131"/>
      <c r="E534" s="131"/>
      <c r="F534" s="131"/>
    </row>
    <row r="535">
      <c r="A535" s="131"/>
      <c r="B535" s="131"/>
      <c r="C535" s="131"/>
      <c r="D535" s="131"/>
      <c r="E535" s="131"/>
      <c r="F535" s="131"/>
    </row>
    <row r="536">
      <c r="A536" s="131"/>
      <c r="B536" s="131"/>
      <c r="C536" s="131"/>
      <c r="D536" s="131"/>
      <c r="E536" s="131"/>
      <c r="F536" s="131"/>
    </row>
    <row r="537">
      <c r="A537" s="131"/>
      <c r="B537" s="131"/>
      <c r="C537" s="131"/>
      <c r="D537" s="131"/>
      <c r="E537" s="131"/>
      <c r="F537" s="131"/>
    </row>
    <row r="538">
      <c r="A538" s="131"/>
      <c r="B538" s="131"/>
      <c r="C538" s="131"/>
      <c r="D538" s="131"/>
      <c r="E538" s="131"/>
      <c r="F538" s="131"/>
    </row>
    <row r="539">
      <c r="A539" s="131"/>
      <c r="B539" s="131"/>
      <c r="C539" s="131"/>
      <c r="D539" s="131"/>
      <c r="E539" s="131"/>
      <c r="F539" s="131"/>
    </row>
    <row r="540">
      <c r="A540" s="131"/>
      <c r="B540" s="131"/>
      <c r="C540" s="131"/>
      <c r="D540" s="131"/>
      <c r="E540" s="131"/>
      <c r="F540" s="131"/>
    </row>
    <row r="541">
      <c r="A541" s="131"/>
      <c r="B541" s="131"/>
      <c r="C541" s="131"/>
      <c r="D541" s="131"/>
      <c r="E541" s="131"/>
      <c r="F541" s="131"/>
    </row>
    <row r="542">
      <c r="A542" s="131"/>
      <c r="B542" s="131"/>
      <c r="C542" s="131"/>
      <c r="D542" s="131"/>
      <c r="E542" s="131"/>
      <c r="F542" s="131"/>
    </row>
    <row r="543">
      <c r="A543" s="131"/>
      <c r="B543" s="131"/>
      <c r="C543" s="131"/>
      <c r="D543" s="131"/>
      <c r="E543" s="131"/>
      <c r="F543" s="131"/>
    </row>
    <row r="544">
      <c r="A544" s="131"/>
      <c r="B544" s="131"/>
      <c r="C544" s="131"/>
      <c r="D544" s="131"/>
      <c r="E544" s="131"/>
      <c r="F544" s="131"/>
    </row>
    <row r="545">
      <c r="A545" s="131"/>
      <c r="B545" s="131"/>
      <c r="C545" s="131"/>
      <c r="D545" s="131"/>
      <c r="E545" s="131"/>
      <c r="F545" s="131"/>
    </row>
    <row r="546">
      <c r="A546" s="131"/>
      <c r="B546" s="131"/>
      <c r="C546" s="131"/>
      <c r="D546" s="131"/>
      <c r="E546" s="131"/>
      <c r="F546" s="131"/>
    </row>
    <row r="547">
      <c r="A547" s="131"/>
      <c r="B547" s="131"/>
      <c r="C547" s="131"/>
      <c r="D547" s="131"/>
      <c r="E547" s="131"/>
      <c r="F547" s="131"/>
    </row>
    <row r="548">
      <c r="A548" s="131"/>
      <c r="B548" s="131"/>
      <c r="C548" s="131"/>
      <c r="D548" s="131"/>
      <c r="E548" s="131"/>
      <c r="F548" s="131"/>
    </row>
    <row r="549">
      <c r="A549" s="131"/>
      <c r="B549" s="131"/>
      <c r="C549" s="131"/>
      <c r="D549" s="131"/>
      <c r="E549" s="131"/>
      <c r="F549" s="131"/>
    </row>
    <row r="550">
      <c r="A550" s="131"/>
      <c r="B550" s="131"/>
      <c r="C550" s="131"/>
      <c r="D550" s="131"/>
      <c r="E550" s="131"/>
      <c r="F550" s="131"/>
    </row>
    <row r="551">
      <c r="A551" s="131"/>
      <c r="B551" s="131"/>
      <c r="C551" s="131"/>
      <c r="D551" s="131"/>
      <c r="E551" s="131"/>
      <c r="F551" s="131"/>
    </row>
    <row r="552">
      <c r="A552" s="131"/>
      <c r="B552" s="131"/>
      <c r="C552" s="131"/>
      <c r="D552" s="131"/>
      <c r="E552" s="131"/>
      <c r="F552" s="131"/>
    </row>
    <row r="553">
      <c r="A553" s="131"/>
      <c r="B553" s="131"/>
      <c r="C553" s="131"/>
      <c r="D553" s="131"/>
      <c r="E553" s="131"/>
      <c r="F553" s="131"/>
    </row>
    <row r="554">
      <c r="A554" s="131"/>
      <c r="B554" s="131"/>
      <c r="C554" s="131"/>
      <c r="D554" s="131"/>
      <c r="E554" s="131"/>
      <c r="F554" s="131"/>
    </row>
    <row r="555">
      <c r="A555" s="131"/>
      <c r="B555" s="131"/>
      <c r="C555" s="131"/>
      <c r="D555" s="131"/>
      <c r="E555" s="131"/>
      <c r="F555" s="131"/>
    </row>
    <row r="556">
      <c r="A556" s="131"/>
      <c r="B556" s="131"/>
      <c r="C556" s="131"/>
      <c r="D556" s="131"/>
      <c r="E556" s="131"/>
      <c r="F556" s="131"/>
    </row>
    <row r="557">
      <c r="A557" s="131"/>
      <c r="B557" s="131"/>
      <c r="C557" s="131"/>
      <c r="D557" s="131"/>
      <c r="E557" s="131"/>
      <c r="F557" s="131"/>
    </row>
    <row r="558">
      <c r="A558" s="131"/>
      <c r="B558" s="131"/>
      <c r="C558" s="131"/>
      <c r="D558" s="131"/>
      <c r="E558" s="131"/>
      <c r="F558" s="131"/>
    </row>
    <row r="559">
      <c r="A559" s="131"/>
      <c r="B559" s="131"/>
      <c r="C559" s="131"/>
      <c r="D559" s="131"/>
      <c r="E559" s="131"/>
      <c r="F559" s="131"/>
    </row>
    <row r="560">
      <c r="A560" s="131"/>
      <c r="B560" s="131"/>
      <c r="C560" s="131"/>
      <c r="D560" s="131"/>
      <c r="E560" s="131"/>
      <c r="F560" s="131"/>
    </row>
    <row r="561">
      <c r="A561" s="131"/>
      <c r="B561" s="131"/>
      <c r="C561" s="131"/>
      <c r="D561" s="131"/>
      <c r="E561" s="131"/>
      <c r="F561" s="131"/>
    </row>
    <row r="562">
      <c r="A562" s="131"/>
      <c r="B562" s="131"/>
      <c r="C562" s="131"/>
      <c r="D562" s="131"/>
      <c r="E562" s="131"/>
      <c r="F562" s="131"/>
    </row>
    <row r="563">
      <c r="A563" s="131"/>
      <c r="B563" s="131"/>
      <c r="C563" s="131"/>
      <c r="D563" s="131"/>
      <c r="E563" s="131"/>
      <c r="F563" s="131"/>
    </row>
    <row r="564">
      <c r="A564" s="131"/>
      <c r="B564" s="131"/>
      <c r="C564" s="131"/>
      <c r="D564" s="131"/>
      <c r="E564" s="131"/>
      <c r="F564" s="131"/>
    </row>
    <row r="565">
      <c r="A565" s="131"/>
      <c r="B565" s="131"/>
      <c r="C565" s="131"/>
      <c r="D565" s="131"/>
      <c r="E565" s="131"/>
      <c r="F565" s="131"/>
    </row>
    <row r="566">
      <c r="A566" s="131"/>
      <c r="B566" s="131"/>
      <c r="C566" s="131"/>
      <c r="D566" s="131"/>
      <c r="E566" s="131"/>
      <c r="F566" s="131"/>
    </row>
    <row r="567">
      <c r="A567" s="131"/>
      <c r="B567" s="131"/>
      <c r="C567" s="131"/>
      <c r="D567" s="131"/>
      <c r="E567" s="131"/>
      <c r="F567" s="131"/>
    </row>
    <row r="568">
      <c r="A568" s="131"/>
      <c r="B568" s="131"/>
      <c r="C568" s="131"/>
      <c r="D568" s="131"/>
      <c r="E568" s="131"/>
      <c r="F568" s="131"/>
    </row>
    <row r="569">
      <c r="A569" s="131"/>
      <c r="B569" s="131"/>
      <c r="C569" s="131"/>
      <c r="D569" s="131"/>
      <c r="E569" s="131"/>
      <c r="F569" s="131"/>
    </row>
    <row r="570">
      <c r="A570" s="131"/>
      <c r="B570" s="131"/>
      <c r="C570" s="131"/>
      <c r="D570" s="131"/>
      <c r="E570" s="131"/>
      <c r="F570" s="131"/>
    </row>
    <row r="571">
      <c r="A571" s="131"/>
      <c r="B571" s="131"/>
      <c r="C571" s="131"/>
      <c r="D571" s="131"/>
      <c r="E571" s="131"/>
      <c r="F571" s="131"/>
    </row>
    <row r="572">
      <c r="A572" s="131"/>
      <c r="B572" s="131"/>
      <c r="C572" s="131"/>
      <c r="D572" s="131"/>
      <c r="E572" s="131"/>
      <c r="F572" s="131"/>
    </row>
    <row r="573">
      <c r="A573" s="131"/>
      <c r="B573" s="131"/>
      <c r="C573" s="131"/>
      <c r="D573" s="131"/>
      <c r="E573" s="131"/>
      <c r="F573" s="131"/>
    </row>
    <row r="574">
      <c r="A574" s="131"/>
      <c r="B574" s="131"/>
      <c r="C574" s="131"/>
      <c r="D574" s="131"/>
      <c r="E574" s="131"/>
      <c r="F574" s="131"/>
    </row>
    <row r="575">
      <c r="A575" s="131"/>
      <c r="B575" s="131"/>
      <c r="C575" s="131"/>
      <c r="D575" s="131"/>
      <c r="E575" s="131"/>
      <c r="F575" s="131"/>
    </row>
    <row r="576">
      <c r="A576" s="131"/>
      <c r="B576" s="131"/>
      <c r="C576" s="131"/>
      <c r="D576" s="131"/>
      <c r="E576" s="131"/>
      <c r="F576" s="131"/>
    </row>
    <row r="577">
      <c r="A577" s="131"/>
      <c r="B577" s="131"/>
      <c r="C577" s="131"/>
      <c r="D577" s="131"/>
      <c r="E577" s="131"/>
      <c r="F577" s="131"/>
    </row>
    <row r="578">
      <c r="A578" s="131"/>
      <c r="B578" s="131"/>
      <c r="C578" s="131"/>
      <c r="D578" s="131"/>
      <c r="E578" s="131"/>
      <c r="F578" s="131"/>
    </row>
    <row r="579">
      <c r="A579" s="131"/>
      <c r="B579" s="131"/>
      <c r="C579" s="131"/>
      <c r="D579" s="131"/>
      <c r="E579" s="131"/>
      <c r="F579" s="131"/>
    </row>
    <row r="580">
      <c r="A580" s="131"/>
      <c r="B580" s="131"/>
      <c r="C580" s="131"/>
      <c r="D580" s="131"/>
      <c r="E580" s="131"/>
      <c r="F580" s="131"/>
    </row>
    <row r="581">
      <c r="A581" s="131"/>
      <c r="B581" s="131"/>
      <c r="C581" s="131"/>
      <c r="D581" s="131"/>
      <c r="E581" s="131"/>
      <c r="F581" s="131"/>
    </row>
    <row r="582">
      <c r="A582" s="131"/>
      <c r="B582" s="131"/>
      <c r="C582" s="131"/>
      <c r="D582" s="131"/>
      <c r="E582" s="131"/>
      <c r="F582" s="131"/>
    </row>
    <row r="583">
      <c r="A583" s="131"/>
      <c r="B583" s="131"/>
      <c r="C583" s="131"/>
      <c r="D583" s="131"/>
      <c r="E583" s="131"/>
      <c r="F583" s="131"/>
    </row>
    <row r="584">
      <c r="A584" s="131"/>
      <c r="B584" s="131"/>
      <c r="C584" s="131"/>
      <c r="D584" s="131"/>
      <c r="E584" s="131"/>
      <c r="F584" s="131"/>
    </row>
    <row r="585">
      <c r="A585" s="131"/>
      <c r="B585" s="131"/>
      <c r="C585" s="131"/>
      <c r="D585" s="131"/>
      <c r="E585" s="131"/>
      <c r="F585" s="131"/>
    </row>
    <row r="586">
      <c r="A586" s="131"/>
      <c r="B586" s="131"/>
      <c r="C586" s="131"/>
      <c r="D586" s="131"/>
      <c r="E586" s="131"/>
      <c r="F586" s="131"/>
    </row>
    <row r="587">
      <c r="A587" s="131"/>
      <c r="B587" s="131"/>
      <c r="C587" s="131"/>
      <c r="D587" s="131"/>
      <c r="E587" s="131"/>
      <c r="F587" s="131"/>
    </row>
    <row r="588">
      <c r="A588" s="131"/>
      <c r="B588" s="131"/>
      <c r="C588" s="131"/>
      <c r="D588" s="131"/>
      <c r="E588" s="131"/>
      <c r="F588" s="131"/>
    </row>
    <row r="589">
      <c r="A589" s="131"/>
      <c r="B589" s="131"/>
      <c r="C589" s="131"/>
      <c r="D589" s="131"/>
      <c r="E589" s="131"/>
      <c r="F589" s="131"/>
    </row>
    <row r="590">
      <c r="A590" s="131"/>
      <c r="B590" s="131"/>
      <c r="C590" s="131"/>
      <c r="D590" s="131"/>
      <c r="E590" s="131"/>
      <c r="F590" s="131"/>
    </row>
    <row r="591">
      <c r="A591" s="131"/>
      <c r="B591" s="131"/>
      <c r="C591" s="131"/>
      <c r="D591" s="131"/>
      <c r="E591" s="131"/>
      <c r="F591" s="131"/>
    </row>
    <row r="592">
      <c r="A592" s="131"/>
      <c r="B592" s="131"/>
      <c r="C592" s="131"/>
      <c r="D592" s="131"/>
      <c r="E592" s="131"/>
      <c r="F592" s="131"/>
    </row>
    <row r="593">
      <c r="A593" s="131"/>
      <c r="B593" s="131"/>
      <c r="C593" s="131"/>
      <c r="D593" s="131"/>
      <c r="E593" s="131"/>
      <c r="F593" s="131"/>
    </row>
    <row r="594">
      <c r="A594" s="131"/>
      <c r="B594" s="131"/>
      <c r="C594" s="131"/>
      <c r="D594" s="131"/>
      <c r="E594" s="131"/>
      <c r="F594" s="131"/>
    </row>
    <row r="595">
      <c r="A595" s="131"/>
      <c r="B595" s="131"/>
      <c r="C595" s="131"/>
      <c r="D595" s="131"/>
      <c r="E595" s="131"/>
      <c r="F595" s="131"/>
    </row>
    <row r="596">
      <c r="A596" s="131"/>
      <c r="B596" s="131"/>
      <c r="C596" s="131"/>
      <c r="D596" s="131"/>
      <c r="E596" s="131"/>
      <c r="F596" s="131"/>
    </row>
    <row r="597">
      <c r="A597" s="131"/>
      <c r="B597" s="131"/>
      <c r="C597" s="131"/>
      <c r="D597" s="131"/>
      <c r="E597" s="131"/>
      <c r="F597" s="131"/>
    </row>
    <row r="598">
      <c r="A598" s="131"/>
      <c r="B598" s="131"/>
      <c r="C598" s="131"/>
      <c r="D598" s="131"/>
      <c r="E598" s="131"/>
      <c r="F598" s="131"/>
    </row>
    <row r="599">
      <c r="A599" s="131"/>
      <c r="B599" s="131"/>
      <c r="C599" s="131"/>
      <c r="D599" s="131"/>
      <c r="E599" s="131"/>
      <c r="F599" s="131"/>
    </row>
    <row r="600">
      <c r="A600" s="131"/>
      <c r="B600" s="131"/>
      <c r="C600" s="131"/>
      <c r="D600" s="131"/>
      <c r="E600" s="131"/>
      <c r="F600" s="131"/>
    </row>
    <row r="601">
      <c r="A601" s="131"/>
      <c r="B601" s="131"/>
      <c r="C601" s="131"/>
      <c r="D601" s="131"/>
      <c r="E601" s="131"/>
      <c r="F601" s="131"/>
    </row>
    <row r="602">
      <c r="A602" s="131"/>
      <c r="B602" s="131"/>
      <c r="C602" s="131"/>
      <c r="D602" s="131"/>
      <c r="E602" s="131"/>
      <c r="F602" s="131"/>
    </row>
    <row r="603">
      <c r="A603" s="131"/>
      <c r="B603" s="131"/>
      <c r="C603" s="131"/>
      <c r="D603" s="131"/>
      <c r="E603" s="131"/>
      <c r="F603" s="131"/>
    </row>
    <row r="604">
      <c r="A604" s="131"/>
      <c r="B604" s="131"/>
      <c r="C604" s="131"/>
      <c r="D604" s="131"/>
      <c r="E604" s="131"/>
      <c r="F604" s="131"/>
    </row>
    <row r="605">
      <c r="A605" s="131"/>
      <c r="B605" s="131"/>
      <c r="C605" s="131"/>
      <c r="D605" s="131"/>
      <c r="E605" s="131"/>
      <c r="F605" s="131"/>
    </row>
    <row r="606">
      <c r="A606" s="131"/>
      <c r="B606" s="131"/>
      <c r="C606" s="131"/>
      <c r="D606" s="131"/>
      <c r="E606" s="131"/>
      <c r="F606" s="131"/>
    </row>
    <row r="607">
      <c r="A607" s="131"/>
      <c r="B607" s="131"/>
      <c r="C607" s="131"/>
      <c r="D607" s="131"/>
      <c r="E607" s="131"/>
      <c r="F607" s="131"/>
    </row>
    <row r="608">
      <c r="A608" s="131"/>
      <c r="B608" s="131"/>
      <c r="C608" s="131"/>
      <c r="D608" s="131"/>
      <c r="E608" s="131"/>
      <c r="F608" s="131"/>
    </row>
    <row r="609">
      <c r="A609" s="131"/>
      <c r="B609" s="131"/>
      <c r="C609" s="131"/>
      <c r="D609" s="131"/>
      <c r="E609" s="131"/>
      <c r="F609" s="131"/>
    </row>
    <row r="610">
      <c r="A610" s="131"/>
      <c r="B610" s="131"/>
      <c r="C610" s="131"/>
      <c r="D610" s="131"/>
      <c r="E610" s="131"/>
      <c r="F610" s="131"/>
    </row>
    <row r="611">
      <c r="A611" s="131"/>
      <c r="B611" s="131"/>
      <c r="C611" s="131"/>
      <c r="D611" s="131"/>
      <c r="E611" s="131"/>
      <c r="F611" s="131"/>
    </row>
    <row r="612">
      <c r="A612" s="131"/>
      <c r="B612" s="131"/>
      <c r="C612" s="131"/>
      <c r="D612" s="131"/>
      <c r="E612" s="131"/>
      <c r="F612" s="131"/>
    </row>
    <row r="613">
      <c r="A613" s="131"/>
      <c r="B613" s="131"/>
      <c r="C613" s="131"/>
      <c r="D613" s="131"/>
      <c r="E613" s="131"/>
      <c r="F613" s="131"/>
    </row>
    <row r="614">
      <c r="A614" s="131"/>
      <c r="B614" s="131"/>
      <c r="C614" s="131"/>
      <c r="D614" s="131"/>
      <c r="E614" s="131"/>
      <c r="F614" s="131"/>
    </row>
    <row r="615">
      <c r="A615" s="131"/>
      <c r="B615" s="131"/>
      <c r="C615" s="131"/>
      <c r="D615" s="131"/>
      <c r="E615" s="131"/>
      <c r="F615" s="131"/>
    </row>
    <row r="616">
      <c r="A616" s="131"/>
      <c r="B616" s="131"/>
      <c r="C616" s="131"/>
      <c r="D616" s="131"/>
      <c r="E616" s="131"/>
      <c r="F616" s="131"/>
    </row>
    <row r="617">
      <c r="A617" s="131"/>
      <c r="B617" s="131"/>
      <c r="C617" s="131"/>
      <c r="D617" s="131"/>
      <c r="E617" s="131"/>
      <c r="F617" s="131"/>
    </row>
    <row r="618">
      <c r="A618" s="131"/>
      <c r="B618" s="131"/>
      <c r="C618" s="131"/>
      <c r="D618" s="131"/>
      <c r="E618" s="131"/>
      <c r="F618" s="131"/>
    </row>
    <row r="619">
      <c r="A619" s="131"/>
      <c r="B619" s="131"/>
      <c r="C619" s="131"/>
      <c r="D619" s="131"/>
      <c r="E619" s="131"/>
      <c r="F619" s="131"/>
    </row>
    <row r="620">
      <c r="A620" s="131"/>
      <c r="B620" s="131"/>
      <c r="C620" s="131"/>
      <c r="D620" s="131"/>
      <c r="E620" s="131"/>
      <c r="F620" s="131"/>
    </row>
    <row r="621">
      <c r="A621" s="131"/>
      <c r="B621" s="131"/>
      <c r="C621" s="131"/>
      <c r="D621" s="131"/>
      <c r="E621" s="131"/>
      <c r="F621" s="131"/>
    </row>
    <row r="622">
      <c r="A622" s="131"/>
      <c r="B622" s="131"/>
      <c r="C622" s="131"/>
      <c r="D622" s="131"/>
      <c r="E622" s="131"/>
      <c r="F622" s="131"/>
    </row>
    <row r="623">
      <c r="A623" s="131"/>
      <c r="B623" s="131"/>
      <c r="C623" s="131"/>
      <c r="D623" s="131"/>
      <c r="E623" s="131"/>
      <c r="F623" s="131"/>
    </row>
    <row r="624">
      <c r="A624" s="131"/>
      <c r="B624" s="131"/>
      <c r="C624" s="131"/>
      <c r="D624" s="131"/>
      <c r="E624" s="131"/>
      <c r="F624" s="131"/>
    </row>
    <row r="625">
      <c r="A625" s="131"/>
      <c r="B625" s="131"/>
      <c r="C625" s="131"/>
      <c r="D625" s="131"/>
      <c r="E625" s="131"/>
      <c r="F625" s="131"/>
    </row>
    <row r="626">
      <c r="A626" s="131"/>
      <c r="B626" s="131"/>
      <c r="C626" s="131"/>
      <c r="D626" s="131"/>
      <c r="E626" s="131"/>
      <c r="F626" s="131"/>
    </row>
    <row r="627">
      <c r="A627" s="131"/>
      <c r="B627" s="131"/>
      <c r="C627" s="131"/>
      <c r="D627" s="131"/>
      <c r="E627" s="131"/>
      <c r="F627" s="131"/>
    </row>
    <row r="628">
      <c r="A628" s="131"/>
      <c r="B628" s="131"/>
      <c r="C628" s="131"/>
      <c r="D628" s="131"/>
      <c r="E628" s="131"/>
      <c r="F628" s="131"/>
    </row>
    <row r="629">
      <c r="A629" s="131"/>
      <c r="B629" s="131"/>
      <c r="C629" s="131"/>
      <c r="D629" s="131"/>
      <c r="E629" s="131"/>
      <c r="F629" s="131"/>
    </row>
    <row r="630">
      <c r="A630" s="131"/>
      <c r="B630" s="131"/>
      <c r="C630" s="131"/>
      <c r="D630" s="131"/>
      <c r="E630" s="131"/>
      <c r="F630" s="131"/>
    </row>
    <row r="631">
      <c r="A631" s="131"/>
      <c r="B631" s="131"/>
      <c r="C631" s="131"/>
      <c r="D631" s="131"/>
      <c r="E631" s="131"/>
      <c r="F631" s="131"/>
    </row>
    <row r="632">
      <c r="A632" s="131"/>
      <c r="B632" s="131"/>
      <c r="C632" s="131"/>
      <c r="D632" s="131"/>
      <c r="E632" s="131"/>
      <c r="F632" s="131"/>
    </row>
    <row r="633">
      <c r="A633" s="131"/>
      <c r="B633" s="131"/>
      <c r="C633" s="131"/>
      <c r="D633" s="131"/>
      <c r="E633" s="131"/>
      <c r="F633" s="131"/>
    </row>
    <row r="634">
      <c r="A634" s="131"/>
      <c r="B634" s="131"/>
      <c r="C634" s="131"/>
      <c r="D634" s="131"/>
      <c r="E634" s="131"/>
      <c r="F634" s="131"/>
    </row>
    <row r="635">
      <c r="A635" s="131"/>
      <c r="B635" s="131"/>
      <c r="C635" s="131"/>
      <c r="D635" s="131"/>
      <c r="E635" s="131"/>
      <c r="F635" s="131"/>
    </row>
    <row r="636">
      <c r="A636" s="131"/>
      <c r="B636" s="131"/>
      <c r="C636" s="131"/>
      <c r="D636" s="131"/>
      <c r="E636" s="131"/>
      <c r="F636" s="131"/>
    </row>
    <row r="637">
      <c r="A637" s="131"/>
      <c r="B637" s="131"/>
      <c r="C637" s="131"/>
      <c r="D637" s="131"/>
      <c r="E637" s="131"/>
      <c r="F637" s="131"/>
    </row>
    <row r="638">
      <c r="A638" s="131"/>
      <c r="B638" s="131"/>
      <c r="C638" s="131"/>
      <c r="D638" s="131"/>
      <c r="E638" s="131"/>
      <c r="F638" s="131"/>
    </row>
    <row r="639">
      <c r="A639" s="131"/>
      <c r="B639" s="131"/>
      <c r="C639" s="131"/>
      <c r="D639" s="131"/>
      <c r="E639" s="131"/>
      <c r="F639" s="131"/>
    </row>
    <row r="640">
      <c r="A640" s="131"/>
      <c r="B640" s="131"/>
      <c r="C640" s="131"/>
      <c r="D640" s="131"/>
      <c r="E640" s="131"/>
      <c r="F640" s="131"/>
    </row>
    <row r="641">
      <c r="A641" s="131"/>
      <c r="B641" s="131"/>
      <c r="C641" s="131"/>
      <c r="D641" s="131"/>
      <c r="E641" s="131"/>
      <c r="F641" s="131"/>
    </row>
    <row r="642">
      <c r="A642" s="131"/>
      <c r="B642" s="131"/>
      <c r="C642" s="131"/>
      <c r="D642" s="131"/>
      <c r="E642" s="131"/>
      <c r="F642" s="131"/>
    </row>
    <row r="643">
      <c r="A643" s="131"/>
      <c r="B643" s="131"/>
      <c r="C643" s="131"/>
      <c r="D643" s="131"/>
      <c r="E643" s="131"/>
      <c r="F643" s="131"/>
    </row>
    <row r="644">
      <c r="A644" s="131"/>
      <c r="B644" s="131"/>
      <c r="C644" s="131"/>
      <c r="D644" s="131"/>
      <c r="E644" s="131"/>
      <c r="F644" s="131"/>
    </row>
    <row r="645">
      <c r="A645" s="131"/>
      <c r="B645" s="131"/>
      <c r="C645" s="131"/>
      <c r="D645" s="131"/>
      <c r="E645" s="131"/>
      <c r="F645" s="131"/>
    </row>
    <row r="646">
      <c r="A646" s="131"/>
      <c r="B646" s="131"/>
      <c r="C646" s="131"/>
      <c r="D646" s="131"/>
      <c r="E646" s="131"/>
      <c r="F646" s="131"/>
    </row>
    <row r="647">
      <c r="A647" s="131"/>
      <c r="B647" s="131"/>
      <c r="C647" s="131"/>
      <c r="D647" s="131"/>
      <c r="E647" s="131"/>
      <c r="F647" s="131"/>
    </row>
    <row r="648">
      <c r="A648" s="131"/>
      <c r="B648" s="131"/>
      <c r="C648" s="131"/>
      <c r="D648" s="131"/>
      <c r="E648" s="131"/>
      <c r="F648" s="131"/>
    </row>
    <row r="649">
      <c r="A649" s="131"/>
      <c r="B649" s="131"/>
      <c r="C649" s="131"/>
      <c r="D649" s="131"/>
      <c r="E649" s="131"/>
      <c r="F649" s="131"/>
    </row>
    <row r="650">
      <c r="A650" s="131"/>
      <c r="B650" s="131"/>
      <c r="C650" s="131"/>
      <c r="D650" s="131"/>
      <c r="E650" s="131"/>
      <c r="F650" s="131"/>
    </row>
    <row r="651">
      <c r="A651" s="131"/>
      <c r="B651" s="131"/>
      <c r="C651" s="131"/>
      <c r="D651" s="131"/>
      <c r="E651" s="131"/>
      <c r="F651" s="131"/>
    </row>
    <row r="652">
      <c r="A652" s="131"/>
      <c r="B652" s="131"/>
      <c r="C652" s="131"/>
      <c r="D652" s="131"/>
      <c r="E652" s="131"/>
      <c r="F652" s="131"/>
    </row>
    <row r="653">
      <c r="A653" s="131"/>
      <c r="B653" s="131"/>
      <c r="C653" s="131"/>
      <c r="D653" s="131"/>
      <c r="E653" s="131"/>
      <c r="F653" s="131"/>
    </row>
    <row r="654">
      <c r="A654" s="131"/>
      <c r="B654" s="131"/>
      <c r="C654" s="131"/>
      <c r="D654" s="131"/>
      <c r="E654" s="131"/>
      <c r="F654" s="131"/>
    </row>
    <row r="655">
      <c r="A655" s="131"/>
      <c r="B655" s="131"/>
      <c r="C655" s="131"/>
      <c r="D655" s="131"/>
      <c r="E655" s="131"/>
      <c r="F655" s="131"/>
    </row>
    <row r="656">
      <c r="A656" s="131"/>
      <c r="B656" s="131"/>
      <c r="C656" s="131"/>
      <c r="D656" s="131"/>
      <c r="E656" s="131"/>
      <c r="F656" s="131"/>
    </row>
    <row r="657">
      <c r="A657" s="131"/>
      <c r="B657" s="131"/>
      <c r="C657" s="131"/>
      <c r="D657" s="131"/>
      <c r="E657" s="131"/>
      <c r="F657" s="131"/>
    </row>
    <row r="658">
      <c r="A658" s="131"/>
      <c r="B658" s="131"/>
      <c r="C658" s="131"/>
      <c r="D658" s="131"/>
      <c r="E658" s="131"/>
      <c r="F658" s="131"/>
    </row>
    <row r="659">
      <c r="A659" s="131"/>
      <c r="B659" s="131"/>
      <c r="C659" s="131"/>
      <c r="D659" s="131"/>
      <c r="E659" s="131"/>
      <c r="F659" s="131"/>
    </row>
    <row r="660">
      <c r="A660" s="131"/>
      <c r="B660" s="131"/>
      <c r="C660" s="131"/>
      <c r="D660" s="131"/>
      <c r="E660" s="131"/>
      <c r="F660" s="131"/>
    </row>
    <row r="661">
      <c r="A661" s="131"/>
      <c r="B661" s="131"/>
      <c r="C661" s="131"/>
      <c r="D661" s="131"/>
      <c r="E661" s="131"/>
      <c r="F661" s="131"/>
    </row>
    <row r="662">
      <c r="A662" s="131"/>
      <c r="B662" s="131"/>
      <c r="C662" s="131"/>
      <c r="D662" s="131"/>
      <c r="E662" s="131"/>
      <c r="F662" s="131"/>
    </row>
    <row r="663">
      <c r="A663" s="131"/>
      <c r="B663" s="131"/>
      <c r="C663" s="131"/>
      <c r="D663" s="131"/>
      <c r="E663" s="131"/>
      <c r="F663" s="131"/>
    </row>
    <row r="664">
      <c r="A664" s="131"/>
      <c r="B664" s="131"/>
      <c r="C664" s="131"/>
      <c r="D664" s="131"/>
      <c r="E664" s="131"/>
      <c r="F664" s="131"/>
    </row>
    <row r="665">
      <c r="A665" s="131"/>
      <c r="B665" s="131"/>
      <c r="C665" s="131"/>
      <c r="D665" s="131"/>
      <c r="E665" s="131"/>
      <c r="F665" s="131"/>
    </row>
    <row r="666">
      <c r="A666" s="131"/>
      <c r="B666" s="131"/>
      <c r="C666" s="131"/>
      <c r="D666" s="131"/>
      <c r="E666" s="131"/>
      <c r="F666" s="131"/>
    </row>
    <row r="667">
      <c r="A667" s="131"/>
      <c r="B667" s="131"/>
      <c r="C667" s="131"/>
      <c r="D667" s="131"/>
      <c r="E667" s="131"/>
      <c r="F667" s="131"/>
    </row>
    <row r="668">
      <c r="A668" s="131"/>
      <c r="B668" s="131"/>
      <c r="C668" s="131"/>
      <c r="D668" s="131"/>
      <c r="E668" s="131"/>
      <c r="F668" s="131"/>
    </row>
    <row r="669">
      <c r="A669" s="131"/>
      <c r="B669" s="131"/>
      <c r="C669" s="131"/>
      <c r="D669" s="131"/>
      <c r="E669" s="131"/>
      <c r="F669" s="131"/>
    </row>
    <row r="670">
      <c r="A670" s="131"/>
      <c r="B670" s="131"/>
      <c r="C670" s="131"/>
      <c r="D670" s="131"/>
      <c r="E670" s="131"/>
      <c r="F670" s="131"/>
    </row>
    <row r="671">
      <c r="A671" s="131"/>
      <c r="B671" s="131"/>
      <c r="C671" s="131"/>
      <c r="D671" s="131"/>
      <c r="E671" s="131"/>
      <c r="F671" s="131"/>
    </row>
    <row r="672">
      <c r="A672" s="131"/>
      <c r="B672" s="131"/>
      <c r="C672" s="131"/>
      <c r="D672" s="131"/>
      <c r="E672" s="131"/>
      <c r="F672" s="131"/>
    </row>
    <row r="673">
      <c r="A673" s="131"/>
      <c r="B673" s="131"/>
      <c r="C673" s="131"/>
      <c r="D673" s="131"/>
      <c r="E673" s="131"/>
      <c r="F673" s="131"/>
    </row>
    <row r="674">
      <c r="A674" s="131"/>
      <c r="B674" s="131"/>
      <c r="C674" s="131"/>
      <c r="D674" s="131"/>
      <c r="E674" s="131"/>
      <c r="F674" s="131"/>
    </row>
    <row r="675">
      <c r="A675" s="131"/>
      <c r="B675" s="131"/>
      <c r="C675" s="131"/>
      <c r="D675" s="131"/>
      <c r="E675" s="131"/>
      <c r="F675" s="131"/>
    </row>
    <row r="676">
      <c r="A676" s="131"/>
      <c r="B676" s="131"/>
      <c r="C676" s="131"/>
      <c r="D676" s="131"/>
      <c r="E676" s="131"/>
      <c r="F676" s="131"/>
    </row>
    <row r="677">
      <c r="A677" s="131"/>
      <c r="B677" s="131"/>
      <c r="C677" s="131"/>
      <c r="D677" s="131"/>
      <c r="E677" s="131"/>
      <c r="F677" s="131"/>
    </row>
    <row r="678">
      <c r="A678" s="131"/>
      <c r="B678" s="131"/>
      <c r="C678" s="131"/>
      <c r="D678" s="131"/>
      <c r="E678" s="131"/>
      <c r="F678" s="131"/>
    </row>
    <row r="679">
      <c r="A679" s="131"/>
      <c r="B679" s="131"/>
      <c r="C679" s="131"/>
      <c r="D679" s="131"/>
      <c r="E679" s="131"/>
      <c r="F679" s="131"/>
    </row>
    <row r="680">
      <c r="A680" s="131"/>
      <c r="B680" s="131"/>
      <c r="C680" s="131"/>
      <c r="D680" s="131"/>
      <c r="E680" s="131"/>
      <c r="F680" s="131"/>
    </row>
    <row r="681">
      <c r="A681" s="131"/>
      <c r="B681" s="131"/>
      <c r="C681" s="131"/>
      <c r="D681" s="131"/>
      <c r="E681" s="131"/>
      <c r="F681" s="131"/>
    </row>
    <row r="682">
      <c r="A682" s="131"/>
      <c r="B682" s="131"/>
      <c r="C682" s="131"/>
      <c r="D682" s="131"/>
      <c r="E682" s="131"/>
      <c r="F682" s="131"/>
    </row>
    <row r="683">
      <c r="A683" s="131"/>
      <c r="B683" s="131"/>
      <c r="C683" s="131"/>
      <c r="D683" s="131"/>
      <c r="E683" s="131"/>
      <c r="F683" s="131"/>
    </row>
    <row r="684">
      <c r="A684" s="131"/>
      <c r="B684" s="131"/>
      <c r="C684" s="131"/>
      <c r="D684" s="131"/>
      <c r="E684" s="131"/>
      <c r="F684" s="131"/>
    </row>
    <row r="685">
      <c r="A685" s="131"/>
      <c r="B685" s="131"/>
      <c r="C685" s="131"/>
      <c r="D685" s="131"/>
      <c r="E685" s="131"/>
      <c r="F685" s="131"/>
    </row>
    <row r="686">
      <c r="A686" s="131"/>
      <c r="B686" s="131"/>
      <c r="C686" s="131"/>
      <c r="D686" s="131"/>
      <c r="E686" s="131"/>
      <c r="F686" s="131"/>
    </row>
    <row r="687">
      <c r="A687" s="131"/>
      <c r="B687" s="131"/>
      <c r="C687" s="131"/>
      <c r="D687" s="131"/>
      <c r="E687" s="131"/>
      <c r="F687" s="131"/>
    </row>
    <row r="688">
      <c r="A688" s="131"/>
      <c r="B688" s="131"/>
      <c r="C688" s="131"/>
      <c r="D688" s="131"/>
      <c r="E688" s="131"/>
      <c r="F688" s="131"/>
    </row>
    <row r="689">
      <c r="A689" s="131"/>
      <c r="B689" s="131"/>
      <c r="C689" s="131"/>
      <c r="D689" s="131"/>
      <c r="E689" s="131"/>
      <c r="F689" s="131"/>
    </row>
    <row r="690">
      <c r="A690" s="131"/>
      <c r="B690" s="131"/>
      <c r="C690" s="131"/>
      <c r="D690" s="131"/>
      <c r="E690" s="131"/>
      <c r="F690" s="131"/>
    </row>
    <row r="691">
      <c r="A691" s="131"/>
      <c r="B691" s="131"/>
      <c r="C691" s="131"/>
      <c r="D691" s="131"/>
      <c r="E691" s="131"/>
      <c r="F691" s="131"/>
    </row>
    <row r="692">
      <c r="A692" s="131"/>
      <c r="B692" s="131"/>
      <c r="C692" s="131"/>
      <c r="D692" s="131"/>
      <c r="E692" s="131"/>
      <c r="F692" s="131"/>
    </row>
    <row r="693">
      <c r="A693" s="131"/>
      <c r="B693" s="131"/>
      <c r="C693" s="131"/>
      <c r="D693" s="131"/>
      <c r="E693" s="131"/>
      <c r="F693" s="131"/>
    </row>
    <row r="694">
      <c r="A694" s="131"/>
      <c r="B694" s="131"/>
      <c r="C694" s="131"/>
      <c r="D694" s="131"/>
      <c r="E694" s="131"/>
      <c r="F694" s="131"/>
    </row>
    <row r="695">
      <c r="A695" s="131"/>
      <c r="B695" s="131"/>
      <c r="C695" s="131"/>
      <c r="D695" s="131"/>
      <c r="E695" s="131"/>
      <c r="F695" s="131"/>
    </row>
    <row r="696">
      <c r="A696" s="131"/>
      <c r="B696" s="131"/>
      <c r="C696" s="131"/>
      <c r="D696" s="131"/>
      <c r="E696" s="131"/>
      <c r="F696" s="131"/>
    </row>
    <row r="697">
      <c r="A697" s="131"/>
      <c r="B697" s="131"/>
      <c r="C697" s="131"/>
      <c r="D697" s="131"/>
      <c r="E697" s="131"/>
      <c r="F697" s="131"/>
    </row>
    <row r="698">
      <c r="A698" s="131"/>
      <c r="B698" s="131"/>
      <c r="C698" s="131"/>
      <c r="D698" s="131"/>
      <c r="E698" s="131"/>
      <c r="F698" s="131"/>
    </row>
    <row r="699">
      <c r="A699" s="131"/>
      <c r="B699" s="131"/>
      <c r="C699" s="131"/>
      <c r="D699" s="131"/>
      <c r="E699" s="131"/>
      <c r="F699" s="131"/>
    </row>
    <row r="700">
      <c r="A700" s="131"/>
      <c r="B700" s="131"/>
      <c r="C700" s="131"/>
      <c r="D700" s="131"/>
      <c r="E700" s="131"/>
      <c r="F700" s="131"/>
    </row>
    <row r="701">
      <c r="A701" s="131"/>
      <c r="B701" s="131"/>
      <c r="C701" s="131"/>
      <c r="D701" s="131"/>
      <c r="E701" s="131"/>
      <c r="F701" s="131"/>
    </row>
    <row r="702">
      <c r="A702" s="131"/>
      <c r="B702" s="131"/>
      <c r="C702" s="131"/>
      <c r="D702" s="131"/>
      <c r="E702" s="131"/>
      <c r="F702" s="131"/>
    </row>
    <row r="703">
      <c r="A703" s="131"/>
      <c r="B703" s="131"/>
      <c r="C703" s="131"/>
      <c r="D703" s="131"/>
      <c r="E703" s="131"/>
      <c r="F703" s="131"/>
    </row>
    <row r="704">
      <c r="A704" s="131"/>
      <c r="B704" s="131"/>
      <c r="C704" s="131"/>
      <c r="D704" s="131"/>
      <c r="E704" s="131"/>
      <c r="F704" s="131"/>
    </row>
    <row r="705">
      <c r="A705" s="131"/>
      <c r="B705" s="131"/>
      <c r="C705" s="131"/>
      <c r="D705" s="131"/>
      <c r="E705" s="131"/>
      <c r="F705" s="131"/>
    </row>
    <row r="706">
      <c r="A706" s="131"/>
      <c r="B706" s="131"/>
      <c r="C706" s="131"/>
      <c r="D706" s="131"/>
      <c r="E706" s="131"/>
      <c r="F706" s="131"/>
    </row>
    <row r="707">
      <c r="A707" s="131"/>
      <c r="B707" s="131"/>
      <c r="C707" s="131"/>
      <c r="D707" s="131"/>
      <c r="E707" s="131"/>
      <c r="F707" s="131"/>
    </row>
    <row r="708">
      <c r="A708" s="131"/>
      <c r="B708" s="131"/>
      <c r="C708" s="131"/>
      <c r="D708" s="131"/>
      <c r="E708" s="131"/>
      <c r="F708" s="131"/>
    </row>
    <row r="709">
      <c r="A709" s="131"/>
      <c r="B709" s="131"/>
      <c r="C709" s="131"/>
      <c r="D709" s="131"/>
      <c r="E709" s="131"/>
      <c r="F709" s="131"/>
    </row>
    <row r="710">
      <c r="A710" s="131"/>
      <c r="B710" s="131"/>
      <c r="C710" s="131"/>
      <c r="D710" s="131"/>
      <c r="E710" s="131"/>
      <c r="F710" s="131"/>
    </row>
    <row r="711">
      <c r="A711" s="131"/>
      <c r="B711" s="131"/>
      <c r="C711" s="131"/>
      <c r="D711" s="131"/>
      <c r="E711" s="131"/>
      <c r="F711" s="131"/>
    </row>
    <row r="712">
      <c r="A712" s="131"/>
      <c r="B712" s="131"/>
      <c r="C712" s="131"/>
      <c r="D712" s="131"/>
      <c r="E712" s="131"/>
      <c r="F712" s="131"/>
    </row>
    <row r="713">
      <c r="A713" s="131"/>
      <c r="B713" s="131"/>
      <c r="C713" s="131"/>
      <c r="D713" s="131"/>
      <c r="E713" s="131"/>
      <c r="F713" s="131"/>
    </row>
    <row r="714">
      <c r="A714" s="131"/>
      <c r="B714" s="131"/>
      <c r="C714" s="131"/>
      <c r="D714" s="131"/>
      <c r="E714" s="131"/>
      <c r="F714" s="131"/>
    </row>
    <row r="715">
      <c r="A715" s="131"/>
      <c r="B715" s="131"/>
      <c r="C715" s="131"/>
      <c r="D715" s="131"/>
      <c r="E715" s="131"/>
      <c r="F715" s="131"/>
    </row>
    <row r="716">
      <c r="A716" s="131"/>
      <c r="B716" s="131"/>
      <c r="C716" s="131"/>
      <c r="D716" s="131"/>
      <c r="E716" s="131"/>
      <c r="F716" s="131"/>
    </row>
    <row r="717">
      <c r="A717" s="131"/>
      <c r="B717" s="131"/>
      <c r="C717" s="131"/>
      <c r="D717" s="131"/>
      <c r="E717" s="131"/>
      <c r="F717" s="131"/>
    </row>
    <row r="718">
      <c r="A718" s="131"/>
      <c r="B718" s="131"/>
      <c r="C718" s="131"/>
      <c r="D718" s="131"/>
      <c r="E718" s="131"/>
      <c r="F718" s="131"/>
    </row>
    <row r="719">
      <c r="A719" s="131"/>
      <c r="B719" s="131"/>
      <c r="C719" s="131"/>
      <c r="D719" s="131"/>
      <c r="E719" s="131"/>
      <c r="F719" s="131"/>
    </row>
    <row r="720">
      <c r="A720" s="131"/>
      <c r="B720" s="131"/>
      <c r="C720" s="131"/>
      <c r="D720" s="131"/>
      <c r="E720" s="131"/>
      <c r="F720" s="131"/>
    </row>
    <row r="721">
      <c r="A721" s="131"/>
      <c r="B721" s="131"/>
      <c r="C721" s="131"/>
      <c r="D721" s="131"/>
      <c r="E721" s="131"/>
      <c r="F721" s="131"/>
    </row>
    <row r="722">
      <c r="A722" s="131"/>
      <c r="B722" s="131"/>
      <c r="C722" s="131"/>
      <c r="D722" s="131"/>
      <c r="E722" s="131"/>
      <c r="F722" s="131"/>
    </row>
    <row r="723">
      <c r="A723" s="131"/>
      <c r="B723" s="131"/>
      <c r="C723" s="131"/>
      <c r="D723" s="131"/>
      <c r="E723" s="131"/>
      <c r="F723" s="131"/>
    </row>
    <row r="724">
      <c r="A724" s="131"/>
      <c r="B724" s="131"/>
      <c r="C724" s="131"/>
      <c r="D724" s="131"/>
      <c r="E724" s="131"/>
      <c r="F724" s="131"/>
    </row>
    <row r="725">
      <c r="A725" s="131"/>
      <c r="B725" s="131"/>
      <c r="C725" s="131"/>
      <c r="D725" s="131"/>
      <c r="E725" s="131"/>
      <c r="F725" s="131"/>
    </row>
    <row r="726">
      <c r="A726" s="131"/>
      <c r="B726" s="131"/>
      <c r="C726" s="131"/>
      <c r="D726" s="131"/>
      <c r="E726" s="131"/>
      <c r="F726" s="131"/>
    </row>
    <row r="727">
      <c r="A727" s="131"/>
      <c r="B727" s="131"/>
      <c r="C727" s="131"/>
      <c r="D727" s="131"/>
      <c r="E727" s="131"/>
      <c r="F727" s="131"/>
    </row>
    <row r="728">
      <c r="A728" s="131"/>
      <c r="B728" s="131"/>
      <c r="C728" s="131"/>
      <c r="D728" s="131"/>
      <c r="E728" s="131"/>
      <c r="F728" s="131"/>
    </row>
    <row r="729">
      <c r="A729" s="131"/>
      <c r="B729" s="131"/>
      <c r="C729" s="131"/>
      <c r="D729" s="131"/>
      <c r="E729" s="131"/>
      <c r="F729" s="131"/>
    </row>
    <row r="730">
      <c r="A730" s="131"/>
      <c r="B730" s="131"/>
      <c r="C730" s="131"/>
      <c r="D730" s="131"/>
      <c r="E730" s="131"/>
      <c r="F730" s="131"/>
    </row>
    <row r="731">
      <c r="A731" s="131"/>
      <c r="B731" s="131"/>
      <c r="C731" s="131"/>
      <c r="D731" s="131"/>
      <c r="E731" s="131"/>
      <c r="F731" s="131"/>
    </row>
    <row r="732">
      <c r="A732" s="131"/>
      <c r="B732" s="131"/>
      <c r="C732" s="131"/>
      <c r="D732" s="131"/>
      <c r="E732" s="131"/>
      <c r="F732" s="131"/>
    </row>
    <row r="733">
      <c r="A733" s="131"/>
      <c r="B733" s="131"/>
      <c r="C733" s="131"/>
      <c r="D733" s="131"/>
      <c r="E733" s="131"/>
      <c r="F733" s="131"/>
    </row>
    <row r="734">
      <c r="A734" s="131"/>
      <c r="B734" s="131"/>
      <c r="C734" s="131"/>
      <c r="D734" s="131"/>
      <c r="E734" s="131"/>
      <c r="F734" s="131"/>
    </row>
    <row r="735">
      <c r="A735" s="131"/>
      <c r="B735" s="131"/>
      <c r="C735" s="131"/>
      <c r="D735" s="131"/>
      <c r="E735" s="131"/>
      <c r="F735" s="131"/>
    </row>
    <row r="736">
      <c r="A736" s="131"/>
      <c r="B736" s="131"/>
      <c r="C736" s="131"/>
      <c r="D736" s="131"/>
      <c r="E736" s="131"/>
      <c r="F736" s="131"/>
    </row>
    <row r="737">
      <c r="A737" s="131"/>
      <c r="B737" s="131"/>
      <c r="C737" s="131"/>
      <c r="D737" s="131"/>
      <c r="E737" s="131"/>
      <c r="F737" s="131"/>
    </row>
    <row r="738">
      <c r="A738" s="131"/>
      <c r="B738" s="131"/>
      <c r="C738" s="131"/>
      <c r="D738" s="131"/>
      <c r="E738" s="131"/>
      <c r="F738" s="131"/>
    </row>
    <row r="739">
      <c r="A739" s="131"/>
      <c r="B739" s="131"/>
      <c r="C739" s="131"/>
      <c r="D739" s="131"/>
      <c r="E739" s="131"/>
      <c r="F739" s="131"/>
    </row>
    <row r="740">
      <c r="A740" s="131"/>
      <c r="B740" s="131"/>
      <c r="C740" s="131"/>
      <c r="D740" s="131"/>
      <c r="E740" s="131"/>
      <c r="F740" s="131"/>
    </row>
    <row r="741">
      <c r="A741" s="131"/>
      <c r="B741" s="131"/>
      <c r="C741" s="131"/>
      <c r="D741" s="131"/>
      <c r="E741" s="131"/>
      <c r="F741" s="131"/>
    </row>
    <row r="742">
      <c r="A742" s="131"/>
      <c r="B742" s="131"/>
      <c r="C742" s="131"/>
      <c r="D742" s="131"/>
      <c r="E742" s="131"/>
      <c r="F742" s="131"/>
    </row>
    <row r="743">
      <c r="A743" s="131"/>
      <c r="B743" s="131"/>
      <c r="C743" s="131"/>
      <c r="D743" s="131"/>
      <c r="E743" s="131"/>
      <c r="F743" s="131"/>
    </row>
    <row r="744">
      <c r="A744" s="131"/>
      <c r="B744" s="131"/>
      <c r="C744" s="131"/>
      <c r="D744" s="131"/>
      <c r="E744" s="131"/>
      <c r="F744" s="131"/>
    </row>
    <row r="745">
      <c r="A745" s="131"/>
      <c r="B745" s="131"/>
      <c r="C745" s="131"/>
      <c r="D745" s="131"/>
      <c r="E745" s="131"/>
      <c r="F745" s="131"/>
    </row>
    <row r="746">
      <c r="A746" s="131"/>
      <c r="B746" s="131"/>
      <c r="C746" s="131"/>
      <c r="D746" s="131"/>
      <c r="E746" s="131"/>
      <c r="F746" s="131"/>
    </row>
    <row r="747">
      <c r="A747" s="131"/>
      <c r="B747" s="131"/>
      <c r="C747" s="131"/>
      <c r="D747" s="131"/>
      <c r="E747" s="131"/>
      <c r="F747" s="131"/>
    </row>
    <row r="748">
      <c r="A748" s="131"/>
      <c r="B748" s="131"/>
      <c r="C748" s="131"/>
      <c r="D748" s="131"/>
      <c r="E748" s="131"/>
      <c r="F748" s="131"/>
    </row>
    <row r="749">
      <c r="A749" s="131"/>
      <c r="B749" s="131"/>
      <c r="C749" s="131"/>
      <c r="D749" s="131"/>
      <c r="E749" s="131"/>
      <c r="F749" s="131"/>
    </row>
    <row r="750">
      <c r="A750" s="131"/>
      <c r="B750" s="131"/>
      <c r="C750" s="131"/>
      <c r="D750" s="131"/>
      <c r="E750" s="131"/>
      <c r="F750" s="131"/>
    </row>
    <row r="751">
      <c r="A751" s="131"/>
      <c r="B751" s="131"/>
      <c r="C751" s="131"/>
      <c r="D751" s="131"/>
      <c r="E751" s="131"/>
      <c r="F751" s="131"/>
    </row>
    <row r="752">
      <c r="A752" s="131"/>
      <c r="B752" s="131"/>
      <c r="C752" s="131"/>
      <c r="D752" s="131"/>
      <c r="E752" s="131"/>
      <c r="F752" s="131"/>
    </row>
    <row r="753">
      <c r="A753" s="131"/>
      <c r="B753" s="131"/>
      <c r="C753" s="131"/>
      <c r="D753" s="131"/>
      <c r="E753" s="131"/>
      <c r="F753" s="131"/>
    </row>
    <row r="754">
      <c r="A754" s="131"/>
      <c r="B754" s="131"/>
      <c r="C754" s="131"/>
      <c r="D754" s="131"/>
      <c r="E754" s="131"/>
      <c r="F754" s="131"/>
    </row>
    <row r="755">
      <c r="A755" s="131"/>
      <c r="B755" s="131"/>
      <c r="C755" s="131"/>
      <c r="D755" s="131"/>
      <c r="E755" s="131"/>
      <c r="F755" s="131"/>
    </row>
    <row r="756">
      <c r="A756" s="131"/>
      <c r="B756" s="131"/>
      <c r="C756" s="131"/>
      <c r="D756" s="131"/>
      <c r="E756" s="131"/>
      <c r="F756" s="131"/>
    </row>
    <row r="757">
      <c r="A757" s="131"/>
      <c r="B757" s="131"/>
      <c r="C757" s="131"/>
      <c r="D757" s="131"/>
      <c r="E757" s="131"/>
      <c r="F757" s="131"/>
    </row>
    <row r="758">
      <c r="A758" s="131"/>
      <c r="B758" s="131"/>
      <c r="C758" s="131"/>
      <c r="D758" s="131"/>
      <c r="E758" s="131"/>
      <c r="F758" s="131"/>
    </row>
    <row r="759">
      <c r="A759" s="131"/>
      <c r="B759" s="131"/>
      <c r="C759" s="131"/>
      <c r="D759" s="131"/>
      <c r="E759" s="131"/>
      <c r="F759" s="131"/>
    </row>
    <row r="760">
      <c r="A760" s="131"/>
      <c r="B760" s="131"/>
      <c r="C760" s="131"/>
      <c r="D760" s="131"/>
      <c r="E760" s="131"/>
      <c r="F760" s="131"/>
    </row>
    <row r="761">
      <c r="A761" s="131"/>
      <c r="B761" s="131"/>
      <c r="C761" s="131"/>
      <c r="D761" s="131"/>
      <c r="E761" s="131"/>
      <c r="F761" s="131"/>
    </row>
    <row r="762">
      <c r="A762" s="131"/>
      <c r="B762" s="131"/>
      <c r="C762" s="131"/>
      <c r="D762" s="131"/>
      <c r="E762" s="131"/>
      <c r="F762" s="131"/>
    </row>
    <row r="763">
      <c r="A763" s="131"/>
      <c r="B763" s="131"/>
      <c r="C763" s="131"/>
      <c r="D763" s="131"/>
      <c r="E763" s="131"/>
      <c r="F763" s="131"/>
    </row>
    <row r="764">
      <c r="A764" s="131"/>
      <c r="B764" s="131"/>
      <c r="C764" s="131"/>
      <c r="D764" s="131"/>
      <c r="E764" s="131"/>
      <c r="F764" s="131"/>
    </row>
    <row r="765">
      <c r="A765" s="131"/>
      <c r="B765" s="131"/>
      <c r="C765" s="131"/>
      <c r="D765" s="131"/>
      <c r="E765" s="131"/>
      <c r="F765" s="131"/>
    </row>
    <row r="766">
      <c r="A766" s="131"/>
      <c r="B766" s="131"/>
      <c r="C766" s="131"/>
      <c r="D766" s="131"/>
      <c r="E766" s="131"/>
      <c r="F766" s="131"/>
    </row>
    <row r="767">
      <c r="A767" s="131"/>
      <c r="B767" s="131"/>
      <c r="C767" s="131"/>
      <c r="D767" s="131"/>
      <c r="E767" s="131"/>
      <c r="F767" s="131"/>
    </row>
    <row r="768">
      <c r="A768" s="131"/>
      <c r="B768" s="131"/>
      <c r="C768" s="131"/>
      <c r="D768" s="131"/>
      <c r="E768" s="131"/>
      <c r="F768" s="131"/>
    </row>
    <row r="769">
      <c r="A769" s="131"/>
      <c r="B769" s="131"/>
      <c r="C769" s="131"/>
      <c r="D769" s="131"/>
      <c r="E769" s="131"/>
      <c r="F769" s="131"/>
    </row>
    <row r="770">
      <c r="A770" s="131"/>
      <c r="B770" s="131"/>
      <c r="C770" s="131"/>
      <c r="D770" s="131"/>
      <c r="E770" s="131"/>
      <c r="F770" s="131"/>
    </row>
    <row r="771">
      <c r="A771" s="131"/>
      <c r="B771" s="131"/>
      <c r="C771" s="131"/>
      <c r="D771" s="131"/>
      <c r="E771" s="131"/>
      <c r="F771" s="131"/>
    </row>
    <row r="772">
      <c r="A772" s="131"/>
      <c r="B772" s="131"/>
      <c r="C772" s="131"/>
      <c r="D772" s="131"/>
      <c r="E772" s="131"/>
      <c r="F772" s="131"/>
    </row>
    <row r="773">
      <c r="A773" s="131"/>
      <c r="B773" s="131"/>
      <c r="C773" s="131"/>
      <c r="D773" s="131"/>
      <c r="E773" s="131"/>
      <c r="F773" s="131"/>
    </row>
    <row r="774">
      <c r="A774" s="131"/>
      <c r="B774" s="131"/>
      <c r="C774" s="131"/>
      <c r="D774" s="131"/>
      <c r="E774" s="131"/>
      <c r="F774" s="131"/>
    </row>
    <row r="775">
      <c r="A775" s="131"/>
      <c r="B775" s="131"/>
      <c r="C775" s="131"/>
      <c r="D775" s="131"/>
      <c r="E775" s="131"/>
      <c r="F775" s="131"/>
    </row>
    <row r="776">
      <c r="A776" s="131"/>
      <c r="B776" s="131"/>
      <c r="C776" s="131"/>
      <c r="D776" s="131"/>
      <c r="E776" s="131"/>
      <c r="F776" s="131"/>
    </row>
    <row r="777">
      <c r="A777" s="131"/>
      <c r="B777" s="131"/>
      <c r="C777" s="131"/>
      <c r="D777" s="131"/>
      <c r="E777" s="131"/>
      <c r="F777" s="131"/>
    </row>
    <row r="778">
      <c r="A778" s="131"/>
      <c r="B778" s="131"/>
      <c r="C778" s="131"/>
      <c r="D778" s="131"/>
      <c r="E778" s="131"/>
      <c r="F778" s="131"/>
    </row>
    <row r="779">
      <c r="A779" s="131"/>
      <c r="B779" s="131"/>
      <c r="C779" s="131"/>
      <c r="D779" s="131"/>
      <c r="E779" s="131"/>
      <c r="F779" s="131"/>
    </row>
    <row r="780">
      <c r="A780" s="131"/>
      <c r="B780" s="131"/>
      <c r="C780" s="131"/>
      <c r="D780" s="131"/>
      <c r="E780" s="131"/>
      <c r="F780" s="131"/>
    </row>
    <row r="781">
      <c r="A781" s="131"/>
      <c r="B781" s="131"/>
      <c r="C781" s="131"/>
      <c r="D781" s="131"/>
      <c r="E781" s="131"/>
      <c r="F781" s="131"/>
    </row>
    <row r="782">
      <c r="A782" s="131"/>
      <c r="B782" s="131"/>
      <c r="C782" s="131"/>
      <c r="D782" s="131"/>
      <c r="E782" s="131"/>
      <c r="F782" s="131"/>
    </row>
    <row r="783">
      <c r="A783" s="131"/>
      <c r="B783" s="131"/>
      <c r="C783" s="131"/>
      <c r="D783" s="131"/>
      <c r="E783" s="131"/>
      <c r="F783" s="131"/>
    </row>
    <row r="784">
      <c r="A784" s="131"/>
      <c r="B784" s="131"/>
      <c r="C784" s="131"/>
      <c r="D784" s="131"/>
      <c r="E784" s="131"/>
      <c r="F784" s="131"/>
    </row>
    <row r="785">
      <c r="A785" s="131"/>
      <c r="B785" s="131"/>
      <c r="C785" s="131"/>
      <c r="D785" s="131"/>
      <c r="E785" s="131"/>
      <c r="F785" s="131"/>
    </row>
    <row r="786">
      <c r="A786" s="131"/>
      <c r="B786" s="131"/>
      <c r="C786" s="131"/>
      <c r="D786" s="131"/>
      <c r="E786" s="131"/>
      <c r="F786" s="131"/>
    </row>
    <row r="787">
      <c r="A787" s="131"/>
      <c r="B787" s="131"/>
      <c r="C787" s="131"/>
      <c r="D787" s="131"/>
      <c r="E787" s="131"/>
      <c r="F787" s="131"/>
    </row>
    <row r="788">
      <c r="A788" s="131"/>
      <c r="B788" s="131"/>
      <c r="C788" s="131"/>
      <c r="D788" s="131"/>
      <c r="E788" s="131"/>
      <c r="F788" s="131"/>
    </row>
    <row r="789">
      <c r="A789" s="131"/>
      <c r="B789" s="131"/>
      <c r="C789" s="131"/>
      <c r="D789" s="131"/>
      <c r="E789" s="131"/>
      <c r="F789" s="131"/>
    </row>
    <row r="790">
      <c r="A790" s="131"/>
      <c r="B790" s="131"/>
      <c r="C790" s="131"/>
      <c r="D790" s="131"/>
      <c r="E790" s="131"/>
      <c r="F790" s="131"/>
    </row>
    <row r="791">
      <c r="A791" s="131"/>
      <c r="B791" s="131"/>
      <c r="C791" s="131"/>
      <c r="D791" s="131"/>
      <c r="E791" s="131"/>
      <c r="F791" s="131"/>
    </row>
    <row r="792">
      <c r="A792" s="131"/>
      <c r="B792" s="131"/>
      <c r="C792" s="131"/>
      <c r="D792" s="131"/>
      <c r="E792" s="131"/>
      <c r="F792" s="131"/>
    </row>
    <row r="793">
      <c r="A793" s="131"/>
      <c r="B793" s="131"/>
      <c r="C793" s="131"/>
      <c r="D793" s="131"/>
      <c r="E793" s="131"/>
      <c r="F793" s="131"/>
    </row>
    <row r="794">
      <c r="A794" s="131"/>
      <c r="B794" s="131"/>
      <c r="C794" s="131"/>
      <c r="D794" s="131"/>
      <c r="E794" s="131"/>
      <c r="F794" s="131"/>
    </row>
    <row r="795">
      <c r="A795" s="131"/>
      <c r="B795" s="131"/>
      <c r="C795" s="131"/>
      <c r="D795" s="131"/>
      <c r="E795" s="131"/>
      <c r="F795" s="131"/>
    </row>
    <row r="796">
      <c r="A796" s="131"/>
      <c r="B796" s="131"/>
      <c r="C796" s="131"/>
      <c r="D796" s="131"/>
      <c r="E796" s="131"/>
      <c r="F796" s="131"/>
    </row>
    <row r="797">
      <c r="A797" s="131"/>
      <c r="B797" s="131"/>
      <c r="C797" s="131"/>
      <c r="D797" s="131"/>
      <c r="E797" s="131"/>
      <c r="F797" s="131"/>
    </row>
    <row r="798">
      <c r="A798" s="131"/>
      <c r="B798" s="131"/>
      <c r="C798" s="131"/>
      <c r="D798" s="131"/>
      <c r="E798" s="131"/>
      <c r="F798" s="131"/>
    </row>
    <row r="799">
      <c r="A799" s="131"/>
      <c r="B799" s="131"/>
      <c r="C799" s="131"/>
      <c r="D799" s="131"/>
      <c r="E799" s="131"/>
      <c r="F799" s="131"/>
    </row>
    <row r="800">
      <c r="A800" s="131"/>
      <c r="B800" s="131"/>
      <c r="C800" s="131"/>
      <c r="D800" s="131"/>
      <c r="E800" s="131"/>
      <c r="F800" s="131"/>
    </row>
    <row r="801">
      <c r="A801" s="131"/>
      <c r="B801" s="131"/>
      <c r="C801" s="131"/>
      <c r="D801" s="131"/>
      <c r="E801" s="131"/>
      <c r="F801" s="131"/>
    </row>
    <row r="802">
      <c r="A802" s="131"/>
      <c r="B802" s="131"/>
      <c r="C802" s="131"/>
      <c r="D802" s="131"/>
      <c r="E802" s="131"/>
      <c r="F802" s="131"/>
    </row>
    <row r="803">
      <c r="A803" s="131"/>
      <c r="B803" s="131"/>
      <c r="C803" s="131"/>
      <c r="D803" s="131"/>
      <c r="E803" s="131"/>
      <c r="F803" s="131"/>
    </row>
    <row r="804">
      <c r="A804" s="131"/>
      <c r="B804" s="131"/>
      <c r="C804" s="131"/>
      <c r="D804" s="131"/>
      <c r="E804" s="131"/>
      <c r="F804" s="131"/>
    </row>
    <row r="805">
      <c r="A805" s="131"/>
      <c r="B805" s="131"/>
      <c r="C805" s="131"/>
      <c r="D805" s="131"/>
      <c r="E805" s="131"/>
      <c r="F805" s="131"/>
    </row>
    <row r="806">
      <c r="A806" s="131"/>
      <c r="B806" s="131"/>
      <c r="C806" s="131"/>
      <c r="D806" s="131"/>
      <c r="E806" s="131"/>
      <c r="F806" s="131"/>
    </row>
    <row r="807">
      <c r="A807" s="131"/>
      <c r="B807" s="131"/>
      <c r="C807" s="131"/>
      <c r="D807" s="131"/>
      <c r="E807" s="131"/>
      <c r="F807" s="131"/>
    </row>
    <row r="808">
      <c r="A808" s="131"/>
      <c r="B808" s="131"/>
      <c r="C808" s="131"/>
      <c r="D808" s="131"/>
      <c r="E808" s="131"/>
      <c r="F808" s="131"/>
    </row>
    <row r="809">
      <c r="A809" s="131"/>
      <c r="B809" s="131"/>
      <c r="C809" s="131"/>
      <c r="D809" s="131"/>
      <c r="E809" s="131"/>
      <c r="F809" s="131"/>
    </row>
    <row r="810">
      <c r="A810" s="131"/>
      <c r="B810" s="131"/>
      <c r="C810" s="131"/>
      <c r="D810" s="131"/>
      <c r="E810" s="131"/>
      <c r="F810" s="131"/>
    </row>
    <row r="811">
      <c r="A811" s="131"/>
      <c r="B811" s="131"/>
      <c r="C811" s="131"/>
      <c r="D811" s="131"/>
      <c r="E811" s="131"/>
      <c r="F811" s="131"/>
    </row>
    <row r="812">
      <c r="A812" s="131"/>
      <c r="B812" s="131"/>
      <c r="C812" s="131"/>
      <c r="D812" s="131"/>
      <c r="E812" s="131"/>
      <c r="F812" s="131"/>
    </row>
    <row r="813">
      <c r="A813" s="131"/>
      <c r="B813" s="131"/>
      <c r="C813" s="131"/>
      <c r="D813" s="131"/>
      <c r="E813" s="131"/>
      <c r="F813" s="131"/>
    </row>
    <row r="814">
      <c r="A814" s="131"/>
      <c r="B814" s="131"/>
      <c r="C814" s="131"/>
      <c r="D814" s="131"/>
      <c r="E814" s="131"/>
      <c r="F814" s="131"/>
    </row>
    <row r="815">
      <c r="A815" s="131"/>
      <c r="B815" s="131"/>
      <c r="C815" s="131"/>
      <c r="D815" s="131"/>
      <c r="E815" s="131"/>
      <c r="F815" s="131"/>
    </row>
    <row r="816">
      <c r="A816" s="131"/>
      <c r="B816" s="131"/>
      <c r="C816" s="131"/>
      <c r="D816" s="131"/>
      <c r="E816" s="131"/>
      <c r="F816" s="131"/>
    </row>
    <row r="817">
      <c r="A817" s="131"/>
      <c r="B817" s="131"/>
      <c r="C817" s="131"/>
      <c r="D817" s="131"/>
      <c r="E817" s="131"/>
      <c r="F817" s="131"/>
    </row>
    <row r="818">
      <c r="A818" s="131"/>
      <c r="B818" s="131"/>
      <c r="C818" s="131"/>
      <c r="D818" s="131"/>
      <c r="E818" s="131"/>
      <c r="F818" s="131"/>
    </row>
    <row r="819">
      <c r="A819" s="131"/>
      <c r="B819" s="131"/>
      <c r="C819" s="131"/>
      <c r="D819" s="131"/>
      <c r="E819" s="131"/>
      <c r="F819" s="131"/>
    </row>
    <row r="820">
      <c r="A820" s="131"/>
      <c r="B820" s="131"/>
      <c r="C820" s="131"/>
      <c r="D820" s="131"/>
      <c r="E820" s="131"/>
      <c r="F820" s="131"/>
    </row>
    <row r="821">
      <c r="A821" s="131"/>
      <c r="B821" s="131"/>
      <c r="C821" s="131"/>
      <c r="D821" s="131"/>
      <c r="E821" s="131"/>
      <c r="F821" s="131"/>
    </row>
    <row r="822">
      <c r="A822" s="131"/>
      <c r="B822" s="131"/>
      <c r="C822" s="131"/>
      <c r="D822" s="131"/>
      <c r="E822" s="131"/>
      <c r="F822" s="131"/>
    </row>
    <row r="823">
      <c r="A823" s="131"/>
      <c r="B823" s="131"/>
      <c r="C823" s="131"/>
      <c r="D823" s="131"/>
      <c r="E823" s="131"/>
      <c r="F823" s="131"/>
    </row>
    <row r="824">
      <c r="A824" s="131"/>
      <c r="B824" s="131"/>
      <c r="C824" s="131"/>
      <c r="D824" s="131"/>
      <c r="E824" s="131"/>
      <c r="F824" s="131"/>
    </row>
    <row r="825">
      <c r="A825" s="131"/>
      <c r="B825" s="131"/>
      <c r="C825" s="131"/>
      <c r="D825" s="131"/>
      <c r="E825" s="131"/>
      <c r="F825" s="131"/>
    </row>
    <row r="826">
      <c r="A826" s="131"/>
      <c r="B826" s="131"/>
      <c r="C826" s="131"/>
      <c r="D826" s="131"/>
      <c r="E826" s="131"/>
      <c r="F826" s="131"/>
    </row>
    <row r="827">
      <c r="A827" s="131"/>
      <c r="B827" s="131"/>
      <c r="C827" s="131"/>
      <c r="D827" s="131"/>
      <c r="E827" s="131"/>
      <c r="F827" s="131"/>
    </row>
    <row r="828">
      <c r="A828" s="131"/>
      <c r="B828" s="131"/>
      <c r="C828" s="131"/>
      <c r="D828" s="131"/>
      <c r="E828" s="131"/>
      <c r="F828" s="131"/>
    </row>
    <row r="829">
      <c r="A829" s="131"/>
      <c r="B829" s="131"/>
      <c r="C829" s="131"/>
      <c r="D829" s="131"/>
      <c r="E829" s="131"/>
      <c r="F829" s="131"/>
    </row>
    <row r="830">
      <c r="A830" s="131"/>
      <c r="B830" s="131"/>
      <c r="C830" s="131"/>
      <c r="D830" s="131"/>
      <c r="E830" s="131"/>
      <c r="F830" s="131"/>
    </row>
    <row r="831">
      <c r="A831" s="131"/>
      <c r="B831" s="131"/>
      <c r="C831" s="131"/>
      <c r="D831" s="131"/>
      <c r="E831" s="131"/>
      <c r="F831" s="131"/>
    </row>
    <row r="832">
      <c r="A832" s="131"/>
      <c r="B832" s="131"/>
      <c r="C832" s="131"/>
      <c r="D832" s="131"/>
      <c r="E832" s="131"/>
      <c r="F832" s="131"/>
    </row>
    <row r="833">
      <c r="A833" s="131"/>
      <c r="B833" s="131"/>
      <c r="C833" s="131"/>
      <c r="D833" s="131"/>
      <c r="E833" s="131"/>
      <c r="F833" s="131"/>
    </row>
    <row r="834">
      <c r="A834" s="131"/>
      <c r="B834" s="131"/>
      <c r="C834" s="131"/>
      <c r="D834" s="131"/>
      <c r="E834" s="131"/>
      <c r="F834" s="131"/>
    </row>
    <row r="835">
      <c r="A835" s="131"/>
      <c r="B835" s="131"/>
      <c r="C835" s="131"/>
      <c r="D835" s="131"/>
      <c r="E835" s="131"/>
      <c r="F835" s="131"/>
    </row>
    <row r="836">
      <c r="A836" s="131"/>
      <c r="B836" s="131"/>
      <c r="C836" s="131"/>
      <c r="D836" s="131"/>
      <c r="E836" s="131"/>
      <c r="F836" s="131"/>
    </row>
    <row r="837">
      <c r="A837" s="131"/>
      <c r="B837" s="131"/>
      <c r="C837" s="131"/>
      <c r="D837" s="131"/>
      <c r="E837" s="131"/>
      <c r="F837" s="131"/>
    </row>
    <row r="838">
      <c r="A838" s="131"/>
      <c r="B838" s="131"/>
      <c r="C838" s="131"/>
      <c r="D838" s="131"/>
      <c r="E838" s="131"/>
      <c r="F838" s="131"/>
    </row>
    <row r="839">
      <c r="A839" s="131"/>
      <c r="B839" s="131"/>
      <c r="C839" s="131"/>
      <c r="D839" s="131"/>
      <c r="E839" s="131"/>
      <c r="F839" s="131"/>
    </row>
    <row r="840">
      <c r="A840" s="131"/>
      <c r="B840" s="131"/>
      <c r="C840" s="131"/>
      <c r="D840" s="131"/>
      <c r="E840" s="131"/>
      <c r="F840" s="131"/>
    </row>
    <row r="841">
      <c r="A841" s="131"/>
      <c r="B841" s="131"/>
      <c r="C841" s="131"/>
      <c r="D841" s="131"/>
      <c r="E841" s="131"/>
      <c r="F841" s="131"/>
    </row>
    <row r="842">
      <c r="A842" s="131"/>
      <c r="B842" s="131"/>
      <c r="C842" s="131"/>
      <c r="D842" s="131"/>
      <c r="E842" s="131"/>
      <c r="F842" s="131"/>
    </row>
    <row r="843">
      <c r="A843" s="131"/>
      <c r="B843" s="131"/>
      <c r="C843" s="131"/>
      <c r="D843" s="131"/>
      <c r="E843" s="131"/>
      <c r="F843" s="131"/>
    </row>
    <row r="844">
      <c r="A844" s="131"/>
      <c r="B844" s="131"/>
      <c r="C844" s="131"/>
      <c r="D844" s="131"/>
      <c r="E844" s="131"/>
      <c r="F844" s="131"/>
    </row>
    <row r="845">
      <c r="A845" s="131"/>
      <c r="B845" s="131"/>
      <c r="C845" s="131"/>
      <c r="D845" s="131"/>
      <c r="E845" s="131"/>
      <c r="F845" s="131"/>
    </row>
    <row r="846">
      <c r="A846" s="131"/>
      <c r="B846" s="131"/>
      <c r="C846" s="131"/>
      <c r="D846" s="131"/>
      <c r="E846" s="131"/>
      <c r="F846" s="131"/>
    </row>
    <row r="847">
      <c r="A847" s="131"/>
      <c r="B847" s="131"/>
      <c r="C847" s="131"/>
      <c r="D847" s="131"/>
      <c r="E847" s="131"/>
      <c r="F847" s="131"/>
    </row>
    <row r="848">
      <c r="A848" s="131"/>
      <c r="B848" s="131"/>
      <c r="C848" s="131"/>
      <c r="D848" s="131"/>
      <c r="E848" s="131"/>
      <c r="F848" s="131"/>
    </row>
    <row r="849">
      <c r="A849" s="131"/>
      <c r="B849" s="131"/>
      <c r="C849" s="131"/>
      <c r="D849" s="131"/>
      <c r="E849" s="131"/>
      <c r="F849" s="131"/>
    </row>
    <row r="850">
      <c r="A850" s="131"/>
      <c r="B850" s="131"/>
      <c r="C850" s="131"/>
      <c r="D850" s="131"/>
      <c r="E850" s="131"/>
      <c r="F850" s="131"/>
    </row>
    <row r="851">
      <c r="A851" s="131"/>
      <c r="B851" s="131"/>
      <c r="C851" s="131"/>
      <c r="D851" s="131"/>
      <c r="E851" s="131"/>
      <c r="F851" s="131"/>
    </row>
    <row r="852">
      <c r="A852" s="131"/>
      <c r="B852" s="131"/>
      <c r="C852" s="131"/>
      <c r="D852" s="131"/>
      <c r="E852" s="131"/>
      <c r="F852" s="131"/>
    </row>
    <row r="853">
      <c r="A853" s="131"/>
      <c r="B853" s="131"/>
      <c r="C853" s="131"/>
      <c r="D853" s="131"/>
      <c r="E853" s="131"/>
      <c r="F853" s="131"/>
    </row>
    <row r="854">
      <c r="A854" s="131"/>
      <c r="B854" s="131"/>
      <c r="C854" s="131"/>
      <c r="D854" s="131"/>
      <c r="E854" s="131"/>
      <c r="F854" s="131"/>
    </row>
    <row r="855">
      <c r="A855" s="131"/>
      <c r="B855" s="131"/>
      <c r="C855" s="131"/>
      <c r="D855" s="131"/>
      <c r="E855" s="131"/>
      <c r="F855" s="131"/>
    </row>
    <row r="856">
      <c r="A856" s="131"/>
      <c r="B856" s="131"/>
      <c r="C856" s="131"/>
      <c r="D856" s="131"/>
      <c r="E856" s="131"/>
      <c r="F856" s="131"/>
    </row>
    <row r="857">
      <c r="A857" s="131"/>
      <c r="B857" s="131"/>
      <c r="C857" s="131"/>
      <c r="D857" s="131"/>
      <c r="E857" s="131"/>
      <c r="F857" s="131"/>
    </row>
    <row r="858">
      <c r="A858" s="131"/>
      <c r="B858" s="131"/>
      <c r="C858" s="131"/>
      <c r="D858" s="131"/>
      <c r="E858" s="131"/>
      <c r="F858" s="131"/>
    </row>
    <row r="859">
      <c r="A859" s="131"/>
      <c r="B859" s="131"/>
      <c r="C859" s="131"/>
      <c r="D859" s="131"/>
      <c r="E859" s="131"/>
      <c r="F859" s="131"/>
    </row>
    <row r="860">
      <c r="A860" s="131"/>
      <c r="B860" s="131"/>
      <c r="C860" s="131"/>
      <c r="D860" s="131"/>
      <c r="E860" s="131"/>
      <c r="F860" s="131"/>
    </row>
    <row r="861">
      <c r="A861" s="131"/>
      <c r="B861" s="131"/>
      <c r="C861" s="131"/>
      <c r="D861" s="131"/>
      <c r="E861" s="131"/>
      <c r="F861" s="131"/>
    </row>
    <row r="862">
      <c r="A862" s="131"/>
      <c r="B862" s="131"/>
      <c r="C862" s="131"/>
      <c r="D862" s="131"/>
      <c r="E862" s="131"/>
      <c r="F862" s="131"/>
    </row>
    <row r="863">
      <c r="A863" s="131"/>
      <c r="B863" s="131"/>
      <c r="C863" s="131"/>
      <c r="D863" s="131"/>
      <c r="E863" s="131"/>
      <c r="F863" s="131"/>
    </row>
    <row r="864">
      <c r="A864" s="131"/>
      <c r="B864" s="131"/>
      <c r="C864" s="131"/>
      <c r="D864" s="131"/>
      <c r="E864" s="131"/>
      <c r="F864" s="131"/>
    </row>
    <row r="865">
      <c r="A865" s="131"/>
      <c r="B865" s="131"/>
      <c r="C865" s="131"/>
      <c r="D865" s="131"/>
      <c r="E865" s="131"/>
      <c r="F865" s="131"/>
    </row>
    <row r="866">
      <c r="A866" s="131"/>
      <c r="B866" s="131"/>
      <c r="C866" s="131"/>
      <c r="D866" s="131"/>
      <c r="E866" s="131"/>
      <c r="F866" s="131"/>
    </row>
    <row r="867">
      <c r="A867" s="131"/>
      <c r="B867" s="131"/>
      <c r="C867" s="131"/>
      <c r="D867" s="131"/>
      <c r="E867" s="131"/>
      <c r="F867" s="131"/>
    </row>
    <row r="868">
      <c r="A868" s="131"/>
      <c r="B868" s="131"/>
      <c r="C868" s="131"/>
      <c r="D868" s="131"/>
      <c r="E868" s="131"/>
      <c r="F868" s="131"/>
    </row>
    <row r="869">
      <c r="A869" s="131"/>
      <c r="B869" s="131"/>
      <c r="C869" s="131"/>
      <c r="D869" s="131"/>
      <c r="E869" s="131"/>
      <c r="F869" s="131"/>
    </row>
    <row r="870">
      <c r="A870" s="131"/>
      <c r="B870" s="131"/>
      <c r="C870" s="131"/>
      <c r="D870" s="131"/>
      <c r="E870" s="131"/>
      <c r="F870" s="131"/>
    </row>
    <row r="871">
      <c r="A871" s="131"/>
      <c r="B871" s="131"/>
      <c r="C871" s="131"/>
      <c r="D871" s="131"/>
      <c r="E871" s="131"/>
      <c r="F871" s="131"/>
    </row>
    <row r="872">
      <c r="A872" s="131"/>
      <c r="B872" s="131"/>
      <c r="C872" s="131"/>
      <c r="D872" s="131"/>
      <c r="E872" s="131"/>
      <c r="F872" s="131"/>
    </row>
    <row r="873">
      <c r="A873" s="131"/>
      <c r="B873" s="131"/>
      <c r="C873" s="131"/>
      <c r="D873" s="131"/>
      <c r="E873" s="131"/>
      <c r="F873" s="131"/>
    </row>
    <row r="874">
      <c r="A874" s="131"/>
      <c r="B874" s="131"/>
      <c r="C874" s="131"/>
      <c r="D874" s="131"/>
      <c r="E874" s="131"/>
      <c r="F874" s="131"/>
    </row>
    <row r="875">
      <c r="A875" s="131"/>
      <c r="B875" s="131"/>
      <c r="C875" s="131"/>
      <c r="D875" s="131"/>
      <c r="E875" s="131"/>
      <c r="F875" s="131"/>
    </row>
    <row r="876">
      <c r="A876" s="131"/>
      <c r="B876" s="131"/>
      <c r="C876" s="131"/>
      <c r="D876" s="131"/>
      <c r="E876" s="131"/>
      <c r="F876" s="131"/>
    </row>
    <row r="877">
      <c r="A877" s="131"/>
      <c r="B877" s="131"/>
      <c r="C877" s="131"/>
      <c r="D877" s="131"/>
      <c r="E877" s="131"/>
      <c r="F877" s="131"/>
    </row>
    <row r="878">
      <c r="A878" s="131"/>
      <c r="B878" s="131"/>
      <c r="C878" s="131"/>
      <c r="D878" s="131"/>
      <c r="E878" s="131"/>
      <c r="F878" s="131"/>
    </row>
    <row r="879">
      <c r="A879" s="131"/>
      <c r="B879" s="131"/>
      <c r="C879" s="131"/>
      <c r="D879" s="131"/>
      <c r="E879" s="131"/>
      <c r="F879" s="131"/>
    </row>
    <row r="880">
      <c r="A880" s="131"/>
      <c r="B880" s="131"/>
      <c r="C880" s="131"/>
      <c r="D880" s="131"/>
      <c r="E880" s="131"/>
      <c r="F880" s="131"/>
    </row>
    <row r="881">
      <c r="A881" s="131"/>
      <c r="B881" s="131"/>
      <c r="C881" s="131"/>
      <c r="D881" s="131"/>
      <c r="E881" s="131"/>
      <c r="F881" s="131"/>
    </row>
    <row r="882">
      <c r="A882" s="131"/>
      <c r="B882" s="131"/>
      <c r="C882" s="131"/>
      <c r="D882" s="131"/>
      <c r="E882" s="131"/>
      <c r="F882" s="131"/>
    </row>
    <row r="883">
      <c r="A883" s="131"/>
      <c r="B883" s="131"/>
      <c r="C883" s="131"/>
      <c r="D883" s="131"/>
      <c r="E883" s="131"/>
      <c r="F883" s="131"/>
    </row>
    <row r="884">
      <c r="A884" s="131"/>
      <c r="B884" s="131"/>
      <c r="C884" s="131"/>
      <c r="D884" s="131"/>
      <c r="E884" s="131"/>
      <c r="F884" s="131"/>
    </row>
    <row r="885">
      <c r="A885" s="131"/>
      <c r="B885" s="131"/>
      <c r="C885" s="131"/>
      <c r="D885" s="131"/>
      <c r="E885" s="131"/>
      <c r="F885" s="131"/>
    </row>
    <row r="886">
      <c r="A886" s="131"/>
      <c r="B886" s="131"/>
      <c r="C886" s="131"/>
      <c r="D886" s="131"/>
      <c r="E886" s="131"/>
      <c r="F886" s="131"/>
    </row>
    <row r="887">
      <c r="A887" s="131"/>
      <c r="B887" s="131"/>
      <c r="C887" s="131"/>
      <c r="D887" s="131"/>
      <c r="E887" s="131"/>
      <c r="F887" s="131"/>
    </row>
    <row r="888">
      <c r="A888" s="131"/>
      <c r="B888" s="131"/>
      <c r="C888" s="131"/>
      <c r="D888" s="131"/>
      <c r="E888" s="131"/>
      <c r="F888" s="131"/>
    </row>
    <row r="889">
      <c r="A889" s="131"/>
      <c r="B889" s="131"/>
      <c r="C889" s="131"/>
      <c r="D889" s="131"/>
      <c r="E889" s="131"/>
      <c r="F889" s="131"/>
    </row>
    <row r="890">
      <c r="A890" s="131"/>
      <c r="B890" s="131"/>
      <c r="C890" s="131"/>
      <c r="D890" s="131"/>
      <c r="E890" s="131"/>
      <c r="F890" s="131"/>
    </row>
    <row r="891">
      <c r="A891" s="131"/>
      <c r="B891" s="131"/>
      <c r="C891" s="131"/>
      <c r="D891" s="131"/>
      <c r="E891" s="131"/>
      <c r="F891" s="131"/>
    </row>
    <row r="892">
      <c r="A892" s="131"/>
      <c r="B892" s="131"/>
      <c r="C892" s="131"/>
      <c r="D892" s="131"/>
      <c r="E892" s="131"/>
      <c r="F892" s="131"/>
    </row>
    <row r="893">
      <c r="A893" s="131"/>
      <c r="B893" s="131"/>
      <c r="C893" s="131"/>
      <c r="D893" s="131"/>
      <c r="E893" s="131"/>
      <c r="F893" s="131"/>
    </row>
    <row r="894">
      <c r="A894" s="131"/>
      <c r="B894" s="131"/>
      <c r="C894" s="131"/>
      <c r="D894" s="131"/>
      <c r="E894" s="131"/>
      <c r="F894" s="131"/>
    </row>
    <row r="895">
      <c r="A895" s="131"/>
      <c r="B895" s="131"/>
      <c r="C895" s="131"/>
      <c r="D895" s="131"/>
      <c r="E895" s="131"/>
      <c r="F895" s="131"/>
    </row>
    <row r="896">
      <c r="A896" s="131"/>
      <c r="B896" s="131"/>
      <c r="C896" s="131"/>
      <c r="D896" s="131"/>
      <c r="E896" s="131"/>
      <c r="F896" s="131"/>
    </row>
    <row r="897">
      <c r="A897" s="131"/>
      <c r="B897" s="131"/>
      <c r="C897" s="131"/>
      <c r="D897" s="131"/>
      <c r="E897" s="131"/>
      <c r="F897" s="131"/>
    </row>
    <row r="898">
      <c r="A898" s="131"/>
      <c r="B898" s="131"/>
      <c r="C898" s="131"/>
      <c r="D898" s="131"/>
      <c r="E898" s="131"/>
      <c r="F898" s="131"/>
    </row>
    <row r="899">
      <c r="A899" s="131"/>
      <c r="B899" s="131"/>
      <c r="C899" s="131"/>
      <c r="D899" s="131"/>
      <c r="E899" s="131"/>
      <c r="F899" s="131"/>
    </row>
    <row r="900">
      <c r="A900" s="131"/>
      <c r="B900" s="131"/>
      <c r="C900" s="131"/>
      <c r="D900" s="131"/>
      <c r="E900" s="131"/>
      <c r="F900" s="131"/>
    </row>
    <row r="901">
      <c r="A901" s="131"/>
      <c r="B901" s="131"/>
      <c r="C901" s="131"/>
      <c r="D901" s="131"/>
      <c r="E901" s="131"/>
      <c r="F901" s="131"/>
    </row>
    <row r="902">
      <c r="A902" s="131"/>
      <c r="B902" s="131"/>
      <c r="C902" s="131"/>
      <c r="D902" s="131"/>
      <c r="E902" s="131"/>
      <c r="F902" s="131"/>
    </row>
    <row r="903">
      <c r="A903" s="131"/>
      <c r="B903" s="131"/>
      <c r="C903" s="131"/>
      <c r="D903" s="131"/>
      <c r="E903" s="131"/>
      <c r="F903" s="131"/>
    </row>
    <row r="904">
      <c r="A904" s="131"/>
      <c r="B904" s="131"/>
      <c r="C904" s="131"/>
      <c r="D904" s="131"/>
      <c r="E904" s="131"/>
      <c r="F904" s="131"/>
    </row>
    <row r="905">
      <c r="A905" s="131"/>
      <c r="B905" s="131"/>
      <c r="C905" s="131"/>
      <c r="D905" s="131"/>
      <c r="E905" s="131"/>
      <c r="F905" s="131"/>
    </row>
    <row r="906">
      <c r="A906" s="131"/>
      <c r="B906" s="131"/>
      <c r="C906" s="131"/>
      <c r="D906" s="131"/>
      <c r="E906" s="131"/>
      <c r="F906" s="131"/>
    </row>
    <row r="907">
      <c r="A907" s="131"/>
      <c r="B907" s="131"/>
      <c r="C907" s="131"/>
      <c r="D907" s="131"/>
      <c r="E907" s="131"/>
      <c r="F907" s="131"/>
    </row>
    <row r="908">
      <c r="A908" s="131"/>
      <c r="B908" s="131"/>
      <c r="C908" s="131"/>
      <c r="D908" s="131"/>
      <c r="E908" s="131"/>
      <c r="F908" s="131"/>
    </row>
    <row r="909">
      <c r="A909" s="131"/>
      <c r="B909" s="131"/>
      <c r="C909" s="131"/>
      <c r="D909" s="131"/>
      <c r="E909" s="131"/>
      <c r="F909" s="131"/>
    </row>
    <row r="910">
      <c r="A910" s="131"/>
      <c r="B910" s="131"/>
      <c r="C910" s="131"/>
      <c r="D910" s="131"/>
      <c r="E910" s="131"/>
      <c r="F910" s="131"/>
    </row>
    <row r="911">
      <c r="A911" s="131"/>
      <c r="B911" s="131"/>
      <c r="C911" s="131"/>
      <c r="D911" s="131"/>
      <c r="E911" s="131"/>
      <c r="F911" s="131"/>
    </row>
    <row r="912">
      <c r="A912" s="131"/>
      <c r="B912" s="131"/>
      <c r="C912" s="131"/>
      <c r="D912" s="131"/>
      <c r="E912" s="131"/>
      <c r="F912" s="131"/>
    </row>
    <row r="913">
      <c r="A913" s="131"/>
      <c r="B913" s="131"/>
      <c r="C913" s="131"/>
      <c r="D913" s="131"/>
      <c r="E913" s="131"/>
      <c r="F913" s="131"/>
    </row>
    <row r="914">
      <c r="A914" s="131"/>
      <c r="B914" s="131"/>
      <c r="C914" s="131"/>
      <c r="D914" s="131"/>
      <c r="E914" s="131"/>
      <c r="F914" s="131"/>
    </row>
    <row r="915">
      <c r="A915" s="131"/>
      <c r="B915" s="131"/>
      <c r="C915" s="131"/>
      <c r="D915" s="131"/>
      <c r="E915" s="131"/>
      <c r="F915" s="131"/>
    </row>
    <row r="916">
      <c r="A916" s="131"/>
      <c r="B916" s="131"/>
      <c r="C916" s="131"/>
      <c r="D916" s="131"/>
      <c r="E916" s="131"/>
      <c r="F916" s="131"/>
    </row>
    <row r="917">
      <c r="A917" s="131"/>
      <c r="B917" s="131"/>
      <c r="C917" s="131"/>
      <c r="D917" s="131"/>
      <c r="E917" s="131"/>
      <c r="F917" s="131"/>
    </row>
    <row r="918">
      <c r="A918" s="131"/>
      <c r="B918" s="131"/>
      <c r="C918" s="131"/>
      <c r="D918" s="131"/>
      <c r="E918" s="131"/>
      <c r="F918" s="131"/>
    </row>
    <row r="919">
      <c r="A919" s="131"/>
      <c r="B919" s="131"/>
      <c r="C919" s="131"/>
      <c r="D919" s="131"/>
      <c r="E919" s="131"/>
      <c r="F919" s="131"/>
    </row>
    <row r="920">
      <c r="A920" s="131"/>
      <c r="B920" s="131"/>
      <c r="C920" s="131"/>
      <c r="D920" s="131"/>
      <c r="E920" s="131"/>
      <c r="F920" s="131"/>
    </row>
    <row r="921">
      <c r="A921" s="131"/>
      <c r="B921" s="131"/>
      <c r="C921" s="131"/>
      <c r="D921" s="131"/>
      <c r="E921" s="131"/>
      <c r="F921" s="131"/>
    </row>
    <row r="922">
      <c r="A922" s="131"/>
      <c r="B922" s="131"/>
      <c r="C922" s="131"/>
      <c r="D922" s="131"/>
      <c r="E922" s="131"/>
      <c r="F922" s="131"/>
    </row>
    <row r="923">
      <c r="A923" s="131"/>
      <c r="B923" s="131"/>
      <c r="C923" s="131"/>
      <c r="D923" s="131"/>
      <c r="E923" s="131"/>
      <c r="F923" s="131"/>
    </row>
    <row r="924">
      <c r="A924" s="131"/>
      <c r="B924" s="131"/>
      <c r="C924" s="131"/>
      <c r="D924" s="131"/>
      <c r="E924" s="131"/>
      <c r="F924" s="131"/>
    </row>
    <row r="925">
      <c r="A925" s="131"/>
      <c r="B925" s="131"/>
      <c r="C925" s="131"/>
      <c r="D925" s="131"/>
      <c r="E925" s="131"/>
      <c r="F925" s="131"/>
    </row>
    <row r="926">
      <c r="A926" s="131"/>
      <c r="B926" s="131"/>
      <c r="C926" s="131"/>
      <c r="D926" s="131"/>
      <c r="E926" s="131"/>
      <c r="F926" s="131"/>
    </row>
    <row r="927">
      <c r="A927" s="131"/>
      <c r="B927" s="131"/>
      <c r="C927" s="131"/>
      <c r="D927" s="131"/>
      <c r="E927" s="131"/>
      <c r="F927" s="131"/>
    </row>
    <row r="928">
      <c r="A928" s="131"/>
      <c r="B928" s="131"/>
      <c r="C928" s="131"/>
      <c r="D928" s="131"/>
      <c r="E928" s="131"/>
      <c r="F928" s="131"/>
    </row>
    <row r="929">
      <c r="A929" s="131"/>
      <c r="B929" s="131"/>
      <c r="C929" s="131"/>
      <c r="D929" s="131"/>
      <c r="E929" s="131"/>
      <c r="F929" s="131"/>
    </row>
    <row r="930">
      <c r="A930" s="131"/>
      <c r="B930" s="131"/>
      <c r="C930" s="131"/>
      <c r="D930" s="131"/>
      <c r="E930" s="131"/>
      <c r="F930" s="131"/>
    </row>
    <row r="931">
      <c r="A931" s="131"/>
      <c r="B931" s="131"/>
      <c r="C931" s="131"/>
      <c r="D931" s="131"/>
      <c r="E931" s="131"/>
      <c r="F931" s="131"/>
    </row>
    <row r="932">
      <c r="A932" s="131"/>
      <c r="B932" s="131"/>
      <c r="C932" s="131"/>
      <c r="D932" s="131"/>
      <c r="E932" s="131"/>
      <c r="F932" s="131"/>
    </row>
    <row r="933">
      <c r="A933" s="131"/>
      <c r="B933" s="131"/>
      <c r="C933" s="131"/>
      <c r="D933" s="131"/>
      <c r="E933" s="131"/>
      <c r="F933" s="131"/>
    </row>
    <row r="934">
      <c r="A934" s="131"/>
      <c r="B934" s="131"/>
      <c r="C934" s="131"/>
      <c r="D934" s="131"/>
      <c r="E934" s="131"/>
      <c r="F934" s="131"/>
    </row>
    <row r="935">
      <c r="A935" s="131"/>
      <c r="B935" s="131"/>
      <c r="C935" s="131"/>
      <c r="D935" s="131"/>
      <c r="E935" s="131"/>
      <c r="F935" s="131"/>
    </row>
    <row r="936">
      <c r="A936" s="131"/>
      <c r="B936" s="131"/>
      <c r="C936" s="131"/>
      <c r="D936" s="131"/>
      <c r="E936" s="131"/>
      <c r="F936" s="131"/>
    </row>
    <row r="937">
      <c r="A937" s="131"/>
      <c r="B937" s="131"/>
      <c r="C937" s="131"/>
      <c r="D937" s="131"/>
      <c r="E937" s="131"/>
      <c r="F937" s="131"/>
    </row>
    <row r="938">
      <c r="A938" s="131"/>
      <c r="B938" s="131"/>
      <c r="C938" s="131"/>
      <c r="D938" s="131"/>
      <c r="E938" s="131"/>
      <c r="F938" s="131"/>
    </row>
    <row r="939">
      <c r="A939" s="131"/>
      <c r="B939" s="131"/>
      <c r="C939" s="131"/>
      <c r="D939" s="131"/>
      <c r="E939" s="131"/>
      <c r="F939" s="131"/>
    </row>
    <row r="940">
      <c r="A940" s="131"/>
      <c r="B940" s="131"/>
      <c r="C940" s="131"/>
      <c r="D940" s="131"/>
      <c r="E940" s="131"/>
      <c r="F940" s="131"/>
    </row>
    <row r="941">
      <c r="A941" s="131"/>
      <c r="B941" s="131"/>
      <c r="C941" s="131"/>
      <c r="D941" s="131"/>
      <c r="E941" s="131"/>
      <c r="F941" s="131"/>
    </row>
    <row r="942">
      <c r="A942" s="131"/>
      <c r="B942" s="131"/>
      <c r="C942" s="131"/>
      <c r="D942" s="131"/>
      <c r="E942" s="131"/>
      <c r="F942" s="131"/>
    </row>
    <row r="943">
      <c r="A943" s="131"/>
      <c r="B943" s="131"/>
      <c r="C943" s="131"/>
      <c r="D943" s="131"/>
      <c r="E943" s="131"/>
      <c r="F943" s="131"/>
    </row>
    <row r="944">
      <c r="A944" s="131"/>
      <c r="B944" s="131"/>
      <c r="C944" s="131"/>
      <c r="D944" s="131"/>
      <c r="E944" s="131"/>
      <c r="F944" s="131"/>
    </row>
    <row r="945">
      <c r="A945" s="131"/>
      <c r="B945" s="131"/>
      <c r="C945" s="131"/>
      <c r="D945" s="131"/>
      <c r="E945" s="131"/>
      <c r="F945" s="131"/>
    </row>
    <row r="946">
      <c r="A946" s="131"/>
      <c r="B946" s="131"/>
      <c r="C946" s="131"/>
      <c r="D946" s="131"/>
      <c r="E946" s="131"/>
      <c r="F946" s="131"/>
    </row>
    <row r="947">
      <c r="A947" s="131"/>
      <c r="B947" s="131"/>
      <c r="C947" s="131"/>
      <c r="D947" s="131"/>
      <c r="E947" s="131"/>
      <c r="F947" s="131"/>
    </row>
    <row r="948">
      <c r="A948" s="131"/>
      <c r="B948" s="131"/>
      <c r="C948" s="131"/>
      <c r="D948" s="131"/>
      <c r="E948" s="131"/>
      <c r="F948" s="131"/>
    </row>
    <row r="949">
      <c r="A949" s="131"/>
      <c r="B949" s="131"/>
      <c r="C949" s="131"/>
      <c r="D949" s="131"/>
      <c r="E949" s="131"/>
      <c r="F949" s="131"/>
    </row>
    <row r="950">
      <c r="A950" s="131"/>
      <c r="B950" s="131"/>
      <c r="C950" s="131"/>
      <c r="D950" s="131"/>
      <c r="E950" s="131"/>
      <c r="F950" s="131"/>
    </row>
    <row r="951">
      <c r="A951" s="131"/>
      <c r="B951" s="131"/>
      <c r="C951" s="131"/>
      <c r="D951" s="131"/>
      <c r="E951" s="131"/>
      <c r="F951" s="131"/>
    </row>
    <row r="952">
      <c r="A952" s="131"/>
      <c r="B952" s="131"/>
      <c r="C952" s="131"/>
      <c r="D952" s="131"/>
      <c r="E952" s="131"/>
      <c r="F952" s="131"/>
    </row>
    <row r="953">
      <c r="A953" s="131"/>
      <c r="B953" s="131"/>
      <c r="C953" s="131"/>
      <c r="D953" s="131"/>
      <c r="E953" s="131"/>
      <c r="F953" s="131"/>
    </row>
    <row r="954">
      <c r="A954" s="131"/>
      <c r="B954" s="131"/>
      <c r="C954" s="131"/>
      <c r="D954" s="131"/>
      <c r="E954" s="131"/>
      <c r="F954" s="131"/>
    </row>
    <row r="955">
      <c r="A955" s="131"/>
      <c r="B955" s="131"/>
      <c r="C955" s="131"/>
      <c r="D955" s="131"/>
      <c r="E955" s="131"/>
      <c r="F955" s="131"/>
    </row>
    <row r="956">
      <c r="A956" s="131"/>
      <c r="B956" s="131"/>
      <c r="C956" s="131"/>
      <c r="D956" s="131"/>
      <c r="E956" s="131"/>
      <c r="F956" s="131"/>
    </row>
    <row r="957">
      <c r="A957" s="131"/>
      <c r="B957" s="131"/>
      <c r="C957" s="131"/>
      <c r="D957" s="131"/>
      <c r="E957" s="131"/>
      <c r="F957" s="131"/>
    </row>
    <row r="958">
      <c r="A958" s="131"/>
      <c r="B958" s="131"/>
      <c r="C958" s="131"/>
      <c r="D958" s="131"/>
      <c r="E958" s="131"/>
      <c r="F958" s="131"/>
    </row>
    <row r="959">
      <c r="A959" s="131"/>
      <c r="B959" s="131"/>
      <c r="C959" s="131"/>
      <c r="D959" s="131"/>
      <c r="E959" s="131"/>
      <c r="F959" s="131"/>
    </row>
    <row r="960">
      <c r="A960" s="131"/>
      <c r="B960" s="131"/>
      <c r="C960" s="131"/>
      <c r="D960" s="131"/>
      <c r="E960" s="131"/>
      <c r="F960" s="131"/>
    </row>
    <row r="961">
      <c r="A961" s="131"/>
      <c r="B961" s="131"/>
      <c r="C961" s="131"/>
      <c r="D961" s="131"/>
      <c r="E961" s="131"/>
      <c r="F961" s="131"/>
    </row>
    <row r="962">
      <c r="A962" s="131"/>
      <c r="B962" s="131"/>
      <c r="C962" s="131"/>
      <c r="D962" s="131"/>
      <c r="E962" s="131"/>
      <c r="F962" s="131"/>
    </row>
    <row r="963">
      <c r="A963" s="131"/>
      <c r="B963" s="131"/>
      <c r="C963" s="131"/>
      <c r="D963" s="131"/>
      <c r="E963" s="131"/>
      <c r="F963" s="131"/>
    </row>
    <row r="964">
      <c r="A964" s="131"/>
      <c r="B964" s="131"/>
      <c r="C964" s="131"/>
      <c r="D964" s="131"/>
      <c r="E964" s="131"/>
      <c r="F964" s="131"/>
    </row>
    <row r="965">
      <c r="A965" s="131"/>
      <c r="B965" s="131"/>
      <c r="C965" s="131"/>
      <c r="D965" s="131"/>
      <c r="E965" s="131"/>
      <c r="F965" s="131"/>
    </row>
    <row r="966">
      <c r="A966" s="131"/>
      <c r="B966" s="131"/>
      <c r="C966" s="131"/>
      <c r="D966" s="131"/>
      <c r="E966" s="131"/>
      <c r="F966" s="131"/>
    </row>
    <row r="967">
      <c r="A967" s="131"/>
      <c r="B967" s="131"/>
      <c r="C967" s="131"/>
      <c r="D967" s="131"/>
      <c r="E967" s="131"/>
      <c r="F967" s="131"/>
    </row>
    <row r="968">
      <c r="A968" s="131"/>
      <c r="B968" s="131"/>
      <c r="C968" s="131"/>
      <c r="D968" s="131"/>
      <c r="E968" s="131"/>
      <c r="F968" s="131"/>
    </row>
    <row r="969">
      <c r="A969" s="131"/>
      <c r="B969" s="131"/>
      <c r="C969" s="131"/>
      <c r="D969" s="131"/>
      <c r="E969" s="131"/>
      <c r="F969" s="131"/>
    </row>
    <row r="970">
      <c r="A970" s="131"/>
      <c r="B970" s="131"/>
      <c r="C970" s="131"/>
      <c r="D970" s="131"/>
      <c r="E970" s="131"/>
      <c r="F970" s="131"/>
    </row>
    <row r="971">
      <c r="A971" s="131"/>
      <c r="B971" s="131"/>
      <c r="C971" s="131"/>
      <c r="D971" s="131"/>
      <c r="E971" s="131"/>
      <c r="F971" s="131"/>
    </row>
    <row r="972">
      <c r="A972" s="131"/>
      <c r="B972" s="131"/>
      <c r="C972" s="131"/>
      <c r="D972" s="131"/>
      <c r="E972" s="131"/>
      <c r="F972" s="131"/>
    </row>
    <row r="973">
      <c r="A973" s="131"/>
      <c r="B973" s="131"/>
      <c r="C973" s="131"/>
      <c r="D973" s="131"/>
      <c r="E973" s="131"/>
      <c r="F973" s="131"/>
    </row>
    <row r="974">
      <c r="A974" s="131"/>
      <c r="B974" s="131"/>
      <c r="C974" s="131"/>
      <c r="D974" s="131"/>
      <c r="E974" s="131"/>
      <c r="F974" s="131"/>
    </row>
    <row r="975">
      <c r="A975" s="131"/>
      <c r="B975" s="131"/>
      <c r="C975" s="131"/>
      <c r="D975" s="131"/>
      <c r="E975" s="131"/>
      <c r="F975" s="131"/>
    </row>
    <row r="976">
      <c r="A976" s="131"/>
      <c r="B976" s="131"/>
      <c r="C976" s="131"/>
      <c r="D976" s="131"/>
      <c r="E976" s="131"/>
      <c r="F976" s="131"/>
    </row>
    <row r="977">
      <c r="A977" s="131"/>
      <c r="B977" s="131"/>
      <c r="C977" s="131"/>
      <c r="D977" s="131"/>
      <c r="E977" s="131"/>
      <c r="F977" s="131"/>
    </row>
    <row r="978">
      <c r="A978" s="131"/>
      <c r="B978" s="131"/>
      <c r="C978" s="131"/>
      <c r="D978" s="131"/>
      <c r="E978" s="131"/>
      <c r="F978" s="131"/>
    </row>
    <row r="979">
      <c r="A979" s="131"/>
      <c r="B979" s="131"/>
      <c r="C979" s="131"/>
      <c r="D979" s="131"/>
      <c r="E979" s="131"/>
      <c r="F979" s="131"/>
    </row>
    <row r="980">
      <c r="A980" s="131"/>
      <c r="B980" s="131"/>
      <c r="C980" s="131"/>
      <c r="D980" s="131"/>
      <c r="E980" s="131"/>
      <c r="F980" s="131"/>
    </row>
    <row r="981">
      <c r="A981" s="131"/>
      <c r="B981" s="131"/>
      <c r="C981" s="131"/>
      <c r="D981" s="131"/>
      <c r="E981" s="131"/>
      <c r="F981" s="131"/>
    </row>
    <row r="982">
      <c r="A982" s="131"/>
      <c r="B982" s="131"/>
      <c r="C982" s="131"/>
      <c r="D982" s="131"/>
      <c r="E982" s="131"/>
      <c r="F982" s="131"/>
    </row>
    <row r="983">
      <c r="A983" s="131"/>
      <c r="B983" s="131"/>
      <c r="C983" s="131"/>
      <c r="D983" s="131"/>
      <c r="E983" s="131"/>
      <c r="F983" s="131"/>
    </row>
    <row r="984">
      <c r="A984" s="131"/>
      <c r="B984" s="131"/>
      <c r="C984" s="131"/>
      <c r="D984" s="131"/>
      <c r="E984" s="131"/>
      <c r="F984" s="131"/>
    </row>
    <row r="985">
      <c r="A985" s="131"/>
      <c r="B985" s="131"/>
      <c r="C985" s="131"/>
      <c r="D985" s="131"/>
      <c r="E985" s="131"/>
      <c r="F985" s="131"/>
    </row>
    <row r="986">
      <c r="A986" s="131"/>
      <c r="B986" s="131"/>
      <c r="C986" s="131"/>
      <c r="D986" s="131"/>
      <c r="E986" s="131"/>
      <c r="F986" s="131"/>
    </row>
    <row r="987">
      <c r="A987" s="131"/>
      <c r="B987" s="131"/>
      <c r="C987" s="131"/>
      <c r="D987" s="131"/>
      <c r="E987" s="131"/>
      <c r="F987" s="131"/>
    </row>
    <row r="988">
      <c r="A988" s="131"/>
      <c r="B988" s="131"/>
      <c r="C988" s="131"/>
      <c r="D988" s="131"/>
      <c r="E988" s="131"/>
      <c r="F988" s="131"/>
    </row>
    <row r="989">
      <c r="A989" s="131"/>
      <c r="B989" s="131"/>
      <c r="C989" s="131"/>
      <c r="D989" s="131"/>
      <c r="E989" s="131"/>
      <c r="F989" s="131"/>
    </row>
    <row r="990">
      <c r="A990" s="131"/>
      <c r="B990" s="131"/>
      <c r="C990" s="131"/>
      <c r="D990" s="131"/>
      <c r="E990" s="131"/>
      <c r="F990" s="131"/>
    </row>
    <row r="991">
      <c r="A991" s="131"/>
      <c r="B991" s="131"/>
      <c r="C991" s="131"/>
      <c r="D991" s="131"/>
      <c r="E991" s="131"/>
      <c r="F991" s="131"/>
    </row>
    <row r="992">
      <c r="A992" s="131"/>
      <c r="B992" s="131"/>
      <c r="C992" s="131"/>
      <c r="D992" s="131"/>
      <c r="E992" s="131"/>
      <c r="F992" s="131"/>
    </row>
    <row r="993">
      <c r="A993" s="131"/>
      <c r="B993" s="131"/>
      <c r="C993" s="131"/>
      <c r="D993" s="131"/>
      <c r="E993" s="131"/>
      <c r="F993" s="131"/>
    </row>
    <row r="994">
      <c r="A994" s="131"/>
      <c r="B994" s="131"/>
      <c r="C994" s="131"/>
      <c r="D994" s="131"/>
      <c r="E994" s="131"/>
      <c r="F994" s="131"/>
    </row>
  </sheetData>
  <mergeCells count="3">
    <mergeCell ref="G1:K1"/>
    <mergeCell ref="L1:P1"/>
    <mergeCell ref="Q1:W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5" max="5" width="19.43"/>
    <col customWidth="1" min="22" max="22" width="16.29"/>
    <col customWidth="1" min="23" max="23" width="16.14"/>
  </cols>
  <sheetData>
    <row r="1">
      <c r="A1" s="86" t="s">
        <v>554</v>
      </c>
      <c r="B1" s="87" t="s">
        <v>22</v>
      </c>
      <c r="G1" s="121" t="s">
        <v>555</v>
      </c>
      <c r="H1" s="13"/>
      <c r="I1" s="13"/>
      <c r="J1" s="13"/>
      <c r="K1" s="14"/>
      <c r="L1" s="121" t="s">
        <v>556</v>
      </c>
      <c r="M1" s="13"/>
      <c r="N1" s="13"/>
      <c r="O1" s="13"/>
      <c r="P1" s="14"/>
      <c r="Q1" s="122" t="s">
        <v>33</v>
      </c>
      <c r="R1" s="13"/>
      <c r="S1" s="13"/>
      <c r="T1" s="13"/>
      <c r="U1" s="13"/>
      <c r="V1" s="13"/>
      <c r="W1" s="14"/>
    </row>
    <row r="2">
      <c r="A2" s="90" t="s">
        <v>41</v>
      </c>
      <c r="B2" s="90" t="s">
        <v>42</v>
      </c>
      <c r="C2" s="90" t="s">
        <v>43</v>
      </c>
      <c r="D2" s="90" t="s">
        <v>44</v>
      </c>
      <c r="E2" s="90" t="s">
        <v>45</v>
      </c>
      <c r="F2" s="90" t="s">
        <v>46</v>
      </c>
      <c r="G2" s="123" t="s">
        <v>557</v>
      </c>
      <c r="H2" s="124" t="s">
        <v>558</v>
      </c>
      <c r="I2" s="124" t="s">
        <v>559</v>
      </c>
      <c r="J2" s="125" t="s">
        <v>560</v>
      </c>
      <c r="K2" s="125" t="s">
        <v>561</v>
      </c>
      <c r="L2" s="126" t="s">
        <v>562</v>
      </c>
      <c r="M2" s="125" t="s">
        <v>563</v>
      </c>
      <c r="N2" s="125" t="s">
        <v>564</v>
      </c>
      <c r="O2" s="125" t="s">
        <v>565</v>
      </c>
      <c r="P2" s="127" t="s">
        <v>566</v>
      </c>
      <c r="Q2" s="128" t="s">
        <v>567</v>
      </c>
      <c r="R2" s="129" t="s">
        <v>568</v>
      </c>
      <c r="S2" s="129" t="s">
        <v>569</v>
      </c>
      <c r="T2" s="129" t="s">
        <v>570</v>
      </c>
      <c r="U2" s="129" t="s">
        <v>571</v>
      </c>
      <c r="V2" s="129" t="s">
        <v>572</v>
      </c>
      <c r="W2" s="130" t="s">
        <v>573</v>
      </c>
    </row>
    <row r="3">
      <c r="A3" s="131">
        <f>IFERROR(__xludf.DUMMYFUNCTION("QUERY(MASTERLIST!A3:F996, ""SELECT *"", 0)"),1.0)</f>
        <v>1</v>
      </c>
      <c r="B3" s="131"/>
      <c r="C3" s="131">
        <f>IFERROR(__xludf.DUMMYFUNCTION("""COMPUTED_VALUE"""),1.0)</f>
        <v>1</v>
      </c>
      <c r="D3" s="131" t="b">
        <f>IFERROR(__xludf.DUMMYFUNCTION("""COMPUTED_VALUE"""),TRUE)</f>
        <v>1</v>
      </c>
      <c r="E3" s="94" t="str">
        <f>IFERROR(__xludf.DUMMYFUNCTION("""COMPUTED_VALUE"""),"ARANDA")</f>
        <v>ARANDA</v>
      </c>
      <c r="F3" s="94" t="str">
        <f>IFERROR(__xludf.DUMMYFUNCTION("""COMPUTED_VALUE"""),"KAI")</f>
        <v>KAI</v>
      </c>
      <c r="G3" s="90" t="s">
        <v>4</v>
      </c>
      <c r="I3" s="90" t="s">
        <v>4</v>
      </c>
      <c r="J3" s="90" t="s">
        <v>4</v>
      </c>
      <c r="N3" s="90" t="b">
        <v>1</v>
      </c>
      <c r="O3" s="90" t="b">
        <v>1</v>
      </c>
      <c r="U3" s="90"/>
      <c r="V3" s="90"/>
      <c r="W3" s="90"/>
    </row>
    <row r="4">
      <c r="A4" s="131">
        <f>IFERROR(__xludf.DUMMYFUNCTION("""COMPUTED_VALUE"""),2.0)</f>
        <v>2</v>
      </c>
      <c r="B4" s="131"/>
      <c r="C4" s="131">
        <f>IFERROR(__xludf.DUMMYFUNCTION("""COMPUTED_VALUE"""),1.0)</f>
        <v>1</v>
      </c>
      <c r="D4" s="131" t="b">
        <f>IFERROR(__xludf.DUMMYFUNCTION("""COMPUTED_VALUE"""),FALSE)</f>
        <v>0</v>
      </c>
      <c r="E4" s="95" t="str">
        <f>IFERROR(__xludf.DUMMYFUNCTION("""COMPUTED_VALUE"""),"ARCILLA")</f>
        <v>ARCILLA</v>
      </c>
      <c r="F4" s="96" t="str">
        <f>IFERROR(__xludf.DUMMYFUNCTION("""COMPUTED_VALUE"""),"DANIELA")</f>
        <v>DANIELA</v>
      </c>
      <c r="H4" s="90" t="s">
        <v>6</v>
      </c>
      <c r="J4" s="90" t="s">
        <v>4</v>
      </c>
      <c r="O4" s="90" t="b">
        <v>1</v>
      </c>
      <c r="P4" s="90" t="b">
        <v>0</v>
      </c>
    </row>
    <row r="5">
      <c r="A5" s="131">
        <f>IFERROR(__xludf.DUMMYFUNCTION("""COMPUTED_VALUE"""),3.0)</f>
        <v>3</v>
      </c>
      <c r="B5" s="131"/>
      <c r="C5" s="131">
        <f>IFERROR(__xludf.DUMMYFUNCTION("""COMPUTED_VALUE"""),1.0)</f>
        <v>1</v>
      </c>
      <c r="D5" s="131" t="b">
        <f>IFERROR(__xludf.DUMMYFUNCTION("""COMPUTED_VALUE"""),FALSE)</f>
        <v>0</v>
      </c>
      <c r="E5" s="95" t="str">
        <f>IFERROR(__xludf.DUMMYFUNCTION("""COMPUTED_VALUE"""),"ANDRE")</f>
        <v>ANDRE</v>
      </c>
      <c r="F5" s="96" t="str">
        <f>IFERROR(__xludf.DUMMYFUNCTION("""COMPUTED_VALUE"""),"CARLA")</f>
        <v>CARLA</v>
      </c>
      <c r="G5" s="90"/>
    </row>
    <row r="6">
      <c r="A6" s="131">
        <f>IFERROR(__xludf.DUMMYFUNCTION("""COMPUTED_VALUE"""),4.0)</f>
        <v>4</v>
      </c>
      <c r="B6" s="131"/>
      <c r="C6" s="131">
        <f>IFERROR(__xludf.DUMMYFUNCTION("""COMPUTED_VALUE"""),1.0)</f>
        <v>1</v>
      </c>
      <c r="D6" s="131" t="b">
        <f>IFERROR(__xludf.DUMMYFUNCTION("""COMPUTED_VALUE"""),FALSE)</f>
        <v>0</v>
      </c>
      <c r="E6" s="96" t="str">
        <f>IFERROR(__xludf.DUMMYFUNCTION("""COMPUTED_VALUE"""),"BALDELOVAR")</f>
        <v>BALDELOVAR</v>
      </c>
      <c r="F6" s="96" t="str">
        <f>IFERROR(__xludf.DUMMYFUNCTION("""COMPUTED_VALUE"""),"LEANNE")</f>
        <v>LEANNE</v>
      </c>
      <c r="I6" s="90" t="s">
        <v>4</v>
      </c>
      <c r="J6" s="90" t="s">
        <v>4</v>
      </c>
      <c r="N6" s="90" t="b">
        <v>1</v>
      </c>
      <c r="O6" s="90" t="b">
        <v>1</v>
      </c>
    </row>
    <row r="7">
      <c r="A7" s="131">
        <f>IFERROR(__xludf.DUMMYFUNCTION("""COMPUTED_VALUE"""),5.0)</f>
        <v>5</v>
      </c>
      <c r="B7" s="131"/>
      <c r="C7" s="131">
        <f>IFERROR(__xludf.DUMMYFUNCTION("""COMPUTED_VALUE"""),1.0)</f>
        <v>1</v>
      </c>
      <c r="D7" s="131" t="b">
        <f>IFERROR(__xludf.DUMMYFUNCTION("""COMPUTED_VALUE"""),FALSE)</f>
        <v>0</v>
      </c>
      <c r="E7" s="96" t="str">
        <f>IFERROR(__xludf.DUMMYFUNCTION("""COMPUTED_VALUE"""),"BANTAYAN")</f>
        <v>BANTAYAN</v>
      </c>
      <c r="F7" s="96" t="str">
        <f>IFERROR(__xludf.DUMMYFUNCTION("""COMPUTED_VALUE"""),"EURASIA")</f>
        <v>EURASIA</v>
      </c>
    </row>
    <row r="8">
      <c r="A8" s="131">
        <f>IFERROR(__xludf.DUMMYFUNCTION("""COMPUTED_VALUE"""),6.0)</f>
        <v>6</v>
      </c>
      <c r="B8" s="131"/>
      <c r="C8" s="131">
        <f>IFERROR(__xludf.DUMMYFUNCTION("""COMPUTED_VALUE"""),1.0)</f>
        <v>1</v>
      </c>
      <c r="D8" s="131" t="b">
        <f>IFERROR(__xludf.DUMMYFUNCTION("""COMPUTED_VALUE"""),FALSE)</f>
        <v>0</v>
      </c>
      <c r="E8" s="96" t="str">
        <f>IFERROR(__xludf.DUMMYFUNCTION("""COMPUTED_VALUE"""),"BUCTOT")</f>
        <v>BUCTOT</v>
      </c>
      <c r="F8" s="96" t="str">
        <f>IFERROR(__xludf.DUMMYFUNCTION("""COMPUTED_VALUE"""),"JEZEBEL")</f>
        <v>JEZEBEL</v>
      </c>
    </row>
    <row r="9">
      <c r="A9" s="131">
        <f>IFERROR(__xludf.DUMMYFUNCTION("""COMPUTED_VALUE"""),7.0)</f>
        <v>7</v>
      </c>
      <c r="B9" s="131"/>
      <c r="C9" s="131">
        <f>IFERROR(__xludf.DUMMYFUNCTION("""COMPUTED_VALUE"""),1.0)</f>
        <v>1</v>
      </c>
      <c r="D9" s="131" t="b">
        <f>IFERROR(__xludf.DUMMYFUNCTION("""COMPUTED_VALUE"""),FALSE)</f>
        <v>0</v>
      </c>
      <c r="E9" s="96" t="str">
        <f>IFERROR(__xludf.DUMMYFUNCTION("""COMPUTED_VALUE"""),"ENCARNACION")</f>
        <v>ENCARNACION</v>
      </c>
      <c r="F9" s="96" t="str">
        <f>IFERROR(__xludf.DUMMYFUNCTION("""COMPUTED_VALUE"""),"KRISTEL")</f>
        <v>KRISTEL</v>
      </c>
    </row>
    <row r="10">
      <c r="A10" s="131">
        <f>IFERROR(__xludf.DUMMYFUNCTION("""COMPUTED_VALUE"""),8.0)</f>
        <v>8</v>
      </c>
      <c r="B10" s="131"/>
      <c r="C10" s="131">
        <f>IFERROR(__xludf.DUMMYFUNCTION("""COMPUTED_VALUE"""),1.0)</f>
        <v>1</v>
      </c>
      <c r="D10" s="131" t="b">
        <f>IFERROR(__xludf.DUMMYFUNCTION("""COMPUTED_VALUE"""),FALSE)</f>
        <v>0</v>
      </c>
      <c r="E10" s="96" t="str">
        <f>IFERROR(__xludf.DUMMYFUNCTION("""COMPUTED_VALUE"""),"GUTIERREZ")</f>
        <v>GUTIERREZ</v>
      </c>
      <c r="F10" s="96" t="str">
        <f>IFERROR(__xludf.DUMMYFUNCTION("""COMPUTED_VALUE"""),"PAOLA")</f>
        <v>PAOLA</v>
      </c>
      <c r="I10" s="90" t="s">
        <v>4</v>
      </c>
      <c r="J10" s="90" t="s">
        <v>4</v>
      </c>
      <c r="N10" s="90" t="b">
        <v>1</v>
      </c>
      <c r="O10" s="90" t="b">
        <v>1</v>
      </c>
    </row>
    <row r="11">
      <c r="A11" s="131">
        <f>IFERROR(__xludf.DUMMYFUNCTION("""COMPUTED_VALUE"""),9.0)</f>
        <v>9</v>
      </c>
      <c r="B11" s="131"/>
      <c r="C11" s="131">
        <f>IFERROR(__xludf.DUMMYFUNCTION("""COMPUTED_VALUE"""),1.0)</f>
        <v>1</v>
      </c>
      <c r="D11" s="131" t="b">
        <f>IFERROR(__xludf.DUMMYFUNCTION("""COMPUTED_VALUE"""),FALSE)</f>
        <v>0</v>
      </c>
      <c r="E11" s="96" t="str">
        <f>IFERROR(__xludf.DUMMYFUNCTION("""COMPUTED_VALUE"""),"HISPANO")</f>
        <v>HISPANO</v>
      </c>
      <c r="F11" s="96" t="str">
        <f>IFERROR(__xludf.DUMMYFUNCTION("""COMPUTED_VALUE"""),"HANNA")</f>
        <v>HANNA</v>
      </c>
      <c r="I11" s="90"/>
      <c r="J11" s="90"/>
      <c r="O11" s="90" t="b">
        <v>0</v>
      </c>
    </row>
    <row r="12">
      <c r="A12" s="131">
        <f>IFERROR(__xludf.DUMMYFUNCTION("""COMPUTED_VALUE"""),10.0)</f>
        <v>10</v>
      </c>
      <c r="B12" s="131"/>
      <c r="C12" s="131">
        <f>IFERROR(__xludf.DUMMYFUNCTION("""COMPUTED_VALUE"""),1.0)</f>
        <v>1</v>
      </c>
      <c r="D12" s="131" t="b">
        <f>IFERROR(__xludf.DUMMYFUNCTION("""COMPUTED_VALUE"""),FALSE)</f>
        <v>0</v>
      </c>
      <c r="E12" s="96" t="str">
        <f>IFERROR(__xludf.DUMMYFUNCTION("""COMPUTED_VALUE"""),"MALOLOY-ON")</f>
        <v>MALOLOY-ON</v>
      </c>
      <c r="F12" s="96" t="str">
        <f>IFERROR(__xludf.DUMMYFUNCTION("""COMPUTED_VALUE"""),"MARIANA")</f>
        <v>MARIANA</v>
      </c>
    </row>
    <row r="13">
      <c r="A13" s="131">
        <f>IFERROR(__xludf.DUMMYFUNCTION("""COMPUTED_VALUE"""),11.0)</f>
        <v>11</v>
      </c>
      <c r="B13" s="131"/>
      <c r="C13" s="131">
        <f>IFERROR(__xludf.DUMMYFUNCTION("""COMPUTED_VALUE"""),1.0)</f>
        <v>1</v>
      </c>
      <c r="D13" s="131" t="b">
        <f>IFERROR(__xludf.DUMMYFUNCTION("""COMPUTED_VALUE"""),FALSE)</f>
        <v>0</v>
      </c>
      <c r="E13" s="96" t="str">
        <f>IFERROR(__xludf.DUMMYFUNCTION("""COMPUTED_VALUE"""),"MALOLOY-ON")</f>
        <v>MALOLOY-ON</v>
      </c>
      <c r="F13" s="96" t="str">
        <f>IFERROR(__xludf.DUMMYFUNCTION("""COMPUTED_VALUE"""),"JOISEALAY")</f>
        <v>JOISEALAY</v>
      </c>
    </row>
    <row r="14">
      <c r="A14" s="131">
        <f>IFERROR(__xludf.DUMMYFUNCTION("""COMPUTED_VALUE"""),12.0)</f>
        <v>12</v>
      </c>
      <c r="B14" s="131"/>
      <c r="C14" s="131">
        <f>IFERROR(__xludf.DUMMYFUNCTION("""COMPUTED_VALUE"""),1.0)</f>
        <v>1</v>
      </c>
      <c r="D14" s="131" t="b">
        <f>IFERROR(__xludf.DUMMYFUNCTION("""COMPUTED_VALUE"""),FALSE)</f>
        <v>0</v>
      </c>
      <c r="E14" s="96" t="str">
        <f>IFERROR(__xludf.DUMMYFUNCTION("""COMPUTED_VALUE"""),"ORQUIA")</f>
        <v>ORQUIA</v>
      </c>
      <c r="F14" s="96" t="str">
        <f>IFERROR(__xludf.DUMMYFUNCTION("""COMPUTED_VALUE"""),"KAYLA")</f>
        <v>KAYLA</v>
      </c>
      <c r="G14" s="90" t="s">
        <v>4</v>
      </c>
      <c r="I14" s="90" t="s">
        <v>4</v>
      </c>
      <c r="J14" s="90" t="s">
        <v>4</v>
      </c>
      <c r="N14" s="90" t="b">
        <v>1</v>
      </c>
      <c r="O14" s="90" t="b">
        <v>1</v>
      </c>
    </row>
    <row r="15">
      <c r="A15" s="131">
        <f>IFERROR(__xludf.DUMMYFUNCTION("""COMPUTED_VALUE"""),13.0)</f>
        <v>13</v>
      </c>
      <c r="B15" s="131"/>
      <c r="C15" s="131">
        <f>IFERROR(__xludf.DUMMYFUNCTION("""COMPUTED_VALUE"""),1.0)</f>
        <v>1</v>
      </c>
      <c r="D15" s="131" t="b">
        <f>IFERROR(__xludf.DUMMYFUNCTION("""COMPUTED_VALUE"""),FALSE)</f>
        <v>0</v>
      </c>
      <c r="E15" s="96" t="str">
        <f>IFERROR(__xludf.DUMMYFUNCTION("""COMPUTED_VALUE"""),"PIGAO")</f>
        <v>PIGAO</v>
      </c>
      <c r="F15" s="96" t="str">
        <f>IFERROR(__xludf.DUMMYFUNCTION("""COMPUTED_VALUE"""),"HANNAH")</f>
        <v>HANNAH</v>
      </c>
      <c r="G15" s="90" t="s">
        <v>4</v>
      </c>
      <c r="J15" s="90" t="s">
        <v>4</v>
      </c>
      <c r="L15" s="90" t="b">
        <v>1</v>
      </c>
      <c r="O15" s="90" t="b">
        <v>1</v>
      </c>
    </row>
    <row r="16">
      <c r="A16" s="131">
        <f>IFERROR(__xludf.DUMMYFUNCTION("""COMPUTED_VALUE"""),14.0)</f>
        <v>14</v>
      </c>
      <c r="B16" s="131"/>
      <c r="C16" s="131">
        <f>IFERROR(__xludf.DUMMYFUNCTION("""COMPUTED_VALUE"""),1.0)</f>
        <v>1</v>
      </c>
      <c r="D16" s="131" t="b">
        <f>IFERROR(__xludf.DUMMYFUNCTION("""COMPUTED_VALUE"""),FALSE)</f>
        <v>0</v>
      </c>
      <c r="E16" s="96" t="str">
        <f>IFERROR(__xludf.DUMMYFUNCTION("""COMPUTED_VALUE"""),"RELEVO")</f>
        <v>RELEVO</v>
      </c>
      <c r="F16" s="96" t="str">
        <f>IFERROR(__xludf.DUMMYFUNCTION("""COMPUTED_VALUE"""),"RICA")</f>
        <v>RICA</v>
      </c>
      <c r="J16" s="90" t="s">
        <v>4</v>
      </c>
    </row>
    <row r="17">
      <c r="A17" s="131">
        <f>IFERROR(__xludf.DUMMYFUNCTION("""COMPUTED_VALUE"""),15.0)</f>
        <v>15</v>
      </c>
      <c r="B17" s="131"/>
      <c r="C17" s="131">
        <f>IFERROR(__xludf.DUMMYFUNCTION("""COMPUTED_VALUE"""),1.0)</f>
        <v>1</v>
      </c>
      <c r="D17" s="131" t="b">
        <f>IFERROR(__xludf.DUMMYFUNCTION("""COMPUTED_VALUE"""),FALSE)</f>
        <v>0</v>
      </c>
      <c r="E17" s="97" t="str">
        <f>IFERROR(__xludf.DUMMYFUNCTION("""COMPUTED_VALUE"""),"REYES")</f>
        <v>REYES</v>
      </c>
      <c r="F17" s="97" t="str">
        <f>IFERROR(__xludf.DUMMYFUNCTION("""COMPUTED_VALUE"""),"ARIANNE")</f>
        <v>ARIANNE</v>
      </c>
      <c r="G17" s="90" t="s">
        <v>4</v>
      </c>
      <c r="I17" s="90" t="s">
        <v>4</v>
      </c>
      <c r="J17" s="90" t="s">
        <v>4</v>
      </c>
      <c r="N17" s="90" t="b">
        <v>1</v>
      </c>
      <c r="O17" s="90" t="b">
        <v>1</v>
      </c>
    </row>
    <row r="18">
      <c r="A18" s="131">
        <f>IFERROR(__xludf.DUMMYFUNCTION("""COMPUTED_VALUE"""),16.0)</f>
        <v>16</v>
      </c>
      <c r="B18" s="131"/>
      <c r="C18" s="131">
        <f>IFERROR(__xludf.DUMMYFUNCTION("""COMPUTED_VALUE"""),1.0)</f>
        <v>1</v>
      </c>
      <c r="D18" s="131" t="b">
        <f>IFERROR(__xludf.DUMMYFUNCTION("""COMPUTED_VALUE"""),FALSE)</f>
        <v>0</v>
      </c>
      <c r="E18" s="96" t="str">
        <f>IFERROR(__xludf.DUMMYFUNCTION("""COMPUTED_VALUE"""),"ROMANO")</f>
        <v>ROMANO</v>
      </c>
      <c r="F18" s="96" t="str">
        <f>IFERROR(__xludf.DUMMYFUNCTION("""COMPUTED_VALUE"""),"ROZANE")</f>
        <v>ROZANE</v>
      </c>
    </row>
    <row r="19">
      <c r="A19" s="131">
        <f>IFERROR(__xludf.DUMMYFUNCTION("""COMPUTED_VALUE"""),17.0)</f>
        <v>17</v>
      </c>
      <c r="B19" s="131"/>
      <c r="C19" s="131">
        <f>IFERROR(__xludf.DUMMYFUNCTION("""COMPUTED_VALUE"""),1.0)</f>
        <v>1</v>
      </c>
      <c r="D19" s="131" t="b">
        <f>IFERROR(__xludf.DUMMYFUNCTION("""COMPUTED_VALUE"""),FALSE)</f>
        <v>0</v>
      </c>
      <c r="E19" s="96" t="str">
        <f>IFERROR(__xludf.DUMMYFUNCTION("""COMPUTED_VALUE"""),"SEBASTIAN")</f>
        <v>SEBASTIAN</v>
      </c>
      <c r="F19" s="96" t="str">
        <f>IFERROR(__xludf.DUMMYFUNCTION("""COMPUTED_VALUE"""),"JENNIFER")</f>
        <v>JENNIFER</v>
      </c>
    </row>
    <row r="20">
      <c r="A20" s="131">
        <f>IFERROR(__xludf.DUMMYFUNCTION("""COMPUTED_VALUE"""),18.0)</f>
        <v>18</v>
      </c>
      <c r="B20" s="131"/>
      <c r="C20" s="131">
        <f>IFERROR(__xludf.DUMMYFUNCTION("""COMPUTED_VALUE"""),1.0)</f>
        <v>1</v>
      </c>
      <c r="D20" s="131" t="b">
        <f>IFERROR(__xludf.DUMMYFUNCTION("""COMPUTED_VALUE"""),FALSE)</f>
        <v>0</v>
      </c>
      <c r="E20" s="96" t="str">
        <f>IFERROR(__xludf.DUMMYFUNCTION("""COMPUTED_VALUE"""),"SIMON")</f>
        <v>SIMON</v>
      </c>
      <c r="F20" s="96" t="str">
        <f>IFERROR(__xludf.DUMMYFUNCTION("""COMPUTED_VALUE"""),"SHERRIE")</f>
        <v>SHERRIE</v>
      </c>
      <c r="G20" s="90" t="s">
        <v>4</v>
      </c>
      <c r="I20" s="90" t="s">
        <v>4</v>
      </c>
      <c r="L20" s="90" t="b">
        <v>1</v>
      </c>
      <c r="N20" s="90" t="b">
        <v>1</v>
      </c>
    </row>
    <row r="21">
      <c r="A21" s="131">
        <f>IFERROR(__xludf.DUMMYFUNCTION("""COMPUTED_VALUE"""),19.0)</f>
        <v>19</v>
      </c>
      <c r="B21" s="131">
        <f>IFERROR(__xludf.DUMMYFUNCTION("""COMPUTED_VALUE"""),15.0)</f>
        <v>15</v>
      </c>
      <c r="C21" s="131">
        <f>IFERROR(__xludf.DUMMYFUNCTION("""COMPUTED_VALUE"""),1.0)</f>
        <v>1</v>
      </c>
      <c r="D21" s="131" t="b">
        <f>IFERROR(__xludf.DUMMYFUNCTION("""COMPUTED_VALUE"""),FALSE)</f>
        <v>0</v>
      </c>
      <c r="E21" s="96" t="str">
        <f>IFERROR(__xludf.DUMMYFUNCTION("""COMPUTED_VALUE"""),"TAMIDLES")</f>
        <v>TAMIDLES</v>
      </c>
      <c r="F21" s="96" t="str">
        <f>IFERROR(__xludf.DUMMYFUNCTION("""COMPUTED_VALUE"""),"CZARINA")</f>
        <v>CZARINA</v>
      </c>
      <c r="G21" s="90" t="s">
        <v>4</v>
      </c>
      <c r="I21" s="90" t="s">
        <v>4</v>
      </c>
      <c r="J21" s="90" t="s">
        <v>4</v>
      </c>
      <c r="L21" s="90" t="b">
        <v>1</v>
      </c>
      <c r="N21" s="90" t="b">
        <v>1</v>
      </c>
      <c r="O21" s="90" t="b">
        <v>1</v>
      </c>
    </row>
    <row r="22">
      <c r="A22" s="131">
        <f>IFERROR(__xludf.DUMMYFUNCTION("""COMPUTED_VALUE"""),20.0)</f>
        <v>20</v>
      </c>
      <c r="B22" s="131">
        <f>IFERROR(__xludf.DUMMYFUNCTION("""COMPUTED_VALUE"""),15.0)</f>
        <v>15</v>
      </c>
      <c r="C22" s="131">
        <f>IFERROR(__xludf.DUMMYFUNCTION("""COMPUTED_VALUE"""),1.0)</f>
        <v>1</v>
      </c>
      <c r="D22" s="131" t="b">
        <f>IFERROR(__xludf.DUMMYFUNCTION("""COMPUTED_VALUE"""),FALSE)</f>
        <v>0</v>
      </c>
      <c r="E22" s="96" t="str">
        <f>IFERROR(__xludf.DUMMYFUNCTION("""COMPUTED_VALUE"""),"ULAN")</f>
        <v>ULAN</v>
      </c>
      <c r="F22" s="96" t="str">
        <f>IFERROR(__xludf.DUMMYFUNCTION("""COMPUTED_VALUE"""),"MCWAYNE")</f>
        <v>MCWAYNE</v>
      </c>
      <c r="G22" s="90" t="s">
        <v>4</v>
      </c>
      <c r="I22" s="90" t="s">
        <v>4</v>
      </c>
      <c r="J22" s="90" t="s">
        <v>4</v>
      </c>
      <c r="L22" s="90" t="b">
        <v>1</v>
      </c>
      <c r="N22" s="90" t="b">
        <v>1</v>
      </c>
      <c r="O22" s="90" t="b">
        <v>1</v>
      </c>
    </row>
    <row r="23">
      <c r="A23" s="131">
        <f>IFERROR(__xludf.DUMMYFUNCTION("""COMPUTED_VALUE"""),21.0)</f>
        <v>21</v>
      </c>
      <c r="B23" s="131"/>
      <c r="C23" s="131">
        <f>IFERROR(__xludf.DUMMYFUNCTION("""COMPUTED_VALUE"""),1.0)</f>
        <v>1</v>
      </c>
      <c r="D23" s="131" t="b">
        <f>IFERROR(__xludf.DUMMYFUNCTION("""COMPUTED_VALUE"""),FALSE)</f>
        <v>0</v>
      </c>
      <c r="E23" s="96" t="str">
        <f>IFERROR(__xludf.DUMMYFUNCTION("""COMPUTED_VALUE"""),"VILLARTA")</f>
        <v>VILLARTA</v>
      </c>
      <c r="F23" s="96" t="str">
        <f>IFERROR(__xludf.DUMMYFUNCTION("""COMPUTED_VALUE"""),"JERICKA")</f>
        <v>JERICKA</v>
      </c>
    </row>
    <row r="24">
      <c r="A24" s="131">
        <f>IFERROR(__xludf.DUMMYFUNCTION("""COMPUTED_VALUE"""),22.0)</f>
        <v>22</v>
      </c>
      <c r="B24" s="131"/>
      <c r="C24" s="131"/>
      <c r="D24" s="131" t="b">
        <f>IFERROR(__xludf.DUMMYFUNCTION("""COMPUTED_VALUE"""),FALSE)</f>
        <v>0</v>
      </c>
      <c r="E24" s="98"/>
      <c r="F24" s="96" t="str">
        <f>IFERROR(__xludf.DUMMYFUNCTION("""COMPUTED_VALUE"""),"ANGEL")</f>
        <v>ANGEL</v>
      </c>
    </row>
    <row r="25">
      <c r="A25" s="131">
        <f>IFERROR(__xludf.DUMMYFUNCTION("""COMPUTED_VALUE"""),23.0)</f>
        <v>23</v>
      </c>
      <c r="B25" s="131"/>
      <c r="C25" s="131">
        <f>IFERROR(__xludf.DUMMYFUNCTION("""COMPUTED_VALUE"""),23.0)</f>
        <v>23</v>
      </c>
      <c r="D25" s="131" t="b">
        <f>IFERROR(__xludf.DUMMYFUNCTION("""COMPUTED_VALUE"""),TRUE)</f>
        <v>1</v>
      </c>
      <c r="E25" s="99" t="str">
        <f>IFERROR(__xludf.DUMMYFUNCTION("""COMPUTED_VALUE"""),"AVANCENA")</f>
        <v>AVANCENA</v>
      </c>
      <c r="F25" s="99" t="str">
        <f>IFERROR(__xludf.DUMMYFUNCTION("""COMPUTED_VALUE"""),"AIMEE")</f>
        <v>AIMEE</v>
      </c>
      <c r="G25" s="90" t="s">
        <v>4</v>
      </c>
      <c r="H25" s="90" t="s">
        <v>4</v>
      </c>
      <c r="I25" s="90" t="s">
        <v>4</v>
      </c>
      <c r="J25" s="90" t="s">
        <v>4</v>
      </c>
      <c r="L25" s="90" t="b">
        <v>1</v>
      </c>
      <c r="M25" s="90" t="b">
        <v>1</v>
      </c>
      <c r="N25" s="90" t="b">
        <v>1</v>
      </c>
      <c r="O25" s="90" t="b">
        <v>1</v>
      </c>
    </row>
    <row r="26">
      <c r="A26" s="131">
        <f>IFERROR(__xludf.DUMMYFUNCTION("""COMPUTED_VALUE"""),24.0)</f>
        <v>24</v>
      </c>
      <c r="B26" s="131"/>
      <c r="C26" s="131">
        <f>IFERROR(__xludf.DUMMYFUNCTION("""COMPUTED_VALUE"""),23.0)</f>
        <v>23</v>
      </c>
      <c r="D26" s="131" t="b">
        <f>IFERROR(__xludf.DUMMYFUNCTION("""COMPUTED_VALUE"""),FALSE)</f>
        <v>0</v>
      </c>
      <c r="E26" s="100" t="str">
        <f>IFERROR(__xludf.DUMMYFUNCTION("""COMPUTED_VALUE"""),"CABO")</f>
        <v>CABO</v>
      </c>
      <c r="F26" s="100" t="str">
        <f>IFERROR(__xludf.DUMMYFUNCTION("""COMPUTED_VALUE"""),"MELANIE")</f>
        <v>MELANIE</v>
      </c>
      <c r="G26" s="90" t="s">
        <v>4</v>
      </c>
      <c r="H26" s="90" t="s">
        <v>4</v>
      </c>
      <c r="I26" s="90" t="s">
        <v>4</v>
      </c>
      <c r="J26" s="90" t="s">
        <v>4</v>
      </c>
      <c r="L26" s="90" t="b">
        <v>1</v>
      </c>
      <c r="M26" s="90" t="b">
        <v>1</v>
      </c>
      <c r="N26" s="90" t="b">
        <v>1</v>
      </c>
      <c r="O26" s="90" t="b">
        <v>1</v>
      </c>
    </row>
    <row r="27">
      <c r="A27" s="131">
        <f>IFERROR(__xludf.DUMMYFUNCTION("""COMPUTED_VALUE"""),25.0)</f>
        <v>25</v>
      </c>
      <c r="B27" s="131">
        <f>IFERROR(__xludf.DUMMYFUNCTION("""COMPUTED_VALUE"""),24.0)</f>
        <v>24</v>
      </c>
      <c r="C27" s="131">
        <f>IFERROR(__xludf.DUMMYFUNCTION("""COMPUTED_VALUE"""),23.0)</f>
        <v>23</v>
      </c>
      <c r="D27" s="131" t="b">
        <f>IFERROR(__xludf.DUMMYFUNCTION("""COMPUTED_VALUE"""),FALSE)</f>
        <v>0</v>
      </c>
      <c r="E27" s="100" t="str">
        <f>IFERROR(__xludf.DUMMYFUNCTION("""COMPUTED_VALUE"""),"CARLOS")</f>
        <v>CARLOS</v>
      </c>
      <c r="F27" s="100" t="str">
        <f>IFERROR(__xludf.DUMMYFUNCTION("""COMPUTED_VALUE"""),"FRANCINE")</f>
        <v>FRANCINE</v>
      </c>
    </row>
    <row r="28">
      <c r="A28" s="131">
        <f>IFERROR(__xludf.DUMMYFUNCTION("""COMPUTED_VALUE"""),26.0)</f>
        <v>26</v>
      </c>
      <c r="B28" s="131"/>
      <c r="C28" s="131">
        <f>IFERROR(__xludf.DUMMYFUNCTION("""COMPUTED_VALUE"""),23.0)</f>
        <v>23</v>
      </c>
      <c r="D28" s="131" t="b">
        <f>IFERROR(__xludf.DUMMYFUNCTION("""COMPUTED_VALUE"""),FALSE)</f>
        <v>0</v>
      </c>
      <c r="E28" s="100" t="str">
        <f>IFERROR(__xludf.DUMMYFUNCTION("""COMPUTED_VALUE"""),"DALIOAN")</f>
        <v>DALIOAN</v>
      </c>
      <c r="F28" s="100" t="str">
        <f>IFERROR(__xludf.DUMMYFUNCTION("""COMPUTED_VALUE"""),"MONIQUE")</f>
        <v>MONIQUE</v>
      </c>
    </row>
    <row r="29">
      <c r="A29" s="131">
        <f>IFERROR(__xludf.DUMMYFUNCTION("""COMPUTED_VALUE"""),27.0)</f>
        <v>27</v>
      </c>
      <c r="B29" s="131"/>
      <c r="C29" s="131">
        <f>IFERROR(__xludf.DUMMYFUNCTION("""COMPUTED_VALUE"""),23.0)</f>
        <v>23</v>
      </c>
      <c r="D29" s="131" t="b">
        <f>IFERROR(__xludf.DUMMYFUNCTION("""COMPUTED_VALUE"""),FALSE)</f>
        <v>0</v>
      </c>
      <c r="E29" s="100" t="str">
        <f>IFERROR(__xludf.DUMMYFUNCTION("""COMPUTED_VALUE"""),"GELICAME")</f>
        <v>GELICAME</v>
      </c>
      <c r="F29" s="100" t="str">
        <f>IFERROR(__xludf.DUMMYFUNCTION("""COMPUTED_VALUE"""),"ARYHANA")</f>
        <v>ARYHANA</v>
      </c>
      <c r="G29" s="90" t="s">
        <v>4</v>
      </c>
      <c r="H29" s="90" t="s">
        <v>4</v>
      </c>
      <c r="I29" s="90" t="s">
        <v>4</v>
      </c>
      <c r="J29" s="90" t="s">
        <v>4</v>
      </c>
      <c r="L29" s="90" t="b">
        <v>1</v>
      </c>
      <c r="M29" s="90" t="b">
        <v>1</v>
      </c>
      <c r="N29" s="90" t="b">
        <v>1</v>
      </c>
      <c r="O29" s="90" t="b">
        <v>1</v>
      </c>
    </row>
    <row r="30">
      <c r="A30" s="131">
        <f>IFERROR(__xludf.DUMMYFUNCTION("""COMPUTED_VALUE"""),28.0)</f>
        <v>28</v>
      </c>
      <c r="B30" s="131"/>
      <c r="C30" s="131">
        <f>IFERROR(__xludf.DUMMYFUNCTION("""COMPUTED_VALUE"""),23.0)</f>
        <v>23</v>
      </c>
      <c r="D30" s="131" t="b">
        <f>IFERROR(__xludf.DUMMYFUNCTION("""COMPUTED_VALUE"""),FALSE)</f>
        <v>0</v>
      </c>
      <c r="E30" s="100" t="str">
        <f>IFERROR(__xludf.DUMMYFUNCTION("""COMPUTED_VALUE"""),"GUIMONG")</f>
        <v>GUIMONG</v>
      </c>
      <c r="F30" s="100" t="str">
        <f>IFERROR(__xludf.DUMMYFUNCTION("""COMPUTED_VALUE"""),"FAITH")</f>
        <v>FAITH</v>
      </c>
      <c r="J30" s="90" t="s">
        <v>4</v>
      </c>
      <c r="O30" s="90" t="b">
        <v>1</v>
      </c>
    </row>
    <row r="31">
      <c r="A31" s="131">
        <f>IFERROR(__xludf.DUMMYFUNCTION("""COMPUTED_VALUE"""),29.0)</f>
        <v>29</v>
      </c>
      <c r="B31" s="131"/>
      <c r="C31" s="131">
        <f>IFERROR(__xludf.DUMMYFUNCTION("""COMPUTED_VALUE"""),23.0)</f>
        <v>23</v>
      </c>
      <c r="D31" s="131" t="b">
        <f>IFERROR(__xludf.DUMMYFUNCTION("""COMPUTED_VALUE"""),FALSE)</f>
        <v>0</v>
      </c>
      <c r="E31" s="100" t="str">
        <f>IFERROR(__xludf.DUMMYFUNCTION("""COMPUTED_VALUE"""),"MANALOTO")</f>
        <v>MANALOTO</v>
      </c>
      <c r="F31" s="100" t="str">
        <f>IFERROR(__xludf.DUMMYFUNCTION("""COMPUTED_VALUE"""),"YOSHA")</f>
        <v>YOSHA</v>
      </c>
    </row>
    <row r="32">
      <c r="A32" s="131">
        <f>IFERROR(__xludf.DUMMYFUNCTION("""COMPUTED_VALUE"""),30.0)</f>
        <v>30</v>
      </c>
      <c r="B32" s="131"/>
      <c r="C32" s="131">
        <f>IFERROR(__xludf.DUMMYFUNCTION("""COMPUTED_VALUE"""),23.0)</f>
        <v>23</v>
      </c>
      <c r="D32" s="131" t="b">
        <f>IFERROR(__xludf.DUMMYFUNCTION("""COMPUTED_VALUE"""),FALSE)</f>
        <v>0</v>
      </c>
      <c r="E32" s="100" t="str">
        <f>IFERROR(__xludf.DUMMYFUNCTION("""COMPUTED_VALUE"""),"MARINAS")</f>
        <v>MARINAS</v>
      </c>
      <c r="F32" s="100" t="str">
        <f>IFERROR(__xludf.DUMMYFUNCTION("""COMPUTED_VALUE"""),"CHERRY")</f>
        <v>CHERRY</v>
      </c>
    </row>
    <row r="33">
      <c r="A33" s="131">
        <f>IFERROR(__xludf.DUMMYFUNCTION("""COMPUTED_VALUE"""),31.0)</f>
        <v>31</v>
      </c>
      <c r="B33" s="131"/>
      <c r="C33" s="131">
        <f>IFERROR(__xludf.DUMMYFUNCTION("""COMPUTED_VALUE"""),23.0)</f>
        <v>23</v>
      </c>
      <c r="D33" s="131" t="b">
        <f>IFERROR(__xludf.DUMMYFUNCTION("""COMPUTED_VALUE"""),FALSE)</f>
        <v>0</v>
      </c>
      <c r="E33" s="101" t="str">
        <f>IFERROR(__xludf.DUMMYFUNCTION("""COMPUTED_VALUE"""),"JIMENEZ")</f>
        <v>JIMENEZ</v>
      </c>
      <c r="F33" s="101" t="str">
        <f>IFERROR(__xludf.DUMMYFUNCTION("""COMPUTED_VALUE"""),"RUTH JHAMELA")</f>
        <v>RUTH JHAMELA</v>
      </c>
    </row>
    <row r="34">
      <c r="A34" s="131">
        <f>IFERROR(__xludf.DUMMYFUNCTION("""COMPUTED_VALUE"""),32.0)</f>
        <v>32</v>
      </c>
      <c r="B34" s="131"/>
      <c r="C34" s="131">
        <f>IFERROR(__xludf.DUMMYFUNCTION("""COMPUTED_VALUE"""),23.0)</f>
        <v>23</v>
      </c>
      <c r="D34" s="131" t="b">
        <f>IFERROR(__xludf.DUMMYFUNCTION("""COMPUTED_VALUE"""),FALSE)</f>
        <v>0</v>
      </c>
      <c r="E34" s="100" t="str">
        <f>IFERROR(__xludf.DUMMYFUNCTION("""COMPUTED_VALUE"""),"GUILLERMO")</f>
        <v>GUILLERMO</v>
      </c>
      <c r="F34" s="100" t="str">
        <f>IFERROR(__xludf.DUMMYFUNCTION("""COMPUTED_VALUE"""),"STAR")</f>
        <v>STAR</v>
      </c>
    </row>
    <row r="35">
      <c r="A35" s="131">
        <f>IFERROR(__xludf.DUMMYFUNCTION("""COMPUTED_VALUE"""),33.0)</f>
        <v>33</v>
      </c>
      <c r="B35" s="131"/>
      <c r="C35" s="131">
        <f>IFERROR(__xludf.DUMMYFUNCTION("""COMPUTED_VALUE"""),23.0)</f>
        <v>23</v>
      </c>
      <c r="D35" s="131" t="b">
        <f>IFERROR(__xludf.DUMMYFUNCTION("""COMPUTED_VALUE"""),FALSE)</f>
        <v>0</v>
      </c>
      <c r="E35" s="100" t="str">
        <f>IFERROR(__xludf.DUMMYFUNCTION("""COMPUTED_VALUE"""),"CATENZA")</f>
        <v>CATENZA</v>
      </c>
      <c r="F35" s="100" t="str">
        <f>IFERROR(__xludf.DUMMYFUNCTION("""COMPUTED_VALUE"""),"PRINCESS")</f>
        <v>PRINCESS</v>
      </c>
    </row>
    <row r="36">
      <c r="A36" s="131">
        <f>IFERROR(__xludf.DUMMYFUNCTION("""COMPUTED_VALUE"""),34.0)</f>
        <v>34</v>
      </c>
      <c r="B36" s="131"/>
      <c r="C36" s="131">
        <f>IFERROR(__xludf.DUMMYFUNCTION("""COMPUTED_VALUE"""),23.0)</f>
        <v>23</v>
      </c>
      <c r="D36" s="131" t="b">
        <f>IFERROR(__xludf.DUMMYFUNCTION("""COMPUTED_VALUE"""),FALSE)</f>
        <v>0</v>
      </c>
      <c r="E36" s="102" t="str">
        <f>IFERROR(__xludf.DUMMYFUNCTION("""COMPUTED_VALUE"""),"GORDON")</f>
        <v>GORDON</v>
      </c>
      <c r="F36" s="102" t="str">
        <f>IFERROR(__xludf.DUMMYFUNCTION("""COMPUTED_VALUE"""),"HARRY")</f>
        <v>HARRY</v>
      </c>
    </row>
    <row r="37">
      <c r="A37" s="131">
        <f>IFERROR(__xludf.DUMMYFUNCTION("""COMPUTED_VALUE"""),35.0)</f>
        <v>35</v>
      </c>
      <c r="B37" s="131"/>
      <c r="C37" s="131">
        <f>IFERROR(__xludf.DUMMYFUNCTION("""COMPUTED_VALUE"""),23.0)</f>
        <v>23</v>
      </c>
      <c r="D37" s="131" t="b">
        <f>IFERROR(__xludf.DUMMYFUNCTION("""COMPUTED_VALUE"""),FALSE)</f>
        <v>0</v>
      </c>
      <c r="E37" s="103" t="str">
        <f>IFERROR(__xludf.DUMMYFUNCTION("""COMPUTED_VALUE"""),"AVILLANO")</f>
        <v>AVILLANO</v>
      </c>
      <c r="F37" s="103" t="str">
        <f>IFERROR(__xludf.DUMMYFUNCTION("""COMPUTED_VALUE"""),"ANGEL DIANNE")</f>
        <v>ANGEL DIANNE</v>
      </c>
    </row>
    <row r="38">
      <c r="A38" s="131">
        <f>IFERROR(__xludf.DUMMYFUNCTION("""COMPUTED_VALUE"""),36.0)</f>
        <v>36</v>
      </c>
      <c r="B38" s="131"/>
      <c r="C38" s="131">
        <f>IFERROR(__xludf.DUMMYFUNCTION("""COMPUTED_VALUE"""),23.0)</f>
        <v>23</v>
      </c>
      <c r="D38" s="131" t="b">
        <f>IFERROR(__xludf.DUMMYFUNCTION("""COMPUTED_VALUE"""),FALSE)</f>
        <v>0</v>
      </c>
      <c r="E38" s="103" t="str">
        <f>IFERROR(__xludf.DUMMYFUNCTION("""COMPUTED_VALUE"""),"BALTAZAR")</f>
        <v>BALTAZAR</v>
      </c>
      <c r="F38" s="103" t="str">
        <f>IFERROR(__xludf.DUMMYFUNCTION("""COMPUTED_VALUE"""),"ARSTON")</f>
        <v>ARSTON</v>
      </c>
    </row>
    <row r="39">
      <c r="A39" s="131">
        <f>IFERROR(__xludf.DUMMYFUNCTION("""COMPUTED_VALUE"""),37.0)</f>
        <v>37</v>
      </c>
      <c r="B39" s="131"/>
      <c r="C39" s="131">
        <f>IFERROR(__xludf.DUMMYFUNCTION("""COMPUTED_VALUE"""),23.0)</f>
        <v>23</v>
      </c>
      <c r="D39" s="131" t="b">
        <f>IFERROR(__xludf.DUMMYFUNCTION("""COMPUTED_VALUE"""),FALSE)</f>
        <v>0</v>
      </c>
      <c r="E39" s="102" t="str">
        <f>IFERROR(__xludf.DUMMYFUNCTION("""COMPUTED_VALUE"""),"SISON")</f>
        <v>SISON</v>
      </c>
      <c r="F39" s="103" t="str">
        <f>IFERROR(__xludf.DUMMYFUNCTION("""COMPUTED_VALUE"""),"KRISTA MAE")</f>
        <v>KRISTA MAE</v>
      </c>
    </row>
    <row r="40">
      <c r="A40" s="131">
        <f>IFERROR(__xludf.DUMMYFUNCTION("""COMPUTED_VALUE"""),38.0)</f>
        <v>38</v>
      </c>
      <c r="B40" s="131"/>
      <c r="C40" s="131">
        <f>IFERROR(__xludf.DUMMYFUNCTION("""COMPUTED_VALUE"""),23.0)</f>
        <v>23</v>
      </c>
      <c r="D40" s="131" t="b">
        <f>IFERROR(__xludf.DUMMYFUNCTION("""COMPUTED_VALUE"""),FALSE)</f>
        <v>0</v>
      </c>
      <c r="E40" s="103" t="str">
        <f>IFERROR(__xludf.DUMMYFUNCTION("""COMPUTED_VALUE"""),"GARCIA")</f>
        <v>GARCIA</v>
      </c>
      <c r="F40" s="103" t="str">
        <f>IFERROR(__xludf.DUMMYFUNCTION("""COMPUTED_VALUE"""),"SELTHIEL")</f>
        <v>SELTHIEL</v>
      </c>
    </row>
    <row r="41">
      <c r="A41" s="131">
        <f>IFERROR(__xludf.DUMMYFUNCTION("""COMPUTED_VALUE"""),39.0)</f>
        <v>39</v>
      </c>
      <c r="B41" s="131"/>
      <c r="C41" s="131">
        <f>IFERROR(__xludf.DUMMYFUNCTION("""COMPUTED_VALUE"""),23.0)</f>
        <v>23</v>
      </c>
      <c r="D41" s="131" t="b">
        <f>IFERROR(__xludf.DUMMYFUNCTION("""COMPUTED_VALUE"""),FALSE)</f>
        <v>0</v>
      </c>
      <c r="E41" s="103" t="str">
        <f>IFERROR(__xludf.DUMMYFUNCTION("""COMPUTED_VALUE"""),"HIJARA")</f>
        <v>HIJARA</v>
      </c>
      <c r="F41" s="103" t="str">
        <f>IFERROR(__xludf.DUMMYFUNCTION("""COMPUTED_VALUE"""),"JAIHMIER VIELLE")</f>
        <v>JAIHMIER VIELLE</v>
      </c>
    </row>
    <row r="42">
      <c r="A42" s="131">
        <f>IFERROR(__xludf.DUMMYFUNCTION("""COMPUTED_VALUE"""),40.0)</f>
        <v>40</v>
      </c>
      <c r="B42" s="131"/>
      <c r="C42" s="131">
        <f>IFERROR(__xludf.DUMMYFUNCTION("""COMPUTED_VALUE"""),23.0)</f>
        <v>23</v>
      </c>
      <c r="D42" s="131" t="b">
        <f>IFERROR(__xludf.DUMMYFUNCTION("""COMPUTED_VALUE"""),FALSE)</f>
        <v>0</v>
      </c>
      <c r="E42" s="103" t="str">
        <f>IFERROR(__xludf.DUMMYFUNCTION("""COMPUTED_VALUE"""),"MAGBANUA")</f>
        <v>MAGBANUA</v>
      </c>
      <c r="F42" s="103" t="str">
        <f>IFERROR(__xludf.DUMMYFUNCTION("""COMPUTED_VALUE"""),"MANUEL HARVEY")</f>
        <v>MANUEL HARVEY</v>
      </c>
    </row>
    <row r="43">
      <c r="A43" s="131">
        <f>IFERROR(__xludf.DUMMYFUNCTION("""COMPUTED_VALUE"""),41.0)</f>
        <v>41</v>
      </c>
      <c r="B43" s="131"/>
      <c r="C43" s="131">
        <f>IFERROR(__xludf.DUMMYFUNCTION("""COMPUTED_VALUE"""),23.0)</f>
        <v>23</v>
      </c>
      <c r="D43" s="131" t="b">
        <f>IFERROR(__xludf.DUMMYFUNCTION("""COMPUTED_VALUE"""),FALSE)</f>
        <v>0</v>
      </c>
      <c r="E43" s="103" t="str">
        <f>IFERROR(__xludf.DUMMYFUNCTION("""COMPUTED_VALUE"""),"TABOY")</f>
        <v>TABOY</v>
      </c>
      <c r="F43" s="103" t="str">
        <f>IFERROR(__xludf.DUMMYFUNCTION("""COMPUTED_VALUE"""),"PRIMO KLYDE")</f>
        <v>PRIMO KLYDE</v>
      </c>
    </row>
    <row r="44">
      <c r="A44" s="131">
        <f>IFERROR(__xludf.DUMMYFUNCTION("""COMPUTED_VALUE"""),42.0)</f>
        <v>42</v>
      </c>
      <c r="B44" s="131"/>
      <c r="C44" s="131"/>
      <c r="D44" s="131" t="b">
        <f>IFERROR(__xludf.DUMMYFUNCTION("""COMPUTED_VALUE"""),FALSE)</f>
        <v>0</v>
      </c>
      <c r="E44" s="103"/>
      <c r="F44" s="103"/>
    </row>
    <row r="45">
      <c r="A45" s="131">
        <f>IFERROR(__xludf.DUMMYFUNCTION("""COMPUTED_VALUE"""),43.0)</f>
        <v>43</v>
      </c>
      <c r="B45" s="131"/>
      <c r="C45" s="131">
        <f>IFERROR(__xludf.DUMMYFUNCTION("""COMPUTED_VALUE"""),23.0)</f>
        <v>23</v>
      </c>
      <c r="D45" s="131" t="b">
        <f>IFERROR(__xludf.DUMMYFUNCTION("""COMPUTED_VALUE"""),FALSE)</f>
        <v>0</v>
      </c>
      <c r="E45" s="103" t="str">
        <f>IFERROR(__xludf.DUMMYFUNCTION("""COMPUTED_VALUE"""),"SABEJON")</f>
        <v>SABEJON</v>
      </c>
      <c r="F45" s="103" t="str">
        <f>IFERROR(__xludf.DUMMYFUNCTION("""COMPUTED_VALUE"""),"KENNETH")</f>
        <v>KENNETH</v>
      </c>
    </row>
    <row r="46">
      <c r="A46" s="131">
        <f>IFERROR(__xludf.DUMMYFUNCTION("""COMPUTED_VALUE"""),44.0)</f>
        <v>44</v>
      </c>
      <c r="B46" s="131"/>
      <c r="C46" s="131">
        <f>IFERROR(__xludf.DUMMYFUNCTION("""COMPUTED_VALUE"""),23.0)</f>
        <v>23</v>
      </c>
      <c r="D46" s="131" t="b">
        <f>IFERROR(__xludf.DUMMYFUNCTION("""COMPUTED_VALUE"""),FALSE)</f>
        <v>0</v>
      </c>
      <c r="E46" s="103" t="str">
        <f>IFERROR(__xludf.DUMMYFUNCTION("""COMPUTED_VALUE"""),"LIRRAG")</f>
        <v>LIRRAG</v>
      </c>
      <c r="F46" s="103" t="str">
        <f>IFERROR(__xludf.DUMMYFUNCTION("""COMPUTED_VALUE"""),"DAN EDRIK")</f>
        <v>DAN EDRIK</v>
      </c>
    </row>
    <row r="47">
      <c r="A47" s="131">
        <f>IFERROR(__xludf.DUMMYFUNCTION("""COMPUTED_VALUE"""),45.0)</f>
        <v>45</v>
      </c>
      <c r="B47" s="131"/>
      <c r="C47" s="131">
        <f>IFERROR(__xludf.DUMMYFUNCTION("""COMPUTED_VALUE"""),23.0)</f>
        <v>23</v>
      </c>
      <c r="D47" s="131" t="b">
        <f>IFERROR(__xludf.DUMMYFUNCTION("""COMPUTED_VALUE"""),FALSE)</f>
        <v>0</v>
      </c>
      <c r="E47" s="103" t="str">
        <f>IFERROR(__xludf.DUMMYFUNCTION("""COMPUTED_VALUE"""),"DELA ROSA")</f>
        <v>DELA ROSA</v>
      </c>
      <c r="F47" s="103" t="str">
        <f>IFERROR(__xludf.DUMMYFUNCTION("""COMPUTED_VALUE"""),"JOREVE")</f>
        <v>JOREVE</v>
      </c>
    </row>
    <row r="48">
      <c r="A48" s="131">
        <f>IFERROR(__xludf.DUMMYFUNCTION("""COMPUTED_VALUE"""),46.0)</f>
        <v>46</v>
      </c>
      <c r="B48" s="131"/>
      <c r="C48" s="131">
        <f>IFERROR(__xludf.DUMMYFUNCTION("""COMPUTED_VALUE"""),23.0)</f>
        <v>23</v>
      </c>
      <c r="D48" s="131" t="b">
        <f>IFERROR(__xludf.DUMMYFUNCTION("""COMPUTED_VALUE"""),FALSE)</f>
        <v>0</v>
      </c>
      <c r="E48" s="103" t="str">
        <f>IFERROR(__xludf.DUMMYFUNCTION("""COMPUTED_VALUE"""),"KOI")</f>
        <v>KOI</v>
      </c>
      <c r="F48" s="103" t="str">
        <f>IFERROR(__xludf.DUMMYFUNCTION("""COMPUTED_VALUE"""),"HERMYLYN")</f>
        <v>HERMYLYN</v>
      </c>
    </row>
    <row r="49">
      <c r="A49" s="131">
        <f>IFERROR(__xludf.DUMMYFUNCTION("""COMPUTED_VALUE"""),47.0)</f>
        <v>47</v>
      </c>
      <c r="B49" s="131"/>
      <c r="C49" s="131">
        <f>IFERROR(__xludf.DUMMYFUNCTION("""COMPUTED_VALUE"""),23.0)</f>
        <v>23</v>
      </c>
      <c r="D49" s="131" t="b">
        <f>IFERROR(__xludf.DUMMYFUNCTION("""COMPUTED_VALUE"""),FALSE)</f>
        <v>0</v>
      </c>
      <c r="E49" s="103" t="str">
        <f>IFERROR(__xludf.DUMMYFUNCTION("""COMPUTED_VALUE"""),"SILVANO")</f>
        <v>SILVANO</v>
      </c>
      <c r="F49" s="103" t="str">
        <f>IFERROR(__xludf.DUMMYFUNCTION("""COMPUTED_VALUE"""),"CRISJARED")</f>
        <v>CRISJARED</v>
      </c>
    </row>
    <row r="50">
      <c r="A50" s="131">
        <f>IFERROR(__xludf.DUMMYFUNCTION("""COMPUTED_VALUE"""),48.0)</f>
        <v>48</v>
      </c>
      <c r="B50" s="131"/>
      <c r="C50" s="131">
        <f>IFERROR(__xludf.DUMMYFUNCTION("""COMPUTED_VALUE"""),23.0)</f>
        <v>23</v>
      </c>
      <c r="D50" s="131" t="b">
        <f>IFERROR(__xludf.DUMMYFUNCTION("""COMPUTED_VALUE"""),FALSE)</f>
        <v>0</v>
      </c>
      <c r="E50" s="103" t="str">
        <f>IFERROR(__xludf.DUMMYFUNCTION("""COMPUTED_VALUE"""),"CORONEL")</f>
        <v>CORONEL</v>
      </c>
      <c r="F50" s="103" t="str">
        <f>IFERROR(__xludf.DUMMYFUNCTION("""COMPUTED_VALUE"""),"CARL CEDRICK")</f>
        <v>CARL CEDRICK</v>
      </c>
    </row>
    <row r="51">
      <c r="A51" s="131">
        <f>IFERROR(__xludf.DUMMYFUNCTION("""COMPUTED_VALUE"""),49.0)</f>
        <v>49</v>
      </c>
      <c r="B51" s="131"/>
      <c r="C51" s="131">
        <f>IFERROR(__xludf.DUMMYFUNCTION("""COMPUTED_VALUE"""),23.0)</f>
        <v>23</v>
      </c>
      <c r="D51" s="131" t="b">
        <f>IFERROR(__xludf.DUMMYFUNCTION("""COMPUTED_VALUE"""),FALSE)</f>
        <v>0</v>
      </c>
      <c r="E51" s="103" t="str">
        <f>IFERROR(__xludf.DUMMYFUNCTION("""COMPUTED_VALUE"""),"ORTALEZA")</f>
        <v>ORTALEZA</v>
      </c>
      <c r="F51" s="103" t="str">
        <f>IFERROR(__xludf.DUMMYFUNCTION("""COMPUTED_VALUE"""),"FROI FANCIS")</f>
        <v>FROI FANCIS</v>
      </c>
    </row>
    <row r="52">
      <c r="A52" s="131">
        <f>IFERROR(__xludf.DUMMYFUNCTION("""COMPUTED_VALUE"""),50.0)</f>
        <v>50</v>
      </c>
      <c r="B52" s="131"/>
      <c r="C52" s="131">
        <f>IFERROR(__xludf.DUMMYFUNCTION("""COMPUTED_VALUE"""),23.0)</f>
        <v>23</v>
      </c>
      <c r="D52" s="131" t="b">
        <f>IFERROR(__xludf.DUMMYFUNCTION("""COMPUTED_VALUE"""),FALSE)</f>
        <v>0</v>
      </c>
      <c r="E52" s="103" t="str">
        <f>IFERROR(__xludf.DUMMYFUNCTION("""COMPUTED_VALUE"""),"ESPOZO")</f>
        <v>ESPOZO</v>
      </c>
      <c r="F52" s="103" t="str">
        <f>IFERROR(__xludf.DUMMYFUNCTION("""COMPUTED_VALUE"""),"MAICA ELLA")</f>
        <v>MAICA ELLA</v>
      </c>
    </row>
    <row r="53">
      <c r="A53" s="131">
        <f>IFERROR(__xludf.DUMMYFUNCTION("""COMPUTED_VALUE"""),51.0)</f>
        <v>51</v>
      </c>
      <c r="B53" s="131"/>
      <c r="C53" s="131">
        <f>IFERROR(__xludf.DUMMYFUNCTION("""COMPUTED_VALUE"""),23.0)</f>
        <v>23</v>
      </c>
      <c r="D53" s="131" t="b">
        <f>IFERROR(__xludf.DUMMYFUNCTION("""COMPUTED_VALUE"""),FALSE)</f>
        <v>0</v>
      </c>
      <c r="E53" s="103" t="str">
        <f>IFERROR(__xludf.DUMMYFUNCTION("""COMPUTED_VALUE"""),"SOBERANO")</f>
        <v>SOBERANO</v>
      </c>
      <c r="F53" s="103" t="str">
        <f>IFERROR(__xludf.DUMMYFUNCTION("""COMPUTED_VALUE"""),"ZAIRUS")</f>
        <v>ZAIRUS</v>
      </c>
    </row>
    <row r="54">
      <c r="A54" s="131">
        <f>IFERROR(__xludf.DUMMYFUNCTION("""COMPUTED_VALUE"""),52.0)</f>
        <v>52</v>
      </c>
      <c r="B54" s="131"/>
      <c r="C54" s="131">
        <f>IFERROR(__xludf.DUMMYFUNCTION("""COMPUTED_VALUE"""),23.0)</f>
        <v>23</v>
      </c>
      <c r="D54" s="131" t="b">
        <f>IFERROR(__xludf.DUMMYFUNCTION("""COMPUTED_VALUE"""),FALSE)</f>
        <v>0</v>
      </c>
      <c r="E54" s="99" t="str">
        <f>IFERROR(__xludf.DUMMYFUNCTION("""COMPUTED_VALUE"""),"ERA")</f>
        <v>ERA</v>
      </c>
      <c r="F54" s="99" t="str">
        <f>IFERROR(__xludf.DUMMYFUNCTION("""COMPUTED_VALUE"""),"ANALEZA")</f>
        <v>ANALEZA</v>
      </c>
      <c r="G54" s="90" t="s">
        <v>4</v>
      </c>
      <c r="H54" s="90" t="s">
        <v>4</v>
      </c>
      <c r="I54" s="90" t="s">
        <v>4</v>
      </c>
      <c r="J54" s="90" t="s">
        <v>4</v>
      </c>
      <c r="L54" s="90" t="b">
        <v>1</v>
      </c>
      <c r="M54" s="90" t="b">
        <v>1</v>
      </c>
      <c r="N54" s="90" t="b">
        <v>1</v>
      </c>
      <c r="O54" s="90" t="b">
        <v>1</v>
      </c>
    </row>
    <row r="55">
      <c r="A55" s="131">
        <f>IFERROR(__xludf.DUMMYFUNCTION("""COMPUTED_VALUE"""),53.0)</f>
        <v>53</v>
      </c>
      <c r="B55" s="131"/>
      <c r="C55" s="131">
        <f>IFERROR(__xludf.DUMMYFUNCTION("""COMPUTED_VALUE"""),23.0)</f>
        <v>23</v>
      </c>
      <c r="D55" s="131" t="b">
        <f>IFERROR(__xludf.DUMMYFUNCTION("""COMPUTED_VALUE"""),FALSE)</f>
        <v>0</v>
      </c>
      <c r="E55" s="100" t="str">
        <f>IFERROR(__xludf.DUMMYFUNCTION("""COMPUTED_VALUE"""),"ARANA")</f>
        <v>ARANA</v>
      </c>
      <c r="F55" s="100" t="str">
        <f>IFERROR(__xludf.DUMMYFUNCTION("""COMPUTED_VALUE"""),"RHEANA")</f>
        <v>RHEANA</v>
      </c>
    </row>
    <row r="56">
      <c r="A56" s="131">
        <f>IFERROR(__xludf.DUMMYFUNCTION("""COMPUTED_VALUE"""),54.0)</f>
        <v>54</v>
      </c>
      <c r="B56" s="131"/>
      <c r="C56" s="131">
        <f>IFERROR(__xludf.DUMMYFUNCTION("""COMPUTED_VALUE"""),23.0)</f>
        <v>23</v>
      </c>
      <c r="D56" s="131" t="b">
        <f>IFERROR(__xludf.DUMMYFUNCTION("""COMPUTED_VALUE"""),FALSE)</f>
        <v>0</v>
      </c>
      <c r="E56" s="100" t="str">
        <f>IFERROR(__xludf.DUMMYFUNCTION("""COMPUTED_VALUE"""),"BANDE")</f>
        <v>BANDE</v>
      </c>
      <c r="F56" s="100" t="str">
        <f>IFERROR(__xludf.DUMMYFUNCTION("""COMPUTED_VALUE"""),"ERICA")</f>
        <v>ERICA</v>
      </c>
    </row>
    <row r="57">
      <c r="A57" s="131">
        <f>IFERROR(__xludf.DUMMYFUNCTION("""COMPUTED_VALUE"""),55.0)</f>
        <v>55</v>
      </c>
      <c r="B57" s="131"/>
      <c r="C57" s="131">
        <f>IFERROR(__xludf.DUMMYFUNCTION("""COMPUTED_VALUE"""),23.0)</f>
        <v>23</v>
      </c>
      <c r="D57" s="131" t="b">
        <f>IFERROR(__xludf.DUMMYFUNCTION("""COMPUTED_VALUE"""),FALSE)</f>
        <v>0</v>
      </c>
      <c r="E57" s="100" t="str">
        <f>IFERROR(__xludf.DUMMYFUNCTION("""COMPUTED_VALUE"""),"DEL ROSARIO")</f>
        <v>DEL ROSARIO</v>
      </c>
      <c r="F57" s="100" t="str">
        <f>IFERROR(__xludf.DUMMYFUNCTION("""COMPUTED_VALUE"""),"JOY")</f>
        <v>JOY</v>
      </c>
      <c r="H57" s="90" t="s">
        <v>4</v>
      </c>
      <c r="M57" s="90" t="b">
        <v>1</v>
      </c>
    </row>
    <row r="58">
      <c r="A58" s="131">
        <f>IFERROR(__xludf.DUMMYFUNCTION("""COMPUTED_VALUE"""),56.0)</f>
        <v>56</v>
      </c>
      <c r="B58" s="131"/>
      <c r="C58" s="131">
        <f>IFERROR(__xludf.DUMMYFUNCTION("""COMPUTED_VALUE"""),23.0)</f>
        <v>23</v>
      </c>
      <c r="D58" s="131" t="b">
        <f>IFERROR(__xludf.DUMMYFUNCTION("""COMPUTED_VALUE"""),FALSE)</f>
        <v>0</v>
      </c>
      <c r="E58" s="100" t="str">
        <f>IFERROR(__xludf.DUMMYFUNCTION("""COMPUTED_VALUE"""),"GUETA")</f>
        <v>GUETA</v>
      </c>
      <c r="F58" s="100" t="str">
        <f>IFERROR(__xludf.DUMMYFUNCTION("""COMPUTED_VALUE"""),"SEYVEL")</f>
        <v>SEYVEL</v>
      </c>
    </row>
    <row r="59">
      <c r="A59" s="131">
        <f>IFERROR(__xludf.DUMMYFUNCTION("""COMPUTED_VALUE"""),57.0)</f>
        <v>57</v>
      </c>
      <c r="B59" s="131"/>
      <c r="C59" s="131">
        <f>IFERROR(__xludf.DUMMYFUNCTION("""COMPUTED_VALUE"""),23.0)</f>
        <v>23</v>
      </c>
      <c r="D59" s="131" t="b">
        <f>IFERROR(__xludf.DUMMYFUNCTION("""COMPUTED_VALUE"""),FALSE)</f>
        <v>0</v>
      </c>
      <c r="E59" s="100" t="str">
        <f>IFERROR(__xludf.DUMMYFUNCTION("""COMPUTED_VALUE"""),"MALIPOT")</f>
        <v>MALIPOT</v>
      </c>
      <c r="F59" s="100" t="str">
        <f>IFERROR(__xludf.DUMMYFUNCTION("""COMPUTED_VALUE"""),"JUSTINE")</f>
        <v>JUSTINE</v>
      </c>
    </row>
    <row r="60">
      <c r="A60" s="131">
        <f>IFERROR(__xludf.DUMMYFUNCTION("""COMPUTED_VALUE"""),58.0)</f>
        <v>58</v>
      </c>
      <c r="B60" s="131"/>
      <c r="C60" s="131">
        <f>IFERROR(__xludf.DUMMYFUNCTION("""COMPUTED_VALUE"""),23.0)</f>
        <v>23</v>
      </c>
      <c r="D60" s="131" t="b">
        <f>IFERROR(__xludf.DUMMYFUNCTION("""COMPUTED_VALUE"""),FALSE)</f>
        <v>0</v>
      </c>
      <c r="E60" s="100" t="str">
        <f>IFERROR(__xludf.DUMMYFUNCTION("""COMPUTED_VALUE"""),"PATRICIO")</f>
        <v>PATRICIO</v>
      </c>
      <c r="F60" s="100" t="str">
        <f>IFERROR(__xludf.DUMMYFUNCTION("""COMPUTED_VALUE"""),"VANESSA")</f>
        <v>VANESSA</v>
      </c>
    </row>
    <row r="61">
      <c r="A61" s="131">
        <f>IFERROR(__xludf.DUMMYFUNCTION("""COMPUTED_VALUE"""),59.0)</f>
        <v>59</v>
      </c>
      <c r="B61" s="131"/>
      <c r="C61" s="131">
        <f>IFERROR(__xludf.DUMMYFUNCTION("""COMPUTED_VALUE"""),23.0)</f>
        <v>23</v>
      </c>
      <c r="D61" s="131" t="b">
        <f>IFERROR(__xludf.DUMMYFUNCTION("""COMPUTED_VALUE"""),FALSE)</f>
        <v>0</v>
      </c>
      <c r="E61" s="100" t="str">
        <f>IFERROR(__xludf.DUMMYFUNCTION("""COMPUTED_VALUE"""),"PONCE")</f>
        <v>PONCE</v>
      </c>
      <c r="F61" s="100" t="str">
        <f>IFERROR(__xludf.DUMMYFUNCTION("""COMPUTED_VALUE"""),"SHEENA")</f>
        <v>SHEENA</v>
      </c>
    </row>
    <row r="62">
      <c r="A62" s="131">
        <f>IFERROR(__xludf.DUMMYFUNCTION("""COMPUTED_VALUE"""),60.0)</f>
        <v>60</v>
      </c>
      <c r="B62" s="131"/>
      <c r="C62" s="131">
        <f>IFERROR(__xludf.DUMMYFUNCTION("""COMPUTED_VALUE"""),23.0)</f>
        <v>23</v>
      </c>
      <c r="D62" s="131" t="b">
        <f>IFERROR(__xludf.DUMMYFUNCTION("""COMPUTED_VALUE"""),FALSE)</f>
        <v>0</v>
      </c>
      <c r="E62" s="100" t="str">
        <f>IFERROR(__xludf.DUMMYFUNCTION("""COMPUTED_VALUE"""),"RAMOS")</f>
        <v>RAMOS</v>
      </c>
      <c r="F62" s="100" t="str">
        <f>IFERROR(__xludf.DUMMYFUNCTION("""COMPUTED_VALUE"""),"AA")</f>
        <v>AA</v>
      </c>
    </row>
    <row r="63">
      <c r="A63" s="131">
        <f>IFERROR(__xludf.DUMMYFUNCTION("""COMPUTED_VALUE"""),61.0)</f>
        <v>61</v>
      </c>
      <c r="B63" s="131"/>
      <c r="C63" s="131">
        <f>IFERROR(__xludf.DUMMYFUNCTION("""COMPUTED_VALUE"""),23.0)</f>
        <v>23</v>
      </c>
      <c r="D63" s="131" t="b">
        <f>IFERROR(__xludf.DUMMYFUNCTION("""COMPUTED_VALUE"""),FALSE)</f>
        <v>0</v>
      </c>
      <c r="E63" s="100" t="str">
        <f>IFERROR(__xludf.DUMMYFUNCTION("""COMPUTED_VALUE"""),"REPUBLO")</f>
        <v>REPUBLO</v>
      </c>
      <c r="F63" s="100" t="str">
        <f>IFERROR(__xludf.DUMMYFUNCTION("""COMPUTED_VALUE"""),"CLARISSA")</f>
        <v>CLARISSA</v>
      </c>
    </row>
    <row r="64">
      <c r="A64" s="131">
        <f>IFERROR(__xludf.DUMMYFUNCTION("""COMPUTED_VALUE"""),62.0)</f>
        <v>62</v>
      </c>
      <c r="B64" s="131"/>
      <c r="C64" s="131">
        <f>IFERROR(__xludf.DUMMYFUNCTION("""COMPUTED_VALUE"""),23.0)</f>
        <v>23</v>
      </c>
      <c r="D64" s="131" t="b">
        <f>IFERROR(__xludf.DUMMYFUNCTION("""COMPUTED_VALUE"""),FALSE)</f>
        <v>0</v>
      </c>
      <c r="E64" s="100"/>
      <c r="F64" s="100" t="str">
        <f>IFERROR(__xludf.DUMMYFUNCTION("""COMPUTED_VALUE"""),"JENNY")</f>
        <v>JENNY</v>
      </c>
    </row>
    <row r="65">
      <c r="A65" s="131">
        <f>IFERROR(__xludf.DUMMYFUNCTION("""COMPUTED_VALUE"""),63.0)</f>
        <v>63</v>
      </c>
      <c r="B65" s="131"/>
      <c r="C65" s="131">
        <f>IFERROR(__xludf.DUMMYFUNCTION("""COMPUTED_VALUE"""),23.0)</f>
        <v>23</v>
      </c>
      <c r="D65" s="131" t="b">
        <f>IFERROR(__xludf.DUMMYFUNCTION("""COMPUTED_VALUE"""),FALSE)</f>
        <v>0</v>
      </c>
      <c r="E65" s="99" t="str">
        <f>IFERROR(__xludf.DUMMYFUNCTION("""COMPUTED_VALUE"""),"MAGISTRADO")</f>
        <v>MAGISTRADO</v>
      </c>
      <c r="F65" s="99" t="str">
        <f>IFERROR(__xludf.DUMMYFUNCTION("""COMPUTED_VALUE"""),"ERICA")</f>
        <v>ERICA</v>
      </c>
      <c r="H65" s="90" t="s">
        <v>4</v>
      </c>
      <c r="I65" s="90" t="s">
        <v>4</v>
      </c>
      <c r="J65" s="90" t="s">
        <v>4</v>
      </c>
      <c r="M65" s="90" t="b">
        <v>1</v>
      </c>
      <c r="N65" s="90" t="b">
        <v>1</v>
      </c>
      <c r="O65" s="90" t="b">
        <v>1</v>
      </c>
    </row>
    <row r="66">
      <c r="A66" s="131">
        <f>IFERROR(__xludf.DUMMYFUNCTION("""COMPUTED_VALUE"""),64.0)</f>
        <v>64</v>
      </c>
      <c r="B66" s="131"/>
      <c r="C66" s="131">
        <f>IFERROR(__xludf.DUMMYFUNCTION("""COMPUTED_VALUE"""),23.0)</f>
        <v>23</v>
      </c>
      <c r="D66" s="131" t="b">
        <f>IFERROR(__xludf.DUMMYFUNCTION("""COMPUTED_VALUE"""),FALSE)</f>
        <v>0</v>
      </c>
      <c r="E66" s="100" t="str">
        <f>IFERROR(__xludf.DUMMYFUNCTION("""COMPUTED_VALUE"""),"CARANGUIAN")</f>
        <v>CARANGUIAN</v>
      </c>
      <c r="F66" s="100" t="str">
        <f>IFERROR(__xludf.DUMMYFUNCTION("""COMPUTED_VALUE"""),"DIVINA GRACE")</f>
        <v>DIVINA GRACE</v>
      </c>
    </row>
    <row r="67">
      <c r="A67" s="131">
        <f>IFERROR(__xludf.DUMMYFUNCTION("""COMPUTED_VALUE"""),65.0)</f>
        <v>65</v>
      </c>
      <c r="B67" s="131"/>
      <c r="C67" s="131">
        <f>IFERROR(__xludf.DUMMYFUNCTION("""COMPUTED_VALUE"""),23.0)</f>
        <v>23</v>
      </c>
      <c r="D67" s="131" t="b">
        <f>IFERROR(__xludf.DUMMYFUNCTION("""COMPUTED_VALUE"""),FALSE)</f>
        <v>0</v>
      </c>
      <c r="E67" s="100" t="str">
        <f>IFERROR(__xludf.DUMMYFUNCTION("""COMPUTED_VALUE"""),"ERA")</f>
        <v>ERA</v>
      </c>
      <c r="F67" s="100" t="str">
        <f>IFERROR(__xludf.DUMMYFUNCTION("""COMPUTED_VALUE"""),"CHRISTINA")</f>
        <v>CHRISTINA</v>
      </c>
      <c r="H67" s="90" t="s">
        <v>4</v>
      </c>
      <c r="I67" s="90" t="s">
        <v>4</v>
      </c>
      <c r="J67" s="90" t="s">
        <v>6</v>
      </c>
      <c r="M67" s="90" t="b">
        <v>1</v>
      </c>
      <c r="N67" s="90" t="b">
        <v>1</v>
      </c>
      <c r="O67" s="90" t="b">
        <v>1</v>
      </c>
    </row>
    <row r="68">
      <c r="A68" s="131">
        <f>IFERROR(__xludf.DUMMYFUNCTION("""COMPUTED_VALUE"""),66.0)</f>
        <v>66</v>
      </c>
      <c r="B68" s="131"/>
      <c r="C68" s="131">
        <f>IFERROR(__xludf.DUMMYFUNCTION("""COMPUTED_VALUE"""),23.0)</f>
        <v>23</v>
      </c>
      <c r="D68" s="131" t="b">
        <f>IFERROR(__xludf.DUMMYFUNCTION("""COMPUTED_VALUE"""),FALSE)</f>
        <v>0</v>
      </c>
      <c r="E68" s="100" t="str">
        <f>IFERROR(__xludf.DUMMYFUNCTION("""COMPUTED_VALUE"""),"MAGISTRADO")</f>
        <v>MAGISTRADO</v>
      </c>
      <c r="F68" s="100" t="str">
        <f>IFERROR(__xludf.DUMMYFUNCTION("""COMPUTED_VALUE"""),"LOVELY")</f>
        <v>LOVELY</v>
      </c>
    </row>
    <row r="69">
      <c r="A69" s="131">
        <f>IFERROR(__xludf.DUMMYFUNCTION("""COMPUTED_VALUE"""),67.0)</f>
        <v>67</v>
      </c>
      <c r="B69" s="131"/>
      <c r="C69" s="131">
        <f>IFERROR(__xludf.DUMMYFUNCTION("""COMPUTED_VALUE"""),23.0)</f>
        <v>23</v>
      </c>
      <c r="D69" s="131" t="b">
        <f>IFERROR(__xludf.DUMMYFUNCTION("""COMPUTED_VALUE"""),FALSE)</f>
        <v>0</v>
      </c>
      <c r="E69" s="100" t="str">
        <f>IFERROR(__xludf.DUMMYFUNCTION("""COMPUTED_VALUE"""),"PACLITA")</f>
        <v>PACLITA</v>
      </c>
      <c r="F69" s="100" t="str">
        <f>IFERROR(__xludf.DUMMYFUNCTION("""COMPUTED_VALUE"""),"CHERRY ANN")</f>
        <v>CHERRY ANN</v>
      </c>
    </row>
    <row r="70">
      <c r="A70" s="131">
        <f>IFERROR(__xludf.DUMMYFUNCTION("""COMPUTED_VALUE"""),68.0)</f>
        <v>68</v>
      </c>
      <c r="B70" s="131"/>
      <c r="C70" s="131">
        <f>IFERROR(__xludf.DUMMYFUNCTION("""COMPUTED_VALUE"""),23.0)</f>
        <v>23</v>
      </c>
      <c r="D70" s="131" t="b">
        <f>IFERROR(__xludf.DUMMYFUNCTION("""COMPUTED_VALUE"""),FALSE)</f>
        <v>0</v>
      </c>
      <c r="E70" s="100" t="str">
        <f>IFERROR(__xludf.DUMMYFUNCTION("""COMPUTED_VALUE"""),"PALOMA")</f>
        <v>PALOMA</v>
      </c>
      <c r="F70" s="100" t="str">
        <f>IFERROR(__xludf.DUMMYFUNCTION("""COMPUTED_VALUE"""),"ALEAH")</f>
        <v>ALEAH</v>
      </c>
    </row>
    <row r="71">
      <c r="A71" s="131">
        <f>IFERROR(__xludf.DUMMYFUNCTION("""COMPUTED_VALUE"""),69.0)</f>
        <v>69</v>
      </c>
      <c r="B71" s="131"/>
      <c r="C71" s="131">
        <f>IFERROR(__xludf.DUMMYFUNCTION("""COMPUTED_VALUE"""),23.0)</f>
        <v>23</v>
      </c>
      <c r="D71" s="131" t="b">
        <f>IFERROR(__xludf.DUMMYFUNCTION("""COMPUTED_VALUE"""),FALSE)</f>
        <v>0</v>
      </c>
      <c r="E71" s="100" t="str">
        <f>IFERROR(__xludf.DUMMYFUNCTION("""COMPUTED_VALUE"""),"SATURINAS")</f>
        <v>SATURINAS</v>
      </c>
      <c r="F71" s="100" t="str">
        <f>IFERROR(__xludf.DUMMYFUNCTION("""COMPUTED_VALUE"""),"ALEXANDRA GRACE")</f>
        <v>ALEXANDRA GRACE</v>
      </c>
    </row>
    <row r="72">
      <c r="A72" s="131">
        <f>IFERROR(__xludf.DUMMYFUNCTION("""COMPUTED_VALUE"""),70.0)</f>
        <v>70</v>
      </c>
      <c r="B72" s="131"/>
      <c r="C72" s="131">
        <f>IFERROR(__xludf.DUMMYFUNCTION("""COMPUTED_VALUE"""),23.0)</f>
        <v>23</v>
      </c>
      <c r="D72" s="131" t="b">
        <f>IFERROR(__xludf.DUMMYFUNCTION("""COMPUTED_VALUE"""),FALSE)</f>
        <v>0</v>
      </c>
      <c r="E72" s="101" t="str">
        <f>IFERROR(__xludf.DUMMYFUNCTION("""COMPUTED_VALUE"""),"RONQUILLO")</f>
        <v>RONQUILLO</v>
      </c>
      <c r="F72" s="101" t="str">
        <f>IFERROR(__xludf.DUMMYFUNCTION("""COMPUTED_VALUE"""),"SHANE")</f>
        <v>SHANE</v>
      </c>
    </row>
    <row r="73">
      <c r="A73" s="131">
        <f>IFERROR(__xludf.DUMMYFUNCTION("""COMPUTED_VALUE"""),71.0)</f>
        <v>71</v>
      </c>
      <c r="B73" s="131"/>
      <c r="C73" s="131">
        <f>IFERROR(__xludf.DUMMYFUNCTION("""COMPUTED_VALUE"""),23.0)</f>
        <v>23</v>
      </c>
      <c r="D73" s="131" t="b">
        <f>IFERROR(__xludf.DUMMYFUNCTION("""COMPUTED_VALUE"""),FALSE)</f>
        <v>0</v>
      </c>
      <c r="E73" s="101" t="str">
        <f>IFERROR(__xludf.DUMMYFUNCTION("""COMPUTED_VALUE"""),"MARFIL")</f>
        <v>MARFIL</v>
      </c>
      <c r="F73" s="101" t="str">
        <f>IFERROR(__xludf.DUMMYFUNCTION("""COMPUTED_VALUE"""),"ADELAIZA")</f>
        <v>ADELAIZA</v>
      </c>
      <c r="G73" s="90" t="s">
        <v>4</v>
      </c>
      <c r="H73" s="90" t="s">
        <v>4</v>
      </c>
      <c r="J73" s="90" t="s">
        <v>4</v>
      </c>
      <c r="L73" s="90" t="b">
        <v>1</v>
      </c>
      <c r="O73" s="90" t="b">
        <v>1</v>
      </c>
    </row>
    <row r="74">
      <c r="A74" s="131">
        <f>IFERROR(__xludf.DUMMYFUNCTION("""COMPUTED_VALUE"""),72.0)</f>
        <v>72</v>
      </c>
      <c r="B74" s="131"/>
      <c r="C74" s="131">
        <f>IFERROR(__xludf.DUMMYFUNCTION("""COMPUTED_VALUE"""),23.0)</f>
        <v>23</v>
      </c>
      <c r="D74" s="131" t="b">
        <f>IFERROR(__xludf.DUMMYFUNCTION("""COMPUTED_VALUE"""),FALSE)</f>
        <v>0</v>
      </c>
      <c r="E74" s="101" t="str">
        <f>IFERROR(__xludf.DUMMYFUNCTION("""COMPUTED_VALUE"""),"PERALTA")</f>
        <v>PERALTA</v>
      </c>
      <c r="F74" s="101" t="str">
        <f>IFERROR(__xludf.DUMMYFUNCTION("""COMPUTED_VALUE"""),"ALAICA")</f>
        <v>ALAICA</v>
      </c>
    </row>
    <row r="75">
      <c r="A75" s="131">
        <f>IFERROR(__xludf.DUMMYFUNCTION("""COMPUTED_VALUE"""),73.0)</f>
        <v>73</v>
      </c>
      <c r="B75" s="131"/>
      <c r="C75" s="131">
        <f>IFERROR(__xludf.DUMMYFUNCTION("""COMPUTED_VALUE"""),23.0)</f>
        <v>23</v>
      </c>
      <c r="D75" s="131" t="b">
        <f>IFERROR(__xludf.DUMMYFUNCTION("""COMPUTED_VALUE"""),FALSE)</f>
        <v>0</v>
      </c>
      <c r="E75" s="101"/>
      <c r="F75" s="101" t="str">
        <f>IFERROR(__xludf.DUMMYFUNCTION("""COMPUTED_VALUE"""),"ALISA")</f>
        <v>ALISA</v>
      </c>
    </row>
    <row r="76">
      <c r="A76" s="131">
        <f>IFERROR(__xludf.DUMMYFUNCTION("""COMPUTED_VALUE"""),74.0)</f>
        <v>74</v>
      </c>
      <c r="B76" s="131"/>
      <c r="C76" s="131">
        <f>IFERROR(__xludf.DUMMYFUNCTION("""COMPUTED_VALUE"""),23.0)</f>
        <v>23</v>
      </c>
      <c r="D76" s="131" t="b">
        <f>IFERROR(__xludf.DUMMYFUNCTION("""COMPUTED_VALUE"""),FALSE)</f>
        <v>0</v>
      </c>
      <c r="E76" s="101" t="str">
        <f>IFERROR(__xludf.DUMMYFUNCTION("""COMPUTED_VALUE"""),"VILLANUEVA")</f>
        <v>VILLANUEVA</v>
      </c>
      <c r="F76" s="101" t="str">
        <f>IFERROR(__xludf.DUMMYFUNCTION("""COMPUTED_VALUE"""),"SOFIA")</f>
        <v>SOFIA</v>
      </c>
    </row>
    <row r="77">
      <c r="A77" s="131">
        <f>IFERROR(__xludf.DUMMYFUNCTION("""COMPUTED_VALUE"""),75.0)</f>
        <v>75</v>
      </c>
      <c r="B77" s="131"/>
      <c r="C77" s="131">
        <f>IFERROR(__xludf.DUMMYFUNCTION("""COMPUTED_VALUE"""),23.0)</f>
        <v>23</v>
      </c>
      <c r="D77" s="131" t="b">
        <f>IFERROR(__xludf.DUMMYFUNCTION("""COMPUTED_VALUE"""),FALSE)</f>
        <v>0</v>
      </c>
      <c r="E77" s="101" t="str">
        <f>IFERROR(__xludf.DUMMYFUNCTION("""COMPUTED_VALUE"""),"TAKEYAMA")</f>
        <v>TAKEYAMA</v>
      </c>
      <c r="F77" s="101" t="str">
        <f>IFERROR(__xludf.DUMMYFUNCTION("""COMPUTED_VALUE"""),"YUKA")</f>
        <v>YUKA</v>
      </c>
    </row>
    <row r="78">
      <c r="A78" s="131">
        <f>IFERROR(__xludf.DUMMYFUNCTION("""COMPUTED_VALUE"""),76.0)</f>
        <v>76</v>
      </c>
      <c r="B78" s="131"/>
      <c r="C78" s="131">
        <f>IFERROR(__xludf.DUMMYFUNCTION("""COMPUTED_VALUE"""),76.0)</f>
        <v>76</v>
      </c>
      <c r="D78" s="131" t="b">
        <f>IFERROR(__xludf.DUMMYFUNCTION("""COMPUTED_VALUE"""),TRUE)</f>
        <v>1</v>
      </c>
      <c r="E78" s="105" t="str">
        <f>IFERROR(__xludf.DUMMYFUNCTION("""COMPUTED_VALUE"""),"ANTONIO")</f>
        <v>ANTONIO</v>
      </c>
      <c r="F78" s="105" t="str">
        <f>IFERROR(__xludf.DUMMYFUNCTION("""COMPUTED_VALUE"""),"CHOLO MIGUEL")</f>
        <v>CHOLO MIGUEL</v>
      </c>
      <c r="G78" s="90" t="s">
        <v>4</v>
      </c>
      <c r="I78" s="90" t="s">
        <v>4</v>
      </c>
      <c r="J78" s="90" t="s">
        <v>4</v>
      </c>
      <c r="L78" s="90" t="b">
        <v>1</v>
      </c>
      <c r="N78" s="90" t="b">
        <v>1</v>
      </c>
      <c r="O78" s="90" t="b">
        <v>1</v>
      </c>
    </row>
    <row r="79">
      <c r="A79" s="131">
        <f>IFERROR(__xludf.DUMMYFUNCTION("""COMPUTED_VALUE"""),77.0)</f>
        <v>77</v>
      </c>
      <c r="B79" s="131"/>
      <c r="C79" s="131">
        <f>IFERROR(__xludf.DUMMYFUNCTION("""COMPUTED_VALUE"""),76.0)</f>
        <v>76</v>
      </c>
      <c r="D79" s="131" t="b">
        <f>IFERROR(__xludf.DUMMYFUNCTION("""COMPUTED_VALUE"""),FALSE)</f>
        <v>0</v>
      </c>
      <c r="E79" s="106" t="str">
        <f>IFERROR(__xludf.DUMMYFUNCTION("""COMPUTED_VALUE"""),"ELCANA")</f>
        <v>ELCANA</v>
      </c>
      <c r="F79" s="106" t="str">
        <f>IFERROR(__xludf.DUMMYFUNCTION("""COMPUTED_VALUE"""),"JOAQUIN")</f>
        <v>JOAQUIN</v>
      </c>
      <c r="G79" s="90" t="s">
        <v>4</v>
      </c>
      <c r="I79" s="90" t="s">
        <v>4</v>
      </c>
      <c r="J79" s="90" t="s">
        <v>4</v>
      </c>
      <c r="L79" s="90" t="b">
        <v>1</v>
      </c>
      <c r="N79" s="90" t="b">
        <v>1</v>
      </c>
      <c r="O79" s="90" t="b">
        <v>1</v>
      </c>
    </row>
    <row r="80">
      <c r="A80" s="131">
        <f>IFERROR(__xludf.DUMMYFUNCTION("""COMPUTED_VALUE"""),78.0)</f>
        <v>78</v>
      </c>
      <c r="B80" s="131"/>
      <c r="C80" s="131">
        <f>IFERROR(__xludf.DUMMYFUNCTION("""COMPUTED_VALUE"""),76.0)</f>
        <v>76</v>
      </c>
      <c r="D80" s="131" t="b">
        <f>IFERROR(__xludf.DUMMYFUNCTION("""COMPUTED_VALUE"""),FALSE)</f>
        <v>0</v>
      </c>
      <c r="E80" s="107" t="str">
        <f>IFERROR(__xludf.DUMMYFUNCTION("""COMPUTED_VALUE"""),"VILLARTA")</f>
        <v>VILLARTA</v>
      </c>
      <c r="F80" s="107" t="str">
        <f>IFERROR(__xludf.DUMMYFUNCTION("""COMPUTED_VALUE"""),"JEXTER")</f>
        <v>JEXTER</v>
      </c>
      <c r="G80" s="90" t="s">
        <v>4</v>
      </c>
      <c r="I80" s="90" t="s">
        <v>4</v>
      </c>
      <c r="J80" s="90" t="s">
        <v>4</v>
      </c>
      <c r="N80" s="90" t="b">
        <v>1</v>
      </c>
      <c r="O80" s="90" t="b">
        <v>1</v>
      </c>
    </row>
    <row r="81">
      <c r="A81" s="131">
        <f>IFERROR(__xludf.DUMMYFUNCTION("""COMPUTED_VALUE"""),79.0)</f>
        <v>79</v>
      </c>
      <c r="B81" s="131"/>
      <c r="C81" s="131">
        <f>IFERROR(__xludf.DUMMYFUNCTION("""COMPUTED_VALUE"""),76.0)</f>
        <v>76</v>
      </c>
      <c r="D81" s="131" t="b">
        <f>IFERROR(__xludf.DUMMYFUNCTION("""COMPUTED_VALUE"""),FALSE)</f>
        <v>0</v>
      </c>
      <c r="E81" s="107" t="str">
        <f>IFERROR(__xludf.DUMMYFUNCTION("""COMPUTED_VALUE"""),"MANUYAG")</f>
        <v>MANUYAG</v>
      </c>
      <c r="F81" s="107" t="str">
        <f>IFERROR(__xludf.DUMMYFUNCTION("""COMPUTED_VALUE"""),"RAYVER")</f>
        <v>RAYVER</v>
      </c>
    </row>
    <row r="82">
      <c r="A82" s="131">
        <f>IFERROR(__xludf.DUMMYFUNCTION("""COMPUTED_VALUE"""),80.0)</f>
        <v>80</v>
      </c>
      <c r="B82" s="131"/>
      <c r="C82" s="131">
        <f>IFERROR(__xludf.DUMMYFUNCTION("""COMPUTED_VALUE"""),76.0)</f>
        <v>76</v>
      </c>
      <c r="D82" s="131" t="b">
        <f>IFERROR(__xludf.DUMMYFUNCTION("""COMPUTED_VALUE"""),FALSE)</f>
        <v>0</v>
      </c>
      <c r="E82" s="108" t="str">
        <f>IFERROR(__xludf.DUMMYFUNCTION("""COMPUTED_VALUE"""),"RAAGAS")</f>
        <v>RAAGAS</v>
      </c>
      <c r="F82" s="108" t="str">
        <f>IFERROR(__xludf.DUMMYFUNCTION("""COMPUTED_VALUE"""),"PRINCE JHAMIR (YOHAN)")</f>
        <v>PRINCE JHAMIR (YOHAN)</v>
      </c>
    </row>
    <row r="83">
      <c r="A83" s="131">
        <f>IFERROR(__xludf.DUMMYFUNCTION("""COMPUTED_VALUE"""),81.0)</f>
        <v>81</v>
      </c>
      <c r="B83" s="131"/>
      <c r="C83" s="131">
        <f>IFERROR(__xludf.DUMMYFUNCTION("""COMPUTED_VALUE"""),76.0)</f>
        <v>76</v>
      </c>
      <c r="D83" s="131" t="b">
        <f>IFERROR(__xludf.DUMMYFUNCTION("""COMPUTED_VALUE"""),FALSE)</f>
        <v>0</v>
      </c>
      <c r="E83" s="107" t="str">
        <f>IFERROR(__xludf.DUMMYFUNCTION("""COMPUTED_VALUE"""),"MALOLOY-ON")</f>
        <v>MALOLOY-ON</v>
      </c>
      <c r="F83" s="107" t="str">
        <f>IFERROR(__xludf.DUMMYFUNCTION("""COMPUTED_VALUE"""),"HARLEY")</f>
        <v>HARLEY</v>
      </c>
    </row>
    <row r="84">
      <c r="A84" s="131">
        <f>IFERROR(__xludf.DUMMYFUNCTION("""COMPUTED_VALUE"""),82.0)</f>
        <v>82</v>
      </c>
      <c r="B84" s="131"/>
      <c r="C84" s="131">
        <f>IFERROR(__xludf.DUMMYFUNCTION("""COMPUTED_VALUE"""),76.0)</f>
        <v>76</v>
      </c>
      <c r="D84" s="131" t="b">
        <f>IFERROR(__xludf.DUMMYFUNCTION("""COMPUTED_VALUE"""),FALSE)</f>
        <v>0</v>
      </c>
      <c r="E84" s="106" t="str">
        <f>IFERROR(__xludf.DUMMYFUNCTION("""COMPUTED_VALUE"""),"MEDINA")</f>
        <v>MEDINA</v>
      </c>
      <c r="F84" s="106" t="str">
        <f>IFERROR(__xludf.DUMMYFUNCTION("""COMPUTED_VALUE"""),"JOHN PAUL")</f>
        <v>JOHN PAUL</v>
      </c>
      <c r="I84" s="90" t="s">
        <v>4</v>
      </c>
      <c r="J84" s="90" t="s">
        <v>4</v>
      </c>
      <c r="N84" s="90" t="b">
        <v>1</v>
      </c>
      <c r="O84" s="90" t="b">
        <v>1</v>
      </c>
    </row>
    <row r="85">
      <c r="A85" s="131">
        <f>IFERROR(__xludf.DUMMYFUNCTION("""COMPUTED_VALUE"""),83.0)</f>
        <v>83</v>
      </c>
      <c r="B85" s="131"/>
      <c r="C85" s="131">
        <f>IFERROR(__xludf.DUMMYFUNCTION("""COMPUTED_VALUE"""),76.0)</f>
        <v>76</v>
      </c>
      <c r="D85" s="131" t="b">
        <f>IFERROR(__xludf.DUMMYFUNCTION("""COMPUTED_VALUE"""),FALSE)</f>
        <v>0</v>
      </c>
      <c r="E85" s="107" t="str">
        <f>IFERROR(__xludf.DUMMYFUNCTION("""COMPUTED_VALUE"""),"SALTA")</f>
        <v>SALTA</v>
      </c>
      <c r="F85" s="107" t="str">
        <f>IFERROR(__xludf.DUMMYFUNCTION("""COMPUTED_VALUE"""),"KARL")</f>
        <v>KARL</v>
      </c>
    </row>
    <row r="86">
      <c r="A86" s="131">
        <f>IFERROR(__xludf.DUMMYFUNCTION("""COMPUTED_VALUE"""),84.0)</f>
        <v>84</v>
      </c>
      <c r="B86" s="131"/>
      <c r="C86" s="131">
        <f>IFERROR(__xludf.DUMMYFUNCTION("""COMPUTED_VALUE"""),76.0)</f>
        <v>76</v>
      </c>
      <c r="D86" s="131" t="b">
        <f>IFERROR(__xludf.DUMMYFUNCTION("""COMPUTED_VALUE"""),FALSE)</f>
        <v>0</v>
      </c>
      <c r="E86" s="107" t="str">
        <f>IFERROR(__xludf.DUMMYFUNCTION("""COMPUTED_VALUE"""),"ROBLOS")</f>
        <v>ROBLOS</v>
      </c>
      <c r="F86" s="107" t="str">
        <f>IFERROR(__xludf.DUMMYFUNCTION("""COMPUTED_VALUE"""),"CEDRIC")</f>
        <v>CEDRIC</v>
      </c>
      <c r="J86" s="90" t="s">
        <v>4</v>
      </c>
      <c r="O86" s="90" t="b">
        <v>1</v>
      </c>
    </row>
    <row r="87">
      <c r="A87" s="131">
        <f>IFERROR(__xludf.DUMMYFUNCTION("""COMPUTED_VALUE"""),85.0)</f>
        <v>85</v>
      </c>
      <c r="B87" s="131"/>
      <c r="C87" s="131">
        <f>IFERROR(__xludf.DUMMYFUNCTION("""COMPUTED_VALUE"""),76.0)</f>
        <v>76</v>
      </c>
      <c r="D87" s="131" t="b">
        <f>IFERROR(__xludf.DUMMYFUNCTION("""COMPUTED_VALUE"""),FALSE)</f>
        <v>0</v>
      </c>
      <c r="E87" s="107" t="str">
        <f>IFERROR(__xludf.DUMMYFUNCTION("""COMPUTED_VALUE"""),"RIVAS")</f>
        <v>RIVAS</v>
      </c>
      <c r="F87" s="107" t="str">
        <f>IFERROR(__xludf.DUMMYFUNCTION("""COMPUTED_VALUE"""),"RAY ALLEN")</f>
        <v>RAY ALLEN</v>
      </c>
      <c r="I87" s="90" t="s">
        <v>4</v>
      </c>
    </row>
    <row r="88">
      <c r="A88" s="131">
        <f>IFERROR(__xludf.DUMMYFUNCTION("""COMPUTED_VALUE"""),86.0)</f>
        <v>86</v>
      </c>
      <c r="B88" s="131"/>
      <c r="C88" s="131">
        <f>IFERROR(__xludf.DUMMYFUNCTION("""COMPUTED_VALUE"""),76.0)</f>
        <v>76</v>
      </c>
      <c r="D88" s="131" t="b">
        <f>IFERROR(__xludf.DUMMYFUNCTION("""COMPUTED_VALUE"""),FALSE)</f>
        <v>0</v>
      </c>
      <c r="E88" s="107" t="str">
        <f>IFERROR(__xludf.DUMMYFUNCTION("""COMPUTED_VALUE"""),"MAGDANGAN")</f>
        <v>MAGDANGAN</v>
      </c>
      <c r="F88" s="107" t="str">
        <f>IFERROR(__xludf.DUMMYFUNCTION("""COMPUTED_VALUE"""),"DENMARK")</f>
        <v>DENMARK</v>
      </c>
      <c r="J88" s="90" t="s">
        <v>4</v>
      </c>
      <c r="O88" s="90" t="b">
        <v>1</v>
      </c>
    </row>
    <row r="89">
      <c r="A89" s="131">
        <f>IFERROR(__xludf.DUMMYFUNCTION("""COMPUTED_VALUE"""),87.0)</f>
        <v>87</v>
      </c>
      <c r="B89" s="131"/>
      <c r="C89" s="131">
        <f>IFERROR(__xludf.DUMMYFUNCTION("""COMPUTED_VALUE"""),76.0)</f>
        <v>76</v>
      </c>
      <c r="D89" s="131" t="b">
        <f>IFERROR(__xludf.DUMMYFUNCTION("""COMPUTED_VALUE"""),FALSE)</f>
        <v>0</v>
      </c>
      <c r="E89" s="106" t="str">
        <f>IFERROR(__xludf.DUMMYFUNCTION("""COMPUTED_VALUE"""),"SABONG")</f>
        <v>SABONG</v>
      </c>
      <c r="F89" s="106" t="str">
        <f>IFERROR(__xludf.DUMMYFUNCTION("""COMPUTED_VALUE"""),"VINCE")</f>
        <v>VINCE</v>
      </c>
      <c r="G89" s="90" t="s">
        <v>4</v>
      </c>
      <c r="I89" s="90" t="s">
        <v>4</v>
      </c>
      <c r="J89" s="90" t="s">
        <v>4</v>
      </c>
      <c r="L89" s="90" t="b">
        <v>1</v>
      </c>
      <c r="N89" s="90" t="b">
        <v>1</v>
      </c>
      <c r="O89" s="90" t="b">
        <v>1</v>
      </c>
    </row>
    <row r="90">
      <c r="A90" s="131">
        <f>IFERROR(__xludf.DUMMYFUNCTION("""COMPUTED_VALUE"""),88.0)</f>
        <v>88</v>
      </c>
      <c r="B90" s="131"/>
      <c r="C90" s="131">
        <f>IFERROR(__xludf.DUMMYFUNCTION("""COMPUTED_VALUE"""),76.0)</f>
        <v>76</v>
      </c>
      <c r="D90" s="131" t="b">
        <f>IFERROR(__xludf.DUMMYFUNCTION("""COMPUTED_VALUE"""),FALSE)</f>
        <v>0</v>
      </c>
      <c r="E90" s="107" t="str">
        <f>IFERROR(__xludf.DUMMYFUNCTION("""COMPUTED_VALUE"""),"AQUINO")</f>
        <v>AQUINO</v>
      </c>
      <c r="F90" s="107" t="str">
        <f>IFERROR(__xludf.DUMMYFUNCTION("""COMPUTED_VALUE"""),"MARVIN")</f>
        <v>MARVIN</v>
      </c>
    </row>
    <row r="91">
      <c r="A91" s="131">
        <f>IFERROR(__xludf.DUMMYFUNCTION("""COMPUTED_VALUE"""),89.0)</f>
        <v>89</v>
      </c>
      <c r="B91" s="131"/>
      <c r="C91" s="131">
        <f>IFERROR(__xludf.DUMMYFUNCTION("""COMPUTED_VALUE"""),76.0)</f>
        <v>76</v>
      </c>
      <c r="D91" s="131" t="b">
        <f>IFERROR(__xludf.DUMMYFUNCTION("""COMPUTED_VALUE"""),FALSE)</f>
        <v>0</v>
      </c>
      <c r="E91" s="109" t="str">
        <f>IFERROR(__xludf.DUMMYFUNCTION("""COMPUTED_VALUE"""),"LANOZO")</f>
        <v>LANOZO</v>
      </c>
      <c r="F91" s="109" t="str">
        <f>IFERROR(__xludf.DUMMYFUNCTION("""COMPUTED_VALUE"""),"REGGIENALD")</f>
        <v>REGGIENALD</v>
      </c>
      <c r="J91" s="90" t="s">
        <v>4</v>
      </c>
      <c r="O91" s="90" t="b">
        <v>1</v>
      </c>
    </row>
    <row r="92">
      <c r="A92" s="131">
        <f>IFERROR(__xludf.DUMMYFUNCTION("""COMPUTED_VALUE"""),90.0)</f>
        <v>90</v>
      </c>
      <c r="B92" s="131"/>
      <c r="C92" s="131">
        <f>IFERROR(__xludf.DUMMYFUNCTION("""COMPUTED_VALUE"""),76.0)</f>
        <v>76</v>
      </c>
      <c r="D92" s="131" t="b">
        <f>IFERROR(__xludf.DUMMYFUNCTION("""COMPUTED_VALUE"""),FALSE)</f>
        <v>0</v>
      </c>
      <c r="E92" s="110" t="str">
        <f>IFERROR(__xludf.DUMMYFUNCTION("""COMPUTED_VALUE"""),"QUIRONA")</f>
        <v>QUIRONA</v>
      </c>
      <c r="F92" s="110" t="str">
        <f>IFERROR(__xludf.DUMMYFUNCTION("""COMPUTED_VALUE"""),"IAN CHRISTOPHER")</f>
        <v>IAN CHRISTOPHER</v>
      </c>
    </row>
    <row r="93">
      <c r="A93" s="131">
        <f>IFERROR(__xludf.DUMMYFUNCTION("""COMPUTED_VALUE"""),91.0)</f>
        <v>91</v>
      </c>
      <c r="B93" s="131"/>
      <c r="C93" s="131">
        <f>IFERROR(__xludf.DUMMYFUNCTION("""COMPUTED_VALUE"""),76.0)</f>
        <v>76</v>
      </c>
      <c r="D93" s="131" t="b">
        <f>IFERROR(__xludf.DUMMYFUNCTION("""COMPUTED_VALUE"""),FALSE)</f>
        <v>0</v>
      </c>
      <c r="E93" s="110" t="str">
        <f>IFERROR(__xludf.DUMMYFUNCTION("""COMPUTED_VALUE"""),"BAUYON")</f>
        <v>BAUYON</v>
      </c>
      <c r="F93" s="110" t="str">
        <f>IFERROR(__xludf.DUMMYFUNCTION("""COMPUTED_VALUE"""),"JOHN CARLO")</f>
        <v>JOHN CARLO</v>
      </c>
      <c r="G93" s="90" t="s">
        <v>4</v>
      </c>
      <c r="I93" s="90" t="s">
        <v>4</v>
      </c>
      <c r="J93" s="90" t="s">
        <v>4</v>
      </c>
      <c r="L93" s="90" t="b">
        <v>1</v>
      </c>
      <c r="N93" s="90" t="b">
        <v>1</v>
      </c>
      <c r="O93" s="90" t="b">
        <v>1</v>
      </c>
    </row>
    <row r="94">
      <c r="A94" s="131">
        <f>IFERROR(__xludf.DUMMYFUNCTION("""COMPUTED_VALUE"""),92.0)</f>
        <v>92</v>
      </c>
      <c r="B94" s="131"/>
      <c r="C94" s="131">
        <f>IFERROR(__xludf.DUMMYFUNCTION("""COMPUTED_VALUE"""),76.0)</f>
        <v>76</v>
      </c>
      <c r="D94" s="131" t="b">
        <f>IFERROR(__xludf.DUMMYFUNCTION("""COMPUTED_VALUE"""),FALSE)</f>
        <v>0</v>
      </c>
      <c r="E94" s="111" t="str">
        <f>IFERROR(__xludf.DUMMYFUNCTION("""COMPUTED_VALUE"""),"FIGUEROA")</f>
        <v>FIGUEROA</v>
      </c>
      <c r="F94" s="111" t="str">
        <f>IFERROR(__xludf.DUMMYFUNCTION("""COMPUTED_VALUE"""),"RONALD")</f>
        <v>RONALD</v>
      </c>
    </row>
    <row r="95">
      <c r="A95" s="131"/>
      <c r="B95" s="131"/>
      <c r="C95" s="131"/>
      <c r="D95" s="131"/>
      <c r="E95" s="112"/>
      <c r="F95" s="112"/>
    </row>
    <row r="96">
      <c r="A96" s="131"/>
      <c r="B96" s="131"/>
      <c r="C96" s="131"/>
      <c r="D96" s="131"/>
      <c r="E96" s="112"/>
      <c r="F96" s="112"/>
    </row>
    <row r="97">
      <c r="A97" s="131"/>
      <c r="B97" s="131"/>
      <c r="C97" s="131"/>
      <c r="D97" s="131"/>
      <c r="E97" s="112"/>
      <c r="F97" s="112"/>
    </row>
    <row r="98">
      <c r="A98" s="131"/>
      <c r="B98" s="131"/>
      <c r="C98" s="131"/>
      <c r="D98" s="131"/>
      <c r="E98" s="112"/>
      <c r="F98" s="112"/>
    </row>
    <row r="99">
      <c r="A99" s="131"/>
      <c r="B99" s="131"/>
      <c r="C99" s="131">
        <f>IFERROR(__xludf.DUMMYFUNCTION("""COMPUTED_VALUE"""),76.0)</f>
        <v>76</v>
      </c>
      <c r="D99" s="131" t="b">
        <f>IFERROR(__xludf.DUMMYFUNCTION("""COMPUTED_VALUE"""),FALSE)</f>
        <v>0</v>
      </c>
      <c r="E99" s="113" t="str">
        <f>IFERROR(__xludf.DUMMYFUNCTION("""COMPUTED_VALUE"""),"INACTIVE")</f>
        <v>INACTIVE</v>
      </c>
      <c r="F99" s="110"/>
    </row>
    <row r="100">
      <c r="A100" s="131">
        <f>IFERROR(__xludf.DUMMYFUNCTION("""COMPUTED_VALUE"""),99.0)</f>
        <v>99</v>
      </c>
      <c r="B100" s="131"/>
      <c r="C100" s="131">
        <f>IFERROR(__xludf.DUMMYFUNCTION("""COMPUTED_VALUE"""),76.0)</f>
        <v>76</v>
      </c>
      <c r="D100" s="131" t="b">
        <f>IFERROR(__xludf.DUMMYFUNCTION("""COMPUTED_VALUE"""),FALSE)</f>
        <v>0</v>
      </c>
      <c r="E100" s="114" t="str">
        <f>IFERROR(__xludf.DUMMYFUNCTION("""COMPUTED_VALUE"""),"BONIFACIO")</f>
        <v>BONIFACIO</v>
      </c>
      <c r="F100" s="114" t="str">
        <f>IFERROR(__xludf.DUMMYFUNCTION("""COMPUTED_VALUE"""),"JUNIOR")</f>
        <v>JUNIOR</v>
      </c>
    </row>
    <row r="101">
      <c r="A101" s="131">
        <f>IFERROR(__xludf.DUMMYFUNCTION("""COMPUTED_VALUE"""),100.0)</f>
        <v>100</v>
      </c>
      <c r="B101" s="131"/>
      <c r="C101" s="131">
        <f>IFERROR(__xludf.DUMMYFUNCTION("""COMPUTED_VALUE"""),76.0)</f>
        <v>76</v>
      </c>
      <c r="D101" s="131" t="b">
        <f>IFERROR(__xludf.DUMMYFUNCTION("""COMPUTED_VALUE"""),FALSE)</f>
        <v>0</v>
      </c>
      <c r="E101" s="114" t="str">
        <f>IFERROR(__xludf.DUMMYFUNCTION("""COMPUTED_VALUE"""),"CASTILLO")</f>
        <v>CASTILLO</v>
      </c>
      <c r="F101" s="114" t="str">
        <f>IFERROR(__xludf.DUMMYFUNCTION("""COMPUTED_VALUE"""),"JOHNREY")</f>
        <v>JOHNREY</v>
      </c>
    </row>
    <row r="102">
      <c r="A102" s="131">
        <f>IFERROR(__xludf.DUMMYFUNCTION("""COMPUTED_VALUE"""),101.0)</f>
        <v>101</v>
      </c>
      <c r="B102" s="131"/>
      <c r="C102" s="131">
        <f>IFERROR(__xludf.DUMMYFUNCTION("""COMPUTED_VALUE"""),76.0)</f>
        <v>76</v>
      </c>
      <c r="D102" s="131" t="b">
        <f>IFERROR(__xludf.DUMMYFUNCTION("""COMPUTED_VALUE"""),FALSE)</f>
        <v>0</v>
      </c>
      <c r="E102" s="114" t="str">
        <f>IFERROR(__xludf.DUMMYFUNCTION("""COMPUTED_VALUE"""),"MENDOZA")</f>
        <v>MENDOZA</v>
      </c>
      <c r="F102" s="114" t="str">
        <f>IFERROR(__xludf.DUMMYFUNCTION("""COMPUTED_VALUE"""),"JUSTINE IAN")</f>
        <v>JUSTINE IAN</v>
      </c>
    </row>
    <row r="103">
      <c r="A103" s="131">
        <f>IFERROR(__xludf.DUMMYFUNCTION("""COMPUTED_VALUE"""),102.0)</f>
        <v>102</v>
      </c>
      <c r="B103" s="131"/>
      <c r="C103" s="131">
        <f>IFERROR(__xludf.DUMMYFUNCTION("""COMPUTED_VALUE"""),76.0)</f>
        <v>76</v>
      </c>
      <c r="D103" s="131" t="b">
        <f>IFERROR(__xludf.DUMMYFUNCTION("""COMPUTED_VALUE"""),FALSE)</f>
        <v>0</v>
      </c>
      <c r="E103" s="114" t="str">
        <f>IFERROR(__xludf.DUMMYFUNCTION("""COMPUTED_VALUE"""),"FERMIN")</f>
        <v>FERMIN</v>
      </c>
      <c r="F103" s="114" t="str">
        <f>IFERROR(__xludf.DUMMYFUNCTION("""COMPUTED_VALUE"""),"HARIMAR")</f>
        <v>HARIMAR</v>
      </c>
    </row>
    <row r="104">
      <c r="A104" s="131">
        <f>IFERROR(__xludf.DUMMYFUNCTION("""COMPUTED_VALUE"""),103.0)</f>
        <v>103</v>
      </c>
      <c r="B104" s="131"/>
      <c r="C104" s="131">
        <f>IFERROR(__xludf.DUMMYFUNCTION("""COMPUTED_VALUE"""),76.0)</f>
        <v>76</v>
      </c>
      <c r="D104" s="131" t="b">
        <f>IFERROR(__xludf.DUMMYFUNCTION("""COMPUTED_VALUE"""),FALSE)</f>
        <v>0</v>
      </c>
      <c r="E104" s="114" t="str">
        <f>IFERROR(__xludf.DUMMYFUNCTION("""COMPUTED_VALUE"""),"ADEME")</f>
        <v>ADEME</v>
      </c>
      <c r="F104" s="114" t="str">
        <f>IFERROR(__xludf.DUMMYFUNCTION("""COMPUTED_VALUE"""),"JOHN EVO")</f>
        <v>JOHN EVO</v>
      </c>
    </row>
    <row r="105">
      <c r="A105" s="131">
        <f>IFERROR(__xludf.DUMMYFUNCTION("""COMPUTED_VALUE"""),104.0)</f>
        <v>104</v>
      </c>
      <c r="B105" s="131"/>
      <c r="C105" s="131">
        <f>IFERROR(__xludf.DUMMYFUNCTION("""COMPUTED_VALUE"""),76.0)</f>
        <v>76</v>
      </c>
      <c r="D105" s="131" t="b">
        <f>IFERROR(__xludf.DUMMYFUNCTION("""COMPUTED_VALUE"""),FALSE)</f>
        <v>0</v>
      </c>
      <c r="E105" s="114" t="str">
        <f>IFERROR(__xludf.DUMMYFUNCTION("""COMPUTED_VALUE"""),"FLAGNE")</f>
        <v>FLAGNE</v>
      </c>
      <c r="F105" s="114" t="str">
        <f>IFERROR(__xludf.DUMMYFUNCTION("""COMPUTED_VALUE"""),"JHANDY")</f>
        <v>JHANDY</v>
      </c>
    </row>
    <row r="106">
      <c r="A106" s="131">
        <f>IFERROR(__xludf.DUMMYFUNCTION("""COMPUTED_VALUE"""),105.0)</f>
        <v>105</v>
      </c>
      <c r="B106" s="131"/>
      <c r="C106" s="131">
        <f>IFERROR(__xludf.DUMMYFUNCTION("""COMPUTED_VALUE"""),76.0)</f>
        <v>76</v>
      </c>
      <c r="D106" s="131" t="b">
        <f>IFERROR(__xludf.DUMMYFUNCTION("""COMPUTED_VALUE"""),FALSE)</f>
        <v>0</v>
      </c>
      <c r="E106" s="114" t="str">
        <f>IFERROR(__xludf.DUMMYFUNCTION("""COMPUTED_VALUE"""),"GURION")</f>
        <v>GURION</v>
      </c>
      <c r="F106" s="114" t="str">
        <f>IFERROR(__xludf.DUMMYFUNCTION("""COMPUTED_VALUE"""),"ARJIE")</f>
        <v>ARJIE</v>
      </c>
    </row>
    <row r="107">
      <c r="A107" s="131">
        <f>IFERROR(__xludf.DUMMYFUNCTION("""COMPUTED_VALUE"""),106.0)</f>
        <v>106</v>
      </c>
      <c r="B107" s="131"/>
      <c r="C107" s="131">
        <f>IFERROR(__xludf.DUMMYFUNCTION("""COMPUTED_VALUE"""),76.0)</f>
        <v>76</v>
      </c>
      <c r="D107" s="131" t="b">
        <f>IFERROR(__xludf.DUMMYFUNCTION("""COMPUTED_VALUE"""),FALSE)</f>
        <v>0</v>
      </c>
      <c r="E107" s="114" t="str">
        <f>IFERROR(__xludf.DUMMYFUNCTION("""COMPUTED_VALUE"""),"INAJE")</f>
        <v>INAJE</v>
      </c>
      <c r="F107" s="114" t="str">
        <f>IFERROR(__xludf.DUMMYFUNCTION("""COMPUTED_VALUE"""),"JAYSON")</f>
        <v>JAYSON</v>
      </c>
    </row>
    <row r="108">
      <c r="A108" s="131">
        <f>IFERROR(__xludf.DUMMYFUNCTION("""COMPUTED_VALUE"""),107.0)</f>
        <v>107</v>
      </c>
      <c r="B108" s="131"/>
      <c r="C108" s="131">
        <f>IFERROR(__xludf.DUMMYFUNCTION("""COMPUTED_VALUE"""),76.0)</f>
        <v>76</v>
      </c>
      <c r="D108" s="131" t="b">
        <f>IFERROR(__xludf.DUMMYFUNCTION("""COMPUTED_VALUE"""),FALSE)</f>
        <v>0</v>
      </c>
      <c r="E108" s="114" t="str">
        <f>IFERROR(__xludf.DUMMYFUNCTION("""COMPUTED_VALUE"""),"LUANGCO")</f>
        <v>LUANGCO</v>
      </c>
      <c r="F108" s="114" t="str">
        <f>IFERROR(__xludf.DUMMYFUNCTION("""COMPUTED_VALUE"""),"MARKHIEL")</f>
        <v>MARKHIEL</v>
      </c>
    </row>
    <row r="109">
      <c r="A109" s="131">
        <f>IFERROR(__xludf.DUMMYFUNCTION("""COMPUTED_VALUE"""),108.0)</f>
        <v>108</v>
      </c>
      <c r="B109" s="131"/>
      <c r="C109" s="131">
        <f>IFERROR(__xludf.DUMMYFUNCTION("""COMPUTED_VALUE"""),76.0)</f>
        <v>76</v>
      </c>
      <c r="D109" s="131" t="b">
        <f>IFERROR(__xludf.DUMMYFUNCTION("""COMPUTED_VALUE"""),FALSE)</f>
        <v>0</v>
      </c>
      <c r="E109" s="114" t="str">
        <f>IFERROR(__xludf.DUMMYFUNCTION("""COMPUTED_VALUE"""),"NAPARATO")</f>
        <v>NAPARATO</v>
      </c>
      <c r="F109" s="114" t="str">
        <f>IFERROR(__xludf.DUMMYFUNCTION("""COMPUTED_VALUE"""),"JONEL")</f>
        <v>JONEL</v>
      </c>
    </row>
    <row r="110">
      <c r="A110" s="131">
        <f>IFERROR(__xludf.DUMMYFUNCTION("""COMPUTED_VALUE"""),109.0)</f>
        <v>109</v>
      </c>
      <c r="B110" s="131"/>
      <c r="C110" s="131">
        <f>IFERROR(__xludf.DUMMYFUNCTION("""COMPUTED_VALUE"""),76.0)</f>
        <v>76</v>
      </c>
      <c r="D110" s="131" t="b">
        <f>IFERROR(__xludf.DUMMYFUNCTION("""COMPUTED_VALUE"""),FALSE)</f>
        <v>0</v>
      </c>
      <c r="E110" s="114" t="str">
        <f>IFERROR(__xludf.DUMMYFUNCTION("""COMPUTED_VALUE"""),"NAPARATO")</f>
        <v>NAPARATO</v>
      </c>
      <c r="F110" s="114" t="str">
        <f>IFERROR(__xludf.DUMMYFUNCTION("""COMPUTED_VALUE"""),"JEFF")</f>
        <v>JEFF</v>
      </c>
    </row>
    <row r="111">
      <c r="A111" s="131">
        <f>IFERROR(__xludf.DUMMYFUNCTION("""COMPUTED_VALUE"""),110.0)</f>
        <v>110</v>
      </c>
      <c r="B111" s="131"/>
      <c r="C111" s="131">
        <f>IFERROR(__xludf.DUMMYFUNCTION("""COMPUTED_VALUE"""),76.0)</f>
        <v>76</v>
      </c>
      <c r="D111" s="131" t="b">
        <f>IFERROR(__xludf.DUMMYFUNCTION("""COMPUTED_VALUE"""),FALSE)</f>
        <v>0</v>
      </c>
      <c r="E111" s="114" t="str">
        <f>IFERROR(__xludf.DUMMYFUNCTION("""COMPUTED_VALUE"""),"PABILLO")</f>
        <v>PABILLO</v>
      </c>
      <c r="F111" s="114" t="str">
        <f>IFERROR(__xludf.DUMMYFUNCTION("""COMPUTED_VALUE"""),"PRINCE ALECK")</f>
        <v>PRINCE ALECK</v>
      </c>
    </row>
    <row r="112">
      <c r="A112" s="131">
        <f>IFERROR(__xludf.DUMMYFUNCTION("""COMPUTED_VALUE"""),111.0)</f>
        <v>111</v>
      </c>
      <c r="B112" s="131"/>
      <c r="C112" s="131">
        <f>IFERROR(__xludf.DUMMYFUNCTION("""COMPUTED_VALUE"""),76.0)</f>
        <v>76</v>
      </c>
      <c r="D112" s="131" t="b">
        <f>IFERROR(__xludf.DUMMYFUNCTION("""COMPUTED_VALUE"""),FALSE)</f>
        <v>0</v>
      </c>
      <c r="E112" s="114" t="str">
        <f>IFERROR(__xludf.DUMMYFUNCTION("""COMPUTED_VALUE"""),"PRINCESA")</f>
        <v>PRINCESA</v>
      </c>
      <c r="F112" s="114" t="str">
        <f>IFERROR(__xludf.DUMMYFUNCTION("""COMPUTED_VALUE"""),"ADRIAN CARL")</f>
        <v>ADRIAN CARL</v>
      </c>
    </row>
    <row r="113">
      <c r="A113" s="131">
        <f>IFERROR(__xludf.DUMMYFUNCTION("""COMPUTED_VALUE"""),112.0)</f>
        <v>112</v>
      </c>
      <c r="B113" s="131"/>
      <c r="C113" s="131">
        <f>IFERROR(__xludf.DUMMYFUNCTION("""COMPUTED_VALUE"""),76.0)</f>
        <v>76</v>
      </c>
      <c r="D113" s="131" t="b">
        <f>IFERROR(__xludf.DUMMYFUNCTION("""COMPUTED_VALUE"""),FALSE)</f>
        <v>0</v>
      </c>
      <c r="E113" s="114" t="str">
        <f>IFERROR(__xludf.DUMMYFUNCTION("""COMPUTED_VALUE"""),"RAMOS")</f>
        <v>RAMOS</v>
      </c>
      <c r="F113" s="114" t="str">
        <f>IFERROR(__xludf.DUMMYFUNCTION("""COMPUTED_VALUE"""),"JEREMIAH")</f>
        <v>JEREMIAH</v>
      </c>
    </row>
    <row r="114">
      <c r="A114" s="131">
        <f>IFERROR(__xludf.DUMMYFUNCTION("""COMPUTED_VALUE"""),113.0)</f>
        <v>113</v>
      </c>
      <c r="B114" s="131"/>
      <c r="C114" s="131">
        <f>IFERROR(__xludf.DUMMYFUNCTION("""COMPUTED_VALUE"""),76.0)</f>
        <v>76</v>
      </c>
      <c r="D114" s="131" t="b">
        <f>IFERROR(__xludf.DUMMYFUNCTION("""COMPUTED_VALUE"""),FALSE)</f>
        <v>0</v>
      </c>
      <c r="E114" s="114" t="str">
        <f>IFERROR(__xludf.DUMMYFUNCTION("""COMPUTED_VALUE"""),"RAMOS")</f>
        <v>RAMOS</v>
      </c>
      <c r="F114" s="114" t="str">
        <f>IFERROR(__xludf.DUMMYFUNCTION("""COMPUTED_VALUE"""),"MATTHEW")</f>
        <v>MATTHEW</v>
      </c>
    </row>
    <row r="115">
      <c r="A115" s="131">
        <f>IFERROR(__xludf.DUMMYFUNCTION("""COMPUTED_VALUE"""),114.0)</f>
        <v>114</v>
      </c>
      <c r="B115" s="131"/>
      <c r="C115" s="131">
        <f>IFERROR(__xludf.DUMMYFUNCTION("""COMPUTED_VALUE"""),76.0)</f>
        <v>76</v>
      </c>
      <c r="D115" s="131" t="b">
        <f>IFERROR(__xludf.DUMMYFUNCTION("""COMPUTED_VALUE"""),FALSE)</f>
        <v>0</v>
      </c>
      <c r="E115" s="114" t="str">
        <f>IFERROR(__xludf.DUMMYFUNCTION("""COMPUTED_VALUE"""),"RAMOS")</f>
        <v>RAMOS</v>
      </c>
      <c r="F115" s="114" t="str">
        <f>IFERROR(__xludf.DUMMYFUNCTION("""COMPUTED_VALUE"""),"JONAS")</f>
        <v>JONAS</v>
      </c>
    </row>
    <row r="116">
      <c r="A116" s="131">
        <f>IFERROR(__xludf.DUMMYFUNCTION("""COMPUTED_VALUE"""),115.0)</f>
        <v>115</v>
      </c>
      <c r="B116" s="131"/>
      <c r="C116" s="131">
        <f>IFERROR(__xludf.DUMMYFUNCTION("""COMPUTED_VALUE"""),76.0)</f>
        <v>76</v>
      </c>
      <c r="D116" s="131" t="b">
        <f>IFERROR(__xludf.DUMMYFUNCTION("""COMPUTED_VALUE"""),FALSE)</f>
        <v>0</v>
      </c>
      <c r="E116" s="114" t="str">
        <f>IFERROR(__xludf.DUMMYFUNCTION("""COMPUTED_VALUE"""),"ROMANO")</f>
        <v>ROMANO</v>
      </c>
      <c r="F116" s="114" t="str">
        <f>IFERROR(__xludf.DUMMYFUNCTION("""COMPUTED_VALUE"""),"XIANREY")</f>
        <v>XIANREY</v>
      </c>
    </row>
    <row r="117">
      <c r="A117" s="131">
        <f>IFERROR(__xludf.DUMMYFUNCTION("""COMPUTED_VALUE"""),116.0)</f>
        <v>116</v>
      </c>
      <c r="B117" s="131"/>
      <c r="C117" s="131">
        <f>IFERROR(__xludf.DUMMYFUNCTION("""COMPUTED_VALUE"""),76.0)</f>
        <v>76</v>
      </c>
      <c r="D117" s="131" t="b">
        <f>IFERROR(__xludf.DUMMYFUNCTION("""COMPUTED_VALUE"""),FALSE)</f>
        <v>0</v>
      </c>
      <c r="E117" s="114" t="str">
        <f>IFERROR(__xludf.DUMMYFUNCTION("""COMPUTED_VALUE"""),"AMBROCIO")</f>
        <v>AMBROCIO</v>
      </c>
      <c r="F117" s="114" t="str">
        <f>IFERROR(__xludf.DUMMYFUNCTION("""COMPUTED_VALUE"""),"JAMES")</f>
        <v>JAMES</v>
      </c>
    </row>
    <row r="118">
      <c r="A118" s="131">
        <f>IFERROR(__xludf.DUMMYFUNCTION("""COMPUTED_VALUE"""),117.0)</f>
        <v>117</v>
      </c>
      <c r="B118" s="131"/>
      <c r="C118" s="131">
        <f>IFERROR(__xludf.DUMMYFUNCTION("""COMPUTED_VALUE"""),76.0)</f>
        <v>76</v>
      </c>
      <c r="D118" s="131" t="b">
        <f>IFERROR(__xludf.DUMMYFUNCTION("""COMPUTED_VALUE"""),FALSE)</f>
        <v>0</v>
      </c>
      <c r="E118" s="114" t="str">
        <f>IFERROR(__xludf.DUMMYFUNCTION("""COMPUTED_VALUE"""),"PANADO")</f>
        <v>PANADO</v>
      </c>
      <c r="F118" s="114" t="str">
        <f>IFERROR(__xludf.DUMMYFUNCTION("""COMPUTED_VALUE"""),"JAMES")</f>
        <v>JAMES</v>
      </c>
    </row>
    <row r="119">
      <c r="A119" s="131">
        <f>IFERROR(__xludf.DUMMYFUNCTION("""COMPUTED_VALUE"""),118.0)</f>
        <v>118</v>
      </c>
      <c r="B119" s="131"/>
      <c r="C119" s="131">
        <f>IFERROR(__xludf.DUMMYFUNCTION("""COMPUTED_VALUE"""),76.0)</f>
        <v>76</v>
      </c>
      <c r="D119" s="131" t="b">
        <f>IFERROR(__xludf.DUMMYFUNCTION("""COMPUTED_VALUE"""),FALSE)</f>
        <v>0</v>
      </c>
      <c r="E119" s="114" t="str">
        <f>IFERROR(__xludf.DUMMYFUNCTION("""COMPUTED_VALUE"""),"MALLARI")</f>
        <v>MALLARI</v>
      </c>
      <c r="F119" s="114" t="str">
        <f>IFERROR(__xludf.DUMMYFUNCTION("""COMPUTED_VALUE"""),"JAY IAN")</f>
        <v>JAY IAN</v>
      </c>
    </row>
    <row r="120">
      <c r="A120" s="131"/>
      <c r="B120" s="131"/>
      <c r="C120" s="131"/>
      <c r="D120" s="131"/>
      <c r="E120" s="131"/>
      <c r="F120" s="131"/>
    </row>
    <row r="121">
      <c r="A121" s="131">
        <f>IFERROR(__xludf.DUMMYFUNCTION("""COMPUTED_VALUE"""),120.0)</f>
        <v>120</v>
      </c>
      <c r="B121" s="131"/>
      <c r="C121" s="131">
        <f>IFERROR(__xludf.DUMMYFUNCTION("""COMPUTED_VALUE"""),120.0)</f>
        <v>120</v>
      </c>
      <c r="D121" s="131" t="b">
        <f>IFERROR(__xludf.DUMMYFUNCTION("""COMPUTED_VALUE"""),TRUE)</f>
        <v>1</v>
      </c>
      <c r="E121" s="105" t="str">
        <f>IFERROR(__xludf.DUMMYFUNCTION("""COMPUTED_VALUE"""),"MACASA")</f>
        <v>MACASA</v>
      </c>
      <c r="F121" s="105" t="str">
        <f>IFERROR(__xludf.DUMMYFUNCTION("""COMPUTED_VALUE"""),"POLO")</f>
        <v>POLO</v>
      </c>
      <c r="G121" s="90" t="s">
        <v>4</v>
      </c>
      <c r="I121" s="90" t="s">
        <v>4</v>
      </c>
      <c r="J121" s="90" t="s">
        <v>4</v>
      </c>
      <c r="L121" s="90" t="b">
        <v>1</v>
      </c>
      <c r="M121" s="90" t="b">
        <v>0</v>
      </c>
      <c r="N121" s="90" t="b">
        <v>1</v>
      </c>
      <c r="O121" s="90" t="b">
        <v>1</v>
      </c>
    </row>
    <row r="122">
      <c r="A122" s="131">
        <f>IFERROR(__xludf.DUMMYFUNCTION("""COMPUTED_VALUE"""),121.0)</f>
        <v>121</v>
      </c>
      <c r="B122" s="131"/>
      <c r="C122" s="131">
        <f>IFERROR(__xludf.DUMMYFUNCTION("""COMPUTED_VALUE"""),120.0)</f>
        <v>120</v>
      </c>
      <c r="D122" s="131" t="b">
        <f>IFERROR(__xludf.DUMMYFUNCTION("""COMPUTED_VALUE"""),FALSE)</f>
        <v>0</v>
      </c>
      <c r="E122" s="115" t="str">
        <f>IFERROR(__xludf.DUMMYFUNCTION("""COMPUTED_VALUE"""),"ALCANTARA")</f>
        <v>ALCANTARA</v>
      </c>
      <c r="F122" s="107" t="str">
        <f>IFERROR(__xludf.DUMMYFUNCTION("""COMPUTED_VALUE"""),"GERALD")</f>
        <v>GERALD</v>
      </c>
      <c r="G122" s="90" t="s">
        <v>4</v>
      </c>
      <c r="I122" s="90" t="s">
        <v>4</v>
      </c>
      <c r="L122" s="90" t="b">
        <v>1</v>
      </c>
      <c r="N122" s="90" t="b">
        <v>1</v>
      </c>
    </row>
    <row r="123">
      <c r="A123" s="131">
        <f>IFERROR(__xludf.DUMMYFUNCTION("""COMPUTED_VALUE"""),122.0)</f>
        <v>122</v>
      </c>
      <c r="B123" s="131"/>
      <c r="C123" s="131">
        <f>IFERROR(__xludf.DUMMYFUNCTION("""COMPUTED_VALUE"""),120.0)</f>
        <v>120</v>
      </c>
      <c r="D123" s="131" t="b">
        <f>IFERROR(__xludf.DUMMYFUNCTION("""COMPUTED_VALUE"""),FALSE)</f>
        <v>0</v>
      </c>
      <c r="E123" s="107" t="str">
        <f>IFERROR(__xludf.DUMMYFUNCTION("""COMPUTED_VALUE"""),"ALVIAR")</f>
        <v>ALVIAR</v>
      </c>
      <c r="F123" s="107" t="str">
        <f>IFERROR(__xludf.DUMMYFUNCTION("""COMPUTED_VALUE"""),"PETER")</f>
        <v>PETER</v>
      </c>
    </row>
    <row r="124">
      <c r="A124" s="131">
        <f>IFERROR(__xludf.DUMMYFUNCTION("""COMPUTED_VALUE"""),123.0)</f>
        <v>123</v>
      </c>
      <c r="B124" s="131"/>
      <c r="C124" s="131">
        <f>IFERROR(__xludf.DUMMYFUNCTION("""COMPUTED_VALUE"""),120.0)</f>
        <v>120</v>
      </c>
      <c r="D124" s="131" t="b">
        <f>IFERROR(__xludf.DUMMYFUNCTION("""COMPUTED_VALUE"""),FALSE)</f>
        <v>0</v>
      </c>
      <c r="E124" s="116" t="str">
        <f>IFERROR(__xludf.DUMMYFUNCTION("""COMPUTED_VALUE"""),"BUCTOT")</f>
        <v>BUCTOT</v>
      </c>
      <c r="F124" s="107" t="str">
        <f>IFERROR(__xludf.DUMMYFUNCTION("""COMPUTED_VALUE"""),"JEFFREY")</f>
        <v>JEFFREY</v>
      </c>
    </row>
    <row r="125">
      <c r="A125" s="131">
        <f>IFERROR(__xludf.DUMMYFUNCTION("""COMPUTED_VALUE"""),124.0)</f>
        <v>124</v>
      </c>
      <c r="B125" s="131"/>
      <c r="C125" s="131">
        <f>IFERROR(__xludf.DUMMYFUNCTION("""COMPUTED_VALUE"""),120.0)</f>
        <v>120</v>
      </c>
      <c r="D125" s="131" t="b">
        <f>IFERROR(__xludf.DUMMYFUNCTION("""COMPUTED_VALUE"""),FALSE)</f>
        <v>0</v>
      </c>
      <c r="E125" s="107" t="str">
        <f>IFERROR(__xludf.DUMMYFUNCTION("""COMPUTED_VALUE"""),"CABRERA")</f>
        <v>CABRERA</v>
      </c>
      <c r="F125" s="107" t="str">
        <f>IFERROR(__xludf.DUMMYFUNCTION("""COMPUTED_VALUE"""),"LANCE")</f>
        <v>LANCE</v>
      </c>
      <c r="G125" s="90" t="s">
        <v>4</v>
      </c>
      <c r="I125" s="90" t="s">
        <v>4</v>
      </c>
      <c r="L125" s="90" t="b">
        <v>1</v>
      </c>
      <c r="N125" s="90" t="b">
        <v>1</v>
      </c>
    </row>
    <row r="126">
      <c r="A126" s="131">
        <f>IFERROR(__xludf.DUMMYFUNCTION("""COMPUTED_VALUE"""),125.0)</f>
        <v>125</v>
      </c>
      <c r="B126" s="131"/>
      <c r="C126" s="131">
        <f>IFERROR(__xludf.DUMMYFUNCTION("""COMPUTED_VALUE"""),120.0)</f>
        <v>120</v>
      </c>
      <c r="D126" s="131" t="b">
        <f>IFERROR(__xludf.DUMMYFUNCTION("""COMPUTED_VALUE"""),FALSE)</f>
        <v>0</v>
      </c>
      <c r="E126" s="107" t="str">
        <f>IFERROR(__xludf.DUMMYFUNCTION("""COMPUTED_VALUE"""),"CANDIDO")</f>
        <v>CANDIDO</v>
      </c>
      <c r="F126" s="107" t="str">
        <f>IFERROR(__xludf.DUMMYFUNCTION("""COMPUTED_VALUE"""),"PRINCE")</f>
        <v>PRINCE</v>
      </c>
    </row>
    <row r="127">
      <c r="A127" s="131">
        <f>IFERROR(__xludf.DUMMYFUNCTION("""COMPUTED_VALUE"""),126.0)</f>
        <v>126</v>
      </c>
      <c r="B127" s="131"/>
      <c r="C127" s="131">
        <f>IFERROR(__xludf.DUMMYFUNCTION("""COMPUTED_VALUE"""),120.0)</f>
        <v>120</v>
      </c>
      <c r="D127" s="131" t="b">
        <f>IFERROR(__xludf.DUMMYFUNCTION("""COMPUTED_VALUE"""),FALSE)</f>
        <v>0</v>
      </c>
      <c r="E127" s="107" t="str">
        <f>IFERROR(__xludf.DUMMYFUNCTION("""COMPUTED_VALUE"""),"LOUIE")</f>
        <v>LOUIE</v>
      </c>
      <c r="F127" s="107" t="str">
        <f>IFERROR(__xludf.DUMMYFUNCTION("""COMPUTED_VALUE"""),"JAMES")</f>
        <v>JAMES</v>
      </c>
      <c r="G127" s="90" t="s">
        <v>4</v>
      </c>
      <c r="I127" s="90" t="s">
        <v>4</v>
      </c>
      <c r="L127" s="90" t="b">
        <v>1</v>
      </c>
      <c r="N127" s="90" t="b">
        <v>1</v>
      </c>
    </row>
    <row r="128">
      <c r="A128" s="131">
        <f>IFERROR(__xludf.DUMMYFUNCTION("""COMPUTED_VALUE"""),127.0)</f>
        <v>127</v>
      </c>
      <c r="B128" s="131"/>
      <c r="C128" s="131">
        <f>IFERROR(__xludf.DUMMYFUNCTION("""COMPUTED_VALUE"""),120.0)</f>
        <v>120</v>
      </c>
      <c r="D128" s="131" t="b">
        <f>IFERROR(__xludf.DUMMYFUNCTION("""COMPUTED_VALUE"""),FALSE)</f>
        <v>0</v>
      </c>
      <c r="E128" s="107" t="str">
        <f>IFERROR(__xludf.DUMMYFUNCTION("""COMPUTED_VALUE"""),"MALIGTAS")</f>
        <v>MALIGTAS</v>
      </c>
      <c r="F128" s="107" t="str">
        <f>IFERROR(__xludf.DUMMYFUNCTION("""COMPUTED_VALUE"""),"SKYE")</f>
        <v>SKYE</v>
      </c>
      <c r="I128" s="90" t="s">
        <v>4</v>
      </c>
      <c r="N128" s="90" t="b">
        <v>1</v>
      </c>
    </row>
    <row r="129">
      <c r="A129" s="131">
        <f>IFERROR(__xludf.DUMMYFUNCTION("""COMPUTED_VALUE"""),128.0)</f>
        <v>128</v>
      </c>
      <c r="B129" s="131"/>
      <c r="C129" s="131">
        <f>IFERROR(__xludf.DUMMYFUNCTION("""COMPUTED_VALUE"""),120.0)</f>
        <v>120</v>
      </c>
      <c r="D129" s="131" t="b">
        <f>IFERROR(__xludf.DUMMYFUNCTION("""COMPUTED_VALUE"""),FALSE)</f>
        <v>0</v>
      </c>
      <c r="E129" s="107" t="str">
        <f>IFERROR(__xludf.DUMMYFUNCTION("""COMPUTED_VALUE"""),"NEHEMIAH")</f>
        <v>NEHEMIAH</v>
      </c>
      <c r="F129" s="107" t="str">
        <f>IFERROR(__xludf.DUMMYFUNCTION("""COMPUTED_VALUE"""),"ARKHEL")</f>
        <v>ARKHEL</v>
      </c>
    </row>
    <row r="130">
      <c r="A130" s="131">
        <f>IFERROR(__xludf.DUMMYFUNCTION("""COMPUTED_VALUE"""),129.0)</f>
        <v>129</v>
      </c>
      <c r="B130" s="131"/>
      <c r="C130" s="131">
        <f>IFERROR(__xludf.DUMMYFUNCTION("""COMPUTED_VALUE"""),120.0)</f>
        <v>120</v>
      </c>
      <c r="D130" s="131" t="b">
        <f>IFERROR(__xludf.DUMMYFUNCTION("""COMPUTED_VALUE"""),FALSE)</f>
        <v>0</v>
      </c>
      <c r="E130" s="107" t="str">
        <f>IFERROR(__xludf.DUMMYFUNCTION("""COMPUTED_VALUE"""),"OLASO")</f>
        <v>OLASO</v>
      </c>
      <c r="F130" s="107" t="str">
        <f>IFERROR(__xludf.DUMMYFUNCTION("""COMPUTED_VALUE"""),"CHARLES")</f>
        <v>CHARLES</v>
      </c>
      <c r="I130" s="90" t="s">
        <v>4</v>
      </c>
      <c r="N130" s="90" t="b">
        <v>1</v>
      </c>
    </row>
    <row r="131">
      <c r="A131" s="131">
        <f>IFERROR(__xludf.DUMMYFUNCTION("""COMPUTED_VALUE"""),130.0)</f>
        <v>130</v>
      </c>
      <c r="B131" s="131"/>
      <c r="C131" s="131">
        <f>IFERROR(__xludf.DUMMYFUNCTION("""COMPUTED_VALUE"""),120.0)</f>
        <v>120</v>
      </c>
      <c r="D131" s="131" t="b">
        <f>IFERROR(__xludf.DUMMYFUNCTION("""COMPUTED_VALUE"""),FALSE)</f>
        <v>0</v>
      </c>
      <c r="E131" s="107" t="str">
        <f>IFERROR(__xludf.DUMMYFUNCTION("""COMPUTED_VALUE"""),"PASCUA")</f>
        <v>PASCUA</v>
      </c>
      <c r="F131" s="107" t="str">
        <f>IFERROR(__xludf.DUMMYFUNCTION("""COMPUTED_VALUE"""),"JOHN MICHAEL")</f>
        <v>JOHN MICHAEL</v>
      </c>
    </row>
    <row r="132">
      <c r="A132" s="131">
        <f>IFERROR(__xludf.DUMMYFUNCTION("""COMPUTED_VALUE"""),131.0)</f>
        <v>131</v>
      </c>
      <c r="B132" s="131"/>
      <c r="C132" s="131">
        <f>IFERROR(__xludf.DUMMYFUNCTION("""COMPUTED_VALUE"""),120.0)</f>
        <v>120</v>
      </c>
      <c r="D132" s="131" t="b">
        <f>IFERROR(__xludf.DUMMYFUNCTION("""COMPUTED_VALUE"""),FALSE)</f>
        <v>0</v>
      </c>
      <c r="E132" s="107" t="str">
        <f>IFERROR(__xludf.DUMMYFUNCTION("""COMPUTED_VALUE"""),"PERALTA")</f>
        <v>PERALTA</v>
      </c>
      <c r="F132" s="107" t="str">
        <f>IFERROR(__xludf.DUMMYFUNCTION("""COMPUTED_VALUE"""),"MARLON")</f>
        <v>MARLON</v>
      </c>
    </row>
    <row r="133">
      <c r="A133" s="131">
        <f>IFERROR(__xludf.DUMMYFUNCTION("""COMPUTED_VALUE"""),132.0)</f>
        <v>132</v>
      </c>
      <c r="B133" s="131"/>
      <c r="C133" s="131">
        <f>IFERROR(__xludf.DUMMYFUNCTION("""COMPUTED_VALUE"""),120.0)</f>
        <v>120</v>
      </c>
      <c r="D133" s="131" t="b">
        <f>IFERROR(__xludf.DUMMYFUNCTION("""COMPUTED_VALUE"""),FALSE)</f>
        <v>0</v>
      </c>
      <c r="E133" s="107" t="str">
        <f>IFERROR(__xludf.DUMMYFUNCTION("""COMPUTED_VALUE"""),"PESAYCO")</f>
        <v>PESAYCO</v>
      </c>
      <c r="F133" s="107" t="str">
        <f>IFERROR(__xludf.DUMMYFUNCTION("""COMPUTED_VALUE"""),"KEITH")</f>
        <v>KEITH</v>
      </c>
    </row>
    <row r="134">
      <c r="A134" s="131">
        <f>IFERROR(__xludf.DUMMYFUNCTION("""COMPUTED_VALUE"""),133.0)</f>
        <v>133</v>
      </c>
      <c r="B134" s="131"/>
      <c r="C134" s="131">
        <f>IFERROR(__xludf.DUMMYFUNCTION("""COMPUTED_VALUE"""),120.0)</f>
        <v>120</v>
      </c>
      <c r="D134" s="131" t="b">
        <f>IFERROR(__xludf.DUMMYFUNCTION("""COMPUTED_VALUE"""),FALSE)</f>
        <v>0</v>
      </c>
      <c r="E134" s="107" t="str">
        <f>IFERROR(__xludf.DUMMYFUNCTION("""COMPUTED_VALUE"""),"RAZON")</f>
        <v>RAZON</v>
      </c>
      <c r="F134" s="107" t="str">
        <f>IFERROR(__xludf.DUMMYFUNCTION("""COMPUTED_VALUE"""),"JOSHUA")</f>
        <v>JOSHUA</v>
      </c>
    </row>
    <row r="135">
      <c r="A135" s="131">
        <f>IFERROR(__xludf.DUMMYFUNCTION("""COMPUTED_VALUE"""),134.0)</f>
        <v>134</v>
      </c>
      <c r="B135" s="131"/>
      <c r="C135" s="131">
        <f>IFERROR(__xludf.DUMMYFUNCTION("""COMPUTED_VALUE"""),120.0)</f>
        <v>120</v>
      </c>
      <c r="D135" s="131" t="b">
        <f>IFERROR(__xludf.DUMMYFUNCTION("""COMPUTED_VALUE"""),FALSE)</f>
        <v>0</v>
      </c>
      <c r="E135" s="107" t="str">
        <f>IFERROR(__xludf.DUMMYFUNCTION("""COMPUTED_VALUE"""),"ROCCO")</f>
        <v>ROCCO</v>
      </c>
      <c r="F135" s="107" t="str">
        <f>IFERROR(__xludf.DUMMYFUNCTION("""COMPUTED_VALUE"""),"MARK")</f>
        <v>MARK</v>
      </c>
    </row>
    <row r="136">
      <c r="A136" s="131">
        <f>IFERROR(__xludf.DUMMYFUNCTION("""COMPUTED_VALUE"""),135.0)</f>
        <v>135</v>
      </c>
      <c r="B136" s="131"/>
      <c r="C136" s="131">
        <f>IFERROR(__xludf.DUMMYFUNCTION("""COMPUTED_VALUE"""),120.0)</f>
        <v>120</v>
      </c>
      <c r="D136" s="131" t="b">
        <f>IFERROR(__xludf.DUMMYFUNCTION("""COMPUTED_VALUE"""),FALSE)</f>
        <v>0</v>
      </c>
      <c r="E136" s="107" t="str">
        <f>IFERROR(__xludf.DUMMYFUNCTION("""COMPUTED_VALUE"""),"ROME")</f>
        <v>ROME</v>
      </c>
      <c r="F136" s="107" t="str">
        <f>IFERROR(__xludf.DUMMYFUNCTION("""COMPUTED_VALUE"""),"ZAYIN")</f>
        <v>ZAYIN</v>
      </c>
    </row>
    <row r="137">
      <c r="A137" s="131">
        <f>IFERROR(__xludf.DUMMYFUNCTION("""COMPUTED_VALUE"""),136.0)</f>
        <v>136</v>
      </c>
      <c r="B137" s="131"/>
      <c r="C137" s="131">
        <f>IFERROR(__xludf.DUMMYFUNCTION("""COMPUTED_VALUE"""),120.0)</f>
        <v>120</v>
      </c>
      <c r="D137" s="131" t="b">
        <f>IFERROR(__xludf.DUMMYFUNCTION("""COMPUTED_VALUE"""),FALSE)</f>
        <v>0</v>
      </c>
      <c r="E137" s="107" t="str">
        <f>IFERROR(__xludf.DUMMYFUNCTION("""COMPUTED_VALUE"""),"ROME")</f>
        <v>ROME</v>
      </c>
      <c r="F137" s="107" t="str">
        <f>IFERROR(__xludf.DUMMYFUNCTION("""COMPUTED_VALUE"""),"ZACH")</f>
        <v>ZACH</v>
      </c>
      <c r="I137" s="90" t="s">
        <v>4</v>
      </c>
      <c r="N137" s="90" t="b">
        <v>1</v>
      </c>
    </row>
    <row r="138">
      <c r="A138" s="131">
        <f>IFERROR(__xludf.DUMMYFUNCTION("""COMPUTED_VALUE"""),137.0)</f>
        <v>137</v>
      </c>
      <c r="B138" s="131"/>
      <c r="C138" s="131">
        <f>IFERROR(__xludf.DUMMYFUNCTION("""COMPUTED_VALUE"""),120.0)</f>
        <v>120</v>
      </c>
      <c r="D138" s="131" t="b">
        <f>IFERROR(__xludf.DUMMYFUNCTION("""COMPUTED_VALUE"""),FALSE)</f>
        <v>0</v>
      </c>
      <c r="E138" s="107" t="str">
        <f>IFERROR(__xludf.DUMMYFUNCTION("""COMPUTED_VALUE"""),"SERRANO")</f>
        <v>SERRANO</v>
      </c>
      <c r="F138" s="107" t="str">
        <f>IFERROR(__xludf.DUMMYFUNCTION("""COMPUTED_VALUE"""),"MICO")</f>
        <v>MICO</v>
      </c>
    </row>
    <row r="139">
      <c r="A139" s="131">
        <f>IFERROR(__xludf.DUMMYFUNCTION("""COMPUTED_VALUE"""),138.0)</f>
        <v>138</v>
      </c>
      <c r="B139" s="131"/>
      <c r="C139" s="131">
        <f>IFERROR(__xludf.DUMMYFUNCTION("""COMPUTED_VALUE"""),120.0)</f>
        <v>120</v>
      </c>
      <c r="D139" s="131" t="b">
        <f>IFERROR(__xludf.DUMMYFUNCTION("""COMPUTED_VALUE"""),FALSE)</f>
        <v>0</v>
      </c>
      <c r="E139" s="98"/>
      <c r="F139" s="107" t="str">
        <f>IFERROR(__xludf.DUMMYFUNCTION("""COMPUTED_VALUE"""),"PAUL")</f>
        <v>PAUL</v>
      </c>
    </row>
    <row r="140">
      <c r="A140" s="131"/>
      <c r="B140" s="131"/>
      <c r="C140" s="131"/>
      <c r="D140" s="131"/>
      <c r="E140" s="131"/>
      <c r="F140" s="131"/>
    </row>
    <row r="141">
      <c r="A141" s="131">
        <f>IFERROR(__xludf.DUMMYFUNCTION("""COMPUTED_VALUE"""),140.0)</f>
        <v>140</v>
      </c>
      <c r="B141" s="131"/>
      <c r="C141" s="131">
        <f>IFERROR(__xludf.DUMMYFUNCTION("""COMPUTED_VALUE"""),140.0)</f>
        <v>140</v>
      </c>
      <c r="D141" s="131" t="b">
        <f>IFERROR(__xludf.DUMMYFUNCTION("""COMPUTED_VALUE"""),TRUE)</f>
        <v>1</v>
      </c>
      <c r="E141" s="105" t="str">
        <f>IFERROR(__xludf.DUMMYFUNCTION("""COMPUTED_VALUE"""),"ARANDA")</f>
        <v>ARANDA</v>
      </c>
      <c r="F141" s="105" t="str">
        <f>IFERROR(__xludf.DUMMYFUNCTION("""COMPUTED_VALUE"""),"IYA")</f>
        <v>IYA</v>
      </c>
      <c r="G141" s="90" t="s">
        <v>4</v>
      </c>
      <c r="H141" s="90" t="s">
        <v>4</v>
      </c>
      <c r="L141" s="90" t="b">
        <v>1</v>
      </c>
      <c r="M141" s="90" t="b">
        <v>1</v>
      </c>
    </row>
    <row r="142">
      <c r="A142" s="131">
        <f>IFERROR(__xludf.DUMMYFUNCTION("""COMPUTED_VALUE"""),141.0)</f>
        <v>141</v>
      </c>
      <c r="B142" s="131"/>
      <c r="C142" s="131">
        <f>IFERROR(__xludf.DUMMYFUNCTION("""COMPUTED_VALUE"""),140.0)</f>
        <v>140</v>
      </c>
      <c r="D142" s="131" t="b">
        <f>IFERROR(__xludf.DUMMYFUNCTION("""COMPUTED_VALUE"""),FALSE)</f>
        <v>0</v>
      </c>
      <c r="E142" s="109" t="str">
        <f>IFERROR(__xludf.DUMMYFUNCTION("""COMPUTED_VALUE"""),"ALIANZA")</f>
        <v>ALIANZA</v>
      </c>
      <c r="F142" s="109" t="str">
        <f>IFERROR(__xludf.DUMMYFUNCTION("""COMPUTED_VALUE"""),"JESEMIL")</f>
        <v>JESEMIL</v>
      </c>
    </row>
    <row r="143">
      <c r="A143" s="131">
        <f>IFERROR(__xludf.DUMMYFUNCTION("""COMPUTED_VALUE"""),142.0)</f>
        <v>142</v>
      </c>
      <c r="B143" s="131"/>
      <c r="C143" s="131">
        <f>IFERROR(__xludf.DUMMYFUNCTION("""COMPUTED_VALUE"""),140.0)</f>
        <v>140</v>
      </c>
      <c r="D143" s="131" t="b">
        <f>IFERROR(__xludf.DUMMYFUNCTION("""COMPUTED_VALUE"""),FALSE)</f>
        <v>0</v>
      </c>
      <c r="E143" s="109" t="str">
        <f>IFERROR(__xludf.DUMMYFUNCTION("""COMPUTED_VALUE"""),"ANTONIO")</f>
        <v>ANTONIO</v>
      </c>
      <c r="F143" s="109" t="str">
        <f>IFERROR(__xludf.DUMMYFUNCTION("""COMPUTED_VALUE"""),"CHAM")</f>
        <v>CHAM</v>
      </c>
    </row>
    <row r="144">
      <c r="A144" s="131">
        <f>IFERROR(__xludf.DUMMYFUNCTION("""COMPUTED_VALUE"""),143.0)</f>
        <v>143</v>
      </c>
      <c r="B144" s="131"/>
      <c r="C144" s="131">
        <f>IFERROR(__xludf.DUMMYFUNCTION("""COMPUTED_VALUE"""),140.0)</f>
        <v>140</v>
      </c>
      <c r="D144" s="131" t="b">
        <f>IFERROR(__xludf.DUMMYFUNCTION("""COMPUTED_VALUE"""),FALSE)</f>
        <v>0</v>
      </c>
      <c r="E144" s="109" t="str">
        <f>IFERROR(__xludf.DUMMYFUNCTION("""COMPUTED_VALUE"""),"AQUINO")</f>
        <v>AQUINO</v>
      </c>
      <c r="F144" s="109" t="str">
        <f>IFERROR(__xludf.DUMMYFUNCTION("""COMPUTED_VALUE"""),"JOANNA")</f>
        <v>JOANNA</v>
      </c>
      <c r="G144" s="90" t="s">
        <v>4</v>
      </c>
      <c r="L144" s="90" t="b">
        <v>1</v>
      </c>
    </row>
    <row r="145">
      <c r="A145" s="131">
        <f>IFERROR(__xludf.DUMMYFUNCTION("""COMPUTED_VALUE"""),144.0)</f>
        <v>144</v>
      </c>
      <c r="B145" s="131"/>
      <c r="C145" s="131">
        <f>IFERROR(__xludf.DUMMYFUNCTION("""COMPUTED_VALUE"""),140.0)</f>
        <v>140</v>
      </c>
      <c r="D145" s="131" t="b">
        <f>IFERROR(__xludf.DUMMYFUNCTION("""COMPUTED_VALUE"""),FALSE)</f>
        <v>0</v>
      </c>
      <c r="E145" s="109" t="str">
        <f>IFERROR(__xludf.DUMMYFUNCTION("""COMPUTED_VALUE"""),"ARANDA")</f>
        <v>ARANDA</v>
      </c>
      <c r="F145" s="109" t="str">
        <f>IFERROR(__xludf.DUMMYFUNCTION("""COMPUTED_VALUE"""),"ALEXANDRA")</f>
        <v>ALEXANDRA</v>
      </c>
      <c r="G145" s="90" t="s">
        <v>4</v>
      </c>
      <c r="H145" s="90" t="s">
        <v>4</v>
      </c>
      <c r="L145" s="90" t="b">
        <v>1</v>
      </c>
      <c r="M145" s="90" t="b">
        <v>1</v>
      </c>
    </row>
    <row r="146">
      <c r="A146" s="131">
        <f>IFERROR(__xludf.DUMMYFUNCTION("""COMPUTED_VALUE"""),145.0)</f>
        <v>145</v>
      </c>
      <c r="B146" s="131"/>
      <c r="C146" s="131">
        <f>IFERROR(__xludf.DUMMYFUNCTION("""COMPUTED_VALUE"""),140.0)</f>
        <v>140</v>
      </c>
      <c r="D146" s="131" t="b">
        <f>IFERROR(__xludf.DUMMYFUNCTION("""COMPUTED_VALUE"""),FALSE)</f>
        <v>0</v>
      </c>
      <c r="E146" s="109" t="str">
        <f>IFERROR(__xludf.DUMMYFUNCTION("""COMPUTED_VALUE"""),"CARAAN")</f>
        <v>CARAAN</v>
      </c>
      <c r="F146" s="109" t="str">
        <f>IFERROR(__xludf.DUMMYFUNCTION("""COMPUTED_VALUE"""),"CATHLINE")</f>
        <v>CATHLINE</v>
      </c>
    </row>
    <row r="147">
      <c r="A147" s="131">
        <f>IFERROR(__xludf.DUMMYFUNCTION("""COMPUTED_VALUE"""),146.0)</f>
        <v>146</v>
      </c>
      <c r="B147" s="131"/>
      <c r="C147" s="131">
        <f>IFERROR(__xludf.DUMMYFUNCTION("""COMPUTED_VALUE"""),140.0)</f>
        <v>140</v>
      </c>
      <c r="D147" s="131" t="b">
        <f>IFERROR(__xludf.DUMMYFUNCTION("""COMPUTED_VALUE"""),FALSE)</f>
        <v>0</v>
      </c>
      <c r="E147" s="109" t="str">
        <f>IFERROR(__xludf.DUMMYFUNCTION("""COMPUTED_VALUE"""),"CASTILLO")</f>
        <v>CASTILLO</v>
      </c>
      <c r="F147" s="109" t="str">
        <f>IFERROR(__xludf.DUMMYFUNCTION("""COMPUTED_VALUE"""),"JASIEL")</f>
        <v>JASIEL</v>
      </c>
    </row>
    <row r="148">
      <c r="A148" s="131">
        <f>IFERROR(__xludf.DUMMYFUNCTION("""COMPUTED_VALUE"""),147.0)</f>
        <v>147</v>
      </c>
      <c r="B148" s="131"/>
      <c r="C148" s="131">
        <f>IFERROR(__xludf.DUMMYFUNCTION("""COMPUTED_VALUE"""),140.0)</f>
        <v>140</v>
      </c>
      <c r="D148" s="131" t="b">
        <f>IFERROR(__xludf.DUMMYFUNCTION("""COMPUTED_VALUE"""),FALSE)</f>
        <v>0</v>
      </c>
      <c r="E148" s="109" t="str">
        <f>IFERROR(__xludf.DUMMYFUNCTION("""COMPUTED_VALUE"""),"CEA")</f>
        <v>CEA</v>
      </c>
      <c r="F148" s="109" t="str">
        <f>IFERROR(__xludf.DUMMYFUNCTION("""COMPUTED_VALUE"""),"DIANA")</f>
        <v>DIANA</v>
      </c>
    </row>
    <row r="149">
      <c r="A149" s="131">
        <f>IFERROR(__xludf.DUMMYFUNCTION("""COMPUTED_VALUE"""),148.0)</f>
        <v>148</v>
      </c>
      <c r="B149" s="131"/>
      <c r="C149" s="131">
        <f>IFERROR(__xludf.DUMMYFUNCTION("""COMPUTED_VALUE"""),140.0)</f>
        <v>140</v>
      </c>
      <c r="D149" s="131" t="b">
        <f>IFERROR(__xludf.DUMMYFUNCTION("""COMPUTED_VALUE"""),FALSE)</f>
        <v>0</v>
      </c>
      <c r="E149" s="109" t="str">
        <f>IFERROR(__xludf.DUMMYFUNCTION("""COMPUTED_VALUE"""),"CHUA")</f>
        <v>CHUA</v>
      </c>
      <c r="F149" s="109" t="str">
        <f>IFERROR(__xludf.DUMMYFUNCTION("""COMPUTED_VALUE"""),"PJ")</f>
        <v>PJ</v>
      </c>
      <c r="G149" s="90" t="s">
        <v>4</v>
      </c>
      <c r="L149" s="90" t="b">
        <v>1</v>
      </c>
    </row>
    <row r="150">
      <c r="A150" s="131">
        <f>IFERROR(__xludf.DUMMYFUNCTION("""COMPUTED_VALUE"""),149.0)</f>
        <v>149</v>
      </c>
      <c r="B150" s="131"/>
      <c r="C150" s="131">
        <f>IFERROR(__xludf.DUMMYFUNCTION("""COMPUTED_VALUE"""),140.0)</f>
        <v>140</v>
      </c>
      <c r="D150" s="131" t="b">
        <f>IFERROR(__xludf.DUMMYFUNCTION("""COMPUTED_VALUE"""),FALSE)</f>
        <v>0</v>
      </c>
      <c r="E150" s="109" t="str">
        <f>IFERROR(__xludf.DUMMYFUNCTION("""COMPUTED_VALUE"""),"DIZON")</f>
        <v>DIZON</v>
      </c>
      <c r="F150" s="109" t="str">
        <f>IFERROR(__xludf.DUMMYFUNCTION("""COMPUTED_VALUE"""),"ARRA")</f>
        <v>ARRA</v>
      </c>
    </row>
    <row r="151">
      <c r="A151" s="131">
        <f>IFERROR(__xludf.DUMMYFUNCTION("""COMPUTED_VALUE"""),150.0)</f>
        <v>150</v>
      </c>
      <c r="B151" s="131"/>
      <c r="C151" s="131">
        <f>IFERROR(__xludf.DUMMYFUNCTION("""COMPUTED_VALUE"""),140.0)</f>
        <v>140</v>
      </c>
      <c r="D151" s="131" t="b">
        <f>IFERROR(__xludf.DUMMYFUNCTION("""COMPUTED_VALUE"""),FALSE)</f>
        <v>0</v>
      </c>
      <c r="E151" s="109" t="str">
        <f>IFERROR(__xludf.DUMMYFUNCTION("""COMPUTED_VALUE"""),"ECLEVIA")</f>
        <v>ECLEVIA</v>
      </c>
      <c r="F151" s="109" t="str">
        <f>IFERROR(__xludf.DUMMYFUNCTION("""COMPUTED_VALUE"""),"ANGELICA")</f>
        <v>ANGELICA</v>
      </c>
      <c r="G151" s="90" t="s">
        <v>4</v>
      </c>
      <c r="L151" s="90" t="b">
        <v>1</v>
      </c>
    </row>
    <row r="152">
      <c r="A152" s="131">
        <f>IFERROR(__xludf.DUMMYFUNCTION("""COMPUTED_VALUE"""),151.0)</f>
        <v>151</v>
      </c>
      <c r="B152" s="131"/>
      <c r="C152" s="131">
        <f>IFERROR(__xludf.DUMMYFUNCTION("""COMPUTED_VALUE"""),140.0)</f>
        <v>140</v>
      </c>
      <c r="D152" s="131" t="b">
        <f>IFERROR(__xludf.DUMMYFUNCTION("""COMPUTED_VALUE"""),FALSE)</f>
        <v>0</v>
      </c>
      <c r="E152" s="109" t="str">
        <f>IFERROR(__xludf.DUMMYFUNCTION("""COMPUTED_VALUE"""),"FELIPE")</f>
        <v>FELIPE</v>
      </c>
      <c r="F152" s="109" t="str">
        <f>IFERROR(__xludf.DUMMYFUNCTION("""COMPUTED_VALUE"""),"JAIMIE")</f>
        <v>JAIMIE</v>
      </c>
    </row>
    <row r="153">
      <c r="A153" s="131">
        <f>IFERROR(__xludf.DUMMYFUNCTION("""COMPUTED_VALUE"""),152.0)</f>
        <v>152</v>
      </c>
      <c r="B153" s="131"/>
      <c r="C153" s="131">
        <f>IFERROR(__xludf.DUMMYFUNCTION("""COMPUTED_VALUE"""),140.0)</f>
        <v>140</v>
      </c>
      <c r="D153" s="131" t="b">
        <f>IFERROR(__xludf.DUMMYFUNCTION("""COMPUTED_VALUE"""),FALSE)</f>
        <v>0</v>
      </c>
      <c r="E153" s="109" t="str">
        <f>IFERROR(__xludf.DUMMYFUNCTION("""COMPUTED_VALUE"""),"FERNANDEZ")</f>
        <v>FERNANDEZ</v>
      </c>
      <c r="F153" s="109" t="str">
        <f>IFERROR(__xludf.DUMMYFUNCTION("""COMPUTED_VALUE"""),"SHARMAINE")</f>
        <v>SHARMAINE</v>
      </c>
    </row>
    <row r="154">
      <c r="A154" s="131">
        <f>IFERROR(__xludf.DUMMYFUNCTION("""COMPUTED_VALUE"""),153.0)</f>
        <v>153</v>
      </c>
      <c r="B154" s="131"/>
      <c r="C154" s="131">
        <f>IFERROR(__xludf.DUMMYFUNCTION("""COMPUTED_VALUE"""),140.0)</f>
        <v>140</v>
      </c>
      <c r="D154" s="131" t="b">
        <f>IFERROR(__xludf.DUMMYFUNCTION("""COMPUTED_VALUE"""),FALSE)</f>
        <v>0</v>
      </c>
      <c r="E154" s="109" t="str">
        <f>IFERROR(__xludf.DUMMYFUNCTION("""COMPUTED_VALUE"""),"FILIO")</f>
        <v>FILIO</v>
      </c>
      <c r="F154" s="109" t="str">
        <f>IFERROR(__xludf.DUMMYFUNCTION("""COMPUTED_VALUE"""),"DAISY")</f>
        <v>DAISY</v>
      </c>
    </row>
    <row r="155">
      <c r="A155" s="131">
        <f>IFERROR(__xludf.DUMMYFUNCTION("""COMPUTED_VALUE"""),154.0)</f>
        <v>154</v>
      </c>
      <c r="B155" s="131"/>
      <c r="C155" s="131">
        <f>IFERROR(__xludf.DUMMYFUNCTION("""COMPUTED_VALUE"""),140.0)</f>
        <v>140</v>
      </c>
      <c r="D155" s="131" t="b">
        <f>IFERROR(__xludf.DUMMYFUNCTION("""COMPUTED_VALUE"""),FALSE)</f>
        <v>0</v>
      </c>
      <c r="E155" s="109" t="str">
        <f>IFERROR(__xludf.DUMMYFUNCTION("""COMPUTED_VALUE"""),"FILIO")</f>
        <v>FILIO</v>
      </c>
      <c r="F155" s="109" t="str">
        <f>IFERROR(__xludf.DUMMYFUNCTION("""COMPUTED_VALUE"""),"JENNY")</f>
        <v>JENNY</v>
      </c>
    </row>
    <row r="156">
      <c r="A156" s="131">
        <f>IFERROR(__xludf.DUMMYFUNCTION("""COMPUTED_VALUE"""),155.0)</f>
        <v>155</v>
      </c>
      <c r="B156" s="131"/>
      <c r="C156" s="131">
        <f>IFERROR(__xludf.DUMMYFUNCTION("""COMPUTED_VALUE"""),140.0)</f>
        <v>140</v>
      </c>
      <c r="D156" s="131" t="b">
        <f>IFERROR(__xludf.DUMMYFUNCTION("""COMPUTED_VALUE"""),FALSE)</f>
        <v>0</v>
      </c>
      <c r="E156" s="109" t="str">
        <f>IFERROR(__xludf.DUMMYFUNCTION("""COMPUTED_VALUE"""),"FLORO")</f>
        <v>FLORO</v>
      </c>
      <c r="F156" s="109" t="str">
        <f>IFERROR(__xludf.DUMMYFUNCTION("""COMPUTED_VALUE"""),"JUSTINE")</f>
        <v>JUSTINE</v>
      </c>
      <c r="H156" s="90" t="s">
        <v>4</v>
      </c>
      <c r="M156" s="90" t="b">
        <v>1</v>
      </c>
    </row>
    <row r="157">
      <c r="A157" s="131">
        <f>IFERROR(__xludf.DUMMYFUNCTION("""COMPUTED_VALUE"""),156.0)</f>
        <v>156</v>
      </c>
      <c r="B157" s="131"/>
      <c r="C157" s="131">
        <f>IFERROR(__xludf.DUMMYFUNCTION("""COMPUTED_VALUE"""),140.0)</f>
        <v>140</v>
      </c>
      <c r="D157" s="131" t="b">
        <f>IFERROR(__xludf.DUMMYFUNCTION("""COMPUTED_VALUE"""),FALSE)</f>
        <v>0</v>
      </c>
      <c r="E157" s="109" t="str">
        <f>IFERROR(__xludf.DUMMYFUNCTION("""COMPUTED_VALUE"""),"FLORO")</f>
        <v>FLORO</v>
      </c>
      <c r="F157" s="109" t="str">
        <f>IFERROR(__xludf.DUMMYFUNCTION("""COMPUTED_VALUE"""),"MICA")</f>
        <v>MICA</v>
      </c>
    </row>
    <row r="158">
      <c r="A158" s="131">
        <f>IFERROR(__xludf.DUMMYFUNCTION("""COMPUTED_VALUE"""),157.0)</f>
        <v>157</v>
      </c>
      <c r="B158" s="131"/>
      <c r="C158" s="131">
        <f>IFERROR(__xludf.DUMMYFUNCTION("""COMPUTED_VALUE"""),140.0)</f>
        <v>140</v>
      </c>
      <c r="D158" s="131" t="b">
        <f>IFERROR(__xludf.DUMMYFUNCTION("""COMPUTED_VALUE"""),FALSE)</f>
        <v>0</v>
      </c>
      <c r="E158" s="109" t="str">
        <f>IFERROR(__xludf.DUMMYFUNCTION("""COMPUTED_VALUE"""),"FRANCISCO")</f>
        <v>FRANCISCO</v>
      </c>
      <c r="F158" s="109" t="str">
        <f>IFERROR(__xludf.DUMMYFUNCTION("""COMPUTED_VALUE"""),"RAMILYN")</f>
        <v>RAMILYN</v>
      </c>
      <c r="G158" s="90" t="s">
        <v>4</v>
      </c>
      <c r="L158" s="90" t="b">
        <v>1</v>
      </c>
    </row>
    <row r="159">
      <c r="A159" s="131">
        <f>IFERROR(__xludf.DUMMYFUNCTION("""COMPUTED_VALUE"""),158.0)</f>
        <v>158</v>
      </c>
      <c r="B159" s="131"/>
      <c r="C159" s="131">
        <f>IFERROR(__xludf.DUMMYFUNCTION("""COMPUTED_VALUE"""),140.0)</f>
        <v>140</v>
      </c>
      <c r="D159" s="131" t="b">
        <f>IFERROR(__xludf.DUMMYFUNCTION("""COMPUTED_VALUE"""),FALSE)</f>
        <v>0</v>
      </c>
      <c r="E159" s="109" t="str">
        <f>IFERROR(__xludf.DUMMYFUNCTION("""COMPUTED_VALUE"""),"GEMOTO")</f>
        <v>GEMOTO</v>
      </c>
      <c r="F159" s="109" t="str">
        <f>IFERROR(__xludf.DUMMYFUNCTION("""COMPUTED_VALUE"""),"JASMINE")</f>
        <v>JASMINE</v>
      </c>
      <c r="G159" s="90" t="s">
        <v>4</v>
      </c>
      <c r="H159" s="90" t="s">
        <v>4</v>
      </c>
      <c r="L159" s="90" t="b">
        <v>1</v>
      </c>
      <c r="M159" s="90" t="b">
        <v>1</v>
      </c>
    </row>
    <row r="160">
      <c r="A160" s="131">
        <f>IFERROR(__xludf.DUMMYFUNCTION("""COMPUTED_VALUE"""),159.0)</f>
        <v>159</v>
      </c>
      <c r="B160" s="131"/>
      <c r="C160" s="131">
        <f>IFERROR(__xludf.DUMMYFUNCTION("""COMPUTED_VALUE"""),140.0)</f>
        <v>140</v>
      </c>
      <c r="D160" s="131" t="b">
        <f>IFERROR(__xludf.DUMMYFUNCTION("""COMPUTED_VALUE"""),FALSE)</f>
        <v>0</v>
      </c>
      <c r="E160" s="109" t="str">
        <f>IFERROR(__xludf.DUMMYFUNCTION("""COMPUTED_VALUE"""),"LABAYNE")</f>
        <v>LABAYNE</v>
      </c>
      <c r="F160" s="109" t="str">
        <f>IFERROR(__xludf.DUMMYFUNCTION("""COMPUTED_VALUE"""),"GRACE")</f>
        <v>GRACE</v>
      </c>
    </row>
    <row r="161">
      <c r="A161" s="131">
        <f>IFERROR(__xludf.DUMMYFUNCTION("""COMPUTED_VALUE"""),160.0)</f>
        <v>160</v>
      </c>
      <c r="B161" s="131"/>
      <c r="C161" s="131">
        <f>IFERROR(__xludf.DUMMYFUNCTION("""COMPUTED_VALUE"""),140.0)</f>
        <v>140</v>
      </c>
      <c r="D161" s="131" t="b">
        <f>IFERROR(__xludf.DUMMYFUNCTION("""COMPUTED_VALUE"""),FALSE)</f>
        <v>0</v>
      </c>
      <c r="E161" s="109" t="str">
        <f>IFERROR(__xludf.DUMMYFUNCTION("""COMPUTED_VALUE"""),"OCEMAN")</f>
        <v>OCEMAN</v>
      </c>
      <c r="F161" s="109" t="str">
        <f>IFERROR(__xludf.DUMMYFUNCTION("""COMPUTED_VALUE"""),"RAI-RAI")</f>
        <v>RAI-RAI</v>
      </c>
    </row>
    <row r="162">
      <c r="A162" s="131">
        <f>IFERROR(__xludf.DUMMYFUNCTION("""COMPUTED_VALUE"""),161.0)</f>
        <v>161</v>
      </c>
      <c r="B162" s="131"/>
      <c r="C162" s="131">
        <f>IFERROR(__xludf.DUMMYFUNCTION("""COMPUTED_VALUE"""),140.0)</f>
        <v>140</v>
      </c>
      <c r="D162" s="131" t="b">
        <f>IFERROR(__xludf.DUMMYFUNCTION("""COMPUTED_VALUE"""),FALSE)</f>
        <v>0</v>
      </c>
      <c r="E162" s="109" t="str">
        <f>IFERROR(__xludf.DUMMYFUNCTION("""COMPUTED_VALUE"""),"ORQUIA")</f>
        <v>ORQUIA</v>
      </c>
      <c r="F162" s="109" t="str">
        <f>IFERROR(__xludf.DUMMYFUNCTION("""COMPUTED_VALUE"""),"KEZA")</f>
        <v>KEZA</v>
      </c>
    </row>
    <row r="163">
      <c r="A163" s="131">
        <f>IFERROR(__xludf.DUMMYFUNCTION("""COMPUTED_VALUE"""),162.0)</f>
        <v>162</v>
      </c>
      <c r="B163" s="131"/>
      <c r="C163" s="131">
        <f>IFERROR(__xludf.DUMMYFUNCTION("""COMPUTED_VALUE"""),140.0)</f>
        <v>140</v>
      </c>
      <c r="D163" s="131" t="b">
        <f>IFERROR(__xludf.DUMMYFUNCTION("""COMPUTED_VALUE"""),FALSE)</f>
        <v>0</v>
      </c>
      <c r="E163" s="109" t="str">
        <f>IFERROR(__xludf.DUMMYFUNCTION("""COMPUTED_VALUE"""),"PERALTA")</f>
        <v>PERALTA</v>
      </c>
      <c r="F163" s="109" t="str">
        <f>IFERROR(__xludf.DUMMYFUNCTION("""COMPUTED_VALUE"""),"YEN")</f>
        <v>YEN</v>
      </c>
    </row>
    <row r="164">
      <c r="A164" s="131">
        <f>IFERROR(__xludf.DUMMYFUNCTION("""COMPUTED_VALUE"""),163.0)</f>
        <v>163</v>
      </c>
      <c r="B164" s="131"/>
      <c r="C164" s="131">
        <f>IFERROR(__xludf.DUMMYFUNCTION("""COMPUTED_VALUE"""),140.0)</f>
        <v>140</v>
      </c>
      <c r="D164" s="131" t="b">
        <f>IFERROR(__xludf.DUMMYFUNCTION("""COMPUTED_VALUE"""),FALSE)</f>
        <v>0</v>
      </c>
      <c r="E164" s="109" t="str">
        <f>IFERROR(__xludf.DUMMYFUNCTION("""COMPUTED_VALUE"""),"TAN SANCHEZ")</f>
        <v>TAN SANCHEZ</v>
      </c>
      <c r="F164" s="109" t="str">
        <f>IFERROR(__xludf.DUMMYFUNCTION("""COMPUTED_VALUE"""),"MARY KHAYE")</f>
        <v>MARY KHAYE</v>
      </c>
    </row>
    <row r="165">
      <c r="A165" s="131">
        <f>IFERROR(__xludf.DUMMYFUNCTION("""COMPUTED_VALUE"""),164.0)</f>
        <v>164</v>
      </c>
      <c r="B165" s="131"/>
      <c r="C165" s="131">
        <f>IFERROR(__xludf.DUMMYFUNCTION("""COMPUTED_VALUE"""),140.0)</f>
        <v>140</v>
      </c>
      <c r="D165" s="131" t="b">
        <f>IFERROR(__xludf.DUMMYFUNCTION("""COMPUTED_VALUE"""),FALSE)</f>
        <v>0</v>
      </c>
      <c r="E165" s="109" t="str">
        <f>IFERROR(__xludf.DUMMYFUNCTION("""COMPUTED_VALUE"""),"TANDUL")</f>
        <v>TANDUL</v>
      </c>
      <c r="F165" s="109" t="str">
        <f>IFERROR(__xludf.DUMMYFUNCTION("""COMPUTED_VALUE"""),"ELAIJAH")</f>
        <v>ELAIJAH</v>
      </c>
      <c r="G165" s="90" t="s">
        <v>4</v>
      </c>
      <c r="L165" s="90" t="b">
        <v>1</v>
      </c>
    </row>
    <row r="166">
      <c r="A166" s="131">
        <f>IFERROR(__xludf.DUMMYFUNCTION("""COMPUTED_VALUE"""),165.0)</f>
        <v>165</v>
      </c>
      <c r="B166" s="131"/>
      <c r="C166" s="131">
        <f>IFERROR(__xludf.DUMMYFUNCTION("""COMPUTED_VALUE"""),140.0)</f>
        <v>140</v>
      </c>
      <c r="D166" s="131" t="b">
        <f>IFERROR(__xludf.DUMMYFUNCTION("""COMPUTED_VALUE"""),FALSE)</f>
        <v>0</v>
      </c>
      <c r="E166" s="109" t="str">
        <f>IFERROR(__xludf.DUMMYFUNCTION("""COMPUTED_VALUE"""),"VILLONES")</f>
        <v>VILLONES</v>
      </c>
      <c r="F166" s="109" t="str">
        <f>IFERROR(__xludf.DUMMYFUNCTION("""COMPUTED_VALUE"""),"RHEA")</f>
        <v>RHEA</v>
      </c>
    </row>
    <row r="167">
      <c r="A167" s="131">
        <f>IFERROR(__xludf.DUMMYFUNCTION("""COMPUTED_VALUE"""),166.0)</f>
        <v>166</v>
      </c>
      <c r="B167" s="131"/>
      <c r="C167" s="131"/>
      <c r="D167" s="131" t="b">
        <f>IFERROR(__xludf.DUMMYFUNCTION("""COMPUTED_VALUE"""),FALSE)</f>
        <v>0</v>
      </c>
      <c r="E167" s="131"/>
      <c r="F167" s="131"/>
    </row>
    <row r="168">
      <c r="A168" s="131">
        <f>IFERROR(__xludf.DUMMYFUNCTION("""COMPUTED_VALUE"""),167.0)</f>
        <v>167</v>
      </c>
      <c r="B168" s="131"/>
      <c r="C168" s="131">
        <f>IFERROR(__xludf.DUMMYFUNCTION("""COMPUTED_VALUE"""),167.0)</f>
        <v>167</v>
      </c>
      <c r="D168" s="131" t="b">
        <f>IFERROR(__xludf.DUMMYFUNCTION("""COMPUTED_VALUE"""),TRUE)</f>
        <v>1</v>
      </c>
      <c r="E168" s="105" t="str">
        <f>IFERROR(__xludf.DUMMYFUNCTION("""COMPUTED_VALUE"""),"DE-DIOS")</f>
        <v>DE-DIOS</v>
      </c>
      <c r="F168" s="105" t="str">
        <f>IFERROR(__xludf.DUMMYFUNCTION("""COMPUTED_VALUE"""),"JAY-EL")</f>
        <v>JAY-EL</v>
      </c>
    </row>
    <row r="169">
      <c r="A169" s="131">
        <f>IFERROR(__xludf.DUMMYFUNCTION("""COMPUTED_VALUE"""),168.0)</f>
        <v>168</v>
      </c>
      <c r="B169" s="131"/>
      <c r="C169" s="131">
        <f>IFERROR(__xludf.DUMMYFUNCTION("""COMPUTED_VALUE"""),167.0)</f>
        <v>167</v>
      </c>
      <c r="D169" s="131" t="b">
        <f>IFERROR(__xludf.DUMMYFUNCTION("""COMPUTED_VALUE"""),FALSE)</f>
        <v>0</v>
      </c>
      <c r="E169" s="107" t="str">
        <f>IFERROR(__xludf.DUMMYFUNCTION("""COMPUTED_VALUE"""),"BARONGGO")</f>
        <v>BARONGGO</v>
      </c>
      <c r="F169" s="107" t="str">
        <f>IFERROR(__xludf.DUMMYFUNCTION("""COMPUTED_VALUE"""),"FRANK")</f>
        <v>FRANK</v>
      </c>
    </row>
    <row r="170">
      <c r="A170" s="131">
        <f>IFERROR(__xludf.DUMMYFUNCTION("""COMPUTED_VALUE"""),169.0)</f>
        <v>169</v>
      </c>
      <c r="B170" s="131"/>
      <c r="C170" s="131">
        <f>IFERROR(__xludf.DUMMYFUNCTION("""COMPUTED_VALUE"""),167.0)</f>
        <v>167</v>
      </c>
      <c r="D170" s="131" t="b">
        <f>IFERROR(__xludf.DUMMYFUNCTION("""COMPUTED_VALUE"""),FALSE)</f>
        <v>0</v>
      </c>
      <c r="E170" s="107" t="str">
        <f>IFERROR(__xludf.DUMMYFUNCTION("""COMPUTED_VALUE"""),"ABENOJAR")</f>
        <v>ABENOJAR</v>
      </c>
      <c r="F170" s="107" t="str">
        <f>IFERROR(__xludf.DUMMYFUNCTION("""COMPUTED_VALUE"""),"CLIFFORD")</f>
        <v>CLIFFORD</v>
      </c>
    </row>
    <row r="171">
      <c r="A171" s="131">
        <f>IFERROR(__xludf.DUMMYFUNCTION("""COMPUTED_VALUE"""),170.0)</f>
        <v>170</v>
      </c>
      <c r="B171" s="131"/>
      <c r="C171" s="131">
        <f>IFERROR(__xludf.DUMMYFUNCTION("""COMPUTED_VALUE"""),167.0)</f>
        <v>167</v>
      </c>
      <c r="D171" s="131" t="b">
        <f>IFERROR(__xludf.DUMMYFUNCTION("""COMPUTED_VALUE"""),FALSE)</f>
        <v>0</v>
      </c>
      <c r="E171" s="107" t="str">
        <f>IFERROR(__xludf.DUMMYFUNCTION("""COMPUTED_VALUE"""),"ABUS")</f>
        <v>ABUS</v>
      </c>
      <c r="F171" s="107" t="str">
        <f>IFERROR(__xludf.DUMMYFUNCTION("""COMPUTED_VALUE"""),"RV PETER")</f>
        <v>RV PETER</v>
      </c>
    </row>
    <row r="172">
      <c r="A172" s="131">
        <f>IFERROR(__xludf.DUMMYFUNCTION("""COMPUTED_VALUE"""),171.0)</f>
        <v>171</v>
      </c>
      <c r="B172" s="131"/>
      <c r="C172" s="131">
        <f>IFERROR(__xludf.DUMMYFUNCTION("""COMPUTED_VALUE"""),167.0)</f>
        <v>167</v>
      </c>
      <c r="D172" s="131" t="b">
        <f>IFERROR(__xludf.DUMMYFUNCTION("""COMPUTED_VALUE"""),FALSE)</f>
        <v>0</v>
      </c>
      <c r="E172" s="107" t="str">
        <f>IFERROR(__xludf.DUMMYFUNCTION("""COMPUTED_VALUE"""),"ANTONIO")</f>
        <v>ANTONIO</v>
      </c>
      <c r="F172" s="107" t="str">
        <f>IFERROR(__xludf.DUMMYFUNCTION("""COMPUTED_VALUE"""),"DON")</f>
        <v>DON</v>
      </c>
    </row>
    <row r="173">
      <c r="A173" s="131">
        <f>IFERROR(__xludf.DUMMYFUNCTION("""COMPUTED_VALUE"""),172.0)</f>
        <v>172</v>
      </c>
      <c r="B173" s="131"/>
      <c r="C173" s="131">
        <f>IFERROR(__xludf.DUMMYFUNCTION("""COMPUTED_VALUE"""),167.0)</f>
        <v>167</v>
      </c>
      <c r="D173" s="131" t="b">
        <f>IFERROR(__xludf.DUMMYFUNCTION("""COMPUTED_VALUE"""),FALSE)</f>
        <v>0</v>
      </c>
      <c r="E173" s="107" t="str">
        <f>IFERROR(__xludf.DUMMYFUNCTION("""COMPUTED_VALUE"""),"BERDIN")</f>
        <v>BERDIN</v>
      </c>
      <c r="F173" s="107" t="str">
        <f>IFERROR(__xludf.DUMMYFUNCTION("""COMPUTED_VALUE"""),"KURT")</f>
        <v>KURT</v>
      </c>
    </row>
    <row r="174">
      <c r="A174" s="131">
        <f>IFERROR(__xludf.DUMMYFUNCTION("""COMPUTED_VALUE"""),173.0)</f>
        <v>173</v>
      </c>
      <c r="B174" s="131"/>
      <c r="C174" s="131">
        <f>IFERROR(__xludf.DUMMYFUNCTION("""COMPUTED_VALUE"""),167.0)</f>
        <v>167</v>
      </c>
      <c r="D174" s="131" t="b">
        <f>IFERROR(__xludf.DUMMYFUNCTION("""COMPUTED_VALUE"""),FALSE)</f>
        <v>0</v>
      </c>
      <c r="E174" s="107" t="str">
        <f>IFERROR(__xludf.DUMMYFUNCTION("""COMPUTED_VALUE"""),"CALUBIRAN")</f>
        <v>CALUBIRAN</v>
      </c>
      <c r="F174" s="107" t="str">
        <f>IFERROR(__xludf.DUMMYFUNCTION("""COMPUTED_VALUE"""),"JOEL")</f>
        <v>JOEL</v>
      </c>
    </row>
    <row r="175">
      <c r="A175" s="131">
        <f>IFERROR(__xludf.DUMMYFUNCTION("""COMPUTED_VALUE"""),174.0)</f>
        <v>174</v>
      </c>
      <c r="B175" s="131"/>
      <c r="C175" s="131">
        <f>IFERROR(__xludf.DUMMYFUNCTION("""COMPUTED_VALUE"""),167.0)</f>
        <v>167</v>
      </c>
      <c r="D175" s="131" t="b">
        <f>IFERROR(__xludf.DUMMYFUNCTION("""COMPUTED_VALUE"""),FALSE)</f>
        <v>0</v>
      </c>
      <c r="E175" s="107" t="str">
        <f>IFERROR(__xludf.DUMMYFUNCTION("""COMPUTED_VALUE"""),"CARANGAN")</f>
        <v>CARANGAN</v>
      </c>
      <c r="F175" s="107" t="str">
        <f>IFERROR(__xludf.DUMMYFUNCTION("""COMPUTED_VALUE"""),"LANCE")</f>
        <v>LANCE</v>
      </c>
    </row>
    <row r="176">
      <c r="A176" s="131">
        <f>IFERROR(__xludf.DUMMYFUNCTION("""COMPUTED_VALUE"""),175.0)</f>
        <v>175</v>
      </c>
      <c r="B176" s="131"/>
      <c r="C176" s="131">
        <f>IFERROR(__xludf.DUMMYFUNCTION("""COMPUTED_VALUE"""),167.0)</f>
        <v>167</v>
      </c>
      <c r="D176" s="131" t="b">
        <f>IFERROR(__xludf.DUMMYFUNCTION("""COMPUTED_VALUE"""),FALSE)</f>
        <v>0</v>
      </c>
      <c r="E176" s="107" t="str">
        <f>IFERROR(__xludf.DUMMYFUNCTION("""COMPUTED_VALUE"""),"CASINUSIMAN")</f>
        <v>CASINUSIMAN</v>
      </c>
      <c r="F176" s="107" t="str">
        <f>IFERROR(__xludf.DUMMYFUNCTION("""COMPUTED_VALUE"""),"RAINER")</f>
        <v>RAINER</v>
      </c>
    </row>
    <row r="177">
      <c r="A177" s="131">
        <f>IFERROR(__xludf.DUMMYFUNCTION("""COMPUTED_VALUE"""),176.0)</f>
        <v>176</v>
      </c>
      <c r="B177" s="131"/>
      <c r="C177" s="131">
        <f>IFERROR(__xludf.DUMMYFUNCTION("""COMPUTED_VALUE"""),167.0)</f>
        <v>167</v>
      </c>
      <c r="D177" s="131" t="b">
        <f>IFERROR(__xludf.DUMMYFUNCTION("""COMPUTED_VALUE"""),FALSE)</f>
        <v>0</v>
      </c>
      <c r="E177" s="107" t="str">
        <f>IFERROR(__xludf.DUMMYFUNCTION("""COMPUTED_VALUE"""),"CORVERA")</f>
        <v>CORVERA</v>
      </c>
      <c r="F177" s="107" t="str">
        <f>IFERROR(__xludf.DUMMYFUNCTION("""COMPUTED_VALUE"""),"FLORENCE")</f>
        <v>FLORENCE</v>
      </c>
    </row>
    <row r="178">
      <c r="A178" s="131">
        <f>IFERROR(__xludf.DUMMYFUNCTION("""COMPUTED_VALUE"""),177.0)</f>
        <v>177</v>
      </c>
      <c r="B178" s="131"/>
      <c r="C178" s="131">
        <f>IFERROR(__xludf.DUMMYFUNCTION("""COMPUTED_VALUE"""),167.0)</f>
        <v>167</v>
      </c>
      <c r="D178" s="131" t="b">
        <f>IFERROR(__xludf.DUMMYFUNCTION("""COMPUTED_VALUE"""),FALSE)</f>
        <v>0</v>
      </c>
      <c r="E178" s="107" t="str">
        <f>IFERROR(__xludf.DUMMYFUNCTION("""COMPUTED_VALUE"""),"DABALOS")</f>
        <v>DABALOS</v>
      </c>
      <c r="F178" s="107" t="str">
        <f>IFERROR(__xludf.DUMMYFUNCTION("""COMPUTED_VALUE"""),"MERVIN")</f>
        <v>MERVIN</v>
      </c>
    </row>
    <row r="179">
      <c r="A179" s="131">
        <f>IFERROR(__xludf.DUMMYFUNCTION("""COMPUTED_VALUE"""),178.0)</f>
        <v>178</v>
      </c>
      <c r="B179" s="131"/>
      <c r="C179" s="131">
        <f>IFERROR(__xludf.DUMMYFUNCTION("""COMPUTED_VALUE"""),167.0)</f>
        <v>167</v>
      </c>
      <c r="D179" s="131" t="b">
        <f>IFERROR(__xludf.DUMMYFUNCTION("""COMPUTED_VALUE"""),FALSE)</f>
        <v>0</v>
      </c>
      <c r="E179" s="107" t="str">
        <f>IFERROR(__xludf.DUMMYFUNCTION("""COMPUTED_VALUE"""),"DATO")</f>
        <v>DATO</v>
      </c>
      <c r="F179" s="107" t="str">
        <f>IFERROR(__xludf.DUMMYFUNCTION("""COMPUTED_VALUE"""),"JOHN AL")</f>
        <v>JOHN AL</v>
      </c>
    </row>
    <row r="180">
      <c r="A180" s="131">
        <f>IFERROR(__xludf.DUMMYFUNCTION("""COMPUTED_VALUE"""),179.0)</f>
        <v>179</v>
      </c>
      <c r="B180" s="131"/>
      <c r="C180" s="131">
        <f>IFERROR(__xludf.DUMMYFUNCTION("""COMPUTED_VALUE"""),167.0)</f>
        <v>167</v>
      </c>
      <c r="D180" s="131" t="b">
        <f>IFERROR(__xludf.DUMMYFUNCTION("""COMPUTED_VALUE"""),FALSE)</f>
        <v>0</v>
      </c>
      <c r="E180" s="107" t="str">
        <f>IFERROR(__xludf.DUMMYFUNCTION("""COMPUTED_VALUE"""),"DELA CRUZ")</f>
        <v>DELA CRUZ</v>
      </c>
      <c r="F180" s="107" t="str">
        <f>IFERROR(__xludf.DUMMYFUNCTION("""COMPUTED_VALUE"""),"DYLAN")</f>
        <v>DYLAN</v>
      </c>
    </row>
    <row r="181">
      <c r="A181" s="131">
        <f>IFERROR(__xludf.DUMMYFUNCTION("""COMPUTED_VALUE"""),180.0)</f>
        <v>180</v>
      </c>
      <c r="B181" s="131"/>
      <c r="C181" s="131">
        <f>IFERROR(__xludf.DUMMYFUNCTION("""COMPUTED_VALUE"""),167.0)</f>
        <v>167</v>
      </c>
      <c r="D181" s="131" t="b">
        <f>IFERROR(__xludf.DUMMYFUNCTION("""COMPUTED_VALUE"""),FALSE)</f>
        <v>0</v>
      </c>
      <c r="E181" s="107" t="str">
        <f>IFERROR(__xludf.DUMMYFUNCTION("""COMPUTED_VALUE"""),"DELA PEÑA")</f>
        <v>DELA PEÑA</v>
      </c>
      <c r="F181" s="107" t="str">
        <f>IFERROR(__xludf.DUMMYFUNCTION("""COMPUTED_VALUE"""),"ACEL")</f>
        <v>ACEL</v>
      </c>
    </row>
    <row r="182">
      <c r="A182" s="131">
        <f>IFERROR(__xludf.DUMMYFUNCTION("""COMPUTED_VALUE"""),181.0)</f>
        <v>181</v>
      </c>
      <c r="B182" s="131"/>
      <c r="C182" s="131">
        <f>IFERROR(__xludf.DUMMYFUNCTION("""COMPUTED_VALUE"""),167.0)</f>
        <v>167</v>
      </c>
      <c r="D182" s="131" t="b">
        <f>IFERROR(__xludf.DUMMYFUNCTION("""COMPUTED_VALUE"""),FALSE)</f>
        <v>0</v>
      </c>
      <c r="E182" s="107" t="str">
        <f>IFERROR(__xludf.DUMMYFUNCTION("""COMPUTED_VALUE"""),"DELECTOR")</f>
        <v>DELECTOR</v>
      </c>
      <c r="F182" s="107" t="str">
        <f>IFERROR(__xludf.DUMMYFUNCTION("""COMPUTED_VALUE"""),"FRANCIS CRISTEL")</f>
        <v>FRANCIS CRISTEL</v>
      </c>
    </row>
    <row r="183">
      <c r="A183" s="131">
        <f>IFERROR(__xludf.DUMMYFUNCTION("""COMPUTED_VALUE"""),182.0)</f>
        <v>182</v>
      </c>
      <c r="B183" s="131"/>
      <c r="C183" s="131">
        <f>IFERROR(__xludf.DUMMYFUNCTION("""COMPUTED_VALUE"""),167.0)</f>
        <v>167</v>
      </c>
      <c r="D183" s="131" t="b">
        <f>IFERROR(__xludf.DUMMYFUNCTION("""COMPUTED_VALUE"""),FALSE)</f>
        <v>0</v>
      </c>
      <c r="E183" s="107" t="str">
        <f>IFERROR(__xludf.DUMMYFUNCTION("""COMPUTED_VALUE"""),"DELECTOR")</f>
        <v>DELECTOR</v>
      </c>
      <c r="F183" s="107" t="str">
        <f>IFERROR(__xludf.DUMMYFUNCTION("""COMPUTED_VALUE"""),"FRANZINE CARLO")</f>
        <v>FRANZINE CARLO</v>
      </c>
    </row>
    <row r="184">
      <c r="A184" s="131">
        <f>IFERROR(__xludf.DUMMYFUNCTION("""COMPUTED_VALUE"""),183.0)</f>
        <v>183</v>
      </c>
      <c r="B184" s="131"/>
      <c r="C184" s="131">
        <f>IFERROR(__xludf.DUMMYFUNCTION("""COMPUTED_VALUE"""),167.0)</f>
        <v>167</v>
      </c>
      <c r="D184" s="131" t="b">
        <f>IFERROR(__xludf.DUMMYFUNCTION("""COMPUTED_VALUE"""),FALSE)</f>
        <v>0</v>
      </c>
      <c r="E184" s="107" t="str">
        <f>IFERROR(__xludf.DUMMYFUNCTION("""COMPUTED_VALUE"""),"FRONDA")</f>
        <v>FRONDA</v>
      </c>
      <c r="F184" s="107" t="str">
        <f>IFERROR(__xludf.DUMMYFUNCTION("""COMPUTED_VALUE"""),"ED")</f>
        <v>ED</v>
      </c>
    </row>
    <row r="185">
      <c r="A185" s="131">
        <f>IFERROR(__xludf.DUMMYFUNCTION("""COMPUTED_VALUE"""),184.0)</f>
        <v>184</v>
      </c>
      <c r="B185" s="131"/>
      <c r="C185" s="131">
        <f>IFERROR(__xludf.DUMMYFUNCTION("""COMPUTED_VALUE"""),167.0)</f>
        <v>167</v>
      </c>
      <c r="D185" s="131" t="b">
        <f>IFERROR(__xludf.DUMMYFUNCTION("""COMPUTED_VALUE"""),FALSE)</f>
        <v>0</v>
      </c>
      <c r="E185" s="107" t="str">
        <f>IFERROR(__xludf.DUMMYFUNCTION("""COMPUTED_VALUE"""),"GELICAME")</f>
        <v>GELICAME</v>
      </c>
      <c r="F185" s="107" t="str">
        <f>IFERROR(__xludf.DUMMYFUNCTION("""COMPUTED_VALUE"""),"ALJHUN")</f>
        <v>ALJHUN</v>
      </c>
    </row>
    <row r="186">
      <c r="A186" s="131">
        <f>IFERROR(__xludf.DUMMYFUNCTION("""COMPUTED_VALUE"""),185.0)</f>
        <v>185</v>
      </c>
      <c r="B186" s="131"/>
      <c r="C186" s="131">
        <f>IFERROR(__xludf.DUMMYFUNCTION("""COMPUTED_VALUE"""),167.0)</f>
        <v>167</v>
      </c>
      <c r="D186" s="131" t="b">
        <f>IFERROR(__xludf.DUMMYFUNCTION("""COMPUTED_VALUE"""),FALSE)</f>
        <v>0</v>
      </c>
      <c r="E186" s="107" t="str">
        <f>IFERROR(__xludf.DUMMYFUNCTION("""COMPUTED_VALUE"""),"LABAYNE")</f>
        <v>LABAYNE</v>
      </c>
      <c r="F186" s="107" t="str">
        <f>IFERROR(__xludf.DUMMYFUNCTION("""COMPUTED_VALUE"""),"JOSHUA")</f>
        <v>JOSHUA</v>
      </c>
    </row>
    <row r="187">
      <c r="A187" s="131">
        <f>IFERROR(__xludf.DUMMYFUNCTION("""COMPUTED_VALUE"""),186.0)</f>
        <v>186</v>
      </c>
      <c r="B187" s="131"/>
      <c r="C187" s="131">
        <f>IFERROR(__xludf.DUMMYFUNCTION("""COMPUTED_VALUE"""),167.0)</f>
        <v>167</v>
      </c>
      <c r="D187" s="131" t="b">
        <f>IFERROR(__xludf.DUMMYFUNCTION("""COMPUTED_VALUE"""),FALSE)</f>
        <v>0</v>
      </c>
      <c r="E187" s="107" t="str">
        <f>IFERROR(__xludf.DUMMYFUNCTION("""COMPUTED_VALUE"""),"LABAYNE")</f>
        <v>LABAYNE</v>
      </c>
      <c r="F187" s="107" t="str">
        <f>IFERROR(__xludf.DUMMYFUNCTION("""COMPUTED_VALUE"""),"MARK")</f>
        <v>MARK</v>
      </c>
    </row>
    <row r="188">
      <c r="A188" s="131">
        <f>IFERROR(__xludf.DUMMYFUNCTION("""COMPUTED_VALUE"""),187.0)</f>
        <v>187</v>
      </c>
      <c r="B188" s="131"/>
      <c r="C188" s="131">
        <f>IFERROR(__xludf.DUMMYFUNCTION("""COMPUTED_VALUE"""),167.0)</f>
        <v>167</v>
      </c>
      <c r="D188" s="131" t="b">
        <f>IFERROR(__xludf.DUMMYFUNCTION("""COMPUTED_VALUE"""),FALSE)</f>
        <v>0</v>
      </c>
      <c r="E188" s="107" t="str">
        <f>IFERROR(__xludf.DUMMYFUNCTION("""COMPUTED_VALUE"""),"LABAYNE")</f>
        <v>LABAYNE</v>
      </c>
      <c r="F188" s="107" t="str">
        <f>IFERROR(__xludf.DUMMYFUNCTION("""COMPUTED_VALUE"""),"JAMES")</f>
        <v>JAMES</v>
      </c>
    </row>
    <row r="189">
      <c r="A189" s="131">
        <f>IFERROR(__xludf.DUMMYFUNCTION("""COMPUTED_VALUE"""),188.0)</f>
        <v>188</v>
      </c>
      <c r="B189" s="131"/>
      <c r="C189" s="131">
        <f>IFERROR(__xludf.DUMMYFUNCTION("""COMPUTED_VALUE"""),167.0)</f>
        <v>167</v>
      </c>
      <c r="D189" s="131" t="b">
        <f>IFERROR(__xludf.DUMMYFUNCTION("""COMPUTED_VALUE"""),FALSE)</f>
        <v>0</v>
      </c>
      <c r="E189" s="107" t="str">
        <f>IFERROR(__xludf.DUMMYFUNCTION("""COMPUTED_VALUE"""),"LLORENTE")</f>
        <v>LLORENTE</v>
      </c>
      <c r="F189" s="107" t="str">
        <f>IFERROR(__xludf.DUMMYFUNCTION("""COMPUTED_VALUE"""),"MILLS")</f>
        <v>MILLS</v>
      </c>
    </row>
    <row r="190">
      <c r="A190" s="131">
        <f>IFERROR(__xludf.DUMMYFUNCTION("""COMPUTED_VALUE"""),189.0)</f>
        <v>189</v>
      </c>
      <c r="B190" s="131"/>
      <c r="C190" s="131">
        <f>IFERROR(__xludf.DUMMYFUNCTION("""COMPUTED_VALUE"""),167.0)</f>
        <v>167</v>
      </c>
      <c r="D190" s="131" t="b">
        <f>IFERROR(__xludf.DUMMYFUNCTION("""COMPUTED_VALUE"""),FALSE)</f>
        <v>0</v>
      </c>
      <c r="E190" s="107" t="str">
        <f>IFERROR(__xludf.DUMMYFUNCTION("""COMPUTED_VALUE"""),"MANUEL")</f>
        <v>MANUEL</v>
      </c>
      <c r="F190" s="107" t="str">
        <f>IFERROR(__xludf.DUMMYFUNCTION("""COMPUTED_VALUE"""),"JOHN MARK")</f>
        <v>JOHN MARK</v>
      </c>
    </row>
    <row r="191">
      <c r="A191" s="131">
        <f>IFERROR(__xludf.DUMMYFUNCTION("""COMPUTED_VALUE"""),190.0)</f>
        <v>190</v>
      </c>
      <c r="B191" s="131"/>
      <c r="C191" s="131">
        <f>IFERROR(__xludf.DUMMYFUNCTION("""COMPUTED_VALUE"""),167.0)</f>
        <v>167</v>
      </c>
      <c r="D191" s="131" t="b">
        <f>IFERROR(__xludf.DUMMYFUNCTION("""COMPUTED_VALUE"""),FALSE)</f>
        <v>0</v>
      </c>
      <c r="E191" s="107" t="str">
        <f>IFERROR(__xludf.DUMMYFUNCTION("""COMPUTED_VALUE"""),"MENDOZA")</f>
        <v>MENDOZA</v>
      </c>
      <c r="F191" s="107" t="str">
        <f>IFERROR(__xludf.DUMMYFUNCTION("""COMPUTED_VALUE"""),"JM")</f>
        <v>JM</v>
      </c>
    </row>
    <row r="192">
      <c r="A192" s="131">
        <f>IFERROR(__xludf.DUMMYFUNCTION("""COMPUTED_VALUE"""),191.0)</f>
        <v>191</v>
      </c>
      <c r="B192" s="131"/>
      <c r="C192" s="131">
        <f>IFERROR(__xludf.DUMMYFUNCTION("""COMPUTED_VALUE"""),167.0)</f>
        <v>167</v>
      </c>
      <c r="D192" s="131" t="b">
        <f>IFERROR(__xludf.DUMMYFUNCTION("""COMPUTED_VALUE"""),FALSE)</f>
        <v>0</v>
      </c>
      <c r="E192" s="107" t="str">
        <f>IFERROR(__xludf.DUMMYFUNCTION("""COMPUTED_VALUE"""),"MOLINA")</f>
        <v>MOLINA</v>
      </c>
      <c r="F192" s="107" t="str">
        <f>IFERROR(__xludf.DUMMYFUNCTION("""COMPUTED_VALUE"""),"ADRIAN")</f>
        <v>ADRIAN</v>
      </c>
    </row>
    <row r="193">
      <c r="A193" s="131">
        <f>IFERROR(__xludf.DUMMYFUNCTION("""COMPUTED_VALUE"""),192.0)</f>
        <v>192</v>
      </c>
      <c r="B193" s="131"/>
      <c r="C193" s="131">
        <f>IFERROR(__xludf.DUMMYFUNCTION("""COMPUTED_VALUE"""),167.0)</f>
        <v>167</v>
      </c>
      <c r="D193" s="131" t="b">
        <f>IFERROR(__xludf.DUMMYFUNCTION("""COMPUTED_VALUE"""),FALSE)</f>
        <v>0</v>
      </c>
      <c r="E193" s="107" t="str">
        <f>IFERROR(__xludf.DUMMYFUNCTION("""COMPUTED_VALUE"""),"MONTECER")</f>
        <v>MONTECER</v>
      </c>
      <c r="F193" s="107" t="str">
        <f>IFERROR(__xludf.DUMMYFUNCTION("""COMPUTED_VALUE"""),"RYAN")</f>
        <v>RYAN</v>
      </c>
    </row>
    <row r="194">
      <c r="A194" s="131">
        <f>IFERROR(__xludf.DUMMYFUNCTION("""COMPUTED_VALUE"""),193.0)</f>
        <v>193</v>
      </c>
      <c r="B194" s="131"/>
      <c r="C194" s="131">
        <f>IFERROR(__xludf.DUMMYFUNCTION("""COMPUTED_VALUE"""),167.0)</f>
        <v>167</v>
      </c>
      <c r="D194" s="131" t="b">
        <f>IFERROR(__xludf.DUMMYFUNCTION("""COMPUTED_VALUE"""),FALSE)</f>
        <v>0</v>
      </c>
      <c r="E194" s="107" t="str">
        <f>IFERROR(__xludf.DUMMYFUNCTION("""COMPUTED_VALUE"""),"MOSQUITO")</f>
        <v>MOSQUITO</v>
      </c>
      <c r="F194" s="107" t="str">
        <f>IFERROR(__xludf.DUMMYFUNCTION("""COMPUTED_VALUE"""),"JOHN MARK")</f>
        <v>JOHN MARK</v>
      </c>
    </row>
    <row r="195">
      <c r="A195" s="131">
        <f>IFERROR(__xludf.DUMMYFUNCTION("""COMPUTED_VALUE"""),194.0)</f>
        <v>194</v>
      </c>
      <c r="B195" s="131"/>
      <c r="C195" s="131">
        <f>IFERROR(__xludf.DUMMYFUNCTION("""COMPUTED_VALUE"""),167.0)</f>
        <v>167</v>
      </c>
      <c r="D195" s="131" t="b">
        <f>IFERROR(__xludf.DUMMYFUNCTION("""COMPUTED_VALUE"""),FALSE)</f>
        <v>0</v>
      </c>
      <c r="E195" s="107" t="str">
        <f>IFERROR(__xludf.DUMMYFUNCTION("""COMPUTED_VALUE"""),"PASCUAL")</f>
        <v>PASCUAL</v>
      </c>
      <c r="F195" s="107" t="str">
        <f>IFERROR(__xludf.DUMMYFUNCTION("""COMPUTED_VALUE"""),"KIOSKE")</f>
        <v>KIOSKE</v>
      </c>
    </row>
    <row r="196">
      <c r="A196" s="131">
        <f>IFERROR(__xludf.DUMMYFUNCTION("""COMPUTED_VALUE"""),195.0)</f>
        <v>195</v>
      </c>
      <c r="B196" s="131"/>
      <c r="C196" s="131">
        <f>IFERROR(__xludf.DUMMYFUNCTION("""COMPUTED_VALUE"""),167.0)</f>
        <v>167</v>
      </c>
      <c r="D196" s="131" t="b">
        <f>IFERROR(__xludf.DUMMYFUNCTION("""COMPUTED_VALUE"""),FALSE)</f>
        <v>0</v>
      </c>
      <c r="E196" s="107" t="str">
        <f>IFERROR(__xludf.DUMMYFUNCTION("""COMPUTED_VALUE"""),"PERALTA")</f>
        <v>PERALTA</v>
      </c>
      <c r="F196" s="107" t="str">
        <f>IFERROR(__xludf.DUMMYFUNCTION("""COMPUTED_VALUE"""),"MARION")</f>
        <v>MARION</v>
      </c>
    </row>
    <row r="197">
      <c r="A197" s="131">
        <f>IFERROR(__xludf.DUMMYFUNCTION("""COMPUTED_VALUE"""),196.0)</f>
        <v>196</v>
      </c>
      <c r="B197" s="131"/>
      <c r="C197" s="131">
        <f>IFERROR(__xludf.DUMMYFUNCTION("""COMPUTED_VALUE"""),167.0)</f>
        <v>167</v>
      </c>
      <c r="D197" s="131" t="b">
        <f>IFERROR(__xludf.DUMMYFUNCTION("""COMPUTED_VALUE"""),FALSE)</f>
        <v>0</v>
      </c>
      <c r="E197" s="107" t="str">
        <f>IFERROR(__xludf.DUMMYFUNCTION("""COMPUTED_VALUE"""),"RANOLA")</f>
        <v>RANOLA</v>
      </c>
      <c r="F197" s="107" t="str">
        <f>IFERROR(__xludf.DUMMYFUNCTION("""COMPUTED_VALUE"""),"JOHN GABRIELLE P.")</f>
        <v>JOHN GABRIELLE P.</v>
      </c>
    </row>
    <row r="198">
      <c r="A198" s="131">
        <f>IFERROR(__xludf.DUMMYFUNCTION("""COMPUTED_VALUE"""),197.0)</f>
        <v>197</v>
      </c>
      <c r="B198" s="131"/>
      <c r="C198" s="131">
        <f>IFERROR(__xludf.DUMMYFUNCTION("""COMPUTED_VALUE"""),167.0)</f>
        <v>167</v>
      </c>
      <c r="D198" s="131" t="b">
        <f>IFERROR(__xludf.DUMMYFUNCTION("""COMPUTED_VALUE"""),FALSE)</f>
        <v>0</v>
      </c>
      <c r="E198" s="107" t="str">
        <f>IFERROR(__xludf.DUMMYFUNCTION("""COMPUTED_VALUE"""),"REMOPALOS")</f>
        <v>REMOPALOS</v>
      </c>
      <c r="F198" s="107" t="str">
        <f>IFERROR(__xludf.DUMMYFUNCTION("""COMPUTED_VALUE"""),"ZION")</f>
        <v>ZION</v>
      </c>
    </row>
    <row r="199">
      <c r="A199" s="131">
        <f>IFERROR(__xludf.DUMMYFUNCTION("""COMPUTED_VALUE"""),198.0)</f>
        <v>198</v>
      </c>
      <c r="B199" s="131"/>
      <c r="C199" s="131">
        <f>IFERROR(__xludf.DUMMYFUNCTION("""COMPUTED_VALUE"""),167.0)</f>
        <v>167</v>
      </c>
      <c r="D199" s="131" t="b">
        <f>IFERROR(__xludf.DUMMYFUNCTION("""COMPUTED_VALUE"""),FALSE)</f>
        <v>0</v>
      </c>
      <c r="E199" s="107" t="str">
        <f>IFERROR(__xludf.DUMMYFUNCTION("""COMPUTED_VALUE"""),"ROSAL")</f>
        <v>ROSAL</v>
      </c>
      <c r="F199" s="107" t="str">
        <f>IFERROR(__xludf.DUMMYFUNCTION("""COMPUTED_VALUE"""),"CYRUS JOSEPH")</f>
        <v>CYRUS JOSEPH</v>
      </c>
    </row>
    <row r="200">
      <c r="A200" s="131">
        <f>IFERROR(__xludf.DUMMYFUNCTION("""COMPUTED_VALUE"""),199.0)</f>
        <v>199</v>
      </c>
      <c r="B200" s="131"/>
      <c r="C200" s="131">
        <f>IFERROR(__xludf.DUMMYFUNCTION("""COMPUTED_VALUE"""),167.0)</f>
        <v>167</v>
      </c>
      <c r="D200" s="131" t="b">
        <f>IFERROR(__xludf.DUMMYFUNCTION("""COMPUTED_VALUE"""),FALSE)</f>
        <v>0</v>
      </c>
      <c r="E200" s="107" t="str">
        <f>IFERROR(__xludf.DUMMYFUNCTION("""COMPUTED_VALUE"""),"SAMONTANES")</f>
        <v>SAMONTANES</v>
      </c>
      <c r="F200" s="107" t="str">
        <f>IFERROR(__xludf.DUMMYFUNCTION("""COMPUTED_VALUE"""),"DAVID")</f>
        <v>DAVID</v>
      </c>
    </row>
    <row r="201">
      <c r="A201" s="131">
        <f>IFERROR(__xludf.DUMMYFUNCTION("""COMPUTED_VALUE"""),200.0)</f>
        <v>200</v>
      </c>
      <c r="B201" s="131"/>
      <c r="C201" s="131">
        <f>IFERROR(__xludf.DUMMYFUNCTION("""COMPUTED_VALUE"""),167.0)</f>
        <v>167</v>
      </c>
      <c r="D201" s="131" t="b">
        <f>IFERROR(__xludf.DUMMYFUNCTION("""COMPUTED_VALUE"""),FALSE)</f>
        <v>0</v>
      </c>
      <c r="E201" s="107" t="str">
        <f>IFERROR(__xludf.DUMMYFUNCTION("""COMPUTED_VALUE"""),"SISON")</f>
        <v>SISON</v>
      </c>
      <c r="F201" s="107" t="str">
        <f>IFERROR(__xludf.DUMMYFUNCTION("""COMPUTED_VALUE"""),"RAVEN JAZZ")</f>
        <v>RAVEN JAZZ</v>
      </c>
    </row>
    <row r="202">
      <c r="A202" s="131">
        <f>IFERROR(__xludf.DUMMYFUNCTION("""COMPUTED_VALUE"""),201.0)</f>
        <v>201</v>
      </c>
      <c r="B202" s="131"/>
      <c r="C202" s="131">
        <f>IFERROR(__xludf.DUMMYFUNCTION("""COMPUTED_VALUE"""),167.0)</f>
        <v>167</v>
      </c>
      <c r="D202" s="131" t="b">
        <f>IFERROR(__xludf.DUMMYFUNCTION("""COMPUTED_VALUE"""),FALSE)</f>
        <v>0</v>
      </c>
      <c r="E202" s="107" t="str">
        <f>IFERROR(__xludf.DUMMYFUNCTION("""COMPUTED_VALUE"""),"SOMERA")</f>
        <v>SOMERA</v>
      </c>
      <c r="F202" s="107" t="str">
        <f>IFERROR(__xludf.DUMMYFUNCTION("""COMPUTED_VALUE"""),"MICHAEL")</f>
        <v>MICHAEL</v>
      </c>
    </row>
    <row r="203">
      <c r="A203" s="131">
        <f>IFERROR(__xludf.DUMMYFUNCTION("""COMPUTED_VALUE"""),202.0)</f>
        <v>202</v>
      </c>
      <c r="B203" s="131"/>
      <c r="C203" s="131">
        <f>IFERROR(__xludf.DUMMYFUNCTION("""COMPUTED_VALUE"""),167.0)</f>
        <v>167</v>
      </c>
      <c r="D203" s="131" t="b">
        <f>IFERROR(__xludf.DUMMYFUNCTION("""COMPUTED_VALUE"""),FALSE)</f>
        <v>0</v>
      </c>
      <c r="E203" s="107" t="str">
        <f>IFERROR(__xludf.DUMMYFUNCTION("""COMPUTED_VALUE"""),"TAMIDLES")</f>
        <v>TAMIDLES</v>
      </c>
      <c r="F203" s="107" t="str">
        <f>IFERROR(__xludf.DUMMYFUNCTION("""COMPUTED_VALUE"""),"KARL")</f>
        <v>KARL</v>
      </c>
    </row>
    <row r="204">
      <c r="A204" s="131">
        <f>IFERROR(__xludf.DUMMYFUNCTION("""COMPUTED_VALUE"""),203.0)</f>
        <v>203</v>
      </c>
      <c r="B204" s="131"/>
      <c r="C204" s="131">
        <f>IFERROR(__xludf.DUMMYFUNCTION("""COMPUTED_VALUE"""),167.0)</f>
        <v>167</v>
      </c>
      <c r="D204" s="131" t="b">
        <f>IFERROR(__xludf.DUMMYFUNCTION("""COMPUTED_VALUE"""),FALSE)</f>
        <v>0</v>
      </c>
      <c r="E204" s="107" t="str">
        <f>IFERROR(__xludf.DUMMYFUNCTION("""COMPUTED_VALUE"""),"TAN")</f>
        <v>TAN</v>
      </c>
      <c r="F204" s="107" t="str">
        <f>IFERROR(__xludf.DUMMYFUNCTION("""COMPUTED_VALUE"""),"RAMON")</f>
        <v>RAMON</v>
      </c>
    </row>
    <row r="205">
      <c r="A205" s="131">
        <f>IFERROR(__xludf.DUMMYFUNCTION("""COMPUTED_VALUE"""),204.0)</f>
        <v>204</v>
      </c>
      <c r="B205" s="131"/>
      <c r="C205" s="131">
        <f>IFERROR(__xludf.DUMMYFUNCTION("""COMPUTED_VALUE"""),167.0)</f>
        <v>167</v>
      </c>
      <c r="D205" s="131" t="b">
        <f>IFERROR(__xludf.DUMMYFUNCTION("""COMPUTED_VALUE"""),FALSE)</f>
        <v>0</v>
      </c>
      <c r="E205" s="116" t="str">
        <f>IFERROR(__xludf.DUMMYFUNCTION("""COMPUTED_VALUE"""),"TOLEDO")</f>
        <v>TOLEDO</v>
      </c>
      <c r="F205" s="107" t="str">
        <f>IFERROR(__xludf.DUMMYFUNCTION("""COMPUTED_VALUE"""),"ASZHER")</f>
        <v>ASZHER</v>
      </c>
    </row>
    <row r="206">
      <c r="A206" s="131">
        <f>IFERROR(__xludf.DUMMYFUNCTION("""COMPUTED_VALUE"""),205.0)</f>
        <v>205</v>
      </c>
      <c r="B206" s="131"/>
      <c r="C206" s="131">
        <f>IFERROR(__xludf.DUMMYFUNCTION("""COMPUTED_VALUE"""),167.0)</f>
        <v>167</v>
      </c>
      <c r="D206" s="131" t="b">
        <f>IFERROR(__xludf.DUMMYFUNCTION("""COMPUTED_VALUE"""),FALSE)</f>
        <v>0</v>
      </c>
      <c r="E206" s="107" t="str">
        <f>IFERROR(__xludf.DUMMYFUNCTION("""COMPUTED_VALUE"""),"TAMIDLES")</f>
        <v>TAMIDLES</v>
      </c>
      <c r="F206" s="107" t="str">
        <f>IFERROR(__xludf.DUMMYFUNCTION("""COMPUTED_VALUE"""),"ZHAIRON")</f>
        <v>ZHAIRON</v>
      </c>
    </row>
    <row r="207">
      <c r="A207" s="131">
        <f>IFERROR(__xludf.DUMMYFUNCTION("""COMPUTED_VALUE"""),206.0)</f>
        <v>206</v>
      </c>
      <c r="B207" s="131"/>
      <c r="C207" s="131">
        <f>IFERROR(__xludf.DUMMYFUNCTION("""COMPUTED_VALUE"""),167.0)</f>
        <v>167</v>
      </c>
      <c r="D207" s="131" t="b">
        <f>IFERROR(__xludf.DUMMYFUNCTION("""COMPUTED_VALUE"""),FALSE)</f>
        <v>0</v>
      </c>
      <c r="E207" s="107" t="str">
        <f>IFERROR(__xludf.DUMMYFUNCTION("""COMPUTED_VALUE"""),"VERTUDAZO")</f>
        <v>VERTUDAZO</v>
      </c>
      <c r="F207" s="107" t="str">
        <f>IFERROR(__xludf.DUMMYFUNCTION("""COMPUTED_VALUE"""),"KENNETH")</f>
        <v>KENNETH</v>
      </c>
    </row>
    <row r="208">
      <c r="A208" s="131">
        <f>IFERROR(__xludf.DUMMYFUNCTION("""COMPUTED_VALUE"""),207.0)</f>
        <v>207</v>
      </c>
      <c r="B208" s="131"/>
      <c r="C208" s="131">
        <f>IFERROR(__xludf.DUMMYFUNCTION("""COMPUTED_VALUE"""),167.0)</f>
        <v>167</v>
      </c>
      <c r="D208" s="131" t="b">
        <f>IFERROR(__xludf.DUMMYFUNCTION("""COMPUTED_VALUE"""),FALSE)</f>
        <v>0</v>
      </c>
      <c r="E208" s="107" t="str">
        <f>IFERROR(__xludf.DUMMYFUNCTION("""COMPUTED_VALUE"""),"VILLARUEL")</f>
        <v>VILLARUEL</v>
      </c>
      <c r="F208" s="107" t="str">
        <f>IFERROR(__xludf.DUMMYFUNCTION("""COMPUTED_VALUE"""),"KIAN")</f>
        <v>KIAN</v>
      </c>
    </row>
    <row r="209">
      <c r="A209" s="131">
        <f>IFERROR(__xludf.DUMMYFUNCTION("""COMPUTED_VALUE"""),208.0)</f>
        <v>208</v>
      </c>
      <c r="B209" s="131"/>
      <c r="C209" s="131">
        <f>IFERROR(__xludf.DUMMYFUNCTION("""COMPUTED_VALUE"""),167.0)</f>
        <v>167</v>
      </c>
      <c r="D209" s="131" t="b">
        <f>IFERROR(__xludf.DUMMYFUNCTION("""COMPUTED_VALUE"""),FALSE)</f>
        <v>0</v>
      </c>
      <c r="E209" s="107" t="str">
        <f>IFERROR(__xludf.DUMMYFUNCTION("""COMPUTED_VALUE"""),"VILLARUEL")</f>
        <v>VILLARUEL</v>
      </c>
      <c r="F209" s="107" t="str">
        <f>IFERROR(__xludf.DUMMYFUNCTION("""COMPUTED_VALUE"""),"KYLE")</f>
        <v>KYLE</v>
      </c>
    </row>
    <row r="210">
      <c r="A210" s="131">
        <f>IFERROR(__xludf.DUMMYFUNCTION("""COMPUTED_VALUE"""),209.0)</f>
        <v>209</v>
      </c>
      <c r="B210" s="131"/>
      <c r="C210" s="131">
        <f>IFERROR(__xludf.DUMMYFUNCTION("""COMPUTED_VALUE"""),167.0)</f>
        <v>167</v>
      </c>
      <c r="D210" s="131" t="b">
        <f>IFERROR(__xludf.DUMMYFUNCTION("""COMPUTED_VALUE"""),FALSE)</f>
        <v>0</v>
      </c>
      <c r="E210" s="118" t="str">
        <f>IFERROR(__xludf.DUMMYFUNCTION("""COMPUTED_VALUE"""),"PADLAN")</f>
        <v>PADLAN</v>
      </c>
      <c r="F210" s="107" t="str">
        <f>IFERROR(__xludf.DUMMYFUNCTION("""COMPUTED_VALUE"""),"STEPHEN")</f>
        <v>STEPHEN</v>
      </c>
    </row>
    <row r="211">
      <c r="A211" s="131">
        <f>IFERROR(__xludf.DUMMYFUNCTION("""COMPUTED_VALUE"""),210.0)</f>
        <v>210</v>
      </c>
      <c r="B211" s="131"/>
      <c r="C211" s="131">
        <f>IFERROR(__xludf.DUMMYFUNCTION("""COMPUTED_VALUE"""),167.0)</f>
        <v>167</v>
      </c>
      <c r="D211" s="131" t="b">
        <f>IFERROR(__xludf.DUMMYFUNCTION("""COMPUTED_VALUE"""),FALSE)</f>
        <v>0</v>
      </c>
      <c r="E211" s="118"/>
      <c r="F211" s="107" t="str">
        <f>IFERROR(__xludf.DUMMYFUNCTION("""COMPUTED_VALUE"""),"SIMON")</f>
        <v>SIMON</v>
      </c>
    </row>
    <row r="212">
      <c r="A212" s="131">
        <f>IFERROR(__xludf.DUMMYFUNCTION("""COMPUTED_VALUE"""),211.0)</f>
        <v>211</v>
      </c>
      <c r="B212" s="131"/>
      <c r="C212" s="131">
        <f>IFERROR(__xludf.DUMMYFUNCTION("""COMPUTED_VALUE"""),167.0)</f>
        <v>167</v>
      </c>
      <c r="D212" s="131" t="b">
        <f>IFERROR(__xludf.DUMMYFUNCTION("""COMPUTED_VALUE"""),FALSE)</f>
        <v>0</v>
      </c>
      <c r="E212" s="118"/>
      <c r="F212" s="107" t="str">
        <f>IFERROR(__xludf.DUMMYFUNCTION("""COMPUTED_VALUE"""),"NICO")</f>
        <v>NICO</v>
      </c>
    </row>
    <row r="213">
      <c r="A213" s="131">
        <f>IFERROR(__xludf.DUMMYFUNCTION("""COMPUTED_VALUE"""),212.0)</f>
        <v>212</v>
      </c>
      <c r="B213" s="131"/>
      <c r="C213" s="131">
        <f>IFERROR(__xludf.DUMMYFUNCTION("""COMPUTED_VALUE"""),167.0)</f>
        <v>167</v>
      </c>
      <c r="D213" s="131" t="b">
        <f>IFERROR(__xludf.DUMMYFUNCTION("""COMPUTED_VALUE"""),FALSE)</f>
        <v>0</v>
      </c>
      <c r="E213" s="118"/>
      <c r="F213" s="107" t="str">
        <f>IFERROR(__xludf.DUMMYFUNCTION("""COMPUTED_VALUE"""),"JERVISH")</f>
        <v>JERVISH</v>
      </c>
    </row>
    <row r="214">
      <c r="A214" s="131">
        <f>IFERROR(__xludf.DUMMYFUNCTION("""COMPUTED_VALUE"""),213.0)</f>
        <v>213</v>
      </c>
      <c r="B214" s="131"/>
      <c r="C214" s="131">
        <f>IFERROR(__xludf.DUMMYFUNCTION("""COMPUTED_VALUE"""),23.0)</f>
        <v>23</v>
      </c>
      <c r="D214" s="131" t="b">
        <f>IFERROR(__xludf.DUMMYFUNCTION("""COMPUTED_VALUE"""),TRUE)</f>
        <v>1</v>
      </c>
      <c r="E214" s="119" t="str">
        <f>IFERROR(__xludf.DUMMYFUNCTION("""COMPUTED_VALUE"""),"UDAUNDO")</f>
        <v>UDAUNDO</v>
      </c>
      <c r="F214" s="119" t="str">
        <f>IFERROR(__xludf.DUMMYFUNCTION("""COMPUTED_VALUE"""),"RINOA MAE")</f>
        <v>RINOA MAE</v>
      </c>
      <c r="G214" s="90" t="s">
        <v>4</v>
      </c>
      <c r="H214" s="90" t="s">
        <v>4</v>
      </c>
      <c r="I214" s="90" t="s">
        <v>4</v>
      </c>
      <c r="J214" s="90" t="s">
        <v>4</v>
      </c>
      <c r="L214" s="90" t="b">
        <v>1</v>
      </c>
      <c r="M214" s="90" t="b">
        <v>1</v>
      </c>
      <c r="N214" s="90" t="b">
        <v>1</v>
      </c>
      <c r="O214" s="90" t="b">
        <v>1</v>
      </c>
    </row>
    <row r="215">
      <c r="A215" s="131">
        <f>IFERROR(__xludf.DUMMYFUNCTION("""COMPUTED_VALUE"""),214.0)</f>
        <v>214</v>
      </c>
      <c r="B215" s="131"/>
      <c r="C215" s="131">
        <f>IFERROR(__xludf.DUMMYFUNCTION("""COMPUTED_VALUE"""),23.0)</f>
        <v>23</v>
      </c>
      <c r="D215" s="131" t="b">
        <f>IFERROR(__xludf.DUMMYFUNCTION("""COMPUTED_VALUE"""),FALSE)</f>
        <v>0</v>
      </c>
      <c r="E215" s="107" t="str">
        <f>IFERROR(__xludf.DUMMYFUNCTION("""COMPUTED_VALUE"""),"CASERO")</f>
        <v>CASERO</v>
      </c>
      <c r="F215" s="107" t="str">
        <f>IFERROR(__xludf.DUMMYFUNCTION("""COMPUTED_VALUE"""),"AALIYAH")</f>
        <v>AALIYAH</v>
      </c>
    </row>
    <row r="216">
      <c r="A216" s="131">
        <f>IFERROR(__xludf.DUMMYFUNCTION("""COMPUTED_VALUE"""),215.0)</f>
        <v>215</v>
      </c>
      <c r="B216" s="131"/>
      <c r="C216" s="131">
        <f>IFERROR(__xludf.DUMMYFUNCTION("""COMPUTED_VALUE"""),23.0)</f>
        <v>23</v>
      </c>
      <c r="D216" s="131" t="b">
        <f>IFERROR(__xludf.DUMMYFUNCTION("""COMPUTED_VALUE"""),FALSE)</f>
        <v>0</v>
      </c>
      <c r="E216" s="107" t="str">
        <f>IFERROR(__xludf.DUMMYFUNCTION("""COMPUTED_VALUE"""),"CELASES")</f>
        <v>CELASES</v>
      </c>
      <c r="F216" s="107" t="str">
        <f>IFERROR(__xludf.DUMMYFUNCTION("""COMPUTED_VALUE"""),"SOFIA")</f>
        <v>SOFIA</v>
      </c>
    </row>
    <row r="217">
      <c r="A217" s="131">
        <f>IFERROR(__xludf.DUMMYFUNCTION("""COMPUTED_VALUE"""),216.0)</f>
        <v>216</v>
      </c>
      <c r="B217" s="131"/>
      <c r="C217" s="131">
        <f>IFERROR(__xludf.DUMMYFUNCTION("""COMPUTED_VALUE"""),23.0)</f>
        <v>23</v>
      </c>
      <c r="D217" s="131" t="b">
        <f>IFERROR(__xludf.DUMMYFUNCTION("""COMPUTED_VALUE"""),FALSE)</f>
        <v>0</v>
      </c>
      <c r="E217" s="107" t="str">
        <f>IFERROR(__xludf.DUMMYFUNCTION("""COMPUTED_VALUE"""),"LACONSAY")</f>
        <v>LACONSAY</v>
      </c>
      <c r="F217" s="107" t="str">
        <f>IFERROR(__xludf.DUMMYFUNCTION("""COMPUTED_VALUE"""),"MAIYA")</f>
        <v>MAIYA</v>
      </c>
    </row>
    <row r="218">
      <c r="A218" s="131">
        <f>IFERROR(__xludf.DUMMYFUNCTION("""COMPUTED_VALUE"""),217.0)</f>
        <v>217</v>
      </c>
      <c r="B218" s="131"/>
      <c r="C218" s="131">
        <f>IFERROR(__xludf.DUMMYFUNCTION("""COMPUTED_VALUE"""),23.0)</f>
        <v>23</v>
      </c>
      <c r="D218" s="131" t="b">
        <f>IFERROR(__xludf.DUMMYFUNCTION("""COMPUTED_VALUE"""),FALSE)</f>
        <v>0</v>
      </c>
      <c r="E218" s="107" t="str">
        <f>IFERROR(__xludf.DUMMYFUNCTION("""COMPUTED_VALUE"""),"MADLANGAWA")</f>
        <v>MADLANGAWA</v>
      </c>
      <c r="F218" s="107" t="str">
        <f>IFERROR(__xludf.DUMMYFUNCTION("""COMPUTED_VALUE"""),"INGRID")</f>
        <v>INGRID</v>
      </c>
    </row>
    <row r="219">
      <c r="A219" s="131">
        <f>IFERROR(__xludf.DUMMYFUNCTION("""COMPUTED_VALUE"""),218.0)</f>
        <v>218</v>
      </c>
      <c r="B219" s="131"/>
      <c r="C219" s="131">
        <f>IFERROR(__xludf.DUMMYFUNCTION("""COMPUTED_VALUE"""),23.0)</f>
        <v>23</v>
      </c>
      <c r="D219" s="131" t="b">
        <f>IFERROR(__xludf.DUMMYFUNCTION("""COMPUTED_VALUE"""),FALSE)</f>
        <v>0</v>
      </c>
      <c r="E219" s="107" t="str">
        <f>IFERROR(__xludf.DUMMYFUNCTION("""COMPUTED_VALUE"""),"MALAGOTNOT")</f>
        <v>MALAGOTNOT</v>
      </c>
      <c r="F219" s="107" t="str">
        <f>IFERROR(__xludf.DUMMYFUNCTION("""COMPUTED_VALUE"""),"PHOEBE")</f>
        <v>PHOEBE</v>
      </c>
    </row>
    <row r="220">
      <c r="A220" s="131">
        <f>IFERROR(__xludf.DUMMYFUNCTION("""COMPUTED_VALUE"""),219.0)</f>
        <v>219</v>
      </c>
      <c r="B220" s="131"/>
      <c r="C220" s="131">
        <f>IFERROR(__xludf.DUMMYFUNCTION("""COMPUTED_VALUE"""),23.0)</f>
        <v>23</v>
      </c>
      <c r="D220" s="131" t="b">
        <f>IFERROR(__xludf.DUMMYFUNCTION("""COMPUTED_VALUE"""),FALSE)</f>
        <v>0</v>
      </c>
      <c r="E220" s="107" t="str">
        <f>IFERROR(__xludf.DUMMYFUNCTION("""COMPUTED_VALUE"""),"MALOLOY-ON")</f>
        <v>MALOLOY-ON</v>
      </c>
      <c r="F220" s="107" t="str">
        <f>IFERROR(__xludf.DUMMYFUNCTION("""COMPUTED_VALUE"""),"EUNICE")</f>
        <v>EUNICE</v>
      </c>
    </row>
    <row r="221">
      <c r="A221" s="131">
        <f>IFERROR(__xludf.DUMMYFUNCTION("""COMPUTED_VALUE"""),220.0)</f>
        <v>220</v>
      </c>
      <c r="B221" s="131"/>
      <c r="C221" s="131">
        <f>IFERROR(__xludf.DUMMYFUNCTION("""COMPUTED_VALUE"""),23.0)</f>
        <v>23</v>
      </c>
      <c r="D221" s="131" t="b">
        <f>IFERROR(__xludf.DUMMYFUNCTION("""COMPUTED_VALUE"""),FALSE)</f>
        <v>0</v>
      </c>
      <c r="E221" s="107" t="str">
        <f>IFERROR(__xludf.DUMMYFUNCTION("""COMPUTED_VALUE"""),"OBASAN")</f>
        <v>OBASAN</v>
      </c>
      <c r="F221" s="107" t="str">
        <f>IFERROR(__xludf.DUMMYFUNCTION("""COMPUTED_VALUE"""),"AUDREY")</f>
        <v>AUDREY</v>
      </c>
    </row>
    <row r="222">
      <c r="A222" s="131">
        <f>IFERROR(__xludf.DUMMYFUNCTION("""COMPUTED_VALUE"""),221.0)</f>
        <v>221</v>
      </c>
      <c r="B222" s="131"/>
      <c r="C222" s="131">
        <f>IFERROR(__xludf.DUMMYFUNCTION("""COMPUTED_VALUE"""),23.0)</f>
        <v>23</v>
      </c>
      <c r="D222" s="131" t="b">
        <f>IFERROR(__xludf.DUMMYFUNCTION("""COMPUTED_VALUE"""),FALSE)</f>
        <v>0</v>
      </c>
      <c r="E222" s="107" t="str">
        <f>IFERROR(__xludf.DUMMYFUNCTION("""COMPUTED_VALUE"""),"OBASAN")</f>
        <v>OBASAN</v>
      </c>
      <c r="F222" s="107" t="str">
        <f>IFERROR(__xludf.DUMMYFUNCTION("""COMPUTED_VALUE"""),"ACEZZY")</f>
        <v>ACEZZY</v>
      </c>
    </row>
    <row r="223">
      <c r="A223" s="131">
        <f>IFERROR(__xludf.DUMMYFUNCTION("""COMPUTED_VALUE"""),222.0)</f>
        <v>222</v>
      </c>
      <c r="B223" s="131"/>
      <c r="C223" s="131">
        <f>IFERROR(__xludf.DUMMYFUNCTION("""COMPUTED_VALUE"""),23.0)</f>
        <v>23</v>
      </c>
      <c r="D223" s="131" t="b">
        <f>IFERROR(__xludf.DUMMYFUNCTION("""COMPUTED_VALUE"""),FALSE)</f>
        <v>0</v>
      </c>
      <c r="E223" s="107" t="str">
        <f>IFERROR(__xludf.DUMMYFUNCTION("""COMPUTED_VALUE"""),"OBASAN")</f>
        <v>OBASAN</v>
      </c>
      <c r="F223" s="107" t="str">
        <f>IFERROR(__xludf.DUMMYFUNCTION("""COMPUTED_VALUE"""),"AYESHA")</f>
        <v>AYESHA</v>
      </c>
    </row>
    <row r="224">
      <c r="A224" s="131">
        <f>IFERROR(__xludf.DUMMYFUNCTION("""COMPUTED_VALUE"""),223.0)</f>
        <v>223</v>
      </c>
      <c r="B224" s="131"/>
      <c r="C224" s="131">
        <f>IFERROR(__xludf.DUMMYFUNCTION("""COMPUTED_VALUE"""),23.0)</f>
        <v>23</v>
      </c>
      <c r="D224" s="131" t="b">
        <f>IFERROR(__xludf.DUMMYFUNCTION("""COMPUTED_VALUE"""),FALSE)</f>
        <v>0</v>
      </c>
      <c r="E224" s="107" t="str">
        <f>IFERROR(__xludf.DUMMYFUNCTION("""COMPUTED_VALUE"""),"PACSON")</f>
        <v>PACSON</v>
      </c>
      <c r="F224" s="107" t="str">
        <f>IFERROR(__xludf.DUMMYFUNCTION("""COMPUTED_VALUE"""),"KAYTE")</f>
        <v>KAYTE</v>
      </c>
    </row>
    <row r="225">
      <c r="A225" s="131">
        <f>IFERROR(__xludf.DUMMYFUNCTION("""COMPUTED_VALUE"""),224.0)</f>
        <v>224</v>
      </c>
      <c r="B225" s="131"/>
      <c r="C225" s="131">
        <f>IFERROR(__xludf.DUMMYFUNCTION("""COMPUTED_VALUE"""),23.0)</f>
        <v>23</v>
      </c>
      <c r="D225" s="131" t="b">
        <f>IFERROR(__xludf.DUMMYFUNCTION("""COMPUTED_VALUE"""),FALSE)</f>
        <v>0</v>
      </c>
      <c r="E225" s="107" t="str">
        <f>IFERROR(__xludf.DUMMYFUNCTION("""COMPUTED_VALUE"""),"PACSON")</f>
        <v>PACSON</v>
      </c>
      <c r="F225" s="107" t="str">
        <f>IFERROR(__xludf.DUMMYFUNCTION("""COMPUTED_VALUE"""),"MICAELLA")</f>
        <v>MICAELLA</v>
      </c>
    </row>
    <row r="226">
      <c r="A226" s="131">
        <f>IFERROR(__xludf.DUMMYFUNCTION("""COMPUTED_VALUE"""),225.0)</f>
        <v>225</v>
      </c>
      <c r="B226" s="131"/>
      <c r="C226" s="131">
        <f>IFERROR(__xludf.DUMMYFUNCTION("""COMPUTED_VALUE"""),23.0)</f>
        <v>23</v>
      </c>
      <c r="D226" s="131" t="b">
        <f>IFERROR(__xludf.DUMMYFUNCTION("""COMPUTED_VALUE"""),FALSE)</f>
        <v>0</v>
      </c>
      <c r="E226" s="107" t="str">
        <f>IFERROR(__xludf.DUMMYFUNCTION("""COMPUTED_VALUE"""),"RETAMAR")</f>
        <v>RETAMAR</v>
      </c>
      <c r="F226" s="107" t="str">
        <f>IFERROR(__xludf.DUMMYFUNCTION("""COMPUTED_VALUE"""),"JASMINE")</f>
        <v>JASMINE</v>
      </c>
    </row>
    <row r="227">
      <c r="A227" s="131">
        <f>IFERROR(__xludf.DUMMYFUNCTION("""COMPUTED_VALUE"""),226.0)</f>
        <v>226</v>
      </c>
      <c r="B227" s="131"/>
      <c r="C227" s="131">
        <f>IFERROR(__xludf.DUMMYFUNCTION("""COMPUTED_VALUE"""),23.0)</f>
        <v>23</v>
      </c>
      <c r="D227" s="131" t="b">
        <f>IFERROR(__xludf.DUMMYFUNCTION("""COMPUTED_VALUE"""),FALSE)</f>
        <v>0</v>
      </c>
      <c r="E227" s="107" t="str">
        <f>IFERROR(__xludf.DUMMYFUNCTION("""COMPUTED_VALUE"""),"ROGACION")</f>
        <v>ROGACION</v>
      </c>
      <c r="F227" s="107" t="str">
        <f>IFERROR(__xludf.DUMMYFUNCTION("""COMPUTED_VALUE"""),"LYKA")</f>
        <v>LYKA</v>
      </c>
    </row>
    <row r="228">
      <c r="A228" s="131">
        <f>IFERROR(__xludf.DUMMYFUNCTION("""COMPUTED_VALUE"""),227.0)</f>
        <v>227</v>
      </c>
      <c r="B228" s="131"/>
      <c r="C228" s="131">
        <f>IFERROR(__xludf.DUMMYFUNCTION("""COMPUTED_VALUE"""),23.0)</f>
        <v>23</v>
      </c>
      <c r="D228" s="131" t="b">
        <f>IFERROR(__xludf.DUMMYFUNCTION("""COMPUTED_VALUE"""),FALSE)</f>
        <v>0</v>
      </c>
      <c r="E228" s="107" t="str">
        <f>IFERROR(__xludf.DUMMYFUNCTION("""COMPUTED_VALUE"""),"TINGSON")</f>
        <v>TINGSON</v>
      </c>
      <c r="F228" s="107" t="str">
        <f>IFERROR(__xludf.DUMMYFUNCTION("""COMPUTED_VALUE"""),"JANELLE")</f>
        <v>JANELLE</v>
      </c>
    </row>
    <row r="229">
      <c r="A229" s="131">
        <f>IFERROR(__xludf.DUMMYFUNCTION("""COMPUTED_VALUE"""),228.0)</f>
        <v>228</v>
      </c>
      <c r="B229" s="131"/>
      <c r="C229" s="131">
        <f>IFERROR(__xludf.DUMMYFUNCTION("""COMPUTED_VALUE"""),23.0)</f>
        <v>23</v>
      </c>
      <c r="D229" s="131" t="b">
        <f>IFERROR(__xludf.DUMMYFUNCTION("""COMPUTED_VALUE"""),FALSE)</f>
        <v>0</v>
      </c>
      <c r="E229" s="107" t="str">
        <f>IFERROR(__xludf.DUMMYFUNCTION("""COMPUTED_VALUE"""),"TOLEDO")</f>
        <v>TOLEDO</v>
      </c>
      <c r="F229" s="115" t="str">
        <f>IFERROR(__xludf.DUMMYFUNCTION("""COMPUTED_VALUE"""),"AKIZSAH")</f>
        <v>AKIZSAH</v>
      </c>
      <c r="G229" s="90" t="s">
        <v>4</v>
      </c>
      <c r="I229" s="90" t="s">
        <v>4</v>
      </c>
      <c r="L229" s="90" t="b">
        <v>1</v>
      </c>
      <c r="N229" s="90" t="b">
        <v>1</v>
      </c>
    </row>
    <row r="230">
      <c r="A230" s="131">
        <f>IFERROR(__xludf.DUMMYFUNCTION("""COMPUTED_VALUE"""),229.0)</f>
        <v>229</v>
      </c>
      <c r="B230" s="131"/>
      <c r="C230" s="131">
        <f>IFERROR(__xludf.DUMMYFUNCTION("""COMPUTED_VALUE"""),23.0)</f>
        <v>23</v>
      </c>
      <c r="D230" s="131" t="b">
        <f>IFERROR(__xludf.DUMMYFUNCTION("""COMPUTED_VALUE"""),FALSE)</f>
        <v>0</v>
      </c>
      <c r="E230" s="107" t="str">
        <f>IFERROR(__xludf.DUMMYFUNCTION("""COMPUTED_VALUE"""),"UDAUNDO")</f>
        <v>UDAUNDO</v>
      </c>
      <c r="F230" s="107" t="str">
        <f>IFERROR(__xludf.DUMMYFUNCTION("""COMPUTED_VALUE"""),"ELLA")</f>
        <v>ELLA</v>
      </c>
    </row>
    <row r="231">
      <c r="A231" s="131">
        <f>IFERROR(__xludf.DUMMYFUNCTION("""COMPUTED_VALUE"""),230.0)</f>
        <v>230</v>
      </c>
      <c r="B231" s="131"/>
      <c r="C231" s="131">
        <f>IFERROR(__xludf.DUMMYFUNCTION("""COMPUTED_VALUE"""),1.0)</f>
        <v>1</v>
      </c>
      <c r="D231" s="131" t="b">
        <f>IFERROR(__xludf.DUMMYFUNCTION("""COMPUTED_VALUE"""),FALSE)</f>
        <v>0</v>
      </c>
      <c r="E231" s="131" t="str">
        <f>IFERROR(__xludf.DUMMYFUNCTION("""COMPUTED_VALUE"""),"ROMUALDO")</f>
        <v>ROMUALDO</v>
      </c>
      <c r="F231" s="131" t="str">
        <f>IFERROR(__xludf.DUMMYFUNCTION("""COMPUTED_VALUE"""),"AC")</f>
        <v>AC</v>
      </c>
      <c r="G231" s="90" t="s">
        <v>4</v>
      </c>
      <c r="H231" s="90" t="b">
        <v>0</v>
      </c>
      <c r="I231" s="90" t="b">
        <v>0</v>
      </c>
      <c r="J231" s="90" t="b">
        <v>0</v>
      </c>
      <c r="K231" s="90" t="b">
        <v>0</v>
      </c>
      <c r="L231" s="90" t="b">
        <v>1</v>
      </c>
      <c r="M231" s="90" t="b">
        <v>0</v>
      </c>
      <c r="N231" s="90" t="b">
        <v>0</v>
      </c>
      <c r="O231" s="90" t="b">
        <v>0</v>
      </c>
      <c r="P231" s="90" t="b">
        <v>0</v>
      </c>
    </row>
    <row r="232">
      <c r="A232" s="131">
        <f>IFERROR(__xludf.DUMMYFUNCTION("""COMPUTED_VALUE"""),231.0)</f>
        <v>231</v>
      </c>
      <c r="B232" s="131"/>
      <c r="C232" s="131">
        <f>IFERROR(__xludf.DUMMYFUNCTION("""COMPUTED_VALUE"""),1.0)</f>
        <v>1</v>
      </c>
      <c r="D232" s="131" t="b">
        <f>IFERROR(__xludf.DUMMYFUNCTION("""COMPUTED_VALUE"""),FALSE)</f>
        <v>0</v>
      </c>
      <c r="E232" s="131" t="str">
        <f>IFERROR(__xludf.DUMMYFUNCTION("""COMPUTED_VALUE"""),"SEBASTIAN")</f>
        <v>SEBASTIAN</v>
      </c>
      <c r="F232" s="131" t="str">
        <f>IFERROR(__xludf.DUMMYFUNCTION("""COMPUTED_VALUE"""),"NEHEMIAH")</f>
        <v>NEHEMIAH</v>
      </c>
      <c r="G232" s="90" t="s">
        <v>4</v>
      </c>
      <c r="H232" s="90" t="b">
        <v>0</v>
      </c>
      <c r="I232" s="90" t="b">
        <v>0</v>
      </c>
      <c r="J232" s="90" t="b">
        <v>0</v>
      </c>
      <c r="K232" s="90" t="b">
        <v>0</v>
      </c>
      <c r="L232" s="90" t="b">
        <v>0</v>
      </c>
      <c r="M232" s="90" t="b">
        <v>0</v>
      </c>
      <c r="N232" s="90" t="b">
        <v>0</v>
      </c>
      <c r="O232" s="90" t="b">
        <v>0</v>
      </c>
      <c r="P232" s="90" t="b">
        <v>0</v>
      </c>
    </row>
    <row r="233">
      <c r="A233" s="131">
        <f>IFERROR(__xludf.DUMMYFUNCTION("""COMPUTED_VALUE"""),232.0)</f>
        <v>232</v>
      </c>
      <c r="B233" s="131"/>
      <c r="C233" s="131">
        <f>IFERROR(__xludf.DUMMYFUNCTION("""COMPUTED_VALUE"""),1.0)</f>
        <v>1</v>
      </c>
      <c r="D233" s="131" t="b">
        <f>IFERROR(__xludf.DUMMYFUNCTION("""COMPUTED_VALUE"""),FALSE)</f>
        <v>0</v>
      </c>
      <c r="E233" s="131" t="str">
        <f>IFERROR(__xludf.DUMMYFUNCTION("""COMPUTED_VALUE"""),"GINONGALA")</f>
        <v>GINONGALA</v>
      </c>
      <c r="F233" s="131" t="str">
        <f>IFERROR(__xludf.DUMMYFUNCTION("""COMPUTED_VALUE"""),"HANNAH MAE")</f>
        <v>HANNAH MAE</v>
      </c>
      <c r="G233" s="90" t="s">
        <v>4</v>
      </c>
      <c r="H233" s="90" t="b">
        <v>0</v>
      </c>
      <c r="I233" s="90" t="s">
        <v>4</v>
      </c>
      <c r="J233" s="90" t="s">
        <v>4</v>
      </c>
      <c r="K233" s="90" t="b">
        <v>0</v>
      </c>
      <c r="L233" s="90" t="b">
        <v>0</v>
      </c>
      <c r="M233" s="90" t="b">
        <v>0</v>
      </c>
      <c r="N233" s="90" t="b">
        <v>0</v>
      </c>
      <c r="O233" s="90" t="b">
        <v>0</v>
      </c>
      <c r="P233" s="90" t="b">
        <v>0</v>
      </c>
    </row>
    <row r="234">
      <c r="A234" s="131">
        <f>IFERROR(__xludf.DUMMYFUNCTION("""COMPUTED_VALUE"""),233.0)</f>
        <v>233</v>
      </c>
      <c r="B234" s="131"/>
      <c r="C234" s="131">
        <f>IFERROR(__xludf.DUMMYFUNCTION("""COMPUTED_VALUE"""),76.0)</f>
        <v>76</v>
      </c>
      <c r="D234" s="131" t="b">
        <f>IFERROR(__xludf.DUMMYFUNCTION("""COMPUTED_VALUE"""),FALSE)</f>
        <v>0</v>
      </c>
      <c r="E234" s="131" t="str">
        <f>IFERROR(__xludf.DUMMYFUNCTION("""COMPUTED_VALUE"""),"NIONES")</f>
        <v>NIONES</v>
      </c>
      <c r="F234" s="131" t="str">
        <f>IFERROR(__xludf.DUMMYFUNCTION("""COMPUTED_VALUE"""),"LOUIS")</f>
        <v>LOUIS</v>
      </c>
      <c r="G234" s="90" t="s">
        <v>4</v>
      </c>
      <c r="H234" s="90" t="b">
        <v>0</v>
      </c>
      <c r="I234" s="90" t="b">
        <v>0</v>
      </c>
      <c r="J234" s="90" t="s">
        <v>4</v>
      </c>
      <c r="K234" s="90" t="b">
        <v>0</v>
      </c>
      <c r="L234" s="90" t="b">
        <v>0</v>
      </c>
      <c r="M234" s="90" t="b">
        <v>0</v>
      </c>
      <c r="N234" s="90" t="b">
        <v>0</v>
      </c>
      <c r="O234" s="90" t="b">
        <v>0</v>
      </c>
      <c r="P234" s="90" t="b">
        <v>0</v>
      </c>
      <c r="T234" s="90" t="s">
        <v>557</v>
      </c>
    </row>
    <row r="235">
      <c r="A235" s="131">
        <f>IFERROR(__xludf.DUMMYFUNCTION("""COMPUTED_VALUE"""),234.0)</f>
        <v>234</v>
      </c>
      <c r="B235" s="131"/>
      <c r="C235" s="131">
        <f>IFERROR(__xludf.DUMMYFUNCTION("""COMPUTED_VALUE"""),76.0)</f>
        <v>76</v>
      </c>
      <c r="D235" s="131" t="b">
        <f>IFERROR(__xludf.DUMMYFUNCTION("""COMPUTED_VALUE"""),FALSE)</f>
        <v>0</v>
      </c>
      <c r="E235" s="131" t="str">
        <f>IFERROR(__xludf.DUMMYFUNCTION("""COMPUTED_VALUE"""),"ACA")</f>
        <v>ACA</v>
      </c>
      <c r="F235" s="131" t="str">
        <f>IFERROR(__xludf.DUMMYFUNCTION("""COMPUTED_VALUE"""),"ELIJAH")</f>
        <v>ELIJAH</v>
      </c>
      <c r="G235" s="90" t="s">
        <v>4</v>
      </c>
      <c r="H235" s="90" t="b">
        <v>0</v>
      </c>
      <c r="I235" s="90" t="b">
        <v>0</v>
      </c>
      <c r="J235" s="90" t="b">
        <v>0</v>
      </c>
      <c r="K235" s="90" t="b">
        <v>0</v>
      </c>
      <c r="L235" s="90" t="b">
        <v>0</v>
      </c>
      <c r="M235" s="90" t="b">
        <v>0</v>
      </c>
      <c r="N235" s="90" t="b">
        <v>0</v>
      </c>
      <c r="O235" s="90" t="b">
        <v>0</v>
      </c>
      <c r="P235" s="90" t="b">
        <v>0</v>
      </c>
    </row>
    <row r="236">
      <c r="A236" s="131">
        <f>IFERROR(__xludf.DUMMYFUNCTION("""COMPUTED_VALUE"""),235.0)</f>
        <v>235</v>
      </c>
      <c r="B236" s="131"/>
      <c r="C236" s="131">
        <f>IFERROR(__xludf.DUMMYFUNCTION("""COMPUTED_VALUE"""),120.0)</f>
        <v>120</v>
      </c>
      <c r="D236" s="131" t="b">
        <f>IFERROR(__xludf.DUMMYFUNCTION("""COMPUTED_VALUE"""),FALSE)</f>
        <v>0</v>
      </c>
      <c r="E236" s="131" t="str">
        <f>IFERROR(__xludf.DUMMYFUNCTION("""COMPUTED_VALUE"""),"CERBETO")</f>
        <v>CERBETO</v>
      </c>
      <c r="F236" s="131" t="str">
        <f>IFERROR(__xludf.DUMMYFUNCTION("""COMPUTED_VALUE"""),"AIVANNE")</f>
        <v>AIVANNE</v>
      </c>
      <c r="G236" s="90" t="s">
        <v>4</v>
      </c>
      <c r="H236" s="90" t="b">
        <v>0</v>
      </c>
      <c r="I236" s="90" t="s">
        <v>4</v>
      </c>
      <c r="J236" s="90" t="b">
        <v>0</v>
      </c>
      <c r="K236" s="90" t="b">
        <v>0</v>
      </c>
      <c r="L236" s="90" t="b">
        <v>1</v>
      </c>
      <c r="M236" s="90" t="b">
        <v>0</v>
      </c>
      <c r="N236" s="90" t="b">
        <v>1</v>
      </c>
      <c r="O236" s="90" t="b">
        <v>0</v>
      </c>
      <c r="P236" s="90" t="b">
        <v>0</v>
      </c>
    </row>
    <row r="237">
      <c r="A237" s="131">
        <f>IFERROR(__xludf.DUMMYFUNCTION("""COMPUTED_VALUE"""),236.0)</f>
        <v>236</v>
      </c>
      <c r="B237" s="131"/>
      <c r="C237" s="131">
        <f>IFERROR(__xludf.DUMMYFUNCTION("""COMPUTED_VALUE"""),120.0)</f>
        <v>120</v>
      </c>
      <c r="D237" s="131" t="b">
        <f>IFERROR(__xludf.DUMMYFUNCTION("""COMPUTED_VALUE"""),FALSE)</f>
        <v>0</v>
      </c>
      <c r="E237" s="131" t="str">
        <f>IFERROR(__xludf.DUMMYFUNCTION("""COMPUTED_VALUE"""),"PARAZO")</f>
        <v>PARAZO</v>
      </c>
      <c r="F237" s="131" t="str">
        <f>IFERROR(__xludf.DUMMYFUNCTION("""COMPUTED_VALUE"""),"CJ")</f>
        <v>CJ</v>
      </c>
      <c r="G237" s="90" t="b">
        <v>0</v>
      </c>
      <c r="H237" s="90" t="b">
        <v>0</v>
      </c>
      <c r="I237" s="90" t="s">
        <v>4</v>
      </c>
      <c r="J237" s="90" t="b">
        <v>0</v>
      </c>
      <c r="K237" s="90" t="b">
        <v>0</v>
      </c>
      <c r="L237" s="90" t="b">
        <v>0</v>
      </c>
      <c r="M237" s="90" t="b">
        <v>0</v>
      </c>
      <c r="N237" s="90" t="b">
        <v>0</v>
      </c>
      <c r="O237" s="90" t="b">
        <v>0</v>
      </c>
      <c r="P237" s="90" t="b">
        <v>0</v>
      </c>
    </row>
    <row r="238">
      <c r="A238" s="131">
        <f>IFERROR(__xludf.DUMMYFUNCTION("""COMPUTED_VALUE"""),237.0)</f>
        <v>237</v>
      </c>
      <c r="B238" s="131"/>
      <c r="C238" s="131">
        <f>IFERROR(__xludf.DUMMYFUNCTION("""COMPUTED_VALUE"""),120.0)</f>
        <v>120</v>
      </c>
      <c r="D238" s="131" t="b">
        <f>IFERROR(__xludf.DUMMYFUNCTION("""COMPUTED_VALUE"""),FALSE)</f>
        <v>0</v>
      </c>
      <c r="E238" s="131" t="str">
        <f>IFERROR(__xludf.DUMMYFUNCTION("""COMPUTED_VALUE"""),"AWA-AW")</f>
        <v>AWA-AW</v>
      </c>
      <c r="F238" s="131" t="str">
        <f>IFERROR(__xludf.DUMMYFUNCTION("""COMPUTED_VALUE"""),"CARL")</f>
        <v>CARL</v>
      </c>
      <c r="G238" s="90" t="b">
        <v>0</v>
      </c>
      <c r="H238" s="90" t="b">
        <v>0</v>
      </c>
      <c r="I238" s="90" t="s">
        <v>4</v>
      </c>
      <c r="J238" s="90" t="s">
        <v>4</v>
      </c>
      <c r="K238" s="90" t="b">
        <v>0</v>
      </c>
      <c r="L238" s="90" t="b">
        <v>0</v>
      </c>
      <c r="M238" s="90" t="b">
        <v>0</v>
      </c>
      <c r="N238" s="90" t="b">
        <v>1</v>
      </c>
      <c r="O238" s="90" t="b">
        <v>1</v>
      </c>
      <c r="P238" s="90" t="b">
        <v>0</v>
      </c>
    </row>
    <row r="239">
      <c r="A239" s="131">
        <f>IFERROR(__xludf.DUMMYFUNCTION("""COMPUTED_VALUE"""),238.0)</f>
        <v>238</v>
      </c>
      <c r="B239" s="131"/>
      <c r="C239" s="131">
        <f>IFERROR(__xludf.DUMMYFUNCTION("""COMPUTED_VALUE"""),23.0)</f>
        <v>23</v>
      </c>
      <c r="D239" s="131" t="b">
        <f>IFERROR(__xludf.DUMMYFUNCTION("""COMPUTED_VALUE"""),FALSE)</f>
        <v>0</v>
      </c>
      <c r="E239" s="131" t="str">
        <f>IFERROR(__xludf.DUMMYFUNCTION("""COMPUTED_VALUE"""),"ALAYON")</f>
        <v>ALAYON</v>
      </c>
      <c r="F239" s="131" t="str">
        <f>IFERROR(__xludf.DUMMYFUNCTION("""COMPUTED_VALUE"""),"PATRICIA")</f>
        <v>PATRICIA</v>
      </c>
      <c r="G239" s="90" t="s">
        <v>4</v>
      </c>
      <c r="H239" s="90" t="s">
        <v>4</v>
      </c>
      <c r="I239" s="90" t="s">
        <v>4</v>
      </c>
      <c r="J239" s="90" t="s">
        <v>4</v>
      </c>
      <c r="K239" s="90" t="b">
        <v>0</v>
      </c>
      <c r="L239" s="90" t="b">
        <v>1</v>
      </c>
      <c r="M239" s="90" t="b">
        <v>1</v>
      </c>
      <c r="N239" s="90" t="b">
        <v>1</v>
      </c>
      <c r="O239" s="90" t="b">
        <v>0</v>
      </c>
      <c r="P239" s="90" t="b">
        <v>0</v>
      </c>
    </row>
    <row r="240">
      <c r="A240" s="131">
        <f>IFERROR(__xludf.DUMMYFUNCTION("""COMPUTED_VALUE"""),239.0)</f>
        <v>239</v>
      </c>
      <c r="B240" s="131"/>
      <c r="C240" s="131">
        <f>IFERROR(__xludf.DUMMYFUNCTION("""COMPUTED_VALUE"""),23.0)</f>
        <v>23</v>
      </c>
      <c r="D240" s="131" t="b">
        <f>IFERROR(__xludf.DUMMYFUNCTION("""COMPUTED_VALUE"""),FALSE)</f>
        <v>0</v>
      </c>
      <c r="E240" s="131" t="str">
        <f>IFERROR(__xludf.DUMMYFUNCTION("""COMPUTED_VALUE"""),"UDAUNDO")</f>
        <v>UDAUNDO</v>
      </c>
      <c r="F240" s="131" t="str">
        <f>IFERROR(__xludf.DUMMYFUNCTION("""COMPUTED_VALUE"""),"MICA ELLA")</f>
        <v>MICA ELLA</v>
      </c>
      <c r="G240" s="90" t="s">
        <v>4</v>
      </c>
      <c r="H240" s="90" t="s">
        <v>4</v>
      </c>
      <c r="I240" s="90" t="s">
        <v>4</v>
      </c>
      <c r="J240" s="90" t="s">
        <v>4</v>
      </c>
      <c r="K240" s="90" t="b">
        <v>0</v>
      </c>
      <c r="L240" s="90" t="b">
        <v>1</v>
      </c>
      <c r="M240" s="90" t="b">
        <v>1</v>
      </c>
      <c r="N240" s="90" t="b">
        <v>1</v>
      </c>
      <c r="O240" s="90" t="b">
        <v>1</v>
      </c>
      <c r="P240" s="90" t="b">
        <v>0</v>
      </c>
    </row>
    <row r="241">
      <c r="A241" s="131">
        <f>IFERROR(__xludf.DUMMYFUNCTION("""COMPUTED_VALUE"""),240.0)</f>
        <v>240</v>
      </c>
      <c r="B241" s="131"/>
      <c r="C241" s="131">
        <f>IFERROR(__xludf.DUMMYFUNCTION("""COMPUTED_VALUE"""),23.0)</f>
        <v>23</v>
      </c>
      <c r="D241" s="131" t="b">
        <f>IFERROR(__xludf.DUMMYFUNCTION("""COMPUTED_VALUE"""),FALSE)</f>
        <v>0</v>
      </c>
      <c r="E241" s="131" t="str">
        <f>IFERROR(__xludf.DUMMYFUNCTION("""COMPUTED_VALUE"""),"CALUBIRAN")</f>
        <v>CALUBIRAN</v>
      </c>
      <c r="F241" s="131" t="str">
        <f>IFERROR(__xludf.DUMMYFUNCTION("""COMPUTED_VALUE"""),"JACKIELYN")</f>
        <v>JACKIELYN</v>
      </c>
      <c r="G241" s="90" t="b">
        <v>0</v>
      </c>
      <c r="H241" s="90" t="s">
        <v>4</v>
      </c>
      <c r="I241" s="90" t="s">
        <v>4</v>
      </c>
      <c r="J241" s="90" t="s">
        <v>4</v>
      </c>
      <c r="K241" s="90" t="b">
        <v>0</v>
      </c>
      <c r="L241" s="90" t="b">
        <v>0</v>
      </c>
      <c r="M241" s="90" t="b">
        <v>1</v>
      </c>
      <c r="N241" s="90" t="b">
        <v>1</v>
      </c>
      <c r="O241" s="90" t="b">
        <v>0</v>
      </c>
      <c r="P241" s="90" t="b">
        <v>0</v>
      </c>
    </row>
    <row r="242">
      <c r="A242" s="131">
        <f>IFERROR(__xludf.DUMMYFUNCTION("""COMPUTED_VALUE"""),241.0)</f>
        <v>241</v>
      </c>
      <c r="B242" s="131"/>
      <c r="C242" s="131">
        <f>IFERROR(__xludf.DUMMYFUNCTION("""COMPUTED_VALUE"""),23.0)</f>
        <v>23</v>
      </c>
      <c r="D242" s="131" t="b">
        <f>IFERROR(__xludf.DUMMYFUNCTION("""COMPUTED_VALUE"""),FALSE)</f>
        <v>0</v>
      </c>
      <c r="E242" s="131" t="str">
        <f>IFERROR(__xludf.DUMMYFUNCTION("""COMPUTED_VALUE"""),"MATAMIS")</f>
        <v>MATAMIS</v>
      </c>
      <c r="F242" s="131" t="str">
        <f>IFERROR(__xludf.DUMMYFUNCTION("""COMPUTED_VALUE"""),"JEAH G.")</f>
        <v>JEAH G.</v>
      </c>
      <c r="G242" s="90" t="b">
        <v>0</v>
      </c>
      <c r="H242" s="90" t="b">
        <v>0</v>
      </c>
      <c r="I242" s="90" t="b">
        <v>0</v>
      </c>
      <c r="J242" s="90" t="s">
        <v>4</v>
      </c>
      <c r="K242" s="90" t="b">
        <v>0</v>
      </c>
      <c r="L242" s="90" t="b">
        <v>0</v>
      </c>
      <c r="M242" s="90" t="b">
        <v>0</v>
      </c>
      <c r="N242" s="90" t="b">
        <v>0</v>
      </c>
      <c r="O242" s="90" t="b">
        <v>1</v>
      </c>
      <c r="P242" s="90" t="b">
        <v>0</v>
      </c>
    </row>
    <row r="243">
      <c r="A243" s="131">
        <f>IFERROR(__xludf.DUMMYFUNCTION("""COMPUTED_VALUE"""),242.0)</f>
        <v>242</v>
      </c>
      <c r="B243" s="131"/>
      <c r="C243" s="131">
        <f>IFERROR(__xludf.DUMMYFUNCTION("""COMPUTED_VALUE"""),23.0)</f>
        <v>23</v>
      </c>
      <c r="D243" s="131" t="b">
        <f>IFERROR(__xludf.DUMMYFUNCTION("""COMPUTED_VALUE"""),FALSE)</f>
        <v>0</v>
      </c>
      <c r="E243" s="131" t="str">
        <f>IFERROR(__xludf.DUMMYFUNCTION("""COMPUTED_VALUE"""),"MATAMIS")</f>
        <v>MATAMIS</v>
      </c>
      <c r="F243" s="131" t="str">
        <f>IFERROR(__xludf.DUMMYFUNCTION("""COMPUTED_VALUE"""),"JANELA")</f>
        <v>JANELA</v>
      </c>
      <c r="G243" s="90" t="b">
        <v>0</v>
      </c>
      <c r="H243" s="90" t="b">
        <v>0</v>
      </c>
      <c r="I243" s="90" t="b">
        <v>0</v>
      </c>
      <c r="J243" s="90" t="s">
        <v>4</v>
      </c>
      <c r="K243" s="90" t="b">
        <v>0</v>
      </c>
      <c r="L243" s="90" t="b">
        <v>0</v>
      </c>
      <c r="M243" s="90" t="b">
        <v>0</v>
      </c>
      <c r="N243" s="90" t="b">
        <v>0</v>
      </c>
      <c r="O243" s="90" t="b">
        <v>1</v>
      </c>
      <c r="P243" s="90" t="b">
        <v>0</v>
      </c>
    </row>
    <row r="244">
      <c r="A244" s="131">
        <f>IFERROR(__xludf.DUMMYFUNCTION("""COMPUTED_VALUE"""),243.0)</f>
        <v>243</v>
      </c>
      <c r="B244" s="131"/>
      <c r="C244" s="131">
        <f>IFERROR(__xludf.DUMMYFUNCTION("""COMPUTED_VALUE"""),23.0)</f>
        <v>23</v>
      </c>
      <c r="D244" s="131" t="b">
        <f>IFERROR(__xludf.DUMMYFUNCTION("""COMPUTED_VALUE"""),FALSE)</f>
        <v>0</v>
      </c>
      <c r="E244" s="131" t="str">
        <f>IFERROR(__xludf.DUMMYFUNCTION("""COMPUTED_VALUE"""),"GALANG")</f>
        <v>GALANG</v>
      </c>
      <c r="F244" s="131" t="str">
        <f>IFERROR(__xludf.DUMMYFUNCTION("""COMPUTED_VALUE"""),"MAGGA")</f>
        <v>MAGGA</v>
      </c>
      <c r="G244" s="90" t="b">
        <v>0</v>
      </c>
      <c r="H244" s="90" t="b">
        <v>0</v>
      </c>
      <c r="I244" s="90" t="b">
        <v>0</v>
      </c>
      <c r="J244" s="90" t="s">
        <v>4</v>
      </c>
      <c r="K244" s="90" t="b">
        <v>0</v>
      </c>
      <c r="L244" s="90" t="b">
        <v>0</v>
      </c>
      <c r="M244" s="90" t="b">
        <v>0</v>
      </c>
      <c r="N244" s="90" t="b">
        <v>0</v>
      </c>
      <c r="O244" s="90" t="b">
        <v>1</v>
      </c>
      <c r="P244" s="90" t="b">
        <v>0</v>
      </c>
    </row>
    <row r="245">
      <c r="A245" s="131">
        <f>IFERROR(__xludf.DUMMYFUNCTION("""COMPUTED_VALUE"""),244.0)</f>
        <v>244</v>
      </c>
      <c r="B245" s="131"/>
      <c r="C245" s="131">
        <f>IFERROR(__xludf.DUMMYFUNCTION("""COMPUTED_VALUE"""),244.0)</f>
        <v>244</v>
      </c>
      <c r="D245" s="131" t="b">
        <f>IFERROR(__xludf.DUMMYFUNCTION("""COMPUTED_VALUE"""),TRUE)</f>
        <v>1</v>
      </c>
      <c r="E245" s="131" t="str">
        <f>IFERROR(__xludf.DUMMYFUNCTION("""COMPUTED_VALUE"""),"ORQUIA")</f>
        <v>ORQUIA</v>
      </c>
      <c r="F245" s="131" t="str">
        <f>IFERROR(__xludf.DUMMYFUNCTION("""COMPUTED_VALUE"""),"HANNA ")</f>
        <v>HANNA </v>
      </c>
      <c r="G245" s="90" t="s">
        <v>4</v>
      </c>
      <c r="L245" s="90" t="b">
        <v>1</v>
      </c>
    </row>
    <row r="246">
      <c r="A246" s="131">
        <f>IFERROR(__xludf.DUMMYFUNCTION("""COMPUTED_VALUE"""),245.0)</f>
        <v>245</v>
      </c>
      <c r="B246" s="131"/>
      <c r="C246" s="131">
        <f>IFERROR(__xludf.DUMMYFUNCTION("""COMPUTED_VALUE"""),244.0)</f>
        <v>244</v>
      </c>
      <c r="D246" s="131" t="b">
        <f>IFERROR(__xludf.DUMMYFUNCTION("""COMPUTED_VALUE"""),FALSE)</f>
        <v>0</v>
      </c>
      <c r="E246" s="131" t="str">
        <f>IFERROR(__xludf.DUMMYFUNCTION("""COMPUTED_VALUE"""),"DEL ROSARIO")</f>
        <v>DEL ROSARIO</v>
      </c>
      <c r="F246" s="131" t="str">
        <f>IFERROR(__xludf.DUMMYFUNCTION("""COMPUTED_VALUE"""),"GRACE")</f>
        <v>GRACE</v>
      </c>
      <c r="G246" s="90" t="s">
        <v>4</v>
      </c>
      <c r="H246" s="90" t="b">
        <v>0</v>
      </c>
      <c r="I246" s="90" t="b">
        <v>0</v>
      </c>
      <c r="J246" s="90" t="b">
        <v>0</v>
      </c>
      <c r="K246" s="90" t="b">
        <v>0</v>
      </c>
      <c r="L246" s="90" t="b">
        <v>1</v>
      </c>
      <c r="M246" s="90" t="b">
        <v>0</v>
      </c>
      <c r="N246" s="90" t="b">
        <v>0</v>
      </c>
      <c r="O246" s="90" t="b">
        <v>0</v>
      </c>
      <c r="P246" s="90" t="b">
        <v>0</v>
      </c>
    </row>
    <row r="247">
      <c r="A247" s="131">
        <f>IFERROR(__xludf.DUMMYFUNCTION("""COMPUTED_VALUE"""),246.0)</f>
        <v>246</v>
      </c>
      <c r="B247" s="131"/>
      <c r="C247" s="131">
        <f>IFERROR(__xludf.DUMMYFUNCTION("""COMPUTED_VALUE"""),244.0)</f>
        <v>244</v>
      </c>
      <c r="D247" s="131" t="b">
        <f>IFERROR(__xludf.DUMMYFUNCTION("""COMPUTED_VALUE"""),FALSE)</f>
        <v>0</v>
      </c>
      <c r="E247" s="131" t="str">
        <f>IFERROR(__xludf.DUMMYFUNCTION("""COMPUTED_VALUE"""),"CODILLA")</f>
        <v>CODILLA</v>
      </c>
      <c r="F247" s="131" t="str">
        <f>IFERROR(__xludf.DUMMYFUNCTION("""COMPUTED_VALUE"""),"JANNA")</f>
        <v>JANNA</v>
      </c>
      <c r="G247" s="90" t="s">
        <v>4</v>
      </c>
      <c r="H247" s="90" t="b">
        <v>0</v>
      </c>
      <c r="I247" s="90" t="b">
        <v>0</v>
      </c>
      <c r="J247" s="90" t="b">
        <v>0</v>
      </c>
      <c r="K247" s="90" t="b">
        <v>0</v>
      </c>
      <c r="L247" s="90" t="b">
        <v>1</v>
      </c>
      <c r="M247" s="90" t="b">
        <v>0</v>
      </c>
      <c r="N247" s="90" t="b">
        <v>0</v>
      </c>
      <c r="O247" s="90" t="b">
        <v>0</v>
      </c>
      <c r="P247" s="90" t="b">
        <v>0</v>
      </c>
    </row>
    <row r="248">
      <c r="A248" s="131">
        <f>IFERROR(__xludf.DUMMYFUNCTION("""COMPUTED_VALUE"""),247.0)</f>
        <v>247</v>
      </c>
      <c r="B248" s="131"/>
      <c r="C248" s="131">
        <f>IFERROR(__xludf.DUMMYFUNCTION("""COMPUTED_VALUE"""),244.0)</f>
        <v>244</v>
      </c>
      <c r="D248" s="131" t="b">
        <f>IFERROR(__xludf.DUMMYFUNCTION("""COMPUTED_VALUE"""),FALSE)</f>
        <v>0</v>
      </c>
      <c r="E248" s="131" t="str">
        <f>IFERROR(__xludf.DUMMYFUNCTION("""COMPUTED_VALUE"""),"WALATH")</f>
        <v>WALATH</v>
      </c>
      <c r="F248" s="131" t="str">
        <f>IFERROR(__xludf.DUMMYFUNCTION("""COMPUTED_VALUE"""),"AILEEN")</f>
        <v>AILEEN</v>
      </c>
      <c r="G248" s="90" t="s">
        <v>6</v>
      </c>
      <c r="H248" s="90" t="b">
        <v>0</v>
      </c>
      <c r="I248" s="90" t="b">
        <v>0</v>
      </c>
      <c r="J248" s="90" t="b">
        <v>0</v>
      </c>
      <c r="K248" s="90" t="b">
        <v>0</v>
      </c>
      <c r="L248" s="90" t="b">
        <v>1</v>
      </c>
      <c r="M248" s="90" t="b">
        <v>0</v>
      </c>
      <c r="N248" s="90" t="b">
        <v>0</v>
      </c>
      <c r="O248" s="90" t="b">
        <v>0</v>
      </c>
      <c r="P248" s="90" t="b">
        <v>0</v>
      </c>
    </row>
    <row r="249">
      <c r="A249" s="131">
        <f>IFERROR(__xludf.DUMMYFUNCTION("""COMPUTED_VALUE"""),248.0)</f>
        <v>248</v>
      </c>
      <c r="B249" s="131"/>
      <c r="C249" s="131">
        <f>IFERROR(__xludf.DUMMYFUNCTION("""COMPUTED_VALUE"""),244.0)</f>
        <v>244</v>
      </c>
      <c r="D249" s="131" t="b">
        <f>IFERROR(__xludf.DUMMYFUNCTION("""COMPUTED_VALUE"""),FALSE)</f>
        <v>0</v>
      </c>
      <c r="E249" s="131" t="str">
        <f>IFERROR(__xludf.DUMMYFUNCTION("""COMPUTED_VALUE"""),"FULLON")</f>
        <v>FULLON</v>
      </c>
      <c r="F249" s="131" t="str">
        <f>IFERROR(__xludf.DUMMYFUNCTION("""COMPUTED_VALUE"""),"SARAH")</f>
        <v>SARAH</v>
      </c>
      <c r="G249" s="90" t="s">
        <v>4</v>
      </c>
      <c r="H249" s="90" t="b">
        <v>0</v>
      </c>
      <c r="I249" s="90" t="b">
        <v>0</v>
      </c>
      <c r="J249" s="90" t="b">
        <v>0</v>
      </c>
      <c r="K249" s="90" t="b">
        <v>0</v>
      </c>
      <c r="L249" s="90" t="b">
        <v>0</v>
      </c>
      <c r="M249" s="90" t="b">
        <v>0</v>
      </c>
      <c r="N249" s="90" t="b">
        <v>0</v>
      </c>
      <c r="O249" s="90" t="b">
        <v>0</v>
      </c>
      <c r="P249" s="90" t="b">
        <v>0</v>
      </c>
    </row>
    <row r="250">
      <c r="A250" s="131">
        <f>IFERROR(__xludf.DUMMYFUNCTION("""COMPUTED_VALUE"""),249.0)</f>
        <v>249</v>
      </c>
      <c r="B250" s="131"/>
      <c r="C250" s="131">
        <f>IFERROR(__xludf.DUMMYFUNCTION("""COMPUTED_VALUE"""),244.0)</f>
        <v>244</v>
      </c>
      <c r="D250" s="131" t="b">
        <f>IFERROR(__xludf.DUMMYFUNCTION("""COMPUTED_VALUE"""),FALSE)</f>
        <v>0</v>
      </c>
      <c r="E250" s="131" t="str">
        <f>IFERROR(__xludf.DUMMYFUNCTION("""COMPUTED_VALUE"""),"MONTERDE")</f>
        <v>MONTERDE</v>
      </c>
      <c r="F250" s="131" t="str">
        <f>IFERROR(__xludf.DUMMYFUNCTION("""COMPUTED_VALUE"""),"BELLE")</f>
        <v>BELLE</v>
      </c>
      <c r="G250" s="90" t="s">
        <v>4</v>
      </c>
      <c r="H250" s="90" t="b">
        <v>0</v>
      </c>
      <c r="I250" s="90" t="b">
        <v>0</v>
      </c>
      <c r="J250" s="90" t="b">
        <v>0</v>
      </c>
      <c r="K250" s="90" t="b">
        <v>0</v>
      </c>
      <c r="L250" s="90" t="b">
        <v>0</v>
      </c>
      <c r="M250" s="90" t="b">
        <v>0</v>
      </c>
      <c r="N250" s="90" t="b">
        <v>0</v>
      </c>
      <c r="O250" s="90" t="b">
        <v>0</v>
      </c>
      <c r="P250" s="90" t="b">
        <v>0</v>
      </c>
      <c r="Q250" s="90" t="s">
        <v>557</v>
      </c>
    </row>
    <row r="251">
      <c r="A251" s="131">
        <f>IFERROR(__xludf.DUMMYFUNCTION("""COMPUTED_VALUE"""),250.0)</f>
        <v>250</v>
      </c>
      <c r="B251" s="131"/>
      <c r="C251" s="131">
        <f>IFERROR(__xludf.DUMMYFUNCTION("""COMPUTED_VALUE"""),167.0)</f>
        <v>167</v>
      </c>
      <c r="D251" s="131"/>
      <c r="E251" s="131" t="str">
        <f>IFERROR(__xludf.DUMMYFUNCTION("""COMPUTED_VALUE"""),"RAUSO")</f>
        <v>RAUSO</v>
      </c>
      <c r="F251" s="131" t="str">
        <f>IFERROR(__xludf.DUMMYFUNCTION("""COMPUTED_VALUE"""),"STEVE")</f>
        <v>STEVE</v>
      </c>
    </row>
    <row r="252">
      <c r="A252" s="131">
        <f>IFERROR(__xludf.DUMMYFUNCTION("""COMPUTED_VALUE"""),251.0)</f>
        <v>251</v>
      </c>
      <c r="B252" s="131"/>
      <c r="C252" s="131">
        <f>IFERROR(__xludf.DUMMYFUNCTION("""COMPUTED_VALUE"""),167.0)</f>
        <v>167</v>
      </c>
      <c r="D252" s="131" t="b">
        <f>IFERROR(__xludf.DUMMYFUNCTION("""COMPUTED_VALUE"""),FALSE)</f>
        <v>0</v>
      </c>
      <c r="E252" s="131" t="str">
        <f>IFERROR(__xludf.DUMMYFUNCTION("""COMPUTED_VALUE"""),"LIBRES")</f>
        <v>LIBRES</v>
      </c>
      <c r="F252" s="131" t="str">
        <f>IFERROR(__xludf.DUMMYFUNCTION("""COMPUTED_VALUE"""),"GABRIEL")</f>
        <v>GABRIEL</v>
      </c>
    </row>
    <row r="253">
      <c r="A253" s="131">
        <f>IFERROR(__xludf.DUMMYFUNCTION("""COMPUTED_VALUE"""),252.0)</f>
        <v>252</v>
      </c>
      <c r="B253" s="131"/>
      <c r="C253" s="131">
        <f>IFERROR(__xludf.DUMMYFUNCTION("""COMPUTED_VALUE"""),167.0)</f>
        <v>167</v>
      </c>
      <c r="D253" s="131" t="b">
        <f>IFERROR(__xludf.DUMMYFUNCTION("""COMPUTED_VALUE"""),FALSE)</f>
        <v>0</v>
      </c>
      <c r="E253" s="131" t="str">
        <f>IFERROR(__xludf.DUMMYFUNCTION("""COMPUTED_VALUE"""),"PARONGAN")</f>
        <v>PARONGAN</v>
      </c>
      <c r="F253" s="131" t="str">
        <f>IFERROR(__xludf.DUMMYFUNCTION("""COMPUTED_VALUE"""),"KIAN")</f>
        <v>KIAN</v>
      </c>
    </row>
    <row r="254">
      <c r="A254" s="131">
        <f>IFERROR(__xludf.DUMMYFUNCTION("""COMPUTED_VALUE"""),253.0)</f>
        <v>253</v>
      </c>
      <c r="B254" s="131"/>
      <c r="C254" s="131">
        <f>IFERROR(__xludf.DUMMYFUNCTION("""COMPUTED_VALUE"""),167.0)</f>
        <v>167</v>
      </c>
      <c r="D254" s="131" t="b">
        <f>IFERROR(__xludf.DUMMYFUNCTION("""COMPUTED_VALUE"""),FALSE)</f>
        <v>0</v>
      </c>
      <c r="E254" s="131" t="str">
        <f>IFERROR(__xludf.DUMMYFUNCTION("""COMPUTED_VALUE"""),"RACCA")</f>
        <v>RACCA</v>
      </c>
      <c r="F254" s="131" t="str">
        <f>IFERROR(__xludf.DUMMYFUNCTION("""COMPUTED_VALUE"""),"GRANT EL")</f>
        <v>GRANT EL</v>
      </c>
    </row>
    <row r="255">
      <c r="A255" s="131">
        <f>IFERROR(__xludf.DUMMYFUNCTION("""COMPUTED_VALUE"""),254.0)</f>
        <v>254</v>
      </c>
      <c r="B255" s="131"/>
      <c r="C255" s="131">
        <f>IFERROR(__xludf.DUMMYFUNCTION("""COMPUTED_VALUE"""),23.0)</f>
        <v>23</v>
      </c>
      <c r="D255" s="131" t="b">
        <f>IFERROR(__xludf.DUMMYFUNCTION("""COMPUTED_VALUE"""),FALSE)</f>
        <v>0</v>
      </c>
      <c r="E255" s="131" t="str">
        <f>IFERROR(__xludf.DUMMYFUNCTION("""COMPUTED_VALUE"""),"MATAMIS")</f>
        <v>MATAMIS</v>
      </c>
      <c r="F255" s="131" t="str">
        <f>IFERROR(__xludf.DUMMYFUNCTION("""COMPUTED_VALUE"""),"SEYVEL")</f>
        <v>SEYVEL</v>
      </c>
    </row>
    <row r="256">
      <c r="A256" s="131">
        <f>IFERROR(__xludf.DUMMYFUNCTION("""COMPUTED_VALUE"""),257.0)</f>
        <v>257</v>
      </c>
      <c r="B256" s="131"/>
      <c r="C256" s="131">
        <f>IFERROR(__xludf.DUMMYFUNCTION("""COMPUTED_VALUE"""),23.0)</f>
        <v>23</v>
      </c>
      <c r="D256" s="131" t="b">
        <f>IFERROR(__xludf.DUMMYFUNCTION("""COMPUTED_VALUE"""),FALSE)</f>
        <v>0</v>
      </c>
      <c r="E256" s="131" t="str">
        <f>IFERROR(__xludf.DUMMYFUNCTION("""COMPUTED_VALUE"""),"PARCAREY")</f>
        <v>PARCAREY</v>
      </c>
      <c r="F256" s="131" t="str">
        <f>IFERROR(__xludf.DUMMYFUNCTION("""COMPUTED_VALUE"""),"MARZETTI")</f>
        <v>MARZETTI</v>
      </c>
    </row>
    <row r="257">
      <c r="A257" s="131">
        <f>IFERROR(__xludf.DUMMYFUNCTION("""COMPUTED_VALUE"""),256.0)</f>
        <v>256</v>
      </c>
      <c r="B257" s="131"/>
      <c r="C257" s="131">
        <f>IFERROR(__xludf.DUMMYFUNCTION("""COMPUTED_VALUE"""),23.0)</f>
        <v>23</v>
      </c>
      <c r="D257" s="131" t="b">
        <f>IFERROR(__xludf.DUMMYFUNCTION("""COMPUTED_VALUE"""),FALSE)</f>
        <v>0</v>
      </c>
      <c r="E257" s="131" t="str">
        <f>IFERROR(__xludf.DUMMYFUNCTION("""COMPUTED_VALUE"""),"AGSALUD")</f>
        <v>AGSALUD</v>
      </c>
      <c r="F257" s="131" t="str">
        <f>IFERROR(__xludf.DUMMYFUNCTION("""COMPUTED_VALUE"""),"ROSE MARIE")</f>
        <v>ROSE MARIE</v>
      </c>
    </row>
    <row r="258">
      <c r="A258" s="131">
        <f>IFERROR(__xludf.DUMMYFUNCTION("""COMPUTED_VALUE"""),259.0)</f>
        <v>259</v>
      </c>
      <c r="B258" s="131"/>
      <c r="C258" s="131">
        <f>IFERROR(__xludf.DUMMYFUNCTION("""COMPUTED_VALUE"""),167.0)</f>
        <v>167</v>
      </c>
      <c r="D258" s="131"/>
      <c r="E258" s="131" t="str">
        <f>IFERROR(__xludf.DUMMYFUNCTION("""COMPUTED_VALUE"""),"Gelicame")</f>
        <v>Gelicame</v>
      </c>
      <c r="F258" s="131" t="str">
        <f>IFERROR(__xludf.DUMMYFUNCTION("""COMPUTED_VALUE"""),"Aljun")</f>
        <v>Aljun</v>
      </c>
    </row>
    <row r="259">
      <c r="A259" s="131">
        <f>IFERROR(__xludf.DUMMYFUNCTION("""COMPUTED_VALUE"""),260.0)</f>
        <v>260</v>
      </c>
      <c r="B259" s="131"/>
      <c r="C259" s="131">
        <f>IFERROR(__xludf.DUMMYFUNCTION("""COMPUTED_VALUE"""),167.0)</f>
        <v>167</v>
      </c>
      <c r="D259" s="131"/>
      <c r="E259" s="131" t="str">
        <f>IFERROR(__xludf.DUMMYFUNCTION("""COMPUTED_VALUE"""),"Valera")</f>
        <v>Valera</v>
      </c>
      <c r="F259" s="131" t="str">
        <f>IFERROR(__xludf.DUMMYFUNCTION("""COMPUTED_VALUE"""),"Edward Luis")</f>
        <v>Edward Luis</v>
      </c>
    </row>
    <row r="260">
      <c r="A260" s="131">
        <f>IFERROR(__xludf.DUMMYFUNCTION("""COMPUTED_VALUE"""),261.0)</f>
        <v>261</v>
      </c>
      <c r="B260" s="131"/>
      <c r="C260" s="131">
        <f>IFERROR(__xludf.DUMMYFUNCTION("""COMPUTED_VALUE"""),23.0)</f>
        <v>23</v>
      </c>
      <c r="D260" s="131"/>
      <c r="E260" s="131" t="str">
        <f>IFERROR(__xludf.DUMMYFUNCTION("""COMPUTED_VALUE"""),"CERBETO")</f>
        <v>CERBETO</v>
      </c>
      <c r="F260" s="131" t="str">
        <f>IFERROR(__xludf.DUMMYFUNCTION("""COMPUTED_VALUE"""),"AIFHA")</f>
        <v>AIFHA</v>
      </c>
    </row>
    <row r="261">
      <c r="A261" s="131">
        <f>IFERROR(__xludf.DUMMYFUNCTION("""COMPUTED_VALUE"""),262.0)</f>
        <v>262</v>
      </c>
      <c r="B261" s="131"/>
      <c r="C261" s="131">
        <f>IFERROR(__xludf.DUMMYFUNCTION("""COMPUTED_VALUE"""),23.0)</f>
        <v>23</v>
      </c>
      <c r="D261" s="131"/>
      <c r="E261" s="131" t="str">
        <f>IFERROR(__xludf.DUMMYFUNCTION("""COMPUTED_VALUE"""),"PARCAREY")</f>
        <v>PARCAREY</v>
      </c>
      <c r="F261" s="131" t="str">
        <f>IFERROR(__xludf.DUMMYFUNCTION("""COMPUTED_VALUE"""),"MARZETTI")</f>
        <v>MARZETTI</v>
      </c>
    </row>
    <row r="262">
      <c r="A262" s="131">
        <f>IFERROR(__xludf.DUMMYFUNCTION("""COMPUTED_VALUE"""),263.0)</f>
        <v>263</v>
      </c>
      <c r="B262" s="131"/>
      <c r="C262" s="131">
        <f>IFERROR(__xludf.DUMMYFUNCTION("""COMPUTED_VALUE"""),1.0)</f>
        <v>1</v>
      </c>
      <c r="D262" s="131"/>
      <c r="E262" s="131" t="str">
        <f>IFERROR(__xludf.DUMMYFUNCTION("""COMPUTED_VALUE"""),"MABAO")</f>
        <v>MABAO</v>
      </c>
      <c r="F262" s="131" t="str">
        <f>IFERROR(__xludf.DUMMYFUNCTION("""COMPUTED_VALUE"""),"ROSELYN")</f>
        <v>ROSELYN</v>
      </c>
    </row>
    <row r="263">
      <c r="A263" s="131">
        <f>IFERROR(__xludf.DUMMYFUNCTION("""COMPUTED_VALUE"""),264.0)</f>
        <v>264</v>
      </c>
      <c r="B263" s="131"/>
      <c r="C263" s="131">
        <f>IFERROR(__xludf.DUMMYFUNCTION("""COMPUTED_VALUE"""),167.0)</f>
        <v>167</v>
      </c>
      <c r="D263" s="131"/>
      <c r="E263" s="131" t="str">
        <f>IFERROR(__xludf.DUMMYFUNCTION("""COMPUTED_VALUE"""),"VALERA")</f>
        <v>VALERA</v>
      </c>
      <c r="F263" s="131" t="str">
        <f>IFERROR(__xludf.DUMMYFUNCTION("""COMPUTED_VALUE"""),"ELY")</f>
        <v>ELY</v>
      </c>
    </row>
    <row r="264">
      <c r="A264" s="131">
        <f>IFERROR(__xludf.DUMMYFUNCTION("""COMPUTED_VALUE"""),265.0)</f>
        <v>265</v>
      </c>
      <c r="B264" s="131"/>
      <c r="C264" s="131">
        <f>IFERROR(__xludf.DUMMYFUNCTION("""COMPUTED_VALUE"""),167.0)</f>
        <v>167</v>
      </c>
      <c r="D264" s="131"/>
      <c r="E264" s="131" t="str">
        <f>IFERROR(__xludf.DUMMYFUNCTION("""COMPUTED_VALUE"""),"RAUSO")</f>
        <v>RAUSO</v>
      </c>
      <c r="F264" s="131" t="str">
        <f>IFERROR(__xludf.DUMMYFUNCTION("""COMPUTED_VALUE"""),"GABRIEL")</f>
        <v>GABRIEL</v>
      </c>
    </row>
    <row r="265">
      <c r="A265" s="131"/>
      <c r="B265" s="131"/>
      <c r="C265" s="131"/>
      <c r="D265" s="131"/>
      <c r="E265" s="131"/>
      <c r="F265" s="131"/>
    </row>
    <row r="266">
      <c r="A266" s="131">
        <f>IFERROR(__xludf.DUMMYFUNCTION("""COMPUTED_VALUE"""),1230.0)</f>
        <v>1230</v>
      </c>
      <c r="B266" s="131"/>
      <c r="C266" s="131">
        <f>IFERROR(__xludf.DUMMYFUNCTION("""COMPUTED_VALUE"""),1230.0)</f>
        <v>1230</v>
      </c>
      <c r="D266" s="131" t="b">
        <f>IFERROR(__xludf.DUMMYFUNCTION("""COMPUTED_VALUE"""),TRUE)</f>
        <v>1</v>
      </c>
      <c r="E266" s="131" t="str">
        <f>IFERROR(__xludf.DUMMYFUNCTION("""COMPUTED_VALUE"""),"CALUALHATIAN")</f>
        <v>CALUALHATIAN</v>
      </c>
      <c r="F266" s="131" t="str">
        <f>IFERROR(__xludf.DUMMYFUNCTION("""COMPUTED_VALUE"""),"DANTE")</f>
        <v>DANTE</v>
      </c>
    </row>
    <row r="267">
      <c r="A267" s="131">
        <f>IFERROR(__xludf.DUMMYFUNCTION("""COMPUTED_VALUE"""),1231.0)</f>
        <v>1231</v>
      </c>
      <c r="B267" s="131"/>
      <c r="C267" s="131">
        <f>IFERROR(__xludf.DUMMYFUNCTION("""COMPUTED_VALUE"""),1230.0)</f>
        <v>1230</v>
      </c>
      <c r="D267" s="131"/>
      <c r="E267" s="131" t="str">
        <f>IFERROR(__xludf.DUMMYFUNCTION("""COMPUTED_VALUE"""),"A.")</f>
        <v>A.</v>
      </c>
      <c r="F267" s="131" t="str">
        <f>IFERROR(__xludf.DUMMYFUNCTION("""COMPUTED_VALUE"""),"BONG")</f>
        <v>BONG</v>
      </c>
    </row>
    <row r="268">
      <c r="A268" s="131">
        <f>IFERROR(__xludf.DUMMYFUNCTION("""COMPUTED_VALUE"""),1232.0)</f>
        <v>1232</v>
      </c>
      <c r="B268" s="131"/>
      <c r="C268" s="131">
        <f>IFERROR(__xludf.DUMMYFUNCTION("""COMPUTED_VALUE"""),1230.0)</f>
        <v>1230</v>
      </c>
      <c r="D268" s="131"/>
      <c r="E268" s="131" t="str">
        <f>IFERROR(__xludf.DUMMYFUNCTION("""COMPUTED_VALUE"""),"SALAC")</f>
        <v>SALAC</v>
      </c>
      <c r="F268" s="131" t="str">
        <f>IFERROR(__xludf.DUMMYFUNCTION("""COMPUTED_VALUE"""),"ROMEO")</f>
        <v>ROMEO</v>
      </c>
    </row>
    <row r="269">
      <c r="A269" s="131">
        <f>IFERROR(__xludf.DUMMYFUNCTION("""COMPUTED_VALUE"""),1233.0)</f>
        <v>1233</v>
      </c>
      <c r="B269" s="131"/>
      <c r="C269" s="131">
        <f>IFERROR(__xludf.DUMMYFUNCTION("""COMPUTED_VALUE"""),1230.0)</f>
        <v>1230</v>
      </c>
      <c r="D269" s="131"/>
      <c r="E269" s="131" t="str">
        <f>IFERROR(__xludf.DUMMYFUNCTION("""COMPUTED_VALUE"""),"GREGORIO")</f>
        <v>GREGORIO</v>
      </c>
      <c r="F269" s="131" t="str">
        <f>IFERROR(__xludf.DUMMYFUNCTION("""COMPUTED_VALUE"""),"MARLOU")</f>
        <v>MARLOU</v>
      </c>
    </row>
    <row r="270">
      <c r="A270" s="131">
        <f>IFERROR(__xludf.DUMMYFUNCTION("""COMPUTED_VALUE"""),1234.0)</f>
        <v>1234</v>
      </c>
      <c r="B270" s="131"/>
      <c r="C270" s="131">
        <f>IFERROR(__xludf.DUMMYFUNCTION("""COMPUTED_VALUE"""),1230.0)</f>
        <v>1230</v>
      </c>
      <c r="D270" s="131"/>
      <c r="E270" s="131" t="str">
        <f>IFERROR(__xludf.DUMMYFUNCTION("""COMPUTED_VALUE"""),"SOMERA")</f>
        <v>SOMERA</v>
      </c>
      <c r="F270" s="131" t="str">
        <f>IFERROR(__xludf.DUMMYFUNCTION("""COMPUTED_VALUE"""),"JAY")</f>
        <v>JAY</v>
      </c>
    </row>
    <row r="271">
      <c r="A271" s="131">
        <f>IFERROR(__xludf.DUMMYFUNCTION("""COMPUTED_VALUE"""),1235.0)</f>
        <v>1235</v>
      </c>
      <c r="B271" s="131"/>
      <c r="C271" s="131">
        <f>IFERROR(__xludf.DUMMYFUNCTION("""COMPUTED_VALUE"""),1230.0)</f>
        <v>1230</v>
      </c>
      <c r="D271" s="131"/>
      <c r="E271" s="131" t="str">
        <f>IFERROR(__xludf.DUMMYFUNCTION("""COMPUTED_VALUE"""),"MALIWAT")</f>
        <v>MALIWAT</v>
      </c>
      <c r="F271" s="131" t="str">
        <f>IFERROR(__xludf.DUMMYFUNCTION("""COMPUTED_VALUE"""),"LEO")</f>
        <v>LEO</v>
      </c>
    </row>
    <row r="272">
      <c r="A272" s="131"/>
      <c r="B272" s="131"/>
      <c r="C272" s="131"/>
      <c r="D272" s="131"/>
      <c r="E272" s="131"/>
      <c r="F272" s="131"/>
    </row>
    <row r="273">
      <c r="A273" s="131">
        <f>IFERROR(__xludf.DUMMYFUNCTION("""COMPUTED_VALUE"""),1236.0)</f>
        <v>1236</v>
      </c>
      <c r="B273" s="131"/>
      <c r="C273" s="131">
        <f>IFERROR(__xludf.DUMMYFUNCTION("""COMPUTED_VALUE"""),1236.0)</f>
        <v>1236</v>
      </c>
      <c r="D273" s="131" t="b">
        <f>IFERROR(__xludf.DUMMYFUNCTION("""COMPUTED_VALUE"""),TRUE)</f>
        <v>1</v>
      </c>
      <c r="E273" s="131" t="str">
        <f>IFERROR(__xludf.DUMMYFUNCTION("""COMPUTED_VALUE"""),"RETAMAR")</f>
        <v>RETAMAR</v>
      </c>
      <c r="F273" s="131" t="str">
        <f>IFERROR(__xludf.DUMMYFUNCTION("""COMPUTED_VALUE"""),"ELENA")</f>
        <v>ELENA</v>
      </c>
    </row>
    <row r="274">
      <c r="A274" s="131">
        <f>IFERROR(__xludf.DUMMYFUNCTION("""COMPUTED_VALUE"""),1237.0)</f>
        <v>1237</v>
      </c>
      <c r="B274" s="131"/>
      <c r="C274" s="131">
        <f>IFERROR(__xludf.DUMMYFUNCTION("""COMPUTED_VALUE"""),1236.0)</f>
        <v>1236</v>
      </c>
      <c r="D274" s="131"/>
      <c r="E274" s="131" t="str">
        <f>IFERROR(__xludf.DUMMYFUNCTION("""COMPUTED_VALUE"""),"VILLA")</f>
        <v>VILLA</v>
      </c>
      <c r="F274" s="131" t="str">
        <f>IFERROR(__xludf.DUMMYFUNCTION("""COMPUTED_VALUE"""),"WENG NIONES")</f>
        <v>WENG NIONES</v>
      </c>
    </row>
    <row r="275">
      <c r="A275" s="131">
        <f>IFERROR(__xludf.DUMMYFUNCTION("""COMPUTED_VALUE"""),1238.0)</f>
        <v>1238</v>
      </c>
      <c r="B275" s="131"/>
      <c r="C275" s="131">
        <f>IFERROR(__xludf.DUMMYFUNCTION("""COMPUTED_VALUE"""),1236.0)</f>
        <v>1236</v>
      </c>
      <c r="D275" s="131"/>
      <c r="E275" s="131" t="str">
        <f>IFERROR(__xludf.DUMMYFUNCTION("""COMPUTED_VALUE"""),"V")</f>
        <v>V</v>
      </c>
      <c r="F275" s="131" t="str">
        <f>IFERROR(__xludf.DUMMYFUNCTION("""COMPUTED_VALUE"""),"ROSE")</f>
        <v>ROSE</v>
      </c>
    </row>
    <row r="276">
      <c r="A276" s="131">
        <f>IFERROR(__xludf.DUMMYFUNCTION("""COMPUTED_VALUE"""),1239.0)</f>
        <v>1239</v>
      </c>
      <c r="B276" s="131"/>
      <c r="C276" s="131">
        <f>IFERROR(__xludf.DUMMYFUNCTION("""COMPUTED_VALUE"""),1236.0)</f>
        <v>1236</v>
      </c>
      <c r="D276" s="131"/>
      <c r="E276" s="131" t="str">
        <f>IFERROR(__xludf.DUMMYFUNCTION("""COMPUTED_VALUE"""),"DATO")</f>
        <v>DATO</v>
      </c>
      <c r="F276" s="131" t="str">
        <f>IFERROR(__xludf.DUMMYFUNCTION("""COMPUTED_VALUE"""),"EVELYN")</f>
        <v>EVELYN</v>
      </c>
    </row>
    <row r="277">
      <c r="A277" s="131">
        <f>IFERROR(__xludf.DUMMYFUNCTION("""COMPUTED_VALUE"""),1240.0)</f>
        <v>1240</v>
      </c>
      <c r="B277" s="131"/>
      <c r="C277" s="131">
        <f>IFERROR(__xludf.DUMMYFUNCTION("""COMPUTED_VALUE"""),1236.0)</f>
        <v>1236</v>
      </c>
      <c r="D277" s="131"/>
      <c r="E277" s="131"/>
      <c r="F277" s="131" t="str">
        <f>IFERROR(__xludf.DUMMYFUNCTION("""COMPUTED_VALUE"""),"ELIZABETH")</f>
        <v>ELIZABETH</v>
      </c>
    </row>
    <row r="278">
      <c r="A278" s="131">
        <f>IFERROR(__xludf.DUMMYFUNCTION("""COMPUTED_VALUE"""),1241.0)</f>
        <v>1241</v>
      </c>
      <c r="B278" s="131"/>
      <c r="C278" s="131">
        <f>IFERROR(__xludf.DUMMYFUNCTION("""COMPUTED_VALUE"""),1236.0)</f>
        <v>1236</v>
      </c>
      <c r="D278" s="131"/>
      <c r="E278" s="131"/>
      <c r="F278" s="131" t="str">
        <f>IFERROR(__xludf.DUMMYFUNCTION("""COMPUTED_VALUE"""),"WINNIE")</f>
        <v>WINNIE</v>
      </c>
    </row>
    <row r="279">
      <c r="A279" s="131">
        <f>IFERROR(__xludf.DUMMYFUNCTION("""COMPUTED_VALUE"""),1242.0)</f>
        <v>1242</v>
      </c>
      <c r="B279" s="131"/>
      <c r="C279" s="131">
        <f>IFERROR(__xludf.DUMMYFUNCTION("""COMPUTED_VALUE"""),1236.0)</f>
        <v>1236</v>
      </c>
      <c r="D279" s="131"/>
      <c r="E279" s="131"/>
      <c r="F279" s="131" t="str">
        <f>IFERROR(__xludf.DUMMYFUNCTION("""COMPUTED_VALUE"""),"MALOU")</f>
        <v>MALOU</v>
      </c>
    </row>
    <row r="280">
      <c r="A280" s="131">
        <f>IFERROR(__xludf.DUMMYFUNCTION("""COMPUTED_VALUE"""),1243.0)</f>
        <v>1243</v>
      </c>
      <c r="B280" s="131"/>
      <c r="C280" s="131">
        <f>IFERROR(__xludf.DUMMYFUNCTION("""COMPUTED_VALUE"""),1236.0)</f>
        <v>1236</v>
      </c>
      <c r="D280" s="131"/>
      <c r="E280" s="131" t="str">
        <f>IFERROR(__xludf.DUMMYFUNCTION("""COMPUTED_VALUE"""),"TOLEDO")</f>
        <v>TOLEDO</v>
      </c>
      <c r="F280" s="131" t="str">
        <f>IFERROR(__xludf.DUMMYFUNCTION("""COMPUTED_VALUE"""),"MAYE")</f>
        <v>MAYE</v>
      </c>
    </row>
    <row r="281">
      <c r="A281" s="131">
        <f>IFERROR(__xludf.DUMMYFUNCTION("""COMPUTED_VALUE"""),1244.0)</f>
        <v>1244</v>
      </c>
      <c r="B281" s="131"/>
      <c r="C281" s="131">
        <f>IFERROR(__xludf.DUMMYFUNCTION("""COMPUTED_VALUE"""),1236.0)</f>
        <v>1236</v>
      </c>
      <c r="D281" s="131"/>
      <c r="E281" s="131" t="str">
        <f>IFERROR(__xludf.DUMMYFUNCTION("""COMPUTED_VALUE"""),"LIM")</f>
        <v>LIM</v>
      </c>
      <c r="F281" s="131" t="str">
        <f>IFERROR(__xludf.DUMMYFUNCTION("""COMPUTED_VALUE"""),"GRACE")</f>
        <v>GRACE</v>
      </c>
    </row>
    <row r="282">
      <c r="A282" s="131">
        <f>IFERROR(__xludf.DUMMYFUNCTION("""COMPUTED_VALUE"""),1245.0)</f>
        <v>1245</v>
      </c>
      <c r="B282" s="131"/>
      <c r="C282" s="131">
        <f>IFERROR(__xludf.DUMMYFUNCTION("""COMPUTED_VALUE"""),1236.0)</f>
        <v>1236</v>
      </c>
      <c r="D282" s="131"/>
      <c r="E282" s="131" t="str">
        <f>IFERROR(__xludf.DUMMYFUNCTION("""COMPUTED_VALUE"""),"CALUALHATIAN")</f>
        <v>CALUALHATIAN</v>
      </c>
      <c r="F282" s="131" t="str">
        <f>IFERROR(__xludf.DUMMYFUNCTION("""COMPUTED_VALUE"""),"ADELAIDA")</f>
        <v>ADELAIDA</v>
      </c>
    </row>
    <row r="283">
      <c r="A283" s="131">
        <f>IFERROR(__xludf.DUMMYFUNCTION("""COMPUTED_VALUE"""),1246.0)</f>
        <v>1246</v>
      </c>
      <c r="B283" s="131"/>
      <c r="C283" s="131">
        <f>IFERROR(__xludf.DUMMYFUNCTION("""COMPUTED_VALUE"""),1236.0)</f>
        <v>1236</v>
      </c>
      <c r="D283" s="131"/>
      <c r="E283" s="131" t="str">
        <f>IFERROR(__xludf.DUMMYFUNCTION("""COMPUTED_VALUE"""),"CALUALHATIAN")</f>
        <v>CALUALHATIAN</v>
      </c>
      <c r="F283" s="131" t="str">
        <f>IFERROR(__xludf.DUMMYFUNCTION("""COMPUTED_VALUE"""),"DAHNA")</f>
        <v>DAHNA</v>
      </c>
    </row>
    <row r="284">
      <c r="A284" s="131">
        <f>IFERROR(__xludf.DUMMYFUNCTION("""COMPUTED_VALUE"""),1247.0)</f>
        <v>1247</v>
      </c>
      <c r="B284" s="131"/>
      <c r="C284" s="131">
        <f>IFERROR(__xludf.DUMMYFUNCTION("""COMPUTED_VALUE"""),1236.0)</f>
        <v>1236</v>
      </c>
      <c r="D284" s="131"/>
      <c r="E284" s="131" t="str">
        <f>IFERROR(__xludf.DUMMYFUNCTION("""COMPUTED_VALUE"""),"SEXON")</f>
        <v>SEXON</v>
      </c>
      <c r="F284" s="131" t="str">
        <f>IFERROR(__xludf.DUMMYFUNCTION("""COMPUTED_VALUE"""),"MARILYN")</f>
        <v>MARILYN</v>
      </c>
    </row>
    <row r="285">
      <c r="A285" s="131">
        <f>IFERROR(__xludf.DUMMYFUNCTION("""COMPUTED_VALUE"""),1248.0)</f>
        <v>1248</v>
      </c>
      <c r="B285" s="131"/>
      <c r="C285" s="131">
        <f>IFERROR(__xludf.DUMMYFUNCTION("""COMPUTED_VALUE"""),1236.0)</f>
        <v>1236</v>
      </c>
      <c r="D285" s="131"/>
      <c r="E285" s="131" t="str">
        <f>IFERROR(__xludf.DUMMYFUNCTION("""COMPUTED_VALUE"""),"CALUALHATIAN")</f>
        <v>CALUALHATIAN</v>
      </c>
      <c r="F285" s="131" t="str">
        <f>IFERROR(__xludf.DUMMYFUNCTION("""COMPUTED_VALUE"""),"DANIKKA")</f>
        <v>DANIKKA</v>
      </c>
    </row>
    <row r="286">
      <c r="A286" s="131">
        <f>IFERROR(__xludf.DUMMYFUNCTION("""COMPUTED_VALUE"""),1249.0)</f>
        <v>1249</v>
      </c>
      <c r="B286" s="131"/>
      <c r="C286" s="131">
        <f>IFERROR(__xludf.DUMMYFUNCTION("""COMPUTED_VALUE"""),1236.0)</f>
        <v>1236</v>
      </c>
      <c r="D286" s="131"/>
      <c r="E286" s="131" t="str">
        <f>IFERROR(__xludf.DUMMYFUNCTION("""COMPUTED_VALUE"""),"CODILLA")</f>
        <v>CODILLA</v>
      </c>
      <c r="F286" s="131" t="str">
        <f>IFERROR(__xludf.DUMMYFUNCTION("""COMPUTED_VALUE"""),"CORY")</f>
        <v>CORY</v>
      </c>
    </row>
    <row r="287">
      <c r="A287" s="131">
        <f>IFERROR(__xludf.DUMMYFUNCTION("""COMPUTED_VALUE"""),1250.0)</f>
        <v>1250</v>
      </c>
      <c r="B287" s="131"/>
      <c r="C287" s="131">
        <f>IFERROR(__xludf.DUMMYFUNCTION("""COMPUTED_VALUE"""),1236.0)</f>
        <v>1236</v>
      </c>
      <c r="D287" s="131"/>
      <c r="E287" s="131" t="str">
        <f>IFERROR(__xludf.DUMMYFUNCTION("""COMPUTED_VALUE"""),"LANGITAN")</f>
        <v>LANGITAN</v>
      </c>
      <c r="F287" s="131" t="str">
        <f>IFERROR(__xludf.DUMMYFUNCTION("""COMPUTED_VALUE"""),"SARAH")</f>
        <v>SARAH</v>
      </c>
    </row>
    <row r="288">
      <c r="A288" s="131">
        <f>IFERROR(__xludf.DUMMYFUNCTION("""COMPUTED_VALUE"""),1251.0)</f>
        <v>1251</v>
      </c>
      <c r="B288" s="131"/>
      <c r="C288" s="131">
        <f>IFERROR(__xludf.DUMMYFUNCTION("""COMPUTED_VALUE"""),1236.0)</f>
        <v>1236</v>
      </c>
      <c r="D288" s="131"/>
      <c r="E288" s="131" t="str">
        <f>IFERROR(__xludf.DUMMYFUNCTION("""COMPUTED_VALUE"""),"LACONSAY")</f>
        <v>LACONSAY</v>
      </c>
      <c r="F288" s="131" t="str">
        <f>IFERROR(__xludf.DUMMYFUNCTION("""COMPUTED_VALUE"""),"MA. LOURDES")</f>
        <v>MA. LOURDES</v>
      </c>
    </row>
    <row r="289">
      <c r="A289" s="131">
        <f>IFERROR(__xludf.DUMMYFUNCTION("""COMPUTED_VALUE"""),1252.0)</f>
        <v>1252</v>
      </c>
      <c r="B289" s="131"/>
      <c r="C289" s="131">
        <f>IFERROR(__xludf.DUMMYFUNCTION("""COMPUTED_VALUE"""),1236.0)</f>
        <v>1236</v>
      </c>
      <c r="D289" s="131"/>
      <c r="E289" s="131" t="str">
        <f>IFERROR(__xludf.DUMMYFUNCTION("""COMPUTED_VALUE"""),"LACONSAY")</f>
        <v>LACONSAY</v>
      </c>
      <c r="F289" s="131" t="str">
        <f>IFERROR(__xludf.DUMMYFUNCTION("""COMPUTED_VALUE"""),"MA. ELENA")</f>
        <v>MA. ELENA</v>
      </c>
    </row>
    <row r="290">
      <c r="A290" s="131">
        <f>IFERROR(__xludf.DUMMYFUNCTION("""COMPUTED_VALUE"""),1253.0)</f>
        <v>1253</v>
      </c>
      <c r="B290" s="131"/>
      <c r="C290" s="131">
        <f>IFERROR(__xludf.DUMMYFUNCTION("""COMPUTED_VALUE"""),1236.0)</f>
        <v>1236</v>
      </c>
      <c r="D290" s="131"/>
      <c r="E290" s="131" t="str">
        <f>IFERROR(__xludf.DUMMYFUNCTION("""COMPUTED_VALUE"""),"MENOSO")</f>
        <v>MENOSO</v>
      </c>
      <c r="F290" s="131" t="str">
        <f>IFERROR(__xludf.DUMMYFUNCTION("""COMPUTED_VALUE"""),"DANICA")</f>
        <v>DANICA</v>
      </c>
    </row>
    <row r="291">
      <c r="A291" s="131">
        <f>IFERROR(__xludf.DUMMYFUNCTION("""COMPUTED_VALUE"""),1254.0)</f>
        <v>1254</v>
      </c>
      <c r="B291" s="131"/>
      <c r="C291" s="131">
        <f>IFERROR(__xludf.DUMMYFUNCTION("""COMPUTED_VALUE"""),1236.0)</f>
        <v>1236</v>
      </c>
      <c r="D291" s="131"/>
      <c r="E291" s="131"/>
      <c r="F291" s="131" t="str">
        <f>IFERROR(__xludf.DUMMYFUNCTION("""COMPUTED_VALUE"""),"AGNES")</f>
        <v>AGNES</v>
      </c>
    </row>
    <row r="292">
      <c r="A292" s="131"/>
      <c r="B292" s="131"/>
      <c r="C292" s="131"/>
      <c r="D292" s="131"/>
      <c r="E292" s="131"/>
      <c r="F292" s="131"/>
    </row>
    <row r="293">
      <c r="A293" s="131">
        <f>IFERROR(__xludf.DUMMYFUNCTION("""COMPUTED_VALUE"""),1255.0)</f>
        <v>1255</v>
      </c>
      <c r="B293" s="131"/>
      <c r="C293" s="131">
        <f>IFERROR(__xludf.DUMMYFUNCTION("""COMPUTED_VALUE"""),1255.0)</f>
        <v>1255</v>
      </c>
      <c r="D293" s="131" t="b">
        <f>IFERROR(__xludf.DUMMYFUNCTION("""COMPUTED_VALUE"""),TRUE)</f>
        <v>1</v>
      </c>
      <c r="E293" s="131" t="str">
        <f>IFERROR(__xludf.DUMMYFUNCTION("""COMPUTED_VALUE"""),"VERTODAZO")</f>
        <v>VERTODAZO</v>
      </c>
      <c r="F293" s="131" t="str">
        <f>IFERROR(__xludf.DUMMYFUNCTION("""COMPUTED_VALUE"""),"MONETH")</f>
        <v>MONETH</v>
      </c>
    </row>
    <row r="294">
      <c r="A294" s="131">
        <f>IFERROR(__xludf.DUMMYFUNCTION("""COMPUTED_VALUE"""),1256.0)</f>
        <v>1256</v>
      </c>
      <c r="B294" s="131"/>
      <c r="C294" s="131">
        <f>IFERROR(__xludf.DUMMYFUNCTION("""COMPUTED_VALUE"""),1255.0)</f>
        <v>1255</v>
      </c>
      <c r="D294" s="131"/>
      <c r="E294" s="131" t="str">
        <f>IFERROR(__xludf.DUMMYFUNCTION("""COMPUTED_VALUE"""),"SOMERA")</f>
        <v>SOMERA</v>
      </c>
      <c r="F294" s="131" t="str">
        <f>IFERROR(__xludf.DUMMYFUNCTION("""COMPUTED_VALUE"""),"CHA")</f>
        <v>CHA</v>
      </c>
    </row>
    <row r="295">
      <c r="A295" s="131">
        <f>IFERROR(__xludf.DUMMYFUNCTION("""COMPUTED_VALUE"""),1257.0)</f>
        <v>1257</v>
      </c>
      <c r="B295" s="131"/>
      <c r="C295" s="131">
        <f>IFERROR(__xludf.DUMMYFUNCTION("""COMPUTED_VALUE"""),1255.0)</f>
        <v>1255</v>
      </c>
      <c r="D295" s="131"/>
      <c r="E295" s="131" t="str">
        <f>IFERROR(__xludf.DUMMYFUNCTION("""COMPUTED_VALUE"""),"MAGDUAY")</f>
        <v>MAGDUAY</v>
      </c>
      <c r="F295" s="131" t="str">
        <f>IFERROR(__xludf.DUMMYFUNCTION("""COMPUTED_VALUE"""),"HEIDEE")</f>
        <v>HEIDEE</v>
      </c>
    </row>
    <row r="296">
      <c r="A296" s="131">
        <f>IFERROR(__xludf.DUMMYFUNCTION("""COMPUTED_VALUE"""),1258.0)</f>
        <v>1258</v>
      </c>
      <c r="B296" s="131"/>
      <c r="C296" s="131">
        <f>IFERROR(__xludf.DUMMYFUNCTION("""COMPUTED_VALUE"""),1255.0)</f>
        <v>1255</v>
      </c>
      <c r="D296" s="131"/>
      <c r="E296" s="131" t="str">
        <f>IFERROR(__xludf.DUMMYFUNCTION("""COMPUTED_VALUE"""),"TANDUL")</f>
        <v>TANDUL</v>
      </c>
      <c r="F296" s="131" t="str">
        <f>IFERROR(__xludf.DUMMYFUNCTION("""COMPUTED_VALUE"""),"RAQUEL")</f>
        <v>RAQUEL</v>
      </c>
    </row>
    <row r="297">
      <c r="A297" s="131">
        <f>IFERROR(__xludf.DUMMYFUNCTION("""COMPUTED_VALUE"""),1259.0)</f>
        <v>1259</v>
      </c>
      <c r="B297" s="131"/>
      <c r="C297" s="131">
        <f>IFERROR(__xludf.DUMMYFUNCTION("""COMPUTED_VALUE"""),1255.0)</f>
        <v>1255</v>
      </c>
      <c r="D297" s="131"/>
      <c r="E297" s="131" t="str">
        <f>IFERROR(__xludf.DUMMYFUNCTION("""COMPUTED_VALUE"""),"ARTICULO")</f>
        <v>ARTICULO</v>
      </c>
      <c r="F297" s="131" t="str">
        <f>IFERROR(__xludf.DUMMYFUNCTION("""COMPUTED_VALUE"""),"LEILA M.")</f>
        <v>LEILA M.</v>
      </c>
    </row>
    <row r="298">
      <c r="A298" s="131">
        <f>IFERROR(__xludf.DUMMYFUNCTION("""COMPUTED_VALUE"""),1260.0)</f>
        <v>1260</v>
      </c>
      <c r="B298" s="131"/>
      <c r="C298" s="131">
        <f>IFERROR(__xludf.DUMMYFUNCTION("""COMPUTED_VALUE"""),1255.0)</f>
        <v>1255</v>
      </c>
      <c r="D298" s="131"/>
      <c r="E298" s="131" t="str">
        <f>IFERROR(__xludf.DUMMYFUNCTION("""COMPUTED_VALUE"""),"BALDONADO")</f>
        <v>BALDONADO</v>
      </c>
      <c r="F298" s="131" t="str">
        <f>IFERROR(__xludf.DUMMYFUNCTION("""COMPUTED_VALUE"""),"JULIETA")</f>
        <v>JULIETA</v>
      </c>
    </row>
    <row r="299">
      <c r="A299" s="131">
        <f>IFERROR(__xludf.DUMMYFUNCTION("""COMPUTED_VALUE"""),1261.0)</f>
        <v>1261</v>
      </c>
      <c r="B299" s="131"/>
      <c r="C299" s="131">
        <f>IFERROR(__xludf.DUMMYFUNCTION("""COMPUTED_VALUE"""),1255.0)</f>
        <v>1255</v>
      </c>
      <c r="D299" s="131"/>
      <c r="E299" s="131" t="str">
        <f>IFERROR(__xludf.DUMMYFUNCTION("""COMPUTED_VALUE"""),"CARLOS")</f>
        <v>CARLOS</v>
      </c>
      <c r="F299" s="131" t="str">
        <f>IFERROR(__xludf.DUMMYFUNCTION("""COMPUTED_VALUE"""),"ANTONETTE M.")</f>
        <v>ANTONETTE M.</v>
      </c>
    </row>
    <row r="300">
      <c r="A300" s="131">
        <f>IFERROR(__xludf.DUMMYFUNCTION("""COMPUTED_VALUE"""),1262.0)</f>
        <v>1262</v>
      </c>
      <c r="B300" s="131"/>
      <c r="C300" s="131">
        <f>IFERROR(__xludf.DUMMYFUNCTION("""COMPUTED_VALUE"""),1255.0)</f>
        <v>1255</v>
      </c>
      <c r="D300" s="131"/>
      <c r="E300" s="131" t="str">
        <f>IFERROR(__xludf.DUMMYFUNCTION("""COMPUTED_VALUE"""),"INCARNATION")</f>
        <v>INCARNATION</v>
      </c>
      <c r="F300" s="131" t="str">
        <f>IFERROR(__xludf.DUMMYFUNCTION("""COMPUTED_VALUE"""),"LUCILA")</f>
        <v>LUCILA</v>
      </c>
    </row>
    <row r="301">
      <c r="A301" s="131">
        <f>IFERROR(__xludf.DUMMYFUNCTION("""COMPUTED_VALUE"""),1263.0)</f>
        <v>1263</v>
      </c>
      <c r="B301" s="131"/>
      <c r="C301" s="131">
        <f>IFERROR(__xludf.DUMMYFUNCTION("""COMPUTED_VALUE"""),1255.0)</f>
        <v>1255</v>
      </c>
      <c r="D301" s="131"/>
      <c r="E301" s="131" t="str">
        <f>IFERROR(__xludf.DUMMYFUNCTION("""COMPUTED_VALUE"""),"MAGAT")</f>
        <v>MAGAT</v>
      </c>
      <c r="F301" s="131" t="str">
        <f>IFERROR(__xludf.DUMMYFUNCTION("""COMPUTED_VALUE"""),"SYLVIA")</f>
        <v>SYLVIA</v>
      </c>
    </row>
    <row r="302">
      <c r="A302" s="131">
        <f>IFERROR(__xludf.DUMMYFUNCTION("""COMPUTED_VALUE"""),1264.0)</f>
        <v>1264</v>
      </c>
      <c r="B302" s="131"/>
      <c r="C302" s="131">
        <f>IFERROR(__xludf.DUMMYFUNCTION("""COMPUTED_VALUE"""),1255.0)</f>
        <v>1255</v>
      </c>
      <c r="D302" s="131"/>
      <c r="E302" s="131" t="str">
        <f>IFERROR(__xludf.DUMMYFUNCTION("""COMPUTED_VALUE"""),"MAGAT")</f>
        <v>MAGAT</v>
      </c>
      <c r="F302" s="131" t="str">
        <f>IFERROR(__xludf.DUMMYFUNCTION("""COMPUTED_VALUE"""),"JOSEPHINA")</f>
        <v>JOSEPHINA</v>
      </c>
    </row>
    <row r="303">
      <c r="A303" s="131">
        <f>IFERROR(__xludf.DUMMYFUNCTION("""COMPUTED_VALUE"""),1265.0)</f>
        <v>1265</v>
      </c>
      <c r="B303" s="131"/>
      <c r="C303" s="131">
        <f>IFERROR(__xludf.DUMMYFUNCTION("""COMPUTED_VALUE"""),1255.0)</f>
        <v>1255</v>
      </c>
      <c r="D303" s="131"/>
      <c r="E303" s="131" t="str">
        <f>IFERROR(__xludf.DUMMYFUNCTION("""COMPUTED_VALUE"""),"VILLARTA")</f>
        <v>VILLARTA</v>
      </c>
      <c r="F303" s="131" t="str">
        <f>IFERROR(__xludf.DUMMYFUNCTION("""COMPUTED_VALUE"""),"JESSICA")</f>
        <v>JESSICA</v>
      </c>
    </row>
    <row r="304">
      <c r="A304" s="131">
        <f>IFERROR(__xludf.DUMMYFUNCTION("""COMPUTED_VALUE"""),1266.0)</f>
        <v>1266</v>
      </c>
      <c r="B304" s="131"/>
      <c r="C304" s="131">
        <f>IFERROR(__xludf.DUMMYFUNCTION("""COMPUTED_VALUE"""),1255.0)</f>
        <v>1255</v>
      </c>
      <c r="D304" s="131"/>
      <c r="E304" s="131" t="str">
        <f>IFERROR(__xludf.DUMMYFUNCTION("""COMPUTED_VALUE"""),"MORAL")</f>
        <v>MORAL</v>
      </c>
      <c r="F304" s="131" t="str">
        <f>IFERROR(__xludf.DUMMYFUNCTION("""COMPUTED_VALUE"""),"LUCHELLE")</f>
        <v>LUCHELLE</v>
      </c>
    </row>
    <row r="305">
      <c r="A305" s="131">
        <f>IFERROR(__xludf.DUMMYFUNCTION("""COMPUTED_VALUE"""),1267.0)</f>
        <v>1267</v>
      </c>
      <c r="B305" s="131"/>
      <c r="C305" s="131">
        <f>IFERROR(__xludf.DUMMYFUNCTION("""COMPUTED_VALUE"""),1255.0)</f>
        <v>1255</v>
      </c>
      <c r="D305" s="131"/>
      <c r="E305" s="131" t="str">
        <f>IFERROR(__xludf.DUMMYFUNCTION("""COMPUTED_VALUE"""),"BRUSOLA")</f>
        <v>BRUSOLA</v>
      </c>
      <c r="F305" s="131" t="str">
        <f>IFERROR(__xludf.DUMMYFUNCTION("""COMPUTED_VALUE"""),"MERLY")</f>
        <v>MERLY</v>
      </c>
    </row>
    <row r="306">
      <c r="A306" s="131">
        <f>IFERROR(__xludf.DUMMYFUNCTION("""COMPUTED_VALUE"""),1268.0)</f>
        <v>1268</v>
      </c>
      <c r="B306" s="131"/>
      <c r="C306" s="131">
        <f>IFERROR(__xludf.DUMMYFUNCTION("""COMPUTED_VALUE"""),1255.0)</f>
        <v>1255</v>
      </c>
      <c r="D306" s="131"/>
      <c r="E306" s="131" t="str">
        <f>IFERROR(__xludf.DUMMYFUNCTION("""COMPUTED_VALUE"""),"TARINAY")</f>
        <v>TARINAY</v>
      </c>
      <c r="F306" s="131" t="str">
        <f>IFERROR(__xludf.DUMMYFUNCTION("""COMPUTED_VALUE"""),"MARILYN")</f>
        <v>MARILYN</v>
      </c>
    </row>
    <row r="307">
      <c r="A307" s="131">
        <f>IFERROR(__xludf.DUMMYFUNCTION("""COMPUTED_VALUE"""),1269.0)</f>
        <v>1269</v>
      </c>
      <c r="B307" s="131"/>
      <c r="C307" s="131">
        <f>IFERROR(__xludf.DUMMYFUNCTION("""COMPUTED_VALUE"""),1255.0)</f>
        <v>1255</v>
      </c>
      <c r="D307" s="131"/>
      <c r="E307" s="131" t="str">
        <f>IFERROR(__xludf.DUMMYFUNCTION("""COMPUTED_VALUE"""),"VARGAS")</f>
        <v>VARGAS</v>
      </c>
      <c r="F307" s="131" t="str">
        <f>IFERROR(__xludf.DUMMYFUNCTION("""COMPUTED_VALUE"""),"VILMA")</f>
        <v>VILMA</v>
      </c>
    </row>
    <row r="308">
      <c r="A308" s="131">
        <f>IFERROR(__xludf.DUMMYFUNCTION("""COMPUTED_VALUE"""),1270.0)</f>
        <v>1270</v>
      </c>
      <c r="B308" s="131"/>
      <c r="C308" s="131">
        <f>IFERROR(__xludf.DUMMYFUNCTION("""COMPUTED_VALUE"""),1255.0)</f>
        <v>1255</v>
      </c>
      <c r="D308" s="131"/>
      <c r="E308" s="131" t="str">
        <f>IFERROR(__xludf.DUMMYFUNCTION("""COMPUTED_VALUE"""),"GAPAS")</f>
        <v>GAPAS</v>
      </c>
      <c r="F308" s="131" t="str">
        <f>IFERROR(__xludf.DUMMYFUNCTION("""COMPUTED_VALUE"""),"EDITH")</f>
        <v>EDITH</v>
      </c>
    </row>
    <row r="309">
      <c r="A309" s="131">
        <f>IFERROR(__xludf.DUMMYFUNCTION("""COMPUTED_VALUE"""),1271.0)</f>
        <v>1271</v>
      </c>
      <c r="B309" s="131"/>
      <c r="C309" s="131">
        <f>IFERROR(__xludf.DUMMYFUNCTION("""COMPUTED_VALUE"""),1255.0)</f>
        <v>1255</v>
      </c>
      <c r="D309" s="131"/>
      <c r="E309" s="131" t="str">
        <f>IFERROR(__xludf.DUMMYFUNCTION("""COMPUTED_VALUE"""),"PACHECO")</f>
        <v>PACHECO</v>
      </c>
      <c r="F309" s="131" t="str">
        <f>IFERROR(__xludf.DUMMYFUNCTION("""COMPUTED_VALUE"""),"CAROLINE")</f>
        <v>CAROLINE</v>
      </c>
    </row>
    <row r="310">
      <c r="A310" s="131">
        <f>IFERROR(__xludf.DUMMYFUNCTION("""COMPUTED_VALUE"""),1272.0)</f>
        <v>1272</v>
      </c>
      <c r="B310" s="131"/>
      <c r="C310" s="131">
        <f>IFERROR(__xludf.DUMMYFUNCTION("""COMPUTED_VALUE"""),1255.0)</f>
        <v>1255</v>
      </c>
      <c r="D310" s="131"/>
      <c r="E310" s="131" t="str">
        <f>IFERROR(__xludf.DUMMYFUNCTION("""COMPUTED_VALUE"""),"BACOSA")</f>
        <v>BACOSA</v>
      </c>
      <c r="F310" s="131" t="str">
        <f>IFERROR(__xludf.DUMMYFUNCTION("""COMPUTED_VALUE"""),"MAIDA")</f>
        <v>MAIDA</v>
      </c>
    </row>
    <row r="311">
      <c r="A311" s="131">
        <f>IFERROR(__xludf.DUMMYFUNCTION("""COMPUTED_VALUE"""),1273.0)</f>
        <v>1273</v>
      </c>
      <c r="B311" s="131"/>
      <c r="C311" s="131">
        <f>IFERROR(__xludf.DUMMYFUNCTION("""COMPUTED_VALUE"""),1255.0)</f>
        <v>1255</v>
      </c>
      <c r="D311" s="131"/>
      <c r="E311" s="131" t="str">
        <f>IFERROR(__xludf.DUMMYFUNCTION("""COMPUTED_VALUE"""),"LIM")</f>
        <v>LIM</v>
      </c>
      <c r="F311" s="131" t="str">
        <f>IFERROR(__xludf.DUMMYFUNCTION("""COMPUTED_VALUE"""),"LANIE")</f>
        <v>LANIE</v>
      </c>
    </row>
    <row r="312">
      <c r="A312" s="131">
        <f>IFERROR(__xludf.DUMMYFUNCTION("""COMPUTED_VALUE"""),1274.0)</f>
        <v>1274</v>
      </c>
      <c r="B312" s="131"/>
      <c r="C312" s="131">
        <f>IFERROR(__xludf.DUMMYFUNCTION("""COMPUTED_VALUE"""),1255.0)</f>
        <v>1255</v>
      </c>
      <c r="D312" s="131"/>
      <c r="E312" s="131" t="str">
        <f>IFERROR(__xludf.DUMMYFUNCTION("""COMPUTED_VALUE"""),"DELA VEGA")</f>
        <v>DELA VEGA</v>
      </c>
      <c r="F312" s="131" t="str">
        <f>IFERROR(__xludf.DUMMYFUNCTION("""COMPUTED_VALUE"""),"MAVIC")</f>
        <v>MAVIC</v>
      </c>
    </row>
    <row r="313">
      <c r="A313" s="131">
        <f>IFERROR(__xludf.DUMMYFUNCTION("""COMPUTED_VALUE"""),1275.0)</f>
        <v>1275</v>
      </c>
      <c r="B313" s="131"/>
      <c r="C313" s="131">
        <f>IFERROR(__xludf.DUMMYFUNCTION("""COMPUTED_VALUE"""),1255.0)</f>
        <v>1255</v>
      </c>
      <c r="D313" s="131"/>
      <c r="E313" s="131"/>
      <c r="F313" s="131" t="str">
        <f>IFERROR(__xludf.DUMMYFUNCTION("""COMPUTED_VALUE"""),"MILA M.")</f>
        <v>MILA M.</v>
      </c>
    </row>
    <row r="314">
      <c r="A314" s="131">
        <f>IFERROR(__xludf.DUMMYFUNCTION("""COMPUTED_VALUE"""),1276.0)</f>
        <v>1276</v>
      </c>
      <c r="B314" s="131"/>
      <c r="C314" s="131">
        <f>IFERROR(__xludf.DUMMYFUNCTION("""COMPUTED_VALUE"""),1230.0)</f>
        <v>1230</v>
      </c>
      <c r="D314" s="131"/>
      <c r="E314" s="131" t="str">
        <f>IFERROR(__xludf.DUMMYFUNCTION("""COMPUTED_VALUE"""),"TANDUL")</f>
        <v>TANDUL</v>
      </c>
      <c r="F314" s="131" t="str">
        <f>IFERROR(__xludf.DUMMYFUNCTION("""COMPUTED_VALUE"""),"ED")</f>
        <v>ED</v>
      </c>
    </row>
    <row r="315">
      <c r="A315" s="131">
        <f>IFERROR(__xludf.DUMMYFUNCTION("""COMPUTED_VALUE"""),1277.0)</f>
        <v>1277</v>
      </c>
      <c r="B315" s="131"/>
      <c r="C315" s="131">
        <f>IFERROR(__xludf.DUMMYFUNCTION("""COMPUTED_VALUE"""),1230.0)</f>
        <v>1230</v>
      </c>
      <c r="D315" s="131"/>
      <c r="E315" s="131" t="str">
        <f>IFERROR(__xludf.DUMMYFUNCTION("""COMPUTED_VALUE"""),"VILLA")</f>
        <v>VILLA</v>
      </c>
      <c r="F315" s="131" t="str">
        <f>IFERROR(__xludf.DUMMYFUNCTION("""COMPUTED_VALUE"""),"EDWARD")</f>
        <v>EDWARD</v>
      </c>
    </row>
    <row r="316">
      <c r="A316" s="131">
        <f>IFERROR(__xludf.DUMMYFUNCTION("""COMPUTED_VALUE"""),1278.0)</f>
        <v>1278</v>
      </c>
      <c r="B316" s="131"/>
      <c r="C316" s="131">
        <f>IFERROR(__xludf.DUMMYFUNCTION("""COMPUTED_VALUE"""),1230.0)</f>
        <v>1230</v>
      </c>
      <c r="D316" s="131"/>
      <c r="E316" s="131" t="str">
        <f>IFERROR(__xludf.DUMMYFUNCTION("""COMPUTED_VALUE"""),"RETAMAR")</f>
        <v>RETAMAR</v>
      </c>
      <c r="F316" s="131" t="str">
        <f>IFERROR(__xludf.DUMMYFUNCTION("""COMPUTED_VALUE"""),"GLEN")</f>
        <v>GLEN</v>
      </c>
    </row>
    <row r="317">
      <c r="A317" s="131">
        <f>IFERROR(__xludf.DUMMYFUNCTION("""COMPUTED_VALUE"""),1279.0)</f>
        <v>1279</v>
      </c>
      <c r="B317" s="131"/>
      <c r="C317" s="131">
        <f>IFERROR(__xludf.DUMMYFUNCTION("""COMPUTED_VALUE"""),1230.0)</f>
        <v>1230</v>
      </c>
      <c r="D317" s="131"/>
      <c r="E317" s="131" t="str">
        <f>IFERROR(__xludf.DUMMYFUNCTION("""COMPUTED_VALUE"""),"PASAYLON")</f>
        <v>PASAYLON</v>
      </c>
      <c r="F317" s="131" t="str">
        <f>IFERROR(__xludf.DUMMYFUNCTION("""COMPUTED_VALUE"""),"RAYMOND")</f>
        <v>RAYMOND</v>
      </c>
    </row>
    <row r="318">
      <c r="A318" s="131">
        <f>IFERROR(__xludf.DUMMYFUNCTION("""COMPUTED_VALUE"""),1280.0)</f>
        <v>1280</v>
      </c>
      <c r="B318" s="131"/>
      <c r="C318" s="131">
        <f>IFERROR(__xludf.DUMMYFUNCTION("""COMPUTED_VALUE"""),1230.0)</f>
        <v>1230</v>
      </c>
      <c r="D318" s="131"/>
      <c r="E318" s="131" t="str">
        <f>IFERROR(__xludf.DUMMYFUNCTION("""COMPUTED_VALUE"""),"CODILLA")</f>
        <v>CODILLA</v>
      </c>
      <c r="F318" s="131" t="str">
        <f>IFERROR(__xludf.DUMMYFUNCTION("""COMPUTED_VALUE"""),"JONNEL")</f>
        <v>JONNEL</v>
      </c>
    </row>
    <row r="319">
      <c r="A319" s="131">
        <f>IFERROR(__xludf.DUMMYFUNCTION("""COMPUTED_VALUE"""),1281.0)</f>
        <v>1281</v>
      </c>
      <c r="B319" s="131"/>
      <c r="C319" s="131">
        <f>IFERROR(__xludf.DUMMYFUNCTION("""COMPUTED_VALUE"""),1230.0)</f>
        <v>1230</v>
      </c>
      <c r="D319" s="131"/>
      <c r="E319" s="131" t="str">
        <f>IFERROR(__xludf.DUMMYFUNCTION("""COMPUTED_VALUE"""),"AZUL")</f>
        <v>AZUL</v>
      </c>
      <c r="F319" s="131" t="str">
        <f>IFERROR(__xludf.DUMMYFUNCTION("""COMPUTED_VALUE"""),"BENIE")</f>
        <v>BENIE</v>
      </c>
    </row>
    <row r="320">
      <c r="A320" s="131">
        <f>IFERROR(__xludf.DUMMYFUNCTION("""COMPUTED_VALUE"""),1282.0)</f>
        <v>1282</v>
      </c>
      <c r="B320" s="131"/>
      <c r="C320" s="131">
        <f>IFERROR(__xludf.DUMMYFUNCTION("""COMPUTED_VALUE"""),1230.0)</f>
        <v>1230</v>
      </c>
      <c r="D320" s="131"/>
      <c r="E320" s="131" t="str">
        <f>IFERROR(__xludf.DUMMYFUNCTION("""COMPUTED_VALUE"""),"E.")</f>
        <v>E.</v>
      </c>
      <c r="F320" s="131" t="str">
        <f>IFERROR(__xludf.DUMMYFUNCTION("""COMPUTED_VALUE"""),"MANNY")</f>
        <v>MANNY</v>
      </c>
    </row>
    <row r="321">
      <c r="A321" s="131"/>
      <c r="B321" s="131"/>
      <c r="C321" s="131"/>
      <c r="D321" s="131"/>
      <c r="E321" s="131"/>
      <c r="F321" s="131"/>
    </row>
    <row r="322">
      <c r="A322" s="131">
        <f>IFERROR(__xludf.DUMMYFUNCTION("""COMPUTED_VALUE"""),1283.0)</f>
        <v>1283</v>
      </c>
      <c r="B322" s="131"/>
      <c r="C322" s="131">
        <f>IFERROR(__xludf.DUMMYFUNCTION("""COMPUTED_VALUE"""),1283.0)</f>
        <v>1283</v>
      </c>
      <c r="D322" s="131" t="b">
        <f>IFERROR(__xludf.DUMMYFUNCTION("""COMPUTED_VALUE"""),TRUE)</f>
        <v>1</v>
      </c>
      <c r="E322" s="131" t="str">
        <f>IFERROR(__xludf.DUMMYFUNCTION("""COMPUTED_VALUE"""),"LIM")</f>
        <v>LIM</v>
      </c>
      <c r="F322" s="131" t="str">
        <f>IFERROR(__xludf.DUMMYFUNCTION("""COMPUTED_VALUE"""),"MARLINA")</f>
        <v>MARLINA</v>
      </c>
    </row>
    <row r="323">
      <c r="A323" s="131"/>
      <c r="B323" s="131"/>
      <c r="C323" s="131"/>
      <c r="D323" s="131"/>
      <c r="E323" s="131"/>
      <c r="F323" s="131"/>
    </row>
    <row r="324">
      <c r="A324" s="131"/>
      <c r="B324" s="131"/>
      <c r="C324" s="131"/>
      <c r="D324" s="131"/>
      <c r="E324" s="131"/>
      <c r="F324" s="131"/>
    </row>
    <row r="325">
      <c r="A325" s="131"/>
      <c r="B325" s="131"/>
      <c r="C325" s="131"/>
      <c r="D325" s="131"/>
      <c r="E325" s="131"/>
      <c r="F325" s="131"/>
    </row>
    <row r="326">
      <c r="A326" s="131"/>
      <c r="B326" s="131"/>
      <c r="C326" s="131"/>
      <c r="D326" s="131"/>
      <c r="E326" s="131"/>
      <c r="F326" s="131"/>
    </row>
    <row r="327">
      <c r="A327" s="131"/>
      <c r="B327" s="131"/>
      <c r="C327" s="131"/>
      <c r="D327" s="131"/>
      <c r="E327" s="131"/>
      <c r="F327" s="131"/>
    </row>
    <row r="328">
      <c r="A328" s="131"/>
      <c r="B328" s="131"/>
      <c r="C328" s="131"/>
      <c r="D328" s="131"/>
      <c r="E328" s="131"/>
      <c r="F328" s="131"/>
    </row>
    <row r="329">
      <c r="A329" s="131"/>
      <c r="B329" s="131"/>
      <c r="C329" s="131"/>
      <c r="D329" s="131"/>
      <c r="E329" s="131"/>
      <c r="F329" s="131"/>
    </row>
    <row r="330">
      <c r="A330" s="131"/>
      <c r="B330" s="131"/>
      <c r="C330" s="131"/>
      <c r="D330" s="131"/>
      <c r="E330" s="131"/>
      <c r="F330" s="131"/>
    </row>
    <row r="331">
      <c r="A331" s="131"/>
      <c r="B331" s="131"/>
      <c r="C331" s="131"/>
      <c r="D331" s="131"/>
      <c r="E331" s="131"/>
      <c r="F331" s="131"/>
    </row>
    <row r="332">
      <c r="A332" s="131"/>
      <c r="B332" s="131"/>
      <c r="C332" s="131"/>
      <c r="D332" s="131"/>
      <c r="E332" s="131"/>
      <c r="F332" s="131"/>
    </row>
    <row r="333">
      <c r="A333" s="131"/>
      <c r="B333" s="131"/>
      <c r="C333" s="131"/>
      <c r="D333" s="131"/>
      <c r="E333" s="131"/>
      <c r="F333" s="131"/>
    </row>
    <row r="334">
      <c r="A334" s="131"/>
      <c r="B334" s="131"/>
      <c r="C334" s="131"/>
      <c r="D334" s="131"/>
      <c r="E334" s="131"/>
      <c r="F334" s="131"/>
    </row>
    <row r="335">
      <c r="A335" s="131"/>
      <c r="B335" s="131"/>
      <c r="C335" s="131"/>
      <c r="D335" s="131"/>
      <c r="E335" s="131"/>
      <c r="F335" s="131"/>
    </row>
    <row r="336">
      <c r="A336" s="131"/>
      <c r="B336" s="131"/>
      <c r="C336" s="131"/>
      <c r="D336" s="131"/>
      <c r="E336" s="131"/>
      <c r="F336" s="131"/>
    </row>
    <row r="337">
      <c r="A337" s="131"/>
      <c r="B337" s="131"/>
      <c r="C337" s="131"/>
      <c r="D337" s="131"/>
      <c r="E337" s="131"/>
      <c r="F337" s="131"/>
    </row>
    <row r="338">
      <c r="A338" s="131"/>
      <c r="B338" s="131"/>
      <c r="C338" s="131"/>
      <c r="D338" s="131"/>
      <c r="E338" s="131"/>
      <c r="F338" s="131"/>
    </row>
    <row r="339">
      <c r="A339" s="131"/>
      <c r="B339" s="131"/>
      <c r="C339" s="131"/>
      <c r="D339" s="131"/>
      <c r="E339" s="131"/>
      <c r="F339" s="131"/>
    </row>
    <row r="340">
      <c r="A340" s="131"/>
      <c r="B340" s="131"/>
      <c r="C340" s="131"/>
      <c r="D340" s="131"/>
      <c r="E340" s="131"/>
      <c r="F340" s="131"/>
    </row>
    <row r="341">
      <c r="A341" s="131"/>
      <c r="B341" s="131"/>
      <c r="C341" s="131"/>
      <c r="D341" s="131"/>
      <c r="E341" s="131"/>
      <c r="F341" s="131"/>
    </row>
    <row r="342">
      <c r="A342" s="131"/>
      <c r="B342" s="131"/>
      <c r="C342" s="131"/>
      <c r="D342" s="131"/>
      <c r="E342" s="131"/>
      <c r="F342" s="131"/>
    </row>
    <row r="343">
      <c r="A343" s="131"/>
      <c r="B343" s="131"/>
      <c r="C343" s="131"/>
      <c r="D343" s="131"/>
      <c r="E343" s="131"/>
      <c r="F343" s="131"/>
    </row>
    <row r="344">
      <c r="A344" s="131"/>
      <c r="B344" s="131"/>
      <c r="C344" s="131"/>
      <c r="D344" s="131"/>
      <c r="E344" s="131"/>
      <c r="F344" s="131"/>
    </row>
    <row r="345">
      <c r="A345" s="131"/>
      <c r="B345" s="131"/>
      <c r="C345" s="131"/>
      <c r="D345" s="131"/>
      <c r="E345" s="131"/>
      <c r="F345" s="131"/>
    </row>
    <row r="346">
      <c r="A346" s="131"/>
      <c r="B346" s="131"/>
      <c r="C346" s="131"/>
      <c r="D346" s="131"/>
      <c r="E346" s="131"/>
      <c r="F346" s="131"/>
    </row>
    <row r="347">
      <c r="A347" s="131"/>
      <c r="B347" s="131"/>
      <c r="C347" s="131"/>
      <c r="D347" s="131"/>
      <c r="E347" s="131"/>
      <c r="F347" s="131"/>
    </row>
    <row r="348">
      <c r="A348" s="131"/>
      <c r="B348" s="131"/>
      <c r="C348" s="131"/>
      <c r="D348" s="131"/>
      <c r="E348" s="131"/>
      <c r="F348" s="131"/>
    </row>
    <row r="349">
      <c r="A349" s="131"/>
      <c r="B349" s="131"/>
      <c r="C349" s="131"/>
      <c r="D349" s="131"/>
      <c r="E349" s="131"/>
      <c r="F349" s="131"/>
    </row>
    <row r="350">
      <c r="A350" s="131"/>
      <c r="B350" s="131"/>
      <c r="C350" s="131"/>
      <c r="D350" s="131"/>
      <c r="E350" s="131"/>
      <c r="F350" s="131"/>
    </row>
    <row r="351">
      <c r="A351" s="131"/>
      <c r="B351" s="131"/>
      <c r="C351" s="131"/>
      <c r="D351" s="131"/>
      <c r="E351" s="131"/>
      <c r="F351" s="131"/>
    </row>
    <row r="352">
      <c r="A352" s="131"/>
      <c r="B352" s="131"/>
      <c r="C352" s="131"/>
      <c r="D352" s="131"/>
      <c r="E352" s="131"/>
      <c r="F352" s="131"/>
    </row>
    <row r="353">
      <c r="A353" s="131"/>
      <c r="B353" s="131"/>
      <c r="C353" s="131"/>
      <c r="D353" s="131"/>
      <c r="E353" s="131"/>
      <c r="F353" s="131"/>
    </row>
    <row r="354">
      <c r="A354" s="131"/>
      <c r="B354" s="131"/>
      <c r="C354" s="131"/>
      <c r="D354" s="131"/>
      <c r="E354" s="131"/>
      <c r="F354" s="131"/>
    </row>
    <row r="355">
      <c r="A355" s="131"/>
      <c r="B355" s="131"/>
      <c r="C355" s="131"/>
      <c r="D355" s="131"/>
      <c r="E355" s="131"/>
      <c r="F355" s="131"/>
    </row>
    <row r="356">
      <c r="A356" s="131"/>
      <c r="B356" s="131"/>
      <c r="C356" s="131"/>
      <c r="D356" s="131"/>
      <c r="E356" s="131"/>
      <c r="F356" s="131"/>
    </row>
    <row r="357">
      <c r="A357" s="131"/>
      <c r="B357" s="131"/>
      <c r="C357" s="131"/>
      <c r="D357" s="131"/>
      <c r="E357" s="131"/>
      <c r="F357" s="131"/>
    </row>
    <row r="358">
      <c r="A358" s="131"/>
      <c r="B358" s="131"/>
      <c r="C358" s="131"/>
      <c r="D358" s="131"/>
      <c r="E358" s="131"/>
      <c r="F358" s="131"/>
    </row>
    <row r="359">
      <c r="A359" s="131"/>
      <c r="B359" s="131"/>
      <c r="C359" s="131"/>
      <c r="D359" s="131"/>
      <c r="E359" s="131"/>
      <c r="F359" s="131"/>
    </row>
    <row r="360">
      <c r="A360" s="131"/>
      <c r="B360" s="131"/>
      <c r="C360" s="131"/>
      <c r="D360" s="131"/>
      <c r="E360" s="131"/>
      <c r="F360" s="131"/>
    </row>
    <row r="361">
      <c r="A361" s="131"/>
      <c r="B361" s="131"/>
      <c r="C361" s="131"/>
      <c r="D361" s="131"/>
      <c r="E361" s="131"/>
      <c r="F361" s="131"/>
    </row>
    <row r="362">
      <c r="A362" s="131"/>
      <c r="B362" s="131"/>
      <c r="C362" s="131"/>
      <c r="D362" s="131"/>
      <c r="E362" s="131"/>
      <c r="F362" s="131"/>
    </row>
    <row r="363">
      <c r="A363" s="131"/>
      <c r="B363" s="131"/>
      <c r="C363" s="131"/>
      <c r="D363" s="131"/>
      <c r="E363" s="131"/>
      <c r="F363" s="131"/>
    </row>
    <row r="364">
      <c r="A364" s="131"/>
      <c r="B364" s="131"/>
      <c r="C364" s="131"/>
      <c r="D364" s="131"/>
      <c r="E364" s="131"/>
      <c r="F364" s="131"/>
    </row>
    <row r="365">
      <c r="A365" s="131"/>
      <c r="B365" s="131"/>
      <c r="C365" s="131"/>
      <c r="D365" s="131"/>
      <c r="E365" s="131"/>
      <c r="F365" s="131"/>
    </row>
    <row r="366">
      <c r="A366" s="131"/>
      <c r="B366" s="131"/>
      <c r="C366" s="131"/>
      <c r="D366" s="131"/>
      <c r="E366" s="131"/>
      <c r="F366" s="131"/>
    </row>
    <row r="367">
      <c r="A367" s="131"/>
      <c r="B367" s="131"/>
      <c r="C367" s="131"/>
      <c r="D367" s="131"/>
      <c r="E367" s="131"/>
      <c r="F367" s="131"/>
    </row>
    <row r="368">
      <c r="A368" s="131"/>
      <c r="B368" s="131"/>
      <c r="C368" s="131"/>
      <c r="D368" s="131"/>
      <c r="E368" s="131"/>
      <c r="F368" s="131"/>
    </row>
    <row r="369">
      <c r="A369" s="131"/>
      <c r="B369" s="131"/>
      <c r="C369" s="131"/>
      <c r="D369" s="131"/>
      <c r="E369" s="131"/>
      <c r="F369" s="131"/>
    </row>
    <row r="370">
      <c r="A370" s="131"/>
      <c r="B370" s="131"/>
      <c r="C370" s="131"/>
      <c r="D370" s="131"/>
      <c r="E370" s="131"/>
      <c r="F370" s="131"/>
    </row>
    <row r="371">
      <c r="A371" s="131"/>
      <c r="B371" s="131"/>
      <c r="C371" s="131"/>
      <c r="D371" s="131"/>
      <c r="E371" s="131"/>
      <c r="F371" s="131"/>
    </row>
    <row r="372">
      <c r="A372" s="131"/>
      <c r="B372" s="131"/>
      <c r="C372" s="131"/>
      <c r="D372" s="131"/>
      <c r="E372" s="131"/>
      <c r="F372" s="131"/>
    </row>
    <row r="373">
      <c r="A373" s="131"/>
      <c r="B373" s="131"/>
      <c r="C373" s="131"/>
      <c r="D373" s="131"/>
      <c r="E373" s="131"/>
      <c r="F373" s="131"/>
    </row>
    <row r="374">
      <c r="A374" s="131"/>
      <c r="B374" s="131"/>
      <c r="C374" s="131"/>
      <c r="D374" s="131"/>
      <c r="E374" s="131"/>
      <c r="F374" s="131"/>
    </row>
    <row r="375">
      <c r="A375" s="131"/>
      <c r="B375" s="131"/>
      <c r="C375" s="131"/>
      <c r="D375" s="131"/>
      <c r="E375" s="131"/>
      <c r="F375" s="131"/>
    </row>
    <row r="376">
      <c r="A376" s="131"/>
      <c r="B376" s="131"/>
      <c r="C376" s="131"/>
      <c r="D376" s="131"/>
      <c r="E376" s="131"/>
      <c r="F376" s="131"/>
    </row>
    <row r="377">
      <c r="A377" s="131"/>
      <c r="B377" s="131"/>
      <c r="C377" s="131"/>
      <c r="D377" s="131"/>
      <c r="E377" s="131"/>
      <c r="F377" s="131"/>
    </row>
    <row r="378">
      <c r="A378" s="131"/>
      <c r="B378" s="131"/>
      <c r="C378" s="131"/>
      <c r="D378" s="131"/>
      <c r="E378" s="131"/>
      <c r="F378" s="131"/>
    </row>
    <row r="379">
      <c r="A379" s="131"/>
      <c r="B379" s="131"/>
      <c r="C379" s="131"/>
      <c r="D379" s="131"/>
      <c r="E379" s="131"/>
      <c r="F379" s="131"/>
    </row>
    <row r="380">
      <c r="A380" s="131"/>
      <c r="B380" s="131"/>
      <c r="C380" s="131"/>
      <c r="D380" s="131"/>
      <c r="E380" s="131"/>
      <c r="F380" s="131"/>
    </row>
    <row r="381">
      <c r="A381" s="131"/>
      <c r="B381" s="131"/>
      <c r="C381" s="131"/>
      <c r="D381" s="131"/>
      <c r="E381" s="131"/>
      <c r="F381" s="131"/>
    </row>
    <row r="382">
      <c r="A382" s="131"/>
      <c r="B382" s="131"/>
      <c r="C382" s="131"/>
      <c r="D382" s="131"/>
      <c r="E382" s="131"/>
      <c r="F382" s="131"/>
    </row>
    <row r="383">
      <c r="A383" s="131"/>
      <c r="B383" s="131"/>
      <c r="C383" s="131"/>
      <c r="D383" s="131"/>
      <c r="E383" s="131"/>
      <c r="F383" s="131"/>
    </row>
    <row r="384">
      <c r="A384" s="131"/>
      <c r="B384" s="131"/>
      <c r="C384" s="131"/>
      <c r="D384" s="131"/>
      <c r="E384" s="131"/>
      <c r="F384" s="131"/>
    </row>
    <row r="385">
      <c r="A385" s="131"/>
      <c r="B385" s="131"/>
      <c r="C385" s="131"/>
      <c r="D385" s="131"/>
      <c r="E385" s="131"/>
      <c r="F385" s="131"/>
    </row>
    <row r="386">
      <c r="A386" s="131"/>
      <c r="B386" s="131"/>
      <c r="C386" s="131"/>
      <c r="D386" s="131"/>
      <c r="E386" s="131"/>
      <c r="F386" s="131"/>
    </row>
    <row r="387">
      <c r="A387" s="131"/>
      <c r="B387" s="131"/>
      <c r="C387" s="131"/>
      <c r="D387" s="131"/>
      <c r="E387" s="131"/>
      <c r="F387" s="131"/>
    </row>
    <row r="388">
      <c r="A388" s="131"/>
      <c r="B388" s="131"/>
      <c r="C388" s="131"/>
      <c r="D388" s="131"/>
      <c r="E388" s="131"/>
      <c r="F388" s="131"/>
    </row>
    <row r="389">
      <c r="A389" s="131"/>
      <c r="B389" s="131"/>
      <c r="C389" s="131"/>
      <c r="D389" s="131"/>
      <c r="E389" s="131"/>
      <c r="F389" s="131"/>
    </row>
    <row r="390">
      <c r="A390" s="131"/>
      <c r="B390" s="131"/>
      <c r="C390" s="131"/>
      <c r="D390" s="131"/>
      <c r="E390" s="131"/>
      <c r="F390" s="131"/>
    </row>
    <row r="391">
      <c r="A391" s="131"/>
      <c r="B391" s="131"/>
      <c r="C391" s="131"/>
      <c r="D391" s="131"/>
      <c r="E391" s="131"/>
      <c r="F391" s="131"/>
    </row>
    <row r="392">
      <c r="A392" s="131"/>
      <c r="B392" s="131"/>
      <c r="C392" s="131"/>
      <c r="D392" s="131"/>
      <c r="E392" s="131"/>
      <c r="F392" s="131"/>
    </row>
    <row r="393">
      <c r="A393" s="131"/>
      <c r="B393" s="131"/>
      <c r="C393" s="131"/>
      <c r="D393" s="131"/>
      <c r="E393" s="131"/>
      <c r="F393" s="131"/>
    </row>
    <row r="394">
      <c r="A394" s="131"/>
      <c r="B394" s="131"/>
      <c r="C394" s="131"/>
      <c r="D394" s="131"/>
      <c r="E394" s="131"/>
      <c r="F394" s="131"/>
    </row>
    <row r="395">
      <c r="A395" s="131"/>
      <c r="B395" s="131"/>
      <c r="C395" s="131"/>
      <c r="D395" s="131"/>
      <c r="E395" s="131"/>
      <c r="F395" s="131"/>
    </row>
    <row r="396">
      <c r="A396" s="131"/>
      <c r="B396" s="131"/>
      <c r="C396" s="131"/>
      <c r="D396" s="131"/>
      <c r="E396" s="131"/>
      <c r="F396" s="131"/>
    </row>
    <row r="397">
      <c r="A397" s="131"/>
      <c r="B397" s="131"/>
      <c r="C397" s="131"/>
      <c r="D397" s="131"/>
      <c r="E397" s="131"/>
      <c r="F397" s="131"/>
    </row>
    <row r="398">
      <c r="A398" s="131"/>
      <c r="B398" s="131"/>
      <c r="C398" s="131"/>
      <c r="D398" s="131"/>
      <c r="E398" s="131"/>
      <c r="F398" s="131"/>
    </row>
    <row r="399">
      <c r="A399" s="131"/>
      <c r="B399" s="131"/>
      <c r="C399" s="131"/>
      <c r="D399" s="131"/>
      <c r="E399" s="131"/>
      <c r="F399" s="131"/>
    </row>
    <row r="400">
      <c r="A400" s="131"/>
      <c r="B400" s="131"/>
      <c r="C400" s="131"/>
      <c r="D400" s="131"/>
      <c r="E400" s="131"/>
      <c r="F400" s="131"/>
    </row>
    <row r="401">
      <c r="A401" s="131"/>
      <c r="B401" s="131"/>
      <c r="C401" s="131"/>
      <c r="D401" s="131"/>
      <c r="E401" s="131"/>
      <c r="F401" s="131"/>
    </row>
    <row r="402">
      <c r="A402" s="131"/>
      <c r="B402" s="131"/>
      <c r="C402" s="131"/>
      <c r="D402" s="131"/>
      <c r="E402" s="131"/>
      <c r="F402" s="131"/>
    </row>
    <row r="403">
      <c r="A403" s="131"/>
      <c r="B403" s="131"/>
      <c r="C403" s="131"/>
      <c r="D403" s="131"/>
      <c r="E403" s="131"/>
      <c r="F403" s="131"/>
    </row>
    <row r="404">
      <c r="A404" s="131"/>
      <c r="B404" s="131"/>
      <c r="C404" s="131"/>
      <c r="D404" s="131"/>
      <c r="E404" s="131"/>
      <c r="F404" s="131"/>
    </row>
    <row r="405">
      <c r="A405" s="131"/>
      <c r="B405" s="131"/>
      <c r="C405" s="131"/>
      <c r="D405" s="131"/>
      <c r="E405" s="131"/>
      <c r="F405" s="131"/>
    </row>
    <row r="406">
      <c r="A406" s="131"/>
      <c r="B406" s="131"/>
      <c r="C406" s="131"/>
      <c r="D406" s="131"/>
      <c r="E406" s="131"/>
      <c r="F406" s="131"/>
    </row>
    <row r="407">
      <c r="A407" s="131"/>
      <c r="B407" s="131"/>
      <c r="C407" s="131"/>
      <c r="D407" s="131"/>
      <c r="E407" s="131"/>
      <c r="F407" s="131"/>
    </row>
    <row r="408">
      <c r="A408" s="131"/>
      <c r="B408" s="131"/>
      <c r="C408" s="131"/>
      <c r="D408" s="131"/>
      <c r="E408" s="131"/>
      <c r="F408" s="131"/>
    </row>
    <row r="409">
      <c r="A409" s="131"/>
      <c r="B409" s="131"/>
      <c r="C409" s="131"/>
      <c r="D409" s="131"/>
      <c r="E409" s="131"/>
      <c r="F409" s="131"/>
    </row>
    <row r="410">
      <c r="A410" s="131"/>
      <c r="B410" s="131"/>
      <c r="C410" s="131"/>
      <c r="D410" s="131"/>
      <c r="E410" s="131"/>
      <c r="F410" s="131"/>
    </row>
    <row r="411">
      <c r="A411" s="131"/>
      <c r="B411" s="131"/>
      <c r="C411" s="131"/>
      <c r="D411" s="131"/>
      <c r="E411" s="131"/>
      <c r="F411" s="131"/>
    </row>
    <row r="412">
      <c r="A412" s="131"/>
      <c r="B412" s="131"/>
      <c r="C412" s="131"/>
      <c r="D412" s="131"/>
      <c r="E412" s="131"/>
      <c r="F412" s="131"/>
    </row>
    <row r="413">
      <c r="A413" s="131"/>
      <c r="B413" s="131"/>
      <c r="C413" s="131"/>
      <c r="D413" s="131"/>
      <c r="E413" s="131"/>
      <c r="F413" s="131"/>
    </row>
    <row r="414">
      <c r="A414" s="131"/>
      <c r="B414" s="131"/>
      <c r="C414" s="131"/>
      <c r="D414" s="131"/>
      <c r="E414" s="131"/>
      <c r="F414" s="131"/>
    </row>
    <row r="415">
      <c r="A415" s="131"/>
      <c r="B415" s="131"/>
      <c r="C415" s="131"/>
      <c r="D415" s="131"/>
      <c r="E415" s="131"/>
      <c r="F415" s="131"/>
    </row>
    <row r="416">
      <c r="A416" s="131"/>
      <c r="B416" s="131"/>
      <c r="C416" s="131"/>
      <c r="D416" s="131"/>
      <c r="E416" s="131"/>
      <c r="F416" s="131"/>
    </row>
    <row r="417">
      <c r="A417" s="131"/>
      <c r="B417" s="131"/>
      <c r="C417" s="131"/>
      <c r="D417" s="131"/>
      <c r="E417" s="131"/>
      <c r="F417" s="131"/>
    </row>
    <row r="418">
      <c r="A418" s="131"/>
      <c r="B418" s="131"/>
      <c r="C418" s="131"/>
      <c r="D418" s="131"/>
      <c r="E418" s="131"/>
      <c r="F418" s="131"/>
    </row>
    <row r="419">
      <c r="A419" s="131"/>
      <c r="B419" s="131"/>
      <c r="C419" s="131"/>
      <c r="D419" s="131"/>
      <c r="E419" s="131"/>
      <c r="F419" s="131"/>
    </row>
    <row r="420">
      <c r="A420" s="131"/>
      <c r="B420" s="131"/>
      <c r="C420" s="131"/>
      <c r="D420" s="131"/>
      <c r="E420" s="131"/>
      <c r="F420" s="131"/>
    </row>
    <row r="421">
      <c r="A421" s="131"/>
      <c r="B421" s="131"/>
      <c r="C421" s="131"/>
      <c r="D421" s="131"/>
      <c r="E421" s="131"/>
      <c r="F421" s="131"/>
    </row>
    <row r="422">
      <c r="A422" s="131"/>
      <c r="B422" s="131"/>
      <c r="C422" s="131"/>
      <c r="D422" s="131"/>
      <c r="E422" s="131"/>
      <c r="F422" s="131"/>
    </row>
    <row r="423">
      <c r="A423" s="131"/>
      <c r="B423" s="131"/>
      <c r="C423" s="131"/>
      <c r="D423" s="131"/>
      <c r="E423" s="131"/>
      <c r="F423" s="131"/>
    </row>
    <row r="424">
      <c r="A424" s="131"/>
      <c r="B424" s="131"/>
      <c r="C424" s="131"/>
      <c r="D424" s="131"/>
      <c r="E424" s="131"/>
      <c r="F424" s="131"/>
    </row>
    <row r="425">
      <c r="A425" s="131"/>
      <c r="B425" s="131"/>
      <c r="C425" s="131"/>
      <c r="D425" s="131"/>
      <c r="E425" s="131"/>
      <c r="F425" s="131"/>
    </row>
    <row r="426">
      <c r="A426" s="131"/>
      <c r="B426" s="131"/>
      <c r="C426" s="131"/>
      <c r="D426" s="131"/>
      <c r="E426" s="131"/>
      <c r="F426" s="131"/>
    </row>
    <row r="427">
      <c r="A427" s="131"/>
      <c r="B427" s="131"/>
      <c r="C427" s="131"/>
      <c r="D427" s="131"/>
      <c r="E427" s="131"/>
      <c r="F427" s="131"/>
    </row>
    <row r="428">
      <c r="A428" s="131"/>
      <c r="B428" s="131"/>
      <c r="C428" s="131"/>
      <c r="D428" s="131"/>
      <c r="E428" s="131"/>
      <c r="F428" s="131"/>
    </row>
    <row r="429">
      <c r="A429" s="131"/>
      <c r="B429" s="131"/>
      <c r="C429" s="131"/>
      <c r="D429" s="131"/>
      <c r="E429" s="131"/>
      <c r="F429" s="131"/>
    </row>
    <row r="430">
      <c r="A430" s="131"/>
      <c r="B430" s="131"/>
      <c r="C430" s="131"/>
      <c r="D430" s="131"/>
      <c r="E430" s="131"/>
      <c r="F430" s="131"/>
    </row>
    <row r="431">
      <c r="A431" s="131"/>
      <c r="B431" s="131"/>
      <c r="C431" s="131"/>
      <c r="D431" s="131"/>
      <c r="E431" s="131"/>
      <c r="F431" s="131"/>
    </row>
    <row r="432">
      <c r="A432" s="131"/>
      <c r="B432" s="131"/>
      <c r="C432" s="131"/>
      <c r="D432" s="131"/>
      <c r="E432" s="131"/>
      <c r="F432" s="131"/>
    </row>
    <row r="433">
      <c r="A433" s="131"/>
      <c r="B433" s="131"/>
      <c r="C433" s="131"/>
      <c r="D433" s="131"/>
      <c r="E433" s="131"/>
      <c r="F433" s="131"/>
    </row>
    <row r="434">
      <c r="A434" s="131"/>
      <c r="B434" s="131"/>
      <c r="C434" s="131"/>
      <c r="D434" s="131"/>
      <c r="E434" s="131"/>
      <c r="F434" s="131"/>
    </row>
    <row r="435">
      <c r="A435" s="131"/>
      <c r="B435" s="131"/>
      <c r="C435" s="131"/>
      <c r="D435" s="131"/>
      <c r="E435" s="131"/>
      <c r="F435" s="131"/>
    </row>
    <row r="436">
      <c r="A436" s="131"/>
      <c r="B436" s="131"/>
      <c r="C436" s="131"/>
      <c r="D436" s="131"/>
      <c r="E436" s="131"/>
      <c r="F436" s="131"/>
    </row>
    <row r="437">
      <c r="A437" s="131"/>
      <c r="B437" s="131"/>
      <c r="C437" s="131"/>
      <c r="D437" s="131"/>
      <c r="E437" s="131"/>
      <c r="F437" s="131"/>
    </row>
    <row r="438">
      <c r="A438" s="131"/>
      <c r="B438" s="131"/>
      <c r="C438" s="131"/>
      <c r="D438" s="131"/>
      <c r="E438" s="131"/>
      <c r="F438" s="131"/>
    </row>
    <row r="439">
      <c r="A439" s="131"/>
      <c r="B439" s="131"/>
      <c r="C439" s="131"/>
      <c r="D439" s="131"/>
      <c r="E439" s="131"/>
      <c r="F439" s="131"/>
    </row>
    <row r="440">
      <c r="A440" s="131"/>
      <c r="B440" s="131"/>
      <c r="C440" s="131"/>
      <c r="D440" s="131"/>
      <c r="E440" s="131"/>
      <c r="F440" s="131"/>
    </row>
    <row r="441">
      <c r="A441" s="131"/>
      <c r="B441" s="131"/>
      <c r="C441" s="131"/>
      <c r="D441" s="131"/>
      <c r="E441" s="131"/>
      <c r="F441" s="131"/>
    </row>
    <row r="442">
      <c r="A442" s="131"/>
      <c r="B442" s="131"/>
      <c r="C442" s="131"/>
      <c r="D442" s="131"/>
      <c r="E442" s="131"/>
      <c r="F442" s="131"/>
    </row>
    <row r="443">
      <c r="A443" s="131"/>
      <c r="B443" s="131"/>
      <c r="C443" s="131"/>
      <c r="D443" s="131"/>
      <c r="E443" s="131"/>
      <c r="F443" s="131"/>
    </row>
    <row r="444">
      <c r="A444" s="131"/>
      <c r="B444" s="131"/>
      <c r="C444" s="131"/>
      <c r="D444" s="131"/>
      <c r="E444" s="131"/>
      <c r="F444" s="131"/>
    </row>
    <row r="445">
      <c r="A445" s="131"/>
      <c r="B445" s="131"/>
      <c r="C445" s="131"/>
      <c r="D445" s="131"/>
      <c r="E445" s="131"/>
      <c r="F445" s="131"/>
    </row>
    <row r="446">
      <c r="A446" s="131"/>
      <c r="B446" s="131"/>
      <c r="C446" s="131"/>
      <c r="D446" s="131"/>
      <c r="E446" s="131"/>
      <c r="F446" s="131"/>
    </row>
    <row r="447">
      <c r="A447" s="131"/>
      <c r="B447" s="131"/>
      <c r="C447" s="131"/>
      <c r="D447" s="131"/>
      <c r="E447" s="131"/>
      <c r="F447" s="131"/>
    </row>
    <row r="448">
      <c r="A448" s="131"/>
      <c r="B448" s="131"/>
      <c r="C448" s="131"/>
      <c r="D448" s="131"/>
      <c r="E448" s="131"/>
      <c r="F448" s="131"/>
    </row>
    <row r="449">
      <c r="A449" s="131"/>
      <c r="B449" s="131"/>
      <c r="C449" s="131"/>
      <c r="D449" s="131"/>
      <c r="E449" s="131"/>
      <c r="F449" s="131"/>
    </row>
    <row r="450">
      <c r="A450" s="131"/>
      <c r="B450" s="131"/>
      <c r="C450" s="131"/>
      <c r="D450" s="131"/>
      <c r="E450" s="131"/>
      <c r="F450" s="131"/>
    </row>
    <row r="451">
      <c r="A451" s="131"/>
      <c r="B451" s="131"/>
      <c r="C451" s="131"/>
      <c r="D451" s="131"/>
      <c r="E451" s="131"/>
      <c r="F451" s="131"/>
    </row>
    <row r="452">
      <c r="A452" s="131"/>
      <c r="B452" s="131"/>
      <c r="C452" s="131"/>
      <c r="D452" s="131"/>
      <c r="E452" s="131"/>
      <c r="F452" s="131"/>
    </row>
    <row r="453">
      <c r="A453" s="131"/>
      <c r="B453" s="131"/>
      <c r="C453" s="131"/>
      <c r="D453" s="131"/>
      <c r="E453" s="131"/>
      <c r="F453" s="131"/>
    </row>
    <row r="454">
      <c r="A454" s="131"/>
      <c r="B454" s="131"/>
      <c r="C454" s="131"/>
      <c r="D454" s="131"/>
      <c r="E454" s="131"/>
      <c r="F454" s="131"/>
    </row>
    <row r="455">
      <c r="A455" s="131"/>
      <c r="B455" s="131"/>
      <c r="C455" s="131"/>
      <c r="D455" s="131"/>
      <c r="E455" s="131"/>
      <c r="F455" s="131"/>
    </row>
    <row r="456">
      <c r="A456" s="131"/>
      <c r="B456" s="131"/>
      <c r="C456" s="131"/>
      <c r="D456" s="131"/>
      <c r="E456" s="131"/>
      <c r="F456" s="131"/>
    </row>
    <row r="457">
      <c r="A457" s="131"/>
      <c r="B457" s="131"/>
      <c r="C457" s="131"/>
      <c r="D457" s="131"/>
      <c r="E457" s="131"/>
      <c r="F457" s="131"/>
    </row>
    <row r="458">
      <c r="A458" s="131"/>
      <c r="B458" s="131"/>
      <c r="C458" s="131"/>
      <c r="D458" s="131"/>
      <c r="E458" s="131"/>
      <c r="F458" s="131"/>
    </row>
    <row r="459">
      <c r="A459" s="131"/>
      <c r="B459" s="131"/>
      <c r="C459" s="131"/>
      <c r="D459" s="131"/>
      <c r="E459" s="131"/>
      <c r="F459" s="131"/>
    </row>
    <row r="460">
      <c r="A460" s="131"/>
      <c r="B460" s="131"/>
      <c r="C460" s="131"/>
      <c r="D460" s="131"/>
      <c r="E460" s="131"/>
      <c r="F460" s="131"/>
    </row>
    <row r="461">
      <c r="A461" s="131"/>
      <c r="B461" s="131"/>
      <c r="C461" s="131"/>
      <c r="D461" s="131"/>
      <c r="E461" s="131"/>
      <c r="F461" s="131"/>
    </row>
    <row r="462">
      <c r="A462" s="131"/>
      <c r="B462" s="131"/>
      <c r="C462" s="131"/>
      <c r="D462" s="131"/>
      <c r="E462" s="131"/>
      <c r="F462" s="131"/>
    </row>
    <row r="463">
      <c r="A463" s="131"/>
      <c r="B463" s="131"/>
      <c r="C463" s="131"/>
      <c r="D463" s="131"/>
      <c r="E463" s="131"/>
      <c r="F463" s="131"/>
    </row>
    <row r="464">
      <c r="A464" s="131"/>
      <c r="B464" s="131"/>
      <c r="C464" s="131"/>
      <c r="D464" s="131"/>
      <c r="E464" s="131"/>
      <c r="F464" s="131"/>
    </row>
    <row r="465">
      <c r="A465" s="131"/>
      <c r="B465" s="131"/>
      <c r="C465" s="131"/>
      <c r="D465" s="131"/>
      <c r="E465" s="131"/>
      <c r="F465" s="131"/>
    </row>
    <row r="466">
      <c r="A466" s="131"/>
      <c r="B466" s="131"/>
      <c r="C466" s="131"/>
      <c r="D466" s="131"/>
      <c r="E466" s="131"/>
      <c r="F466" s="131"/>
    </row>
    <row r="467">
      <c r="A467" s="131"/>
      <c r="B467" s="131"/>
      <c r="C467" s="131"/>
      <c r="D467" s="131"/>
      <c r="E467" s="131"/>
      <c r="F467" s="131"/>
    </row>
    <row r="468">
      <c r="A468" s="131"/>
      <c r="B468" s="131"/>
      <c r="C468" s="131"/>
      <c r="D468" s="131"/>
      <c r="E468" s="131"/>
      <c r="F468" s="131"/>
    </row>
    <row r="469">
      <c r="A469" s="131"/>
      <c r="B469" s="131"/>
      <c r="C469" s="131"/>
      <c r="D469" s="131"/>
      <c r="E469" s="131"/>
      <c r="F469" s="131"/>
    </row>
    <row r="470">
      <c r="A470" s="131"/>
      <c r="B470" s="131"/>
      <c r="C470" s="131"/>
      <c r="D470" s="131"/>
      <c r="E470" s="131"/>
      <c r="F470" s="131"/>
    </row>
    <row r="471">
      <c r="A471" s="131"/>
      <c r="B471" s="131"/>
      <c r="C471" s="131"/>
      <c r="D471" s="131"/>
      <c r="E471" s="131"/>
      <c r="F471" s="131"/>
    </row>
    <row r="472">
      <c r="A472" s="131"/>
      <c r="B472" s="131"/>
      <c r="C472" s="131"/>
      <c r="D472" s="131"/>
      <c r="E472" s="131"/>
      <c r="F472" s="131"/>
    </row>
    <row r="473">
      <c r="A473" s="131"/>
      <c r="B473" s="131"/>
      <c r="C473" s="131"/>
      <c r="D473" s="131"/>
      <c r="E473" s="131"/>
      <c r="F473" s="131"/>
    </row>
    <row r="474">
      <c r="A474" s="131"/>
      <c r="B474" s="131"/>
      <c r="C474" s="131"/>
      <c r="D474" s="131"/>
      <c r="E474" s="131"/>
      <c r="F474" s="131"/>
    </row>
    <row r="475">
      <c r="A475" s="131"/>
      <c r="B475" s="131"/>
      <c r="C475" s="131"/>
      <c r="D475" s="131"/>
      <c r="E475" s="131"/>
      <c r="F475" s="131"/>
    </row>
    <row r="476">
      <c r="A476" s="131"/>
      <c r="B476" s="131"/>
      <c r="C476" s="131"/>
      <c r="D476" s="131"/>
      <c r="E476" s="131"/>
      <c r="F476" s="131"/>
    </row>
    <row r="477">
      <c r="A477" s="131"/>
      <c r="B477" s="131"/>
      <c r="C477" s="131"/>
      <c r="D477" s="131"/>
      <c r="E477" s="131"/>
      <c r="F477" s="131"/>
    </row>
    <row r="478">
      <c r="A478" s="131"/>
      <c r="B478" s="131"/>
      <c r="C478" s="131"/>
      <c r="D478" s="131"/>
      <c r="E478" s="131"/>
      <c r="F478" s="131"/>
    </row>
    <row r="479">
      <c r="A479" s="131"/>
      <c r="B479" s="131"/>
      <c r="C479" s="131"/>
      <c r="D479" s="131"/>
      <c r="E479" s="131"/>
      <c r="F479" s="131"/>
    </row>
    <row r="480">
      <c r="A480" s="131"/>
      <c r="B480" s="131"/>
      <c r="C480" s="131"/>
      <c r="D480" s="131"/>
      <c r="E480" s="131"/>
      <c r="F480" s="131"/>
    </row>
    <row r="481">
      <c r="A481" s="131"/>
      <c r="B481" s="131"/>
      <c r="C481" s="131"/>
      <c r="D481" s="131"/>
      <c r="E481" s="131"/>
      <c r="F481" s="131"/>
    </row>
    <row r="482">
      <c r="A482" s="131"/>
      <c r="B482" s="131"/>
      <c r="C482" s="131"/>
      <c r="D482" s="131"/>
      <c r="E482" s="131"/>
      <c r="F482" s="131"/>
    </row>
    <row r="483">
      <c r="A483" s="131"/>
      <c r="B483" s="131"/>
      <c r="C483" s="131"/>
      <c r="D483" s="131"/>
      <c r="E483" s="131"/>
      <c r="F483" s="131"/>
    </row>
    <row r="484">
      <c r="A484" s="131"/>
      <c r="B484" s="131"/>
      <c r="C484" s="131"/>
      <c r="D484" s="131"/>
      <c r="E484" s="131"/>
      <c r="F484" s="131"/>
    </row>
    <row r="485">
      <c r="A485" s="131"/>
      <c r="B485" s="131"/>
      <c r="C485" s="131"/>
      <c r="D485" s="131"/>
      <c r="E485" s="131"/>
      <c r="F485" s="131"/>
    </row>
    <row r="486">
      <c r="A486" s="131"/>
      <c r="B486" s="131"/>
      <c r="C486" s="131"/>
      <c r="D486" s="131"/>
      <c r="E486" s="131"/>
      <c r="F486" s="131"/>
    </row>
    <row r="487">
      <c r="A487" s="131"/>
      <c r="B487" s="131"/>
      <c r="C487" s="131"/>
      <c r="D487" s="131"/>
      <c r="E487" s="131"/>
      <c r="F487" s="131"/>
    </row>
    <row r="488">
      <c r="A488" s="131"/>
      <c r="B488" s="131"/>
      <c r="C488" s="131"/>
      <c r="D488" s="131"/>
      <c r="E488" s="131"/>
      <c r="F488" s="131"/>
    </row>
    <row r="489">
      <c r="A489" s="131"/>
      <c r="B489" s="131"/>
      <c r="C489" s="131"/>
      <c r="D489" s="131"/>
      <c r="E489" s="131"/>
      <c r="F489" s="131"/>
    </row>
    <row r="490">
      <c r="A490" s="131"/>
      <c r="B490" s="131"/>
      <c r="C490" s="131"/>
      <c r="D490" s="131"/>
      <c r="E490" s="131"/>
      <c r="F490" s="131"/>
    </row>
    <row r="491">
      <c r="A491" s="131"/>
      <c r="B491" s="131"/>
      <c r="C491" s="131"/>
      <c r="D491" s="131"/>
      <c r="E491" s="131"/>
      <c r="F491" s="131"/>
    </row>
    <row r="492">
      <c r="A492" s="131"/>
      <c r="B492" s="131"/>
      <c r="C492" s="131"/>
      <c r="D492" s="131"/>
      <c r="E492" s="131"/>
      <c r="F492" s="131"/>
    </row>
    <row r="493">
      <c r="A493" s="131"/>
      <c r="B493" s="131"/>
      <c r="C493" s="131"/>
      <c r="D493" s="131"/>
      <c r="E493" s="131"/>
      <c r="F493" s="131"/>
    </row>
    <row r="494">
      <c r="A494" s="131"/>
      <c r="B494" s="131"/>
      <c r="C494" s="131"/>
      <c r="D494" s="131"/>
      <c r="E494" s="131"/>
      <c r="F494" s="131"/>
    </row>
    <row r="495">
      <c r="A495" s="131"/>
      <c r="B495" s="131"/>
      <c r="C495" s="131"/>
      <c r="D495" s="131"/>
      <c r="E495" s="131"/>
      <c r="F495" s="131"/>
    </row>
    <row r="496">
      <c r="A496" s="131"/>
      <c r="B496" s="131"/>
      <c r="C496" s="131"/>
      <c r="D496" s="131"/>
      <c r="E496" s="131"/>
      <c r="F496" s="131"/>
    </row>
    <row r="497">
      <c r="A497" s="131"/>
      <c r="B497" s="131"/>
      <c r="C497" s="131"/>
      <c r="D497" s="131"/>
      <c r="E497" s="131"/>
      <c r="F497" s="131"/>
    </row>
    <row r="498">
      <c r="A498" s="131"/>
      <c r="B498" s="131"/>
      <c r="C498" s="131"/>
      <c r="D498" s="131"/>
      <c r="E498" s="131"/>
      <c r="F498" s="131"/>
    </row>
    <row r="499">
      <c r="A499" s="131"/>
      <c r="B499" s="131"/>
      <c r="C499" s="131"/>
      <c r="D499" s="131"/>
      <c r="E499" s="131"/>
      <c r="F499" s="131"/>
    </row>
    <row r="500">
      <c r="A500" s="131"/>
      <c r="B500" s="131"/>
      <c r="C500" s="131"/>
      <c r="D500" s="131"/>
      <c r="E500" s="131"/>
      <c r="F500" s="131"/>
    </row>
    <row r="501">
      <c r="A501" s="131"/>
      <c r="B501" s="131"/>
      <c r="C501" s="131"/>
      <c r="D501" s="131"/>
      <c r="E501" s="131"/>
      <c r="F501" s="131"/>
    </row>
    <row r="502">
      <c r="A502" s="131"/>
      <c r="B502" s="131"/>
      <c r="C502" s="131"/>
      <c r="D502" s="131"/>
      <c r="E502" s="131"/>
      <c r="F502" s="131"/>
    </row>
    <row r="503">
      <c r="A503" s="131"/>
      <c r="B503" s="131"/>
      <c r="C503" s="131"/>
      <c r="D503" s="131"/>
      <c r="E503" s="131"/>
      <c r="F503" s="131"/>
    </row>
    <row r="504">
      <c r="A504" s="131"/>
      <c r="B504" s="131"/>
      <c r="C504" s="131"/>
      <c r="D504" s="131"/>
      <c r="E504" s="131"/>
      <c r="F504" s="131"/>
    </row>
    <row r="505">
      <c r="A505" s="131"/>
      <c r="B505" s="131"/>
      <c r="C505" s="131"/>
      <c r="D505" s="131"/>
      <c r="E505" s="131"/>
      <c r="F505" s="131"/>
    </row>
    <row r="506">
      <c r="A506" s="131"/>
      <c r="B506" s="131"/>
      <c r="C506" s="131"/>
      <c r="D506" s="131"/>
      <c r="E506" s="131"/>
      <c r="F506" s="131"/>
    </row>
    <row r="507">
      <c r="A507" s="131"/>
      <c r="B507" s="131"/>
      <c r="C507" s="131"/>
      <c r="D507" s="131"/>
      <c r="E507" s="131"/>
      <c r="F507" s="131"/>
    </row>
    <row r="508">
      <c r="A508" s="131"/>
      <c r="B508" s="131"/>
      <c r="C508" s="131"/>
      <c r="D508" s="131"/>
      <c r="E508" s="131"/>
      <c r="F508" s="131"/>
    </row>
    <row r="509">
      <c r="A509" s="131"/>
      <c r="B509" s="131"/>
      <c r="C509" s="131"/>
      <c r="D509" s="131"/>
      <c r="E509" s="131"/>
      <c r="F509" s="131"/>
    </row>
    <row r="510">
      <c r="A510" s="131"/>
      <c r="B510" s="131"/>
      <c r="C510" s="131"/>
      <c r="D510" s="131"/>
      <c r="E510" s="131"/>
      <c r="F510" s="131"/>
    </row>
    <row r="511">
      <c r="A511" s="131"/>
      <c r="B511" s="131"/>
      <c r="C511" s="131"/>
      <c r="D511" s="131"/>
      <c r="E511" s="131"/>
      <c r="F511" s="131"/>
    </row>
    <row r="512">
      <c r="A512" s="131"/>
      <c r="B512" s="131"/>
      <c r="C512" s="131"/>
      <c r="D512" s="131"/>
      <c r="E512" s="131"/>
      <c r="F512" s="131"/>
    </row>
    <row r="513">
      <c r="A513" s="131"/>
      <c r="B513" s="131"/>
      <c r="C513" s="131"/>
      <c r="D513" s="131"/>
      <c r="E513" s="131"/>
      <c r="F513" s="131"/>
    </row>
    <row r="514">
      <c r="A514" s="131"/>
      <c r="B514" s="131"/>
      <c r="C514" s="131"/>
      <c r="D514" s="131"/>
      <c r="E514" s="131"/>
      <c r="F514" s="131"/>
    </row>
    <row r="515">
      <c r="A515" s="131"/>
      <c r="B515" s="131"/>
      <c r="C515" s="131"/>
      <c r="D515" s="131"/>
      <c r="E515" s="131"/>
      <c r="F515" s="131"/>
    </row>
    <row r="516">
      <c r="A516" s="131"/>
      <c r="B516" s="131"/>
      <c r="C516" s="131"/>
      <c r="D516" s="131"/>
      <c r="E516" s="131"/>
      <c r="F516" s="131"/>
    </row>
    <row r="517">
      <c r="A517" s="131"/>
      <c r="B517" s="131"/>
      <c r="C517" s="131"/>
      <c r="D517" s="131"/>
      <c r="E517" s="131"/>
      <c r="F517" s="131"/>
    </row>
    <row r="518">
      <c r="A518" s="131"/>
      <c r="B518" s="131"/>
      <c r="C518" s="131"/>
      <c r="D518" s="131"/>
      <c r="E518" s="131"/>
      <c r="F518" s="131"/>
    </row>
    <row r="519">
      <c r="A519" s="131"/>
      <c r="B519" s="131"/>
      <c r="C519" s="131"/>
      <c r="D519" s="131"/>
      <c r="E519" s="131"/>
      <c r="F519" s="131"/>
    </row>
    <row r="520">
      <c r="A520" s="131"/>
      <c r="B520" s="131"/>
      <c r="C520" s="131"/>
      <c r="D520" s="131"/>
      <c r="E520" s="131"/>
      <c r="F520" s="131"/>
    </row>
    <row r="521">
      <c r="A521" s="131"/>
      <c r="B521" s="131"/>
      <c r="C521" s="131"/>
      <c r="D521" s="131"/>
      <c r="E521" s="131"/>
      <c r="F521" s="131"/>
    </row>
    <row r="522">
      <c r="A522" s="131"/>
      <c r="B522" s="131"/>
      <c r="C522" s="131"/>
      <c r="D522" s="131"/>
      <c r="E522" s="131"/>
      <c r="F522" s="131"/>
    </row>
    <row r="523">
      <c r="A523" s="131"/>
      <c r="B523" s="131"/>
      <c r="C523" s="131"/>
      <c r="D523" s="131"/>
      <c r="E523" s="131"/>
      <c r="F523" s="131"/>
    </row>
    <row r="524">
      <c r="A524" s="131"/>
      <c r="B524" s="131"/>
      <c r="C524" s="131"/>
      <c r="D524" s="131"/>
      <c r="E524" s="131"/>
      <c r="F524" s="131"/>
    </row>
    <row r="525">
      <c r="A525" s="131"/>
      <c r="B525" s="131"/>
      <c r="C525" s="131"/>
      <c r="D525" s="131"/>
      <c r="E525" s="131"/>
      <c r="F525" s="131"/>
    </row>
    <row r="526">
      <c r="A526" s="131"/>
      <c r="B526" s="131"/>
      <c r="C526" s="131"/>
      <c r="D526" s="131"/>
      <c r="E526" s="131"/>
      <c r="F526" s="131"/>
    </row>
    <row r="527">
      <c r="A527" s="131"/>
      <c r="B527" s="131"/>
      <c r="C527" s="131"/>
      <c r="D527" s="131"/>
      <c r="E527" s="131"/>
      <c r="F527" s="131"/>
    </row>
    <row r="528">
      <c r="A528" s="131"/>
      <c r="B528" s="131"/>
      <c r="C528" s="131"/>
      <c r="D528" s="131"/>
      <c r="E528" s="131"/>
      <c r="F528" s="131"/>
    </row>
    <row r="529">
      <c r="A529" s="131"/>
      <c r="B529" s="131"/>
      <c r="C529" s="131"/>
      <c r="D529" s="131"/>
      <c r="E529" s="131"/>
      <c r="F529" s="131"/>
    </row>
    <row r="530">
      <c r="A530" s="131"/>
      <c r="B530" s="131"/>
      <c r="C530" s="131"/>
      <c r="D530" s="131"/>
      <c r="E530" s="131"/>
      <c r="F530" s="131"/>
    </row>
    <row r="531">
      <c r="A531" s="131"/>
      <c r="B531" s="131"/>
      <c r="C531" s="131"/>
      <c r="D531" s="131"/>
      <c r="E531" s="131"/>
      <c r="F531" s="131"/>
    </row>
    <row r="532">
      <c r="A532" s="131"/>
      <c r="B532" s="131"/>
      <c r="C532" s="131"/>
      <c r="D532" s="131"/>
      <c r="E532" s="131"/>
      <c r="F532" s="131"/>
    </row>
    <row r="533">
      <c r="A533" s="131"/>
      <c r="B533" s="131"/>
      <c r="C533" s="131"/>
      <c r="D533" s="131"/>
      <c r="E533" s="131"/>
      <c r="F533" s="131"/>
    </row>
    <row r="534">
      <c r="A534" s="131"/>
      <c r="B534" s="131"/>
      <c r="C534" s="131"/>
      <c r="D534" s="131"/>
      <c r="E534" s="131"/>
      <c r="F534" s="131"/>
    </row>
    <row r="535">
      <c r="A535" s="131"/>
      <c r="B535" s="131"/>
      <c r="C535" s="131"/>
      <c r="D535" s="131"/>
      <c r="E535" s="131"/>
      <c r="F535" s="131"/>
    </row>
    <row r="536">
      <c r="A536" s="131"/>
      <c r="B536" s="131"/>
      <c r="C536" s="131"/>
      <c r="D536" s="131"/>
      <c r="E536" s="131"/>
      <c r="F536" s="131"/>
    </row>
    <row r="537">
      <c r="A537" s="131"/>
      <c r="B537" s="131"/>
      <c r="C537" s="131"/>
      <c r="D537" s="131"/>
      <c r="E537" s="131"/>
      <c r="F537" s="131"/>
    </row>
    <row r="538">
      <c r="A538" s="131"/>
      <c r="B538" s="131"/>
      <c r="C538" s="131"/>
      <c r="D538" s="131"/>
      <c r="E538" s="131"/>
      <c r="F538" s="131"/>
    </row>
    <row r="539">
      <c r="A539" s="131"/>
      <c r="B539" s="131"/>
      <c r="C539" s="131"/>
      <c r="D539" s="131"/>
      <c r="E539" s="131"/>
      <c r="F539" s="131"/>
    </row>
    <row r="540">
      <c r="A540" s="131"/>
      <c r="B540" s="131"/>
      <c r="C540" s="131"/>
      <c r="D540" s="131"/>
      <c r="E540" s="131"/>
      <c r="F540" s="131"/>
    </row>
    <row r="541">
      <c r="A541" s="131"/>
      <c r="B541" s="131"/>
      <c r="C541" s="131"/>
      <c r="D541" s="131"/>
      <c r="E541" s="131"/>
      <c r="F541" s="131"/>
    </row>
    <row r="542">
      <c r="A542" s="131"/>
      <c r="B542" s="131"/>
      <c r="C542" s="131"/>
      <c r="D542" s="131"/>
      <c r="E542" s="131"/>
      <c r="F542" s="131"/>
    </row>
    <row r="543">
      <c r="A543" s="131"/>
      <c r="B543" s="131"/>
      <c r="C543" s="131"/>
      <c r="D543" s="131"/>
      <c r="E543" s="131"/>
      <c r="F543" s="131"/>
    </row>
    <row r="544">
      <c r="A544" s="131"/>
      <c r="B544" s="131"/>
      <c r="C544" s="131"/>
      <c r="D544" s="131"/>
      <c r="E544" s="131"/>
      <c r="F544" s="131"/>
    </row>
    <row r="545">
      <c r="A545" s="131"/>
      <c r="B545" s="131"/>
      <c r="C545" s="131"/>
      <c r="D545" s="131"/>
      <c r="E545" s="131"/>
      <c r="F545" s="131"/>
    </row>
    <row r="546">
      <c r="A546" s="131"/>
      <c r="B546" s="131"/>
      <c r="C546" s="131"/>
      <c r="D546" s="131"/>
      <c r="E546" s="131"/>
      <c r="F546" s="131"/>
    </row>
    <row r="547">
      <c r="A547" s="131"/>
      <c r="B547" s="131"/>
      <c r="C547" s="131"/>
      <c r="D547" s="131"/>
      <c r="E547" s="131"/>
      <c r="F547" s="131"/>
    </row>
    <row r="548">
      <c r="A548" s="131"/>
      <c r="B548" s="131"/>
      <c r="C548" s="131"/>
      <c r="D548" s="131"/>
      <c r="E548" s="131"/>
      <c r="F548" s="131"/>
    </row>
    <row r="549">
      <c r="A549" s="131"/>
      <c r="B549" s="131"/>
      <c r="C549" s="131"/>
      <c r="D549" s="131"/>
      <c r="E549" s="131"/>
      <c r="F549" s="131"/>
    </row>
    <row r="550">
      <c r="A550" s="131"/>
      <c r="B550" s="131"/>
      <c r="C550" s="131"/>
      <c r="D550" s="131"/>
      <c r="E550" s="131"/>
      <c r="F550" s="131"/>
    </row>
    <row r="551">
      <c r="A551" s="131"/>
      <c r="B551" s="131"/>
      <c r="C551" s="131"/>
      <c r="D551" s="131"/>
      <c r="E551" s="131"/>
      <c r="F551" s="131"/>
    </row>
    <row r="552">
      <c r="A552" s="131"/>
      <c r="B552" s="131"/>
      <c r="C552" s="131"/>
      <c r="D552" s="131"/>
      <c r="E552" s="131"/>
      <c r="F552" s="131"/>
    </row>
    <row r="553">
      <c r="A553" s="131"/>
      <c r="B553" s="131"/>
      <c r="C553" s="131"/>
      <c r="D553" s="131"/>
      <c r="E553" s="131"/>
      <c r="F553" s="131"/>
    </row>
    <row r="554">
      <c r="A554" s="131"/>
      <c r="B554" s="131"/>
      <c r="C554" s="131"/>
      <c r="D554" s="131"/>
      <c r="E554" s="131"/>
      <c r="F554" s="131"/>
    </row>
    <row r="555">
      <c r="A555" s="131"/>
      <c r="B555" s="131"/>
      <c r="C555" s="131"/>
      <c r="D555" s="131"/>
      <c r="E555" s="131"/>
      <c r="F555" s="131"/>
    </row>
    <row r="556">
      <c r="A556" s="131"/>
      <c r="B556" s="131"/>
      <c r="C556" s="131"/>
      <c r="D556" s="131"/>
      <c r="E556" s="131"/>
      <c r="F556" s="131"/>
    </row>
    <row r="557">
      <c r="A557" s="131"/>
      <c r="B557" s="131"/>
      <c r="C557" s="131"/>
      <c r="D557" s="131"/>
      <c r="E557" s="131"/>
      <c r="F557" s="131"/>
    </row>
    <row r="558">
      <c r="A558" s="131"/>
      <c r="B558" s="131"/>
      <c r="C558" s="131"/>
      <c r="D558" s="131"/>
      <c r="E558" s="131"/>
      <c r="F558" s="131"/>
    </row>
    <row r="559">
      <c r="A559" s="131"/>
      <c r="B559" s="131"/>
      <c r="C559" s="131"/>
      <c r="D559" s="131"/>
      <c r="E559" s="131"/>
      <c r="F559" s="131"/>
    </row>
    <row r="560">
      <c r="A560" s="131"/>
      <c r="B560" s="131"/>
      <c r="C560" s="131"/>
      <c r="D560" s="131"/>
      <c r="E560" s="131"/>
      <c r="F560" s="131"/>
    </row>
    <row r="561">
      <c r="A561" s="131"/>
      <c r="B561" s="131"/>
      <c r="C561" s="131"/>
      <c r="D561" s="131"/>
      <c r="E561" s="131"/>
      <c r="F561" s="131"/>
    </row>
    <row r="562">
      <c r="A562" s="131"/>
      <c r="B562" s="131"/>
      <c r="C562" s="131"/>
      <c r="D562" s="131"/>
      <c r="E562" s="131"/>
      <c r="F562" s="131"/>
    </row>
    <row r="563">
      <c r="A563" s="131"/>
      <c r="B563" s="131"/>
      <c r="C563" s="131"/>
      <c r="D563" s="131"/>
      <c r="E563" s="131"/>
      <c r="F563" s="131"/>
    </row>
    <row r="564">
      <c r="A564" s="131"/>
      <c r="B564" s="131"/>
      <c r="C564" s="131"/>
      <c r="D564" s="131"/>
      <c r="E564" s="131"/>
      <c r="F564" s="131"/>
    </row>
    <row r="565">
      <c r="A565" s="131"/>
      <c r="B565" s="131"/>
      <c r="C565" s="131"/>
      <c r="D565" s="131"/>
      <c r="E565" s="131"/>
      <c r="F565" s="131"/>
    </row>
    <row r="566">
      <c r="A566" s="131"/>
      <c r="B566" s="131"/>
      <c r="C566" s="131"/>
      <c r="D566" s="131"/>
      <c r="E566" s="131"/>
      <c r="F566" s="131"/>
    </row>
    <row r="567">
      <c r="A567" s="131"/>
      <c r="B567" s="131"/>
      <c r="C567" s="131"/>
      <c r="D567" s="131"/>
      <c r="E567" s="131"/>
      <c r="F567" s="131"/>
    </row>
    <row r="568">
      <c r="A568" s="131"/>
      <c r="B568" s="131"/>
      <c r="C568" s="131"/>
      <c r="D568" s="131"/>
      <c r="E568" s="131"/>
      <c r="F568" s="131"/>
    </row>
    <row r="569">
      <c r="A569" s="131"/>
      <c r="B569" s="131"/>
      <c r="C569" s="131"/>
      <c r="D569" s="131"/>
      <c r="E569" s="131"/>
      <c r="F569" s="131"/>
    </row>
    <row r="570">
      <c r="A570" s="131"/>
      <c r="B570" s="131"/>
      <c r="C570" s="131"/>
      <c r="D570" s="131"/>
      <c r="E570" s="131"/>
      <c r="F570" s="131"/>
    </row>
    <row r="571">
      <c r="A571" s="131"/>
      <c r="B571" s="131"/>
      <c r="C571" s="131"/>
      <c r="D571" s="131"/>
      <c r="E571" s="131"/>
      <c r="F571" s="131"/>
    </row>
    <row r="572">
      <c r="A572" s="131"/>
      <c r="B572" s="131"/>
      <c r="C572" s="131"/>
      <c r="D572" s="131"/>
      <c r="E572" s="131"/>
      <c r="F572" s="131"/>
    </row>
    <row r="573">
      <c r="A573" s="131"/>
      <c r="B573" s="131"/>
      <c r="C573" s="131"/>
      <c r="D573" s="131"/>
      <c r="E573" s="131"/>
      <c r="F573" s="131"/>
    </row>
    <row r="574">
      <c r="A574" s="131"/>
      <c r="B574" s="131"/>
      <c r="C574" s="131"/>
      <c r="D574" s="131"/>
      <c r="E574" s="131"/>
      <c r="F574" s="131"/>
    </row>
    <row r="575">
      <c r="A575" s="131"/>
      <c r="B575" s="131"/>
      <c r="C575" s="131"/>
      <c r="D575" s="131"/>
      <c r="E575" s="131"/>
      <c r="F575" s="131"/>
    </row>
    <row r="576">
      <c r="A576" s="131"/>
      <c r="B576" s="131"/>
      <c r="C576" s="131"/>
      <c r="D576" s="131"/>
      <c r="E576" s="131"/>
      <c r="F576" s="131"/>
    </row>
    <row r="577">
      <c r="A577" s="131"/>
      <c r="B577" s="131"/>
      <c r="C577" s="131"/>
      <c r="D577" s="131"/>
      <c r="E577" s="131"/>
      <c r="F577" s="131"/>
    </row>
    <row r="578">
      <c r="A578" s="131"/>
      <c r="B578" s="131"/>
      <c r="C578" s="131"/>
      <c r="D578" s="131"/>
      <c r="E578" s="131"/>
      <c r="F578" s="131"/>
    </row>
    <row r="579">
      <c r="A579" s="131"/>
      <c r="B579" s="131"/>
      <c r="C579" s="131"/>
      <c r="D579" s="131"/>
      <c r="E579" s="131"/>
      <c r="F579" s="131"/>
    </row>
    <row r="580">
      <c r="A580" s="131"/>
      <c r="B580" s="131"/>
      <c r="C580" s="131"/>
      <c r="D580" s="131"/>
      <c r="E580" s="131"/>
      <c r="F580" s="131"/>
    </row>
    <row r="581">
      <c r="A581" s="131"/>
      <c r="B581" s="131"/>
      <c r="C581" s="131"/>
      <c r="D581" s="131"/>
      <c r="E581" s="131"/>
      <c r="F581" s="131"/>
    </row>
    <row r="582">
      <c r="A582" s="131"/>
      <c r="B582" s="131"/>
      <c r="C582" s="131"/>
      <c r="D582" s="131"/>
      <c r="E582" s="131"/>
      <c r="F582" s="131"/>
    </row>
    <row r="583">
      <c r="A583" s="131"/>
      <c r="B583" s="131"/>
      <c r="C583" s="131"/>
      <c r="D583" s="131"/>
      <c r="E583" s="131"/>
      <c r="F583" s="131"/>
    </row>
    <row r="584">
      <c r="A584" s="131"/>
      <c r="B584" s="131"/>
      <c r="C584" s="131"/>
      <c r="D584" s="131"/>
      <c r="E584" s="131"/>
      <c r="F584" s="131"/>
    </row>
    <row r="585">
      <c r="A585" s="131"/>
      <c r="B585" s="131"/>
      <c r="C585" s="131"/>
      <c r="D585" s="131"/>
      <c r="E585" s="131"/>
      <c r="F585" s="131"/>
    </row>
    <row r="586">
      <c r="A586" s="131"/>
      <c r="B586" s="131"/>
      <c r="C586" s="131"/>
      <c r="D586" s="131"/>
      <c r="E586" s="131"/>
      <c r="F586" s="131"/>
    </row>
    <row r="587">
      <c r="A587" s="131"/>
      <c r="B587" s="131"/>
      <c r="C587" s="131"/>
      <c r="D587" s="131"/>
      <c r="E587" s="131"/>
      <c r="F587" s="131"/>
    </row>
    <row r="588">
      <c r="A588" s="131"/>
      <c r="B588" s="131"/>
      <c r="C588" s="131"/>
      <c r="D588" s="131"/>
      <c r="E588" s="131"/>
      <c r="F588" s="131"/>
    </row>
    <row r="589">
      <c r="A589" s="131"/>
      <c r="B589" s="131"/>
      <c r="C589" s="131"/>
      <c r="D589" s="131"/>
      <c r="E589" s="131"/>
      <c r="F589" s="131"/>
    </row>
    <row r="590">
      <c r="A590" s="131"/>
      <c r="B590" s="131"/>
      <c r="C590" s="131"/>
      <c r="D590" s="131"/>
      <c r="E590" s="131"/>
      <c r="F590" s="131"/>
    </row>
    <row r="591">
      <c r="A591" s="131"/>
      <c r="B591" s="131"/>
      <c r="C591" s="131"/>
      <c r="D591" s="131"/>
      <c r="E591" s="131"/>
      <c r="F591" s="131"/>
    </row>
    <row r="592">
      <c r="A592" s="131"/>
      <c r="B592" s="131"/>
      <c r="C592" s="131"/>
      <c r="D592" s="131"/>
      <c r="E592" s="131"/>
      <c r="F592" s="131"/>
    </row>
    <row r="593">
      <c r="A593" s="131"/>
      <c r="B593" s="131"/>
      <c r="C593" s="131"/>
      <c r="D593" s="131"/>
      <c r="E593" s="131"/>
      <c r="F593" s="131"/>
    </row>
    <row r="594">
      <c r="A594" s="131"/>
      <c r="B594" s="131"/>
      <c r="C594" s="131"/>
      <c r="D594" s="131"/>
      <c r="E594" s="131"/>
      <c r="F594" s="131"/>
    </row>
    <row r="595">
      <c r="A595" s="131"/>
      <c r="B595" s="131"/>
      <c r="C595" s="131"/>
      <c r="D595" s="131"/>
      <c r="E595" s="131"/>
      <c r="F595" s="131"/>
    </row>
    <row r="596">
      <c r="A596" s="131"/>
      <c r="B596" s="131"/>
      <c r="C596" s="131"/>
      <c r="D596" s="131"/>
      <c r="E596" s="131"/>
      <c r="F596" s="131"/>
    </row>
    <row r="597">
      <c r="A597" s="131"/>
      <c r="B597" s="131"/>
      <c r="C597" s="131"/>
      <c r="D597" s="131"/>
      <c r="E597" s="131"/>
      <c r="F597" s="131"/>
    </row>
    <row r="598">
      <c r="A598" s="131"/>
      <c r="B598" s="131"/>
      <c r="C598" s="131"/>
      <c r="D598" s="131"/>
      <c r="E598" s="131"/>
      <c r="F598" s="131"/>
    </row>
    <row r="599">
      <c r="A599" s="131"/>
      <c r="B599" s="131"/>
      <c r="C599" s="131"/>
      <c r="D599" s="131"/>
      <c r="E599" s="131"/>
      <c r="F599" s="131"/>
    </row>
    <row r="600">
      <c r="A600" s="131"/>
      <c r="B600" s="131"/>
      <c r="C600" s="131"/>
      <c r="D600" s="131"/>
      <c r="E600" s="131"/>
      <c r="F600" s="131"/>
    </row>
    <row r="601">
      <c r="A601" s="131"/>
      <c r="B601" s="131"/>
      <c r="C601" s="131"/>
      <c r="D601" s="131"/>
      <c r="E601" s="131"/>
      <c r="F601" s="131"/>
    </row>
    <row r="602">
      <c r="A602" s="131"/>
      <c r="B602" s="131"/>
      <c r="C602" s="131"/>
      <c r="D602" s="131"/>
      <c r="E602" s="131"/>
      <c r="F602" s="131"/>
    </row>
    <row r="603">
      <c r="A603" s="131"/>
      <c r="B603" s="131"/>
      <c r="C603" s="131"/>
      <c r="D603" s="131"/>
      <c r="E603" s="131"/>
      <c r="F603" s="131"/>
    </row>
    <row r="604">
      <c r="A604" s="131"/>
      <c r="B604" s="131"/>
      <c r="C604" s="131"/>
      <c r="D604" s="131"/>
      <c r="E604" s="131"/>
      <c r="F604" s="131"/>
    </row>
    <row r="605">
      <c r="A605" s="131"/>
      <c r="B605" s="131"/>
      <c r="C605" s="131"/>
      <c r="D605" s="131"/>
      <c r="E605" s="131"/>
      <c r="F605" s="131"/>
    </row>
    <row r="606">
      <c r="A606" s="131"/>
      <c r="B606" s="131"/>
      <c r="C606" s="131"/>
      <c r="D606" s="131"/>
      <c r="E606" s="131"/>
      <c r="F606" s="131"/>
    </row>
    <row r="607">
      <c r="A607" s="131"/>
      <c r="B607" s="131"/>
      <c r="C607" s="131"/>
      <c r="D607" s="131"/>
      <c r="E607" s="131"/>
      <c r="F607" s="131"/>
    </row>
    <row r="608">
      <c r="A608" s="131"/>
      <c r="B608" s="131"/>
      <c r="C608" s="131"/>
      <c r="D608" s="131"/>
      <c r="E608" s="131"/>
      <c r="F608" s="131"/>
    </row>
    <row r="609">
      <c r="A609" s="131"/>
      <c r="B609" s="131"/>
      <c r="C609" s="131"/>
      <c r="D609" s="131"/>
      <c r="E609" s="131"/>
      <c r="F609" s="131"/>
    </row>
    <row r="610">
      <c r="A610" s="131"/>
      <c r="B610" s="131"/>
      <c r="C610" s="131"/>
      <c r="D610" s="131"/>
      <c r="E610" s="131"/>
      <c r="F610" s="131"/>
    </row>
    <row r="611">
      <c r="A611" s="131"/>
      <c r="B611" s="131"/>
      <c r="C611" s="131"/>
      <c r="D611" s="131"/>
      <c r="E611" s="131"/>
      <c r="F611" s="131"/>
    </row>
    <row r="612">
      <c r="A612" s="131"/>
      <c r="B612" s="131"/>
      <c r="C612" s="131"/>
      <c r="D612" s="131"/>
      <c r="E612" s="131"/>
      <c r="F612" s="131"/>
    </row>
    <row r="613">
      <c r="A613" s="131"/>
      <c r="B613" s="131"/>
      <c r="C613" s="131"/>
      <c r="D613" s="131"/>
      <c r="E613" s="131"/>
      <c r="F613" s="131"/>
    </row>
    <row r="614">
      <c r="A614" s="131"/>
      <c r="B614" s="131"/>
      <c r="C614" s="131"/>
      <c r="D614" s="131"/>
      <c r="E614" s="131"/>
      <c r="F614" s="131"/>
    </row>
    <row r="615">
      <c r="A615" s="131"/>
      <c r="B615" s="131"/>
      <c r="C615" s="131"/>
      <c r="D615" s="131"/>
      <c r="E615" s="131"/>
      <c r="F615" s="131"/>
    </row>
    <row r="616">
      <c r="A616" s="131"/>
      <c r="B616" s="131"/>
      <c r="C616" s="131"/>
      <c r="D616" s="131"/>
      <c r="E616" s="131"/>
      <c r="F616" s="131"/>
    </row>
    <row r="617">
      <c r="A617" s="131"/>
      <c r="B617" s="131"/>
      <c r="C617" s="131"/>
      <c r="D617" s="131"/>
      <c r="E617" s="131"/>
      <c r="F617" s="131"/>
    </row>
    <row r="618">
      <c r="A618" s="131"/>
      <c r="B618" s="131"/>
      <c r="C618" s="131"/>
      <c r="D618" s="131"/>
      <c r="E618" s="131"/>
      <c r="F618" s="131"/>
    </row>
    <row r="619">
      <c r="A619" s="131"/>
      <c r="B619" s="131"/>
      <c r="C619" s="131"/>
      <c r="D619" s="131"/>
      <c r="E619" s="131"/>
      <c r="F619" s="131"/>
    </row>
    <row r="620">
      <c r="A620" s="131"/>
      <c r="B620" s="131"/>
      <c r="C620" s="131"/>
      <c r="D620" s="131"/>
      <c r="E620" s="131"/>
      <c r="F620" s="131"/>
    </row>
    <row r="621">
      <c r="A621" s="131"/>
      <c r="B621" s="131"/>
      <c r="C621" s="131"/>
      <c r="D621" s="131"/>
      <c r="E621" s="131"/>
      <c r="F621" s="131"/>
    </row>
    <row r="622">
      <c r="A622" s="131"/>
      <c r="B622" s="131"/>
      <c r="C622" s="131"/>
      <c r="D622" s="131"/>
      <c r="E622" s="131"/>
      <c r="F622" s="131"/>
    </row>
    <row r="623">
      <c r="A623" s="131"/>
      <c r="B623" s="131"/>
      <c r="C623" s="131"/>
      <c r="D623" s="131"/>
      <c r="E623" s="131"/>
      <c r="F623" s="131"/>
    </row>
    <row r="624">
      <c r="A624" s="131"/>
      <c r="B624" s="131"/>
      <c r="C624" s="131"/>
      <c r="D624" s="131"/>
      <c r="E624" s="131"/>
      <c r="F624" s="131"/>
    </row>
    <row r="625">
      <c r="A625" s="131"/>
      <c r="B625" s="131"/>
      <c r="C625" s="131"/>
      <c r="D625" s="131"/>
      <c r="E625" s="131"/>
      <c r="F625" s="131"/>
    </row>
    <row r="626">
      <c r="A626" s="131"/>
      <c r="B626" s="131"/>
      <c r="C626" s="131"/>
      <c r="D626" s="131"/>
      <c r="E626" s="131"/>
      <c r="F626" s="131"/>
    </row>
    <row r="627">
      <c r="A627" s="131"/>
      <c r="B627" s="131"/>
      <c r="C627" s="131"/>
      <c r="D627" s="131"/>
      <c r="E627" s="131"/>
      <c r="F627" s="131"/>
    </row>
    <row r="628">
      <c r="A628" s="131"/>
      <c r="B628" s="131"/>
      <c r="C628" s="131"/>
      <c r="D628" s="131"/>
      <c r="E628" s="131"/>
      <c r="F628" s="131"/>
    </row>
    <row r="629">
      <c r="A629" s="131"/>
      <c r="B629" s="131"/>
      <c r="C629" s="131"/>
      <c r="D629" s="131"/>
      <c r="E629" s="131"/>
      <c r="F629" s="131"/>
    </row>
    <row r="630">
      <c r="A630" s="131"/>
      <c r="B630" s="131"/>
      <c r="C630" s="131"/>
      <c r="D630" s="131"/>
      <c r="E630" s="131"/>
      <c r="F630" s="131"/>
    </row>
    <row r="631">
      <c r="A631" s="131"/>
      <c r="B631" s="131"/>
      <c r="C631" s="131"/>
      <c r="D631" s="131"/>
      <c r="E631" s="131"/>
      <c r="F631" s="131"/>
    </row>
    <row r="632">
      <c r="A632" s="131"/>
      <c r="B632" s="131"/>
      <c r="C632" s="131"/>
      <c r="D632" s="131"/>
      <c r="E632" s="131"/>
      <c r="F632" s="131"/>
    </row>
    <row r="633">
      <c r="A633" s="131"/>
      <c r="B633" s="131"/>
      <c r="C633" s="131"/>
      <c r="D633" s="131"/>
      <c r="E633" s="131"/>
      <c r="F633" s="131"/>
    </row>
    <row r="634">
      <c r="A634" s="131"/>
      <c r="B634" s="131"/>
      <c r="C634" s="131"/>
      <c r="D634" s="131"/>
      <c r="E634" s="131"/>
      <c r="F634" s="131"/>
    </row>
    <row r="635">
      <c r="A635" s="131"/>
      <c r="B635" s="131"/>
      <c r="C635" s="131"/>
      <c r="D635" s="131"/>
      <c r="E635" s="131"/>
      <c r="F635" s="131"/>
    </row>
    <row r="636">
      <c r="A636" s="131"/>
      <c r="B636" s="131"/>
      <c r="C636" s="131"/>
      <c r="D636" s="131"/>
      <c r="E636" s="131"/>
      <c r="F636" s="131"/>
    </row>
    <row r="637">
      <c r="A637" s="131"/>
      <c r="B637" s="131"/>
      <c r="C637" s="131"/>
      <c r="D637" s="131"/>
      <c r="E637" s="131"/>
      <c r="F637" s="131"/>
    </row>
    <row r="638">
      <c r="A638" s="131"/>
      <c r="B638" s="131"/>
      <c r="C638" s="131"/>
      <c r="D638" s="131"/>
      <c r="E638" s="131"/>
      <c r="F638" s="131"/>
    </row>
    <row r="639">
      <c r="A639" s="131"/>
      <c r="B639" s="131"/>
      <c r="C639" s="131"/>
      <c r="D639" s="131"/>
      <c r="E639" s="131"/>
      <c r="F639" s="131"/>
    </row>
    <row r="640">
      <c r="A640" s="131"/>
      <c r="B640" s="131"/>
      <c r="C640" s="131"/>
      <c r="D640" s="131"/>
      <c r="E640" s="131"/>
      <c r="F640" s="131"/>
    </row>
    <row r="641">
      <c r="A641" s="131"/>
      <c r="B641" s="131"/>
      <c r="C641" s="131"/>
      <c r="D641" s="131"/>
      <c r="E641" s="131"/>
      <c r="F641" s="131"/>
    </row>
    <row r="642">
      <c r="A642" s="131"/>
      <c r="B642" s="131"/>
      <c r="C642" s="131"/>
      <c r="D642" s="131"/>
      <c r="E642" s="131"/>
      <c r="F642" s="131"/>
    </row>
    <row r="643">
      <c r="A643" s="131"/>
      <c r="B643" s="131"/>
      <c r="C643" s="131"/>
      <c r="D643" s="131"/>
      <c r="E643" s="131"/>
      <c r="F643" s="131"/>
    </row>
    <row r="644">
      <c r="A644" s="131"/>
      <c r="B644" s="131"/>
      <c r="C644" s="131"/>
      <c r="D644" s="131"/>
      <c r="E644" s="131"/>
      <c r="F644" s="131"/>
    </row>
    <row r="645">
      <c r="A645" s="131"/>
      <c r="B645" s="131"/>
      <c r="C645" s="131"/>
      <c r="D645" s="131"/>
      <c r="E645" s="131"/>
      <c r="F645" s="131"/>
    </row>
    <row r="646">
      <c r="A646" s="131"/>
      <c r="B646" s="131"/>
      <c r="C646" s="131"/>
      <c r="D646" s="131"/>
      <c r="E646" s="131"/>
      <c r="F646" s="131"/>
    </row>
    <row r="647">
      <c r="A647" s="131"/>
      <c r="B647" s="131"/>
      <c r="C647" s="131"/>
      <c r="D647" s="131"/>
      <c r="E647" s="131"/>
      <c r="F647" s="131"/>
    </row>
    <row r="648">
      <c r="A648" s="131"/>
      <c r="B648" s="131"/>
      <c r="C648" s="131"/>
      <c r="D648" s="131"/>
      <c r="E648" s="131"/>
      <c r="F648" s="131"/>
    </row>
    <row r="649">
      <c r="A649" s="131"/>
      <c r="B649" s="131"/>
      <c r="C649" s="131"/>
      <c r="D649" s="131"/>
      <c r="E649" s="131"/>
      <c r="F649" s="131"/>
    </row>
    <row r="650">
      <c r="A650" s="131"/>
      <c r="B650" s="131"/>
      <c r="C650" s="131"/>
      <c r="D650" s="131"/>
      <c r="E650" s="131"/>
      <c r="F650" s="131"/>
    </row>
    <row r="651">
      <c r="A651" s="131"/>
      <c r="B651" s="131"/>
      <c r="C651" s="131"/>
      <c r="D651" s="131"/>
      <c r="E651" s="131"/>
      <c r="F651" s="131"/>
    </row>
    <row r="652">
      <c r="A652" s="131"/>
      <c r="B652" s="131"/>
      <c r="C652" s="131"/>
      <c r="D652" s="131"/>
      <c r="E652" s="131"/>
      <c r="F652" s="131"/>
    </row>
    <row r="653">
      <c r="A653" s="131"/>
      <c r="B653" s="131"/>
      <c r="C653" s="131"/>
      <c r="D653" s="131"/>
      <c r="E653" s="131"/>
      <c r="F653" s="131"/>
    </row>
    <row r="654">
      <c r="A654" s="131"/>
      <c r="B654" s="131"/>
      <c r="C654" s="131"/>
      <c r="D654" s="131"/>
      <c r="E654" s="131"/>
      <c r="F654" s="131"/>
    </row>
    <row r="655">
      <c r="A655" s="131"/>
      <c r="B655" s="131"/>
      <c r="C655" s="131"/>
      <c r="D655" s="131"/>
      <c r="E655" s="131"/>
      <c r="F655" s="131"/>
    </row>
    <row r="656">
      <c r="A656" s="131"/>
      <c r="B656" s="131"/>
      <c r="C656" s="131"/>
      <c r="D656" s="131"/>
      <c r="E656" s="131"/>
      <c r="F656" s="131"/>
    </row>
    <row r="657">
      <c r="A657" s="131"/>
      <c r="B657" s="131"/>
      <c r="C657" s="131"/>
      <c r="D657" s="131"/>
      <c r="E657" s="131"/>
      <c r="F657" s="131"/>
    </row>
    <row r="658">
      <c r="A658" s="131"/>
      <c r="B658" s="131"/>
      <c r="C658" s="131"/>
      <c r="D658" s="131"/>
      <c r="E658" s="131"/>
      <c r="F658" s="131"/>
    </row>
    <row r="659">
      <c r="A659" s="131"/>
      <c r="B659" s="131"/>
      <c r="C659" s="131"/>
      <c r="D659" s="131"/>
      <c r="E659" s="131"/>
      <c r="F659" s="131"/>
    </row>
    <row r="660">
      <c r="A660" s="131"/>
      <c r="B660" s="131"/>
      <c r="C660" s="131"/>
      <c r="D660" s="131"/>
      <c r="E660" s="131"/>
      <c r="F660" s="131"/>
    </row>
    <row r="661">
      <c r="A661" s="131"/>
      <c r="B661" s="131"/>
      <c r="C661" s="131"/>
      <c r="D661" s="131"/>
      <c r="E661" s="131"/>
      <c r="F661" s="131"/>
    </row>
    <row r="662">
      <c r="A662" s="131"/>
      <c r="B662" s="131"/>
      <c r="C662" s="131"/>
      <c r="D662" s="131"/>
      <c r="E662" s="131"/>
      <c r="F662" s="131"/>
    </row>
    <row r="663">
      <c r="A663" s="131"/>
      <c r="B663" s="131"/>
      <c r="C663" s="131"/>
      <c r="D663" s="131"/>
      <c r="E663" s="131"/>
      <c r="F663" s="131"/>
    </row>
    <row r="664">
      <c r="A664" s="131"/>
      <c r="B664" s="131"/>
      <c r="C664" s="131"/>
      <c r="D664" s="131"/>
      <c r="E664" s="131"/>
      <c r="F664" s="131"/>
    </row>
    <row r="665">
      <c r="A665" s="131"/>
      <c r="B665" s="131"/>
      <c r="C665" s="131"/>
      <c r="D665" s="131"/>
      <c r="E665" s="131"/>
      <c r="F665" s="131"/>
    </row>
    <row r="666">
      <c r="A666" s="131"/>
      <c r="B666" s="131"/>
      <c r="C666" s="131"/>
      <c r="D666" s="131"/>
      <c r="E666" s="131"/>
      <c r="F666" s="131"/>
    </row>
    <row r="667">
      <c r="A667" s="131"/>
      <c r="B667" s="131"/>
      <c r="C667" s="131"/>
      <c r="D667" s="131"/>
      <c r="E667" s="131"/>
      <c r="F667" s="131"/>
    </row>
    <row r="668">
      <c r="A668" s="131"/>
      <c r="B668" s="131"/>
      <c r="C668" s="131"/>
      <c r="D668" s="131"/>
      <c r="E668" s="131"/>
      <c r="F668" s="131"/>
    </row>
    <row r="669">
      <c r="A669" s="131"/>
      <c r="B669" s="131"/>
      <c r="C669" s="131"/>
      <c r="D669" s="131"/>
      <c r="E669" s="131"/>
      <c r="F669" s="131"/>
    </row>
    <row r="670">
      <c r="A670" s="131"/>
      <c r="B670" s="131"/>
      <c r="C670" s="131"/>
      <c r="D670" s="131"/>
      <c r="E670" s="131"/>
      <c r="F670" s="131"/>
    </row>
    <row r="671">
      <c r="A671" s="131"/>
      <c r="B671" s="131"/>
      <c r="C671" s="131"/>
      <c r="D671" s="131"/>
      <c r="E671" s="131"/>
      <c r="F671" s="131"/>
    </row>
    <row r="672">
      <c r="A672" s="131"/>
      <c r="B672" s="131"/>
      <c r="C672" s="131"/>
      <c r="D672" s="131"/>
      <c r="E672" s="131"/>
      <c r="F672" s="131"/>
    </row>
    <row r="673">
      <c r="A673" s="131"/>
      <c r="B673" s="131"/>
      <c r="C673" s="131"/>
      <c r="D673" s="131"/>
      <c r="E673" s="131"/>
      <c r="F673" s="131"/>
    </row>
    <row r="674">
      <c r="A674" s="131"/>
      <c r="B674" s="131"/>
      <c r="C674" s="131"/>
      <c r="D674" s="131"/>
      <c r="E674" s="131"/>
      <c r="F674" s="131"/>
    </row>
    <row r="675">
      <c r="A675" s="131"/>
      <c r="B675" s="131"/>
      <c r="C675" s="131"/>
      <c r="D675" s="131"/>
      <c r="E675" s="131"/>
      <c r="F675" s="131"/>
    </row>
    <row r="676">
      <c r="A676" s="131"/>
      <c r="B676" s="131"/>
      <c r="C676" s="131"/>
      <c r="D676" s="131"/>
      <c r="E676" s="131"/>
      <c r="F676" s="131"/>
    </row>
    <row r="677">
      <c r="A677" s="131"/>
      <c r="B677" s="131"/>
      <c r="C677" s="131"/>
      <c r="D677" s="131"/>
      <c r="E677" s="131"/>
      <c r="F677" s="131"/>
    </row>
    <row r="678">
      <c r="A678" s="131"/>
      <c r="B678" s="131"/>
      <c r="C678" s="131"/>
      <c r="D678" s="131"/>
      <c r="E678" s="131"/>
      <c r="F678" s="131"/>
    </row>
    <row r="679">
      <c r="A679" s="131"/>
      <c r="B679" s="131"/>
      <c r="C679" s="131"/>
      <c r="D679" s="131"/>
      <c r="E679" s="131"/>
      <c r="F679" s="131"/>
    </row>
    <row r="680">
      <c r="A680" s="131"/>
      <c r="B680" s="131"/>
      <c r="C680" s="131"/>
      <c r="D680" s="131"/>
      <c r="E680" s="131"/>
      <c r="F680" s="131"/>
    </row>
    <row r="681">
      <c r="A681" s="131"/>
      <c r="B681" s="131"/>
      <c r="C681" s="131"/>
      <c r="D681" s="131"/>
      <c r="E681" s="131"/>
      <c r="F681" s="131"/>
    </row>
    <row r="682">
      <c r="A682" s="131"/>
      <c r="B682" s="131"/>
      <c r="C682" s="131"/>
      <c r="D682" s="131"/>
      <c r="E682" s="131"/>
      <c r="F682" s="131"/>
    </row>
    <row r="683">
      <c r="A683" s="131"/>
      <c r="B683" s="131"/>
      <c r="C683" s="131"/>
      <c r="D683" s="131"/>
      <c r="E683" s="131"/>
      <c r="F683" s="131"/>
    </row>
    <row r="684">
      <c r="A684" s="131"/>
      <c r="B684" s="131"/>
      <c r="C684" s="131"/>
      <c r="D684" s="131"/>
      <c r="E684" s="131"/>
      <c r="F684" s="131"/>
    </row>
    <row r="685">
      <c r="A685" s="131"/>
      <c r="B685" s="131"/>
      <c r="C685" s="131"/>
      <c r="D685" s="131"/>
      <c r="E685" s="131"/>
      <c r="F685" s="131"/>
    </row>
    <row r="686">
      <c r="A686" s="131"/>
      <c r="B686" s="131"/>
      <c r="C686" s="131"/>
      <c r="D686" s="131"/>
      <c r="E686" s="131"/>
      <c r="F686" s="131"/>
    </row>
    <row r="687">
      <c r="A687" s="131"/>
      <c r="B687" s="131"/>
      <c r="C687" s="131"/>
      <c r="D687" s="131"/>
      <c r="E687" s="131"/>
      <c r="F687" s="131"/>
    </row>
    <row r="688">
      <c r="A688" s="131"/>
      <c r="B688" s="131"/>
      <c r="C688" s="131"/>
      <c r="D688" s="131"/>
      <c r="E688" s="131"/>
      <c r="F688" s="131"/>
    </row>
    <row r="689">
      <c r="A689" s="131"/>
      <c r="B689" s="131"/>
      <c r="C689" s="131"/>
      <c r="D689" s="131"/>
      <c r="E689" s="131"/>
      <c r="F689" s="131"/>
    </row>
    <row r="690">
      <c r="A690" s="131"/>
      <c r="B690" s="131"/>
      <c r="C690" s="131"/>
      <c r="D690" s="131"/>
      <c r="E690" s="131"/>
      <c r="F690" s="131"/>
    </row>
    <row r="691">
      <c r="A691" s="131"/>
      <c r="B691" s="131"/>
      <c r="C691" s="131"/>
      <c r="D691" s="131"/>
      <c r="E691" s="131"/>
      <c r="F691" s="131"/>
    </row>
    <row r="692">
      <c r="A692" s="131"/>
      <c r="B692" s="131"/>
      <c r="C692" s="131"/>
      <c r="D692" s="131"/>
      <c r="E692" s="131"/>
      <c r="F692" s="131"/>
    </row>
    <row r="693">
      <c r="A693" s="131"/>
      <c r="B693" s="131"/>
      <c r="C693" s="131"/>
      <c r="D693" s="131"/>
      <c r="E693" s="131"/>
      <c r="F693" s="131"/>
    </row>
    <row r="694">
      <c r="A694" s="131"/>
      <c r="B694" s="131"/>
      <c r="C694" s="131"/>
      <c r="D694" s="131"/>
      <c r="E694" s="131"/>
      <c r="F694" s="131"/>
    </row>
    <row r="695">
      <c r="A695" s="131"/>
      <c r="B695" s="131"/>
      <c r="C695" s="131"/>
      <c r="D695" s="131"/>
      <c r="E695" s="131"/>
      <c r="F695" s="131"/>
    </row>
    <row r="696">
      <c r="A696" s="131"/>
      <c r="B696" s="131"/>
      <c r="C696" s="131"/>
      <c r="D696" s="131"/>
      <c r="E696" s="131"/>
      <c r="F696" s="131"/>
    </row>
    <row r="697">
      <c r="A697" s="131"/>
      <c r="B697" s="131"/>
      <c r="C697" s="131"/>
      <c r="D697" s="131"/>
      <c r="E697" s="131"/>
      <c r="F697" s="131"/>
    </row>
    <row r="698">
      <c r="A698" s="131"/>
      <c r="B698" s="131"/>
      <c r="C698" s="131"/>
      <c r="D698" s="131"/>
      <c r="E698" s="131"/>
      <c r="F698" s="131"/>
    </row>
    <row r="699">
      <c r="A699" s="131"/>
      <c r="B699" s="131"/>
      <c r="C699" s="131"/>
      <c r="D699" s="131"/>
      <c r="E699" s="131"/>
      <c r="F699" s="131"/>
    </row>
    <row r="700">
      <c r="A700" s="131"/>
      <c r="B700" s="131"/>
      <c r="C700" s="131"/>
      <c r="D700" s="131"/>
      <c r="E700" s="131"/>
      <c r="F700" s="131"/>
    </row>
    <row r="701">
      <c r="A701" s="131"/>
      <c r="B701" s="131"/>
      <c r="C701" s="131"/>
      <c r="D701" s="131"/>
      <c r="E701" s="131"/>
      <c r="F701" s="131"/>
    </row>
    <row r="702">
      <c r="A702" s="131"/>
      <c r="B702" s="131"/>
      <c r="C702" s="131"/>
      <c r="D702" s="131"/>
      <c r="E702" s="131"/>
      <c r="F702" s="131"/>
    </row>
    <row r="703">
      <c r="A703" s="131"/>
      <c r="B703" s="131"/>
      <c r="C703" s="131"/>
      <c r="D703" s="131"/>
      <c r="E703" s="131"/>
      <c r="F703" s="131"/>
    </row>
    <row r="704">
      <c r="A704" s="131"/>
      <c r="B704" s="131"/>
      <c r="C704" s="131"/>
      <c r="D704" s="131"/>
      <c r="E704" s="131"/>
      <c r="F704" s="131"/>
    </row>
    <row r="705">
      <c r="A705" s="131"/>
      <c r="B705" s="131"/>
      <c r="C705" s="131"/>
      <c r="D705" s="131"/>
      <c r="E705" s="131"/>
      <c r="F705" s="131"/>
    </row>
    <row r="706">
      <c r="A706" s="131"/>
      <c r="B706" s="131"/>
      <c r="C706" s="131"/>
      <c r="D706" s="131"/>
      <c r="E706" s="131"/>
      <c r="F706" s="131"/>
    </row>
    <row r="707">
      <c r="A707" s="131"/>
      <c r="B707" s="131"/>
      <c r="C707" s="131"/>
      <c r="D707" s="131"/>
      <c r="E707" s="131"/>
      <c r="F707" s="131"/>
    </row>
    <row r="708">
      <c r="A708" s="131"/>
      <c r="B708" s="131"/>
      <c r="C708" s="131"/>
      <c r="D708" s="131"/>
      <c r="E708" s="131"/>
      <c r="F708" s="131"/>
    </row>
    <row r="709">
      <c r="A709" s="131"/>
      <c r="B709" s="131"/>
      <c r="C709" s="131"/>
      <c r="D709" s="131"/>
      <c r="E709" s="131"/>
      <c r="F709" s="131"/>
    </row>
    <row r="710">
      <c r="A710" s="131"/>
      <c r="B710" s="131"/>
      <c r="C710" s="131"/>
      <c r="D710" s="131"/>
      <c r="E710" s="131"/>
      <c r="F710" s="131"/>
    </row>
    <row r="711">
      <c r="A711" s="131"/>
      <c r="B711" s="131"/>
      <c r="C711" s="131"/>
      <c r="D711" s="131"/>
      <c r="E711" s="131"/>
      <c r="F711" s="131"/>
    </row>
    <row r="712">
      <c r="A712" s="131"/>
      <c r="B712" s="131"/>
      <c r="C712" s="131"/>
      <c r="D712" s="131"/>
      <c r="E712" s="131"/>
      <c r="F712" s="131"/>
    </row>
    <row r="713">
      <c r="A713" s="131"/>
      <c r="B713" s="131"/>
      <c r="C713" s="131"/>
      <c r="D713" s="131"/>
      <c r="E713" s="131"/>
      <c r="F713" s="131"/>
    </row>
    <row r="714">
      <c r="A714" s="131"/>
      <c r="B714" s="131"/>
      <c r="C714" s="131"/>
      <c r="D714" s="131"/>
      <c r="E714" s="131"/>
      <c r="F714" s="131"/>
    </row>
    <row r="715">
      <c r="A715" s="131"/>
      <c r="B715" s="131"/>
      <c r="C715" s="131"/>
      <c r="D715" s="131"/>
      <c r="E715" s="131"/>
      <c r="F715" s="131"/>
    </row>
    <row r="716">
      <c r="A716" s="131"/>
      <c r="B716" s="131"/>
      <c r="C716" s="131"/>
      <c r="D716" s="131"/>
      <c r="E716" s="131"/>
      <c r="F716" s="131"/>
    </row>
    <row r="717">
      <c r="A717" s="131"/>
      <c r="B717" s="131"/>
      <c r="C717" s="131"/>
      <c r="D717" s="131"/>
      <c r="E717" s="131"/>
      <c r="F717" s="131"/>
    </row>
    <row r="718">
      <c r="A718" s="131"/>
      <c r="B718" s="131"/>
      <c r="C718" s="131"/>
      <c r="D718" s="131"/>
      <c r="E718" s="131"/>
      <c r="F718" s="131"/>
    </row>
    <row r="719">
      <c r="A719" s="131"/>
      <c r="B719" s="131"/>
      <c r="C719" s="131"/>
      <c r="D719" s="131"/>
      <c r="E719" s="131"/>
      <c r="F719" s="131"/>
    </row>
    <row r="720">
      <c r="A720" s="131"/>
      <c r="B720" s="131"/>
      <c r="C720" s="131"/>
      <c r="D720" s="131"/>
      <c r="E720" s="131"/>
      <c r="F720" s="131"/>
    </row>
    <row r="721">
      <c r="A721" s="131"/>
      <c r="B721" s="131"/>
      <c r="C721" s="131"/>
      <c r="D721" s="131"/>
      <c r="E721" s="131"/>
      <c r="F721" s="131"/>
    </row>
    <row r="722">
      <c r="A722" s="131"/>
      <c r="B722" s="131"/>
      <c r="C722" s="131"/>
      <c r="D722" s="131"/>
      <c r="E722" s="131"/>
      <c r="F722" s="131"/>
    </row>
    <row r="723">
      <c r="A723" s="131"/>
      <c r="B723" s="131"/>
      <c r="C723" s="131"/>
      <c r="D723" s="131"/>
      <c r="E723" s="131"/>
      <c r="F723" s="131"/>
    </row>
    <row r="724">
      <c r="A724" s="131"/>
      <c r="B724" s="131"/>
      <c r="C724" s="131"/>
      <c r="D724" s="131"/>
      <c r="E724" s="131"/>
      <c r="F724" s="131"/>
    </row>
    <row r="725">
      <c r="A725" s="131"/>
      <c r="B725" s="131"/>
      <c r="C725" s="131"/>
      <c r="D725" s="131"/>
      <c r="E725" s="131"/>
      <c r="F725" s="131"/>
    </row>
    <row r="726">
      <c r="A726" s="131"/>
      <c r="B726" s="131"/>
      <c r="C726" s="131"/>
      <c r="D726" s="131"/>
      <c r="E726" s="131"/>
      <c r="F726" s="131"/>
    </row>
    <row r="727">
      <c r="A727" s="131"/>
      <c r="B727" s="131"/>
      <c r="C727" s="131"/>
      <c r="D727" s="131"/>
      <c r="E727" s="131"/>
      <c r="F727" s="131"/>
    </row>
    <row r="728">
      <c r="A728" s="131"/>
      <c r="B728" s="131"/>
      <c r="C728" s="131"/>
      <c r="D728" s="131"/>
      <c r="E728" s="131"/>
      <c r="F728" s="131"/>
    </row>
    <row r="729">
      <c r="A729" s="131"/>
      <c r="B729" s="131"/>
      <c r="C729" s="131"/>
      <c r="D729" s="131"/>
      <c r="E729" s="131"/>
      <c r="F729" s="131"/>
    </row>
    <row r="730">
      <c r="A730" s="131"/>
      <c r="B730" s="131"/>
      <c r="C730" s="131"/>
      <c r="D730" s="131"/>
      <c r="E730" s="131"/>
      <c r="F730" s="131"/>
    </row>
    <row r="731">
      <c r="A731" s="131"/>
      <c r="B731" s="131"/>
      <c r="C731" s="131"/>
      <c r="D731" s="131"/>
      <c r="E731" s="131"/>
      <c r="F731" s="131"/>
    </row>
    <row r="732">
      <c r="A732" s="131"/>
      <c r="B732" s="131"/>
      <c r="C732" s="131"/>
      <c r="D732" s="131"/>
      <c r="E732" s="131"/>
      <c r="F732" s="131"/>
    </row>
    <row r="733">
      <c r="A733" s="131"/>
      <c r="B733" s="131"/>
      <c r="C733" s="131"/>
      <c r="D733" s="131"/>
      <c r="E733" s="131"/>
      <c r="F733" s="131"/>
    </row>
    <row r="734">
      <c r="A734" s="131"/>
      <c r="B734" s="131"/>
      <c r="C734" s="131"/>
      <c r="D734" s="131"/>
      <c r="E734" s="131"/>
      <c r="F734" s="131"/>
    </row>
    <row r="735">
      <c r="A735" s="131"/>
      <c r="B735" s="131"/>
      <c r="C735" s="131"/>
      <c r="D735" s="131"/>
      <c r="E735" s="131"/>
      <c r="F735" s="131"/>
    </row>
    <row r="736">
      <c r="A736" s="131"/>
      <c r="B736" s="131"/>
      <c r="C736" s="131"/>
      <c r="D736" s="131"/>
      <c r="E736" s="131"/>
      <c r="F736" s="131"/>
    </row>
    <row r="737">
      <c r="A737" s="131"/>
      <c r="B737" s="131"/>
      <c r="C737" s="131"/>
      <c r="D737" s="131"/>
      <c r="E737" s="131"/>
      <c r="F737" s="131"/>
    </row>
    <row r="738">
      <c r="A738" s="131"/>
      <c r="B738" s="131"/>
      <c r="C738" s="131"/>
      <c r="D738" s="131"/>
      <c r="E738" s="131"/>
      <c r="F738" s="131"/>
    </row>
    <row r="739">
      <c r="A739" s="131"/>
      <c r="B739" s="131"/>
      <c r="C739" s="131"/>
      <c r="D739" s="131"/>
      <c r="E739" s="131"/>
      <c r="F739" s="131"/>
    </row>
    <row r="740">
      <c r="A740" s="131"/>
      <c r="B740" s="131"/>
      <c r="C740" s="131"/>
      <c r="D740" s="131"/>
      <c r="E740" s="131"/>
      <c r="F740" s="131"/>
    </row>
    <row r="741">
      <c r="A741" s="131"/>
      <c r="B741" s="131"/>
      <c r="C741" s="131"/>
      <c r="D741" s="131"/>
      <c r="E741" s="131"/>
      <c r="F741" s="131"/>
    </row>
    <row r="742">
      <c r="A742" s="131"/>
      <c r="B742" s="131"/>
      <c r="C742" s="131"/>
      <c r="D742" s="131"/>
      <c r="E742" s="131"/>
      <c r="F742" s="131"/>
    </row>
    <row r="743">
      <c r="A743" s="131"/>
      <c r="B743" s="131"/>
      <c r="C743" s="131"/>
      <c r="D743" s="131"/>
      <c r="E743" s="131"/>
      <c r="F743" s="131"/>
    </row>
    <row r="744">
      <c r="A744" s="131"/>
      <c r="B744" s="131"/>
      <c r="C744" s="131"/>
      <c r="D744" s="131"/>
      <c r="E744" s="131"/>
      <c r="F744" s="131"/>
    </row>
    <row r="745">
      <c r="A745" s="131"/>
      <c r="B745" s="131"/>
      <c r="C745" s="131"/>
      <c r="D745" s="131"/>
      <c r="E745" s="131"/>
      <c r="F745" s="131"/>
    </row>
    <row r="746">
      <c r="A746" s="131"/>
      <c r="B746" s="131"/>
      <c r="C746" s="131"/>
      <c r="D746" s="131"/>
      <c r="E746" s="131"/>
      <c r="F746" s="131"/>
    </row>
    <row r="747">
      <c r="A747" s="131"/>
      <c r="B747" s="131"/>
      <c r="C747" s="131"/>
      <c r="D747" s="131"/>
      <c r="E747" s="131"/>
      <c r="F747" s="131"/>
    </row>
    <row r="748">
      <c r="A748" s="131"/>
      <c r="B748" s="131"/>
      <c r="C748" s="131"/>
      <c r="D748" s="131"/>
      <c r="E748" s="131"/>
      <c r="F748" s="131"/>
    </row>
    <row r="749">
      <c r="A749" s="131"/>
      <c r="B749" s="131"/>
      <c r="C749" s="131"/>
      <c r="D749" s="131"/>
      <c r="E749" s="131"/>
      <c r="F749" s="131"/>
    </row>
    <row r="750">
      <c r="A750" s="131"/>
      <c r="B750" s="131"/>
      <c r="C750" s="131"/>
      <c r="D750" s="131"/>
      <c r="E750" s="131"/>
      <c r="F750" s="131"/>
    </row>
    <row r="751">
      <c r="A751" s="131"/>
      <c r="B751" s="131"/>
      <c r="C751" s="131"/>
      <c r="D751" s="131"/>
      <c r="E751" s="131"/>
      <c r="F751" s="131"/>
    </row>
    <row r="752">
      <c r="A752" s="131"/>
      <c r="B752" s="131"/>
      <c r="C752" s="131"/>
      <c r="D752" s="131"/>
      <c r="E752" s="131"/>
      <c r="F752" s="131"/>
    </row>
    <row r="753">
      <c r="A753" s="131"/>
      <c r="B753" s="131"/>
      <c r="C753" s="131"/>
      <c r="D753" s="131"/>
      <c r="E753" s="131"/>
      <c r="F753" s="131"/>
    </row>
    <row r="754">
      <c r="A754" s="131"/>
      <c r="B754" s="131"/>
      <c r="C754" s="131"/>
      <c r="D754" s="131"/>
      <c r="E754" s="131"/>
      <c r="F754" s="131"/>
    </row>
    <row r="755">
      <c r="A755" s="131"/>
      <c r="B755" s="131"/>
      <c r="C755" s="131"/>
      <c r="D755" s="131"/>
      <c r="E755" s="131"/>
      <c r="F755" s="131"/>
    </row>
    <row r="756">
      <c r="A756" s="131"/>
      <c r="B756" s="131"/>
      <c r="C756" s="131"/>
      <c r="D756" s="131"/>
      <c r="E756" s="131"/>
      <c r="F756" s="131"/>
    </row>
    <row r="757">
      <c r="A757" s="131"/>
      <c r="B757" s="131"/>
      <c r="C757" s="131"/>
      <c r="D757" s="131"/>
      <c r="E757" s="131"/>
      <c r="F757" s="131"/>
    </row>
    <row r="758">
      <c r="A758" s="131"/>
      <c r="B758" s="131"/>
      <c r="C758" s="131"/>
      <c r="D758" s="131"/>
      <c r="E758" s="131"/>
      <c r="F758" s="131"/>
    </row>
    <row r="759">
      <c r="A759" s="131"/>
      <c r="B759" s="131"/>
      <c r="C759" s="131"/>
      <c r="D759" s="131"/>
      <c r="E759" s="131"/>
      <c r="F759" s="131"/>
    </row>
    <row r="760">
      <c r="A760" s="131"/>
      <c r="B760" s="131"/>
      <c r="C760" s="131"/>
      <c r="D760" s="131"/>
      <c r="E760" s="131"/>
      <c r="F760" s="131"/>
    </row>
    <row r="761">
      <c r="A761" s="131"/>
      <c r="B761" s="131"/>
      <c r="C761" s="131"/>
      <c r="D761" s="131"/>
      <c r="E761" s="131"/>
      <c r="F761" s="131"/>
    </row>
    <row r="762">
      <c r="A762" s="131"/>
      <c r="B762" s="131"/>
      <c r="C762" s="131"/>
      <c r="D762" s="131"/>
      <c r="E762" s="131"/>
      <c r="F762" s="131"/>
    </row>
    <row r="763">
      <c r="A763" s="131"/>
      <c r="B763" s="131"/>
      <c r="C763" s="131"/>
      <c r="D763" s="131"/>
      <c r="E763" s="131"/>
      <c r="F763" s="131"/>
    </row>
    <row r="764">
      <c r="A764" s="131"/>
      <c r="B764" s="131"/>
      <c r="C764" s="131"/>
      <c r="D764" s="131"/>
      <c r="E764" s="131"/>
      <c r="F764" s="131"/>
    </row>
    <row r="765">
      <c r="A765" s="131"/>
      <c r="B765" s="131"/>
      <c r="C765" s="131"/>
      <c r="D765" s="131"/>
      <c r="E765" s="131"/>
      <c r="F765" s="131"/>
    </row>
    <row r="766">
      <c r="A766" s="131"/>
      <c r="B766" s="131"/>
      <c r="C766" s="131"/>
      <c r="D766" s="131"/>
      <c r="E766" s="131"/>
      <c r="F766" s="131"/>
    </row>
    <row r="767">
      <c r="A767" s="131"/>
      <c r="B767" s="131"/>
      <c r="C767" s="131"/>
      <c r="D767" s="131"/>
      <c r="E767" s="131"/>
      <c r="F767" s="131"/>
    </row>
    <row r="768">
      <c r="A768" s="131"/>
      <c r="B768" s="131"/>
      <c r="C768" s="131"/>
      <c r="D768" s="131"/>
      <c r="E768" s="131"/>
      <c r="F768" s="131"/>
    </row>
    <row r="769">
      <c r="A769" s="131"/>
      <c r="B769" s="131"/>
      <c r="C769" s="131"/>
      <c r="D769" s="131"/>
      <c r="E769" s="131"/>
      <c r="F769" s="131"/>
    </row>
    <row r="770">
      <c r="A770" s="131"/>
      <c r="B770" s="131"/>
      <c r="C770" s="131"/>
      <c r="D770" s="131"/>
      <c r="E770" s="131"/>
      <c r="F770" s="131"/>
    </row>
    <row r="771">
      <c r="A771" s="131"/>
      <c r="B771" s="131"/>
      <c r="C771" s="131"/>
      <c r="D771" s="131"/>
      <c r="E771" s="131"/>
      <c r="F771" s="131"/>
    </row>
    <row r="772">
      <c r="A772" s="131"/>
      <c r="B772" s="131"/>
      <c r="C772" s="131"/>
      <c r="D772" s="131"/>
      <c r="E772" s="131"/>
      <c r="F772" s="131"/>
    </row>
    <row r="773">
      <c r="A773" s="131"/>
      <c r="B773" s="131"/>
      <c r="C773" s="131"/>
      <c r="D773" s="131"/>
      <c r="E773" s="131"/>
      <c r="F773" s="131"/>
    </row>
    <row r="774">
      <c r="A774" s="131"/>
      <c r="B774" s="131"/>
      <c r="C774" s="131"/>
      <c r="D774" s="131"/>
      <c r="E774" s="131"/>
      <c r="F774" s="131"/>
    </row>
    <row r="775">
      <c r="A775" s="131"/>
      <c r="B775" s="131"/>
      <c r="C775" s="131"/>
      <c r="D775" s="131"/>
      <c r="E775" s="131"/>
      <c r="F775" s="131"/>
    </row>
    <row r="776">
      <c r="A776" s="131"/>
      <c r="B776" s="131"/>
      <c r="C776" s="131"/>
      <c r="D776" s="131"/>
      <c r="E776" s="131"/>
      <c r="F776" s="131"/>
    </row>
    <row r="777">
      <c r="A777" s="131"/>
      <c r="B777" s="131"/>
      <c r="C777" s="131"/>
      <c r="D777" s="131"/>
      <c r="E777" s="131"/>
      <c r="F777" s="131"/>
    </row>
    <row r="778">
      <c r="A778" s="131"/>
      <c r="B778" s="131"/>
      <c r="C778" s="131"/>
      <c r="D778" s="131"/>
      <c r="E778" s="131"/>
      <c r="F778" s="131"/>
    </row>
    <row r="779">
      <c r="A779" s="131"/>
      <c r="B779" s="131"/>
      <c r="C779" s="131"/>
      <c r="D779" s="131"/>
      <c r="E779" s="131"/>
      <c r="F779" s="131"/>
    </row>
    <row r="780">
      <c r="A780" s="131"/>
      <c r="B780" s="131"/>
      <c r="C780" s="131"/>
      <c r="D780" s="131"/>
      <c r="E780" s="131"/>
      <c r="F780" s="131"/>
    </row>
    <row r="781">
      <c r="A781" s="131"/>
      <c r="B781" s="131"/>
      <c r="C781" s="131"/>
      <c r="D781" s="131"/>
      <c r="E781" s="131"/>
      <c r="F781" s="131"/>
    </row>
    <row r="782">
      <c r="A782" s="131"/>
      <c r="B782" s="131"/>
      <c r="C782" s="131"/>
      <c r="D782" s="131"/>
      <c r="E782" s="131"/>
      <c r="F782" s="131"/>
    </row>
    <row r="783">
      <c r="A783" s="131"/>
      <c r="B783" s="131"/>
      <c r="C783" s="131"/>
      <c r="D783" s="131"/>
      <c r="E783" s="131"/>
      <c r="F783" s="131"/>
    </row>
    <row r="784">
      <c r="A784" s="131"/>
      <c r="B784" s="131"/>
      <c r="C784" s="131"/>
      <c r="D784" s="131"/>
      <c r="E784" s="131"/>
      <c r="F784" s="131"/>
    </row>
    <row r="785">
      <c r="A785" s="131"/>
      <c r="B785" s="131"/>
      <c r="C785" s="131"/>
      <c r="D785" s="131"/>
      <c r="E785" s="131"/>
      <c r="F785" s="131"/>
    </row>
    <row r="786">
      <c r="A786" s="131"/>
      <c r="B786" s="131"/>
      <c r="C786" s="131"/>
      <c r="D786" s="131"/>
      <c r="E786" s="131"/>
      <c r="F786" s="131"/>
    </row>
    <row r="787">
      <c r="A787" s="131"/>
      <c r="B787" s="131"/>
      <c r="C787" s="131"/>
      <c r="D787" s="131"/>
      <c r="E787" s="131"/>
      <c r="F787" s="131"/>
    </row>
    <row r="788">
      <c r="A788" s="131"/>
      <c r="B788" s="131"/>
      <c r="C788" s="131"/>
      <c r="D788" s="131"/>
      <c r="E788" s="131"/>
      <c r="F788" s="131"/>
    </row>
    <row r="789">
      <c r="A789" s="131"/>
      <c r="B789" s="131"/>
      <c r="C789" s="131"/>
      <c r="D789" s="131"/>
      <c r="E789" s="131"/>
      <c r="F789" s="131"/>
    </row>
    <row r="790">
      <c r="A790" s="131"/>
      <c r="B790" s="131"/>
      <c r="C790" s="131"/>
      <c r="D790" s="131"/>
      <c r="E790" s="131"/>
      <c r="F790" s="131"/>
    </row>
    <row r="791">
      <c r="A791" s="131"/>
      <c r="B791" s="131"/>
      <c r="C791" s="131"/>
      <c r="D791" s="131"/>
      <c r="E791" s="131"/>
      <c r="F791" s="131"/>
    </row>
    <row r="792">
      <c r="A792" s="131"/>
      <c r="B792" s="131"/>
      <c r="C792" s="131"/>
      <c r="D792" s="131"/>
      <c r="E792" s="131"/>
      <c r="F792" s="131"/>
    </row>
    <row r="793">
      <c r="A793" s="131"/>
      <c r="B793" s="131"/>
      <c r="C793" s="131"/>
      <c r="D793" s="131"/>
      <c r="E793" s="131"/>
      <c r="F793" s="131"/>
    </row>
    <row r="794">
      <c r="A794" s="131"/>
      <c r="B794" s="131"/>
      <c r="C794" s="131"/>
      <c r="D794" s="131"/>
      <c r="E794" s="131"/>
      <c r="F794" s="131"/>
    </row>
    <row r="795">
      <c r="A795" s="131"/>
      <c r="B795" s="131"/>
      <c r="C795" s="131"/>
      <c r="D795" s="131"/>
      <c r="E795" s="131"/>
      <c r="F795" s="131"/>
    </row>
    <row r="796">
      <c r="A796" s="131"/>
      <c r="B796" s="131"/>
      <c r="C796" s="131"/>
      <c r="D796" s="131"/>
      <c r="E796" s="131"/>
      <c r="F796" s="131"/>
    </row>
    <row r="797">
      <c r="A797" s="131"/>
      <c r="B797" s="131"/>
      <c r="C797" s="131"/>
      <c r="D797" s="131"/>
      <c r="E797" s="131"/>
      <c r="F797" s="131"/>
    </row>
    <row r="798">
      <c r="A798" s="131"/>
      <c r="B798" s="131"/>
      <c r="C798" s="131"/>
      <c r="D798" s="131"/>
      <c r="E798" s="131"/>
      <c r="F798" s="131"/>
    </row>
    <row r="799">
      <c r="A799" s="131"/>
      <c r="B799" s="131"/>
      <c r="C799" s="131"/>
      <c r="D799" s="131"/>
      <c r="E799" s="131"/>
      <c r="F799" s="131"/>
    </row>
    <row r="800">
      <c r="A800" s="131"/>
      <c r="B800" s="131"/>
      <c r="C800" s="131"/>
      <c r="D800" s="131"/>
      <c r="E800" s="131"/>
      <c r="F800" s="131"/>
    </row>
    <row r="801">
      <c r="A801" s="131"/>
      <c r="B801" s="131"/>
      <c r="C801" s="131"/>
      <c r="D801" s="131"/>
      <c r="E801" s="131"/>
      <c r="F801" s="131"/>
    </row>
    <row r="802">
      <c r="A802" s="131"/>
      <c r="B802" s="131"/>
      <c r="C802" s="131"/>
      <c r="D802" s="131"/>
      <c r="E802" s="131"/>
      <c r="F802" s="131"/>
    </row>
    <row r="803">
      <c r="A803" s="131"/>
      <c r="B803" s="131"/>
      <c r="C803" s="131"/>
      <c r="D803" s="131"/>
      <c r="E803" s="131"/>
      <c r="F803" s="131"/>
    </row>
    <row r="804">
      <c r="A804" s="131"/>
      <c r="B804" s="131"/>
      <c r="C804" s="131"/>
      <c r="D804" s="131"/>
      <c r="E804" s="131"/>
      <c r="F804" s="131"/>
    </row>
    <row r="805">
      <c r="A805" s="131"/>
      <c r="B805" s="131"/>
      <c r="C805" s="131"/>
      <c r="D805" s="131"/>
      <c r="E805" s="131"/>
      <c r="F805" s="131"/>
    </row>
    <row r="806">
      <c r="A806" s="131"/>
      <c r="B806" s="131"/>
      <c r="C806" s="131"/>
      <c r="D806" s="131"/>
      <c r="E806" s="131"/>
      <c r="F806" s="131"/>
    </row>
    <row r="807">
      <c r="A807" s="131"/>
      <c r="B807" s="131"/>
      <c r="C807" s="131"/>
      <c r="D807" s="131"/>
      <c r="E807" s="131"/>
      <c r="F807" s="131"/>
    </row>
    <row r="808">
      <c r="A808" s="131"/>
      <c r="B808" s="131"/>
      <c r="C808" s="131"/>
      <c r="D808" s="131"/>
      <c r="E808" s="131"/>
      <c r="F808" s="131"/>
    </row>
    <row r="809">
      <c r="A809" s="131"/>
      <c r="B809" s="131"/>
      <c r="C809" s="131"/>
      <c r="D809" s="131"/>
      <c r="E809" s="131"/>
      <c r="F809" s="131"/>
    </row>
    <row r="810">
      <c r="A810" s="131"/>
      <c r="B810" s="131"/>
      <c r="C810" s="131"/>
      <c r="D810" s="131"/>
      <c r="E810" s="131"/>
      <c r="F810" s="131"/>
    </row>
    <row r="811">
      <c r="A811" s="131"/>
      <c r="B811" s="131"/>
      <c r="C811" s="131"/>
      <c r="D811" s="131"/>
      <c r="E811" s="131"/>
      <c r="F811" s="131"/>
    </row>
    <row r="812">
      <c r="A812" s="131"/>
      <c r="B812" s="131"/>
      <c r="C812" s="131"/>
      <c r="D812" s="131"/>
      <c r="E812" s="131"/>
      <c r="F812" s="131"/>
    </row>
    <row r="813">
      <c r="A813" s="131"/>
      <c r="B813" s="131"/>
      <c r="C813" s="131"/>
      <c r="D813" s="131"/>
      <c r="E813" s="131"/>
      <c r="F813" s="131"/>
    </row>
    <row r="814">
      <c r="A814" s="131"/>
      <c r="B814" s="131"/>
      <c r="C814" s="131"/>
      <c r="D814" s="131"/>
      <c r="E814" s="131"/>
      <c r="F814" s="131"/>
    </row>
    <row r="815">
      <c r="A815" s="131"/>
      <c r="B815" s="131"/>
      <c r="C815" s="131"/>
      <c r="D815" s="131"/>
      <c r="E815" s="131"/>
      <c r="F815" s="131"/>
    </row>
    <row r="816">
      <c r="A816" s="131"/>
      <c r="B816" s="131"/>
      <c r="C816" s="131"/>
      <c r="D816" s="131"/>
      <c r="E816" s="131"/>
      <c r="F816" s="131"/>
    </row>
    <row r="817">
      <c r="A817" s="131"/>
      <c r="B817" s="131"/>
      <c r="C817" s="131"/>
      <c r="D817" s="131"/>
      <c r="E817" s="131"/>
      <c r="F817" s="131"/>
    </row>
    <row r="818">
      <c r="A818" s="131"/>
      <c r="B818" s="131"/>
      <c r="C818" s="131"/>
      <c r="D818" s="131"/>
      <c r="E818" s="131"/>
      <c r="F818" s="131"/>
    </row>
    <row r="819">
      <c r="A819" s="131"/>
      <c r="B819" s="131"/>
      <c r="C819" s="131"/>
      <c r="D819" s="131"/>
      <c r="E819" s="131"/>
      <c r="F819" s="131"/>
    </row>
    <row r="820">
      <c r="A820" s="131"/>
      <c r="B820" s="131"/>
      <c r="C820" s="131"/>
      <c r="D820" s="131"/>
      <c r="E820" s="131"/>
      <c r="F820" s="131"/>
    </row>
    <row r="821">
      <c r="A821" s="131"/>
      <c r="B821" s="131"/>
      <c r="C821" s="131"/>
      <c r="D821" s="131"/>
      <c r="E821" s="131"/>
      <c r="F821" s="131"/>
    </row>
    <row r="822">
      <c r="A822" s="131"/>
      <c r="B822" s="131"/>
      <c r="C822" s="131"/>
      <c r="D822" s="131"/>
      <c r="E822" s="131"/>
      <c r="F822" s="131"/>
    </row>
    <row r="823">
      <c r="A823" s="131"/>
      <c r="B823" s="131"/>
      <c r="C823" s="131"/>
      <c r="D823" s="131"/>
      <c r="E823" s="131"/>
      <c r="F823" s="131"/>
    </row>
    <row r="824">
      <c r="A824" s="131"/>
      <c r="B824" s="131"/>
      <c r="C824" s="131"/>
      <c r="D824" s="131"/>
      <c r="E824" s="131"/>
      <c r="F824" s="131"/>
    </row>
    <row r="825">
      <c r="A825" s="131"/>
      <c r="B825" s="131"/>
      <c r="C825" s="131"/>
      <c r="D825" s="131"/>
      <c r="E825" s="131"/>
      <c r="F825" s="131"/>
    </row>
    <row r="826">
      <c r="A826" s="131"/>
      <c r="B826" s="131"/>
      <c r="C826" s="131"/>
      <c r="D826" s="131"/>
      <c r="E826" s="131"/>
      <c r="F826" s="131"/>
    </row>
    <row r="827">
      <c r="A827" s="131"/>
      <c r="B827" s="131"/>
      <c r="C827" s="131"/>
      <c r="D827" s="131"/>
      <c r="E827" s="131"/>
      <c r="F827" s="131"/>
    </row>
    <row r="828">
      <c r="A828" s="131"/>
      <c r="B828" s="131"/>
      <c r="C828" s="131"/>
      <c r="D828" s="131"/>
      <c r="E828" s="131"/>
      <c r="F828" s="131"/>
    </row>
    <row r="829">
      <c r="A829" s="131"/>
      <c r="B829" s="131"/>
      <c r="C829" s="131"/>
      <c r="D829" s="131"/>
      <c r="E829" s="131"/>
      <c r="F829" s="131"/>
    </row>
    <row r="830">
      <c r="A830" s="131"/>
      <c r="B830" s="131"/>
      <c r="C830" s="131"/>
      <c r="D830" s="131"/>
      <c r="E830" s="131"/>
      <c r="F830" s="131"/>
    </row>
    <row r="831">
      <c r="A831" s="131"/>
      <c r="B831" s="131"/>
      <c r="C831" s="131"/>
      <c r="D831" s="131"/>
      <c r="E831" s="131"/>
      <c r="F831" s="131"/>
    </row>
    <row r="832">
      <c r="A832" s="131"/>
      <c r="B832" s="131"/>
      <c r="C832" s="131"/>
      <c r="D832" s="131"/>
      <c r="E832" s="131"/>
      <c r="F832" s="131"/>
    </row>
    <row r="833">
      <c r="A833" s="131"/>
      <c r="B833" s="131"/>
      <c r="C833" s="131"/>
      <c r="D833" s="131"/>
      <c r="E833" s="131"/>
      <c r="F833" s="131"/>
    </row>
    <row r="834">
      <c r="A834" s="131"/>
      <c r="B834" s="131"/>
      <c r="C834" s="131"/>
      <c r="D834" s="131"/>
      <c r="E834" s="131"/>
      <c r="F834" s="131"/>
    </row>
    <row r="835">
      <c r="A835" s="131"/>
      <c r="B835" s="131"/>
      <c r="C835" s="131"/>
      <c r="D835" s="131"/>
      <c r="E835" s="131"/>
      <c r="F835" s="131"/>
    </row>
    <row r="836">
      <c r="A836" s="131"/>
      <c r="B836" s="131"/>
      <c r="C836" s="131"/>
      <c r="D836" s="131"/>
      <c r="E836" s="131"/>
      <c r="F836" s="131"/>
    </row>
    <row r="837">
      <c r="A837" s="131"/>
      <c r="B837" s="131"/>
      <c r="C837" s="131"/>
      <c r="D837" s="131"/>
      <c r="E837" s="131"/>
      <c r="F837" s="131"/>
    </row>
    <row r="838">
      <c r="A838" s="131"/>
      <c r="B838" s="131"/>
      <c r="C838" s="131"/>
      <c r="D838" s="131"/>
      <c r="E838" s="131"/>
      <c r="F838" s="131"/>
    </row>
    <row r="839">
      <c r="A839" s="131"/>
      <c r="B839" s="131"/>
      <c r="C839" s="131"/>
      <c r="D839" s="131"/>
      <c r="E839" s="131"/>
      <c r="F839" s="131"/>
    </row>
    <row r="840">
      <c r="A840" s="131"/>
      <c r="B840" s="131"/>
      <c r="C840" s="131"/>
      <c r="D840" s="131"/>
      <c r="E840" s="131"/>
      <c r="F840" s="131"/>
    </row>
    <row r="841">
      <c r="A841" s="131"/>
      <c r="B841" s="131"/>
      <c r="C841" s="131"/>
      <c r="D841" s="131"/>
      <c r="E841" s="131"/>
      <c r="F841" s="131"/>
    </row>
    <row r="842">
      <c r="A842" s="131"/>
      <c r="B842" s="131"/>
      <c r="C842" s="131"/>
      <c r="D842" s="131"/>
      <c r="E842" s="131"/>
      <c r="F842" s="131"/>
    </row>
    <row r="843">
      <c r="A843" s="131"/>
      <c r="B843" s="131"/>
      <c r="C843" s="131"/>
      <c r="D843" s="131"/>
      <c r="E843" s="131"/>
      <c r="F843" s="131"/>
    </row>
    <row r="844">
      <c r="A844" s="131"/>
      <c r="B844" s="131"/>
      <c r="C844" s="131"/>
      <c r="D844" s="131"/>
      <c r="E844" s="131"/>
      <c r="F844" s="131"/>
    </row>
    <row r="845">
      <c r="A845" s="131"/>
      <c r="B845" s="131"/>
      <c r="C845" s="131"/>
      <c r="D845" s="131"/>
      <c r="E845" s="131"/>
      <c r="F845" s="131"/>
    </row>
    <row r="846">
      <c r="A846" s="131"/>
      <c r="B846" s="131"/>
      <c r="C846" s="131"/>
      <c r="D846" s="131"/>
      <c r="E846" s="131"/>
      <c r="F846" s="131"/>
    </row>
    <row r="847">
      <c r="A847" s="131"/>
      <c r="B847" s="131"/>
      <c r="C847" s="131"/>
      <c r="D847" s="131"/>
      <c r="E847" s="131"/>
      <c r="F847" s="131"/>
    </row>
    <row r="848">
      <c r="A848" s="131"/>
      <c r="B848" s="131"/>
      <c r="C848" s="131"/>
      <c r="D848" s="131"/>
      <c r="E848" s="131"/>
      <c r="F848" s="131"/>
    </row>
    <row r="849">
      <c r="A849" s="131"/>
      <c r="B849" s="131"/>
      <c r="C849" s="131"/>
      <c r="D849" s="131"/>
      <c r="E849" s="131"/>
      <c r="F849" s="131"/>
    </row>
    <row r="850">
      <c r="A850" s="131"/>
      <c r="B850" s="131"/>
      <c r="C850" s="131"/>
      <c r="D850" s="131"/>
      <c r="E850" s="131"/>
      <c r="F850" s="131"/>
    </row>
    <row r="851">
      <c r="A851" s="131"/>
      <c r="B851" s="131"/>
      <c r="C851" s="131"/>
      <c r="D851" s="131"/>
      <c r="E851" s="131"/>
      <c r="F851" s="131"/>
    </row>
    <row r="852">
      <c r="A852" s="131"/>
      <c r="B852" s="131"/>
      <c r="C852" s="131"/>
      <c r="D852" s="131"/>
      <c r="E852" s="131"/>
      <c r="F852" s="131"/>
    </row>
    <row r="853">
      <c r="A853" s="131"/>
      <c r="B853" s="131"/>
      <c r="C853" s="131"/>
      <c r="D853" s="131"/>
      <c r="E853" s="131"/>
      <c r="F853" s="131"/>
    </row>
    <row r="854">
      <c r="A854" s="131"/>
      <c r="B854" s="131"/>
      <c r="C854" s="131"/>
      <c r="D854" s="131"/>
      <c r="E854" s="131"/>
      <c r="F854" s="131"/>
    </row>
    <row r="855">
      <c r="A855" s="131"/>
      <c r="B855" s="131"/>
      <c r="C855" s="131"/>
      <c r="D855" s="131"/>
      <c r="E855" s="131"/>
      <c r="F855" s="131"/>
    </row>
    <row r="856">
      <c r="A856" s="131"/>
      <c r="B856" s="131"/>
      <c r="C856" s="131"/>
      <c r="D856" s="131"/>
      <c r="E856" s="131"/>
      <c r="F856" s="131"/>
    </row>
    <row r="857">
      <c r="A857" s="131"/>
      <c r="B857" s="131"/>
      <c r="C857" s="131"/>
      <c r="D857" s="131"/>
      <c r="E857" s="131"/>
      <c r="F857" s="131"/>
    </row>
    <row r="858">
      <c r="A858" s="131"/>
      <c r="B858" s="131"/>
      <c r="C858" s="131"/>
      <c r="D858" s="131"/>
      <c r="E858" s="131"/>
      <c r="F858" s="131"/>
    </row>
    <row r="859">
      <c r="A859" s="131"/>
      <c r="B859" s="131"/>
      <c r="C859" s="131"/>
      <c r="D859" s="131"/>
      <c r="E859" s="131"/>
      <c r="F859" s="131"/>
    </row>
    <row r="860">
      <c r="A860" s="131"/>
      <c r="B860" s="131"/>
      <c r="C860" s="131"/>
      <c r="D860" s="131"/>
      <c r="E860" s="131"/>
      <c r="F860" s="131"/>
    </row>
    <row r="861">
      <c r="A861" s="131"/>
      <c r="B861" s="131"/>
      <c r="C861" s="131"/>
      <c r="D861" s="131"/>
      <c r="E861" s="131"/>
      <c r="F861" s="131"/>
    </row>
    <row r="862">
      <c r="A862" s="131"/>
      <c r="B862" s="131"/>
      <c r="C862" s="131"/>
      <c r="D862" s="131"/>
      <c r="E862" s="131"/>
      <c r="F862" s="131"/>
    </row>
    <row r="863">
      <c r="A863" s="131"/>
      <c r="B863" s="131"/>
      <c r="C863" s="131"/>
      <c r="D863" s="131"/>
      <c r="E863" s="131"/>
      <c r="F863" s="131"/>
    </row>
    <row r="864">
      <c r="A864" s="131"/>
      <c r="B864" s="131"/>
      <c r="C864" s="131"/>
      <c r="D864" s="131"/>
      <c r="E864" s="131"/>
      <c r="F864" s="131"/>
    </row>
    <row r="865">
      <c r="A865" s="131"/>
      <c r="B865" s="131"/>
      <c r="C865" s="131"/>
      <c r="D865" s="131"/>
      <c r="E865" s="131"/>
      <c r="F865" s="131"/>
    </row>
    <row r="866">
      <c r="A866" s="131"/>
      <c r="B866" s="131"/>
      <c r="C866" s="131"/>
      <c r="D866" s="131"/>
      <c r="E866" s="131"/>
      <c r="F866" s="131"/>
    </row>
    <row r="867">
      <c r="A867" s="131"/>
      <c r="B867" s="131"/>
      <c r="C867" s="131"/>
      <c r="D867" s="131"/>
      <c r="E867" s="131"/>
      <c r="F867" s="131"/>
    </row>
    <row r="868">
      <c r="A868" s="131"/>
      <c r="B868" s="131"/>
      <c r="C868" s="131"/>
      <c r="D868" s="131"/>
      <c r="E868" s="131"/>
      <c r="F868" s="131"/>
    </row>
    <row r="869">
      <c r="A869" s="131"/>
      <c r="B869" s="131"/>
      <c r="C869" s="131"/>
      <c r="D869" s="131"/>
      <c r="E869" s="131"/>
      <c r="F869" s="131"/>
    </row>
    <row r="870">
      <c r="A870" s="131"/>
      <c r="B870" s="131"/>
      <c r="C870" s="131"/>
      <c r="D870" s="131"/>
      <c r="E870" s="131"/>
      <c r="F870" s="131"/>
    </row>
    <row r="871">
      <c r="A871" s="131"/>
      <c r="B871" s="131"/>
      <c r="C871" s="131"/>
      <c r="D871" s="131"/>
      <c r="E871" s="131"/>
      <c r="F871" s="131"/>
    </row>
    <row r="872">
      <c r="A872" s="131"/>
      <c r="B872" s="131"/>
      <c r="C872" s="131"/>
      <c r="D872" s="131"/>
      <c r="E872" s="131"/>
      <c r="F872" s="131"/>
    </row>
    <row r="873">
      <c r="A873" s="131"/>
      <c r="B873" s="131"/>
      <c r="C873" s="131"/>
      <c r="D873" s="131"/>
      <c r="E873" s="131"/>
      <c r="F873" s="131"/>
    </row>
    <row r="874">
      <c r="A874" s="131"/>
      <c r="B874" s="131"/>
      <c r="C874" s="131"/>
      <c r="D874" s="131"/>
      <c r="E874" s="131"/>
      <c r="F874" s="131"/>
    </row>
    <row r="875">
      <c r="A875" s="131"/>
      <c r="B875" s="131"/>
      <c r="C875" s="131"/>
      <c r="D875" s="131"/>
      <c r="E875" s="131"/>
      <c r="F875" s="131"/>
    </row>
    <row r="876">
      <c r="A876" s="131"/>
      <c r="B876" s="131"/>
      <c r="C876" s="131"/>
      <c r="D876" s="131"/>
      <c r="E876" s="131"/>
      <c r="F876" s="131"/>
    </row>
    <row r="877">
      <c r="A877" s="131"/>
      <c r="B877" s="131"/>
      <c r="C877" s="131"/>
      <c r="D877" s="131"/>
      <c r="E877" s="131"/>
      <c r="F877" s="131"/>
    </row>
    <row r="878">
      <c r="A878" s="131"/>
      <c r="B878" s="131"/>
      <c r="C878" s="131"/>
      <c r="D878" s="131"/>
      <c r="E878" s="131"/>
      <c r="F878" s="131"/>
    </row>
    <row r="879">
      <c r="A879" s="131"/>
      <c r="B879" s="131"/>
      <c r="C879" s="131"/>
      <c r="D879" s="131"/>
      <c r="E879" s="131"/>
      <c r="F879" s="131"/>
    </row>
    <row r="880">
      <c r="A880" s="131"/>
      <c r="B880" s="131"/>
      <c r="C880" s="131"/>
      <c r="D880" s="131"/>
      <c r="E880" s="131"/>
      <c r="F880" s="131"/>
    </row>
    <row r="881">
      <c r="A881" s="131"/>
      <c r="B881" s="131"/>
      <c r="C881" s="131"/>
      <c r="D881" s="131"/>
      <c r="E881" s="131"/>
      <c r="F881" s="131"/>
    </row>
    <row r="882">
      <c r="A882" s="131"/>
      <c r="B882" s="131"/>
      <c r="C882" s="131"/>
      <c r="D882" s="131"/>
      <c r="E882" s="131"/>
      <c r="F882" s="131"/>
    </row>
    <row r="883">
      <c r="A883" s="131"/>
      <c r="B883" s="131"/>
      <c r="C883" s="131"/>
      <c r="D883" s="131"/>
      <c r="E883" s="131"/>
      <c r="F883" s="131"/>
    </row>
    <row r="884">
      <c r="A884" s="131"/>
      <c r="B884" s="131"/>
      <c r="C884" s="131"/>
      <c r="D884" s="131"/>
      <c r="E884" s="131"/>
      <c r="F884" s="131"/>
    </row>
    <row r="885">
      <c r="A885" s="131"/>
      <c r="B885" s="131"/>
      <c r="C885" s="131"/>
      <c r="D885" s="131"/>
      <c r="E885" s="131"/>
      <c r="F885" s="131"/>
    </row>
    <row r="886">
      <c r="A886" s="131"/>
      <c r="B886" s="131"/>
      <c r="C886" s="131"/>
      <c r="D886" s="131"/>
      <c r="E886" s="131"/>
      <c r="F886" s="131"/>
    </row>
    <row r="887">
      <c r="A887" s="131"/>
      <c r="B887" s="131"/>
      <c r="C887" s="131"/>
      <c r="D887" s="131"/>
      <c r="E887" s="131"/>
      <c r="F887" s="131"/>
    </row>
    <row r="888">
      <c r="A888" s="131"/>
      <c r="B888" s="131"/>
      <c r="C888" s="131"/>
      <c r="D888" s="131"/>
      <c r="E888" s="131"/>
      <c r="F888" s="131"/>
    </row>
    <row r="889">
      <c r="A889" s="131"/>
      <c r="B889" s="131"/>
      <c r="C889" s="131"/>
      <c r="D889" s="131"/>
      <c r="E889" s="131"/>
      <c r="F889" s="131"/>
    </row>
    <row r="890">
      <c r="A890" s="131"/>
      <c r="B890" s="131"/>
      <c r="C890" s="131"/>
      <c r="D890" s="131"/>
      <c r="E890" s="131"/>
      <c r="F890" s="131"/>
    </row>
    <row r="891">
      <c r="A891" s="131"/>
      <c r="B891" s="131"/>
      <c r="C891" s="131"/>
      <c r="D891" s="131"/>
      <c r="E891" s="131"/>
      <c r="F891" s="131"/>
    </row>
    <row r="892">
      <c r="A892" s="131"/>
      <c r="B892" s="131"/>
      <c r="C892" s="131"/>
      <c r="D892" s="131"/>
      <c r="E892" s="131"/>
      <c r="F892" s="131"/>
    </row>
    <row r="893">
      <c r="A893" s="131"/>
      <c r="B893" s="131"/>
      <c r="C893" s="131"/>
      <c r="D893" s="131"/>
      <c r="E893" s="131"/>
      <c r="F893" s="131"/>
    </row>
    <row r="894">
      <c r="A894" s="131"/>
      <c r="B894" s="131"/>
      <c r="C894" s="131"/>
      <c r="D894" s="131"/>
      <c r="E894" s="131"/>
      <c r="F894" s="131"/>
    </row>
    <row r="895">
      <c r="A895" s="131"/>
      <c r="B895" s="131"/>
      <c r="C895" s="131"/>
      <c r="D895" s="131"/>
      <c r="E895" s="131"/>
      <c r="F895" s="131"/>
    </row>
    <row r="896">
      <c r="A896" s="131"/>
      <c r="B896" s="131"/>
      <c r="C896" s="131"/>
      <c r="D896" s="131"/>
      <c r="E896" s="131"/>
      <c r="F896" s="131"/>
    </row>
    <row r="897">
      <c r="A897" s="131"/>
      <c r="B897" s="131"/>
      <c r="C897" s="131"/>
      <c r="D897" s="131"/>
      <c r="E897" s="131"/>
      <c r="F897" s="131"/>
    </row>
    <row r="898">
      <c r="A898" s="131"/>
      <c r="B898" s="131"/>
      <c r="C898" s="131"/>
      <c r="D898" s="131"/>
      <c r="E898" s="131"/>
      <c r="F898" s="131"/>
    </row>
    <row r="899">
      <c r="A899" s="131"/>
      <c r="B899" s="131"/>
      <c r="C899" s="131"/>
      <c r="D899" s="131"/>
      <c r="E899" s="131"/>
      <c r="F899" s="131"/>
    </row>
    <row r="900">
      <c r="A900" s="131"/>
      <c r="B900" s="131"/>
      <c r="C900" s="131"/>
      <c r="D900" s="131"/>
      <c r="E900" s="131"/>
      <c r="F900" s="131"/>
    </row>
    <row r="901">
      <c r="A901" s="131"/>
      <c r="B901" s="131"/>
      <c r="C901" s="131"/>
      <c r="D901" s="131"/>
      <c r="E901" s="131"/>
      <c r="F901" s="131"/>
    </row>
    <row r="902">
      <c r="A902" s="131"/>
      <c r="B902" s="131"/>
      <c r="C902" s="131"/>
      <c r="D902" s="131"/>
      <c r="E902" s="131"/>
      <c r="F902" s="131"/>
    </row>
    <row r="903">
      <c r="A903" s="131"/>
      <c r="B903" s="131"/>
      <c r="C903" s="131"/>
      <c r="D903" s="131"/>
      <c r="E903" s="131"/>
      <c r="F903" s="131"/>
    </row>
    <row r="904">
      <c r="A904" s="131"/>
      <c r="B904" s="131"/>
      <c r="C904" s="131"/>
      <c r="D904" s="131"/>
      <c r="E904" s="131"/>
      <c r="F904" s="131"/>
    </row>
    <row r="905">
      <c r="A905" s="131"/>
      <c r="B905" s="131"/>
      <c r="C905" s="131"/>
      <c r="D905" s="131"/>
      <c r="E905" s="131"/>
      <c r="F905" s="131"/>
    </row>
    <row r="906">
      <c r="A906" s="131"/>
      <c r="B906" s="131"/>
      <c r="C906" s="131"/>
      <c r="D906" s="131"/>
      <c r="E906" s="131"/>
      <c r="F906" s="131"/>
    </row>
    <row r="907">
      <c r="A907" s="131"/>
      <c r="B907" s="131"/>
      <c r="C907" s="131"/>
      <c r="D907" s="131"/>
      <c r="E907" s="131"/>
      <c r="F907" s="131"/>
    </row>
    <row r="908">
      <c r="A908" s="131"/>
      <c r="B908" s="131"/>
      <c r="C908" s="131"/>
      <c r="D908" s="131"/>
      <c r="E908" s="131"/>
      <c r="F908" s="131"/>
    </row>
    <row r="909">
      <c r="A909" s="131"/>
      <c r="B909" s="131"/>
      <c r="C909" s="131"/>
      <c r="D909" s="131"/>
      <c r="E909" s="131"/>
      <c r="F909" s="131"/>
    </row>
    <row r="910">
      <c r="A910" s="131"/>
      <c r="B910" s="131"/>
      <c r="C910" s="131"/>
      <c r="D910" s="131"/>
      <c r="E910" s="131"/>
      <c r="F910" s="131"/>
    </row>
    <row r="911">
      <c r="A911" s="131"/>
      <c r="B911" s="131"/>
      <c r="C911" s="131"/>
      <c r="D911" s="131"/>
      <c r="E911" s="131"/>
      <c r="F911" s="131"/>
    </row>
    <row r="912">
      <c r="A912" s="131"/>
      <c r="B912" s="131"/>
      <c r="C912" s="131"/>
      <c r="D912" s="131"/>
      <c r="E912" s="131"/>
      <c r="F912" s="131"/>
    </row>
    <row r="913">
      <c r="A913" s="131"/>
      <c r="B913" s="131"/>
      <c r="C913" s="131"/>
      <c r="D913" s="131"/>
      <c r="E913" s="131"/>
      <c r="F913" s="131"/>
    </row>
    <row r="914">
      <c r="A914" s="131"/>
      <c r="B914" s="131"/>
      <c r="C914" s="131"/>
      <c r="D914" s="131"/>
      <c r="E914" s="131"/>
      <c r="F914" s="131"/>
    </row>
    <row r="915">
      <c r="A915" s="131"/>
      <c r="B915" s="131"/>
      <c r="C915" s="131"/>
      <c r="D915" s="131"/>
      <c r="E915" s="131"/>
      <c r="F915" s="131"/>
    </row>
    <row r="916">
      <c r="A916" s="131"/>
      <c r="B916" s="131"/>
      <c r="C916" s="131"/>
      <c r="D916" s="131"/>
      <c r="E916" s="131"/>
      <c r="F916" s="131"/>
    </row>
    <row r="917">
      <c r="A917" s="131"/>
      <c r="B917" s="131"/>
      <c r="C917" s="131"/>
      <c r="D917" s="131"/>
      <c r="E917" s="131"/>
      <c r="F917" s="131"/>
    </row>
    <row r="918">
      <c r="A918" s="131"/>
      <c r="B918" s="131"/>
      <c r="C918" s="131"/>
      <c r="D918" s="131"/>
      <c r="E918" s="131"/>
      <c r="F918" s="131"/>
    </row>
    <row r="919">
      <c r="A919" s="131"/>
      <c r="B919" s="131"/>
      <c r="C919" s="131"/>
      <c r="D919" s="131"/>
      <c r="E919" s="131"/>
      <c r="F919" s="131"/>
    </row>
    <row r="920">
      <c r="A920" s="131"/>
      <c r="B920" s="131"/>
      <c r="C920" s="131"/>
      <c r="D920" s="131"/>
      <c r="E920" s="131"/>
      <c r="F920" s="131"/>
    </row>
    <row r="921">
      <c r="A921" s="131"/>
      <c r="B921" s="131"/>
      <c r="C921" s="131"/>
      <c r="D921" s="131"/>
      <c r="E921" s="131"/>
      <c r="F921" s="131"/>
    </row>
    <row r="922">
      <c r="A922" s="131"/>
      <c r="B922" s="131"/>
      <c r="C922" s="131"/>
      <c r="D922" s="131"/>
      <c r="E922" s="131"/>
      <c r="F922" s="131"/>
    </row>
    <row r="923">
      <c r="A923" s="131"/>
      <c r="B923" s="131"/>
      <c r="C923" s="131"/>
      <c r="D923" s="131"/>
      <c r="E923" s="131"/>
      <c r="F923" s="131"/>
    </row>
    <row r="924">
      <c r="A924" s="131"/>
      <c r="B924" s="131"/>
      <c r="C924" s="131"/>
      <c r="D924" s="131"/>
      <c r="E924" s="131"/>
      <c r="F924" s="131"/>
    </row>
    <row r="925">
      <c r="A925" s="131"/>
      <c r="B925" s="131"/>
      <c r="C925" s="131"/>
      <c r="D925" s="131"/>
      <c r="E925" s="131"/>
      <c r="F925" s="131"/>
    </row>
    <row r="926">
      <c r="A926" s="131"/>
      <c r="B926" s="131"/>
      <c r="C926" s="131"/>
      <c r="D926" s="131"/>
      <c r="E926" s="131"/>
      <c r="F926" s="131"/>
    </row>
    <row r="927">
      <c r="A927" s="131"/>
      <c r="B927" s="131"/>
      <c r="C927" s="131"/>
      <c r="D927" s="131"/>
      <c r="E927" s="131"/>
      <c r="F927" s="131"/>
    </row>
    <row r="928">
      <c r="A928" s="131"/>
      <c r="B928" s="131"/>
      <c r="C928" s="131"/>
      <c r="D928" s="131"/>
      <c r="E928" s="131"/>
      <c r="F928" s="131"/>
    </row>
    <row r="929">
      <c r="A929" s="131"/>
      <c r="B929" s="131"/>
      <c r="C929" s="131"/>
      <c r="D929" s="131"/>
      <c r="E929" s="131"/>
      <c r="F929" s="131"/>
    </row>
    <row r="930">
      <c r="A930" s="131"/>
      <c r="B930" s="131"/>
      <c r="C930" s="131"/>
      <c r="D930" s="131"/>
      <c r="E930" s="131"/>
      <c r="F930" s="131"/>
    </row>
    <row r="931">
      <c r="A931" s="131"/>
      <c r="B931" s="131"/>
      <c r="C931" s="131"/>
      <c r="D931" s="131"/>
      <c r="E931" s="131"/>
      <c r="F931" s="131"/>
    </row>
    <row r="932">
      <c r="A932" s="131"/>
      <c r="B932" s="131"/>
      <c r="C932" s="131"/>
      <c r="D932" s="131"/>
      <c r="E932" s="131"/>
      <c r="F932" s="131"/>
    </row>
    <row r="933">
      <c r="A933" s="131"/>
      <c r="B933" s="131"/>
      <c r="C933" s="131"/>
      <c r="D933" s="131"/>
      <c r="E933" s="131"/>
      <c r="F933" s="131"/>
    </row>
    <row r="934">
      <c r="A934" s="131"/>
      <c r="B934" s="131"/>
      <c r="C934" s="131"/>
      <c r="D934" s="131"/>
      <c r="E934" s="131"/>
      <c r="F934" s="131"/>
    </row>
    <row r="935">
      <c r="A935" s="131"/>
      <c r="B935" s="131"/>
      <c r="C935" s="131"/>
      <c r="D935" s="131"/>
      <c r="E935" s="131"/>
      <c r="F935" s="131"/>
    </row>
    <row r="936">
      <c r="A936" s="131"/>
      <c r="B936" s="131"/>
      <c r="C936" s="131"/>
      <c r="D936" s="131"/>
      <c r="E936" s="131"/>
      <c r="F936" s="131"/>
    </row>
    <row r="937">
      <c r="A937" s="131"/>
      <c r="B937" s="131"/>
      <c r="C937" s="131"/>
      <c r="D937" s="131"/>
      <c r="E937" s="131"/>
      <c r="F937" s="131"/>
    </row>
    <row r="938">
      <c r="A938" s="131"/>
      <c r="B938" s="131"/>
      <c r="C938" s="131"/>
      <c r="D938" s="131"/>
      <c r="E938" s="131"/>
      <c r="F938" s="131"/>
    </row>
    <row r="939">
      <c r="A939" s="131"/>
      <c r="B939" s="131"/>
      <c r="C939" s="131"/>
      <c r="D939" s="131"/>
      <c r="E939" s="131"/>
      <c r="F939" s="131"/>
    </row>
    <row r="940">
      <c r="A940" s="131"/>
      <c r="B940" s="131"/>
      <c r="C940" s="131"/>
      <c r="D940" s="131"/>
      <c r="E940" s="131"/>
      <c r="F940" s="131"/>
    </row>
    <row r="941">
      <c r="A941" s="131"/>
      <c r="B941" s="131"/>
      <c r="C941" s="131"/>
      <c r="D941" s="131"/>
      <c r="E941" s="131"/>
      <c r="F941" s="131"/>
    </row>
    <row r="942">
      <c r="A942" s="131"/>
      <c r="B942" s="131"/>
      <c r="C942" s="131"/>
      <c r="D942" s="131"/>
      <c r="E942" s="131"/>
      <c r="F942" s="131"/>
    </row>
    <row r="943">
      <c r="A943" s="131"/>
      <c r="B943" s="131"/>
      <c r="C943" s="131"/>
      <c r="D943" s="131"/>
      <c r="E943" s="131"/>
      <c r="F943" s="131"/>
    </row>
    <row r="944">
      <c r="A944" s="131"/>
      <c r="B944" s="131"/>
      <c r="C944" s="131"/>
      <c r="D944" s="131"/>
      <c r="E944" s="131"/>
      <c r="F944" s="131"/>
    </row>
    <row r="945">
      <c r="A945" s="131"/>
      <c r="B945" s="131"/>
      <c r="C945" s="131"/>
      <c r="D945" s="131"/>
      <c r="E945" s="131"/>
      <c r="F945" s="131"/>
    </row>
    <row r="946">
      <c r="A946" s="131"/>
      <c r="B946" s="131"/>
      <c r="C946" s="131"/>
      <c r="D946" s="131"/>
      <c r="E946" s="131"/>
      <c r="F946" s="131"/>
    </row>
    <row r="947">
      <c r="A947" s="131"/>
      <c r="B947" s="131"/>
      <c r="C947" s="131"/>
      <c r="D947" s="131"/>
      <c r="E947" s="131"/>
      <c r="F947" s="131"/>
    </row>
    <row r="948">
      <c r="A948" s="131"/>
      <c r="B948" s="131"/>
      <c r="C948" s="131"/>
      <c r="D948" s="131"/>
      <c r="E948" s="131"/>
      <c r="F948" s="131"/>
    </row>
    <row r="949">
      <c r="A949" s="131"/>
      <c r="B949" s="131"/>
      <c r="C949" s="131"/>
      <c r="D949" s="131"/>
      <c r="E949" s="131"/>
      <c r="F949" s="131"/>
    </row>
    <row r="950">
      <c r="A950" s="131"/>
      <c r="B950" s="131"/>
      <c r="C950" s="131"/>
      <c r="D950" s="131"/>
      <c r="E950" s="131"/>
      <c r="F950" s="131"/>
    </row>
    <row r="951">
      <c r="A951" s="131"/>
      <c r="B951" s="131"/>
      <c r="C951" s="131"/>
      <c r="D951" s="131"/>
      <c r="E951" s="131"/>
      <c r="F951" s="131"/>
    </row>
    <row r="952">
      <c r="A952" s="131"/>
      <c r="B952" s="131"/>
      <c r="C952" s="131"/>
      <c r="D952" s="131"/>
      <c r="E952" s="131"/>
      <c r="F952" s="131"/>
    </row>
    <row r="953">
      <c r="A953" s="131"/>
      <c r="B953" s="131"/>
      <c r="C953" s="131"/>
      <c r="D953" s="131"/>
      <c r="E953" s="131"/>
      <c r="F953" s="131"/>
    </row>
    <row r="954">
      <c r="A954" s="131"/>
      <c r="B954" s="131"/>
      <c r="C954" s="131"/>
      <c r="D954" s="131"/>
      <c r="E954" s="131"/>
      <c r="F954" s="131"/>
    </row>
    <row r="955">
      <c r="A955" s="131"/>
      <c r="B955" s="131"/>
      <c r="C955" s="131"/>
      <c r="D955" s="131"/>
      <c r="E955" s="131"/>
      <c r="F955" s="131"/>
    </row>
    <row r="956">
      <c r="A956" s="131"/>
      <c r="B956" s="131"/>
      <c r="C956" s="131"/>
      <c r="D956" s="131"/>
      <c r="E956" s="131"/>
      <c r="F956" s="131"/>
    </row>
    <row r="957">
      <c r="A957" s="131"/>
      <c r="B957" s="131"/>
      <c r="C957" s="131"/>
      <c r="D957" s="131"/>
      <c r="E957" s="131"/>
      <c r="F957" s="131"/>
    </row>
    <row r="958">
      <c r="A958" s="131"/>
      <c r="B958" s="131"/>
      <c r="C958" s="131"/>
      <c r="D958" s="131"/>
      <c r="E958" s="131"/>
      <c r="F958" s="131"/>
    </row>
    <row r="959">
      <c r="A959" s="131"/>
      <c r="B959" s="131"/>
      <c r="C959" s="131"/>
      <c r="D959" s="131"/>
      <c r="E959" s="131"/>
      <c r="F959" s="131"/>
    </row>
    <row r="960">
      <c r="A960" s="131"/>
      <c r="B960" s="131"/>
      <c r="C960" s="131"/>
      <c r="D960" s="131"/>
      <c r="E960" s="131"/>
      <c r="F960" s="131"/>
    </row>
    <row r="961">
      <c r="A961" s="131"/>
      <c r="B961" s="131"/>
      <c r="C961" s="131"/>
      <c r="D961" s="131"/>
      <c r="E961" s="131"/>
      <c r="F961" s="131"/>
    </row>
    <row r="962">
      <c r="A962" s="131"/>
      <c r="B962" s="131"/>
      <c r="C962" s="131"/>
      <c r="D962" s="131"/>
      <c r="E962" s="131"/>
      <c r="F962" s="131"/>
    </row>
    <row r="963">
      <c r="A963" s="131"/>
      <c r="B963" s="131"/>
      <c r="C963" s="131"/>
      <c r="D963" s="131"/>
      <c r="E963" s="131"/>
      <c r="F963" s="131"/>
    </row>
    <row r="964">
      <c r="A964" s="131"/>
      <c r="B964" s="131"/>
      <c r="C964" s="131"/>
      <c r="D964" s="131"/>
      <c r="E964" s="131"/>
      <c r="F964" s="131"/>
    </row>
    <row r="965">
      <c r="A965" s="131"/>
      <c r="B965" s="131"/>
      <c r="C965" s="131"/>
      <c r="D965" s="131"/>
      <c r="E965" s="131"/>
      <c r="F965" s="131"/>
    </row>
    <row r="966">
      <c r="A966" s="131"/>
      <c r="B966" s="131"/>
      <c r="C966" s="131"/>
      <c r="D966" s="131"/>
      <c r="E966" s="131"/>
      <c r="F966" s="131"/>
    </row>
    <row r="967">
      <c r="A967" s="131"/>
      <c r="B967" s="131"/>
      <c r="C967" s="131"/>
      <c r="D967" s="131"/>
      <c r="E967" s="131"/>
      <c r="F967" s="131"/>
    </row>
    <row r="968">
      <c r="A968" s="131"/>
      <c r="B968" s="131"/>
      <c r="C968" s="131"/>
      <c r="D968" s="131"/>
      <c r="E968" s="131"/>
      <c r="F968" s="131"/>
    </row>
    <row r="969">
      <c r="A969" s="131"/>
      <c r="B969" s="131"/>
      <c r="C969" s="131"/>
      <c r="D969" s="131"/>
      <c r="E969" s="131"/>
      <c r="F969" s="131"/>
    </row>
    <row r="970">
      <c r="A970" s="131"/>
      <c r="B970" s="131"/>
      <c r="C970" s="131"/>
      <c r="D970" s="131"/>
      <c r="E970" s="131"/>
      <c r="F970" s="131"/>
    </row>
    <row r="971">
      <c r="A971" s="131"/>
      <c r="B971" s="131"/>
      <c r="C971" s="131"/>
      <c r="D971" s="131"/>
      <c r="E971" s="131"/>
      <c r="F971" s="131"/>
    </row>
    <row r="972">
      <c r="A972" s="131"/>
      <c r="B972" s="131"/>
      <c r="C972" s="131"/>
      <c r="D972" s="131"/>
      <c r="E972" s="131"/>
      <c r="F972" s="131"/>
    </row>
    <row r="973">
      <c r="A973" s="131"/>
      <c r="B973" s="131"/>
      <c r="C973" s="131"/>
      <c r="D973" s="131"/>
      <c r="E973" s="131"/>
      <c r="F973" s="131"/>
    </row>
    <row r="974">
      <c r="A974" s="131"/>
      <c r="B974" s="131"/>
      <c r="C974" s="131"/>
      <c r="D974" s="131"/>
      <c r="E974" s="131"/>
      <c r="F974" s="131"/>
    </row>
    <row r="975">
      <c r="A975" s="131"/>
      <c r="B975" s="131"/>
      <c r="C975" s="131"/>
      <c r="D975" s="131"/>
      <c r="E975" s="131"/>
      <c r="F975" s="131"/>
    </row>
    <row r="976">
      <c r="A976" s="131"/>
      <c r="B976" s="131"/>
      <c r="C976" s="131"/>
      <c r="D976" s="131"/>
      <c r="E976" s="131"/>
      <c r="F976" s="131"/>
    </row>
    <row r="977">
      <c r="A977" s="131"/>
      <c r="B977" s="131"/>
      <c r="C977" s="131"/>
      <c r="D977" s="131"/>
      <c r="E977" s="131"/>
      <c r="F977" s="131"/>
    </row>
    <row r="978">
      <c r="A978" s="131"/>
      <c r="B978" s="131"/>
      <c r="C978" s="131"/>
      <c r="D978" s="131"/>
      <c r="E978" s="131"/>
      <c r="F978" s="131"/>
    </row>
    <row r="979">
      <c r="A979" s="131"/>
      <c r="B979" s="131"/>
      <c r="C979" s="131"/>
      <c r="D979" s="131"/>
      <c r="E979" s="131"/>
      <c r="F979" s="131"/>
    </row>
    <row r="980">
      <c r="A980" s="131"/>
      <c r="B980" s="131"/>
      <c r="C980" s="131"/>
      <c r="D980" s="131"/>
      <c r="E980" s="131"/>
      <c r="F980" s="131"/>
    </row>
    <row r="981">
      <c r="A981" s="131"/>
      <c r="B981" s="131"/>
      <c r="C981" s="131"/>
      <c r="D981" s="131"/>
      <c r="E981" s="131"/>
      <c r="F981" s="131"/>
    </row>
    <row r="982">
      <c r="A982" s="131"/>
      <c r="B982" s="131"/>
      <c r="C982" s="131"/>
      <c r="D982" s="131"/>
      <c r="E982" s="131"/>
      <c r="F982" s="131"/>
    </row>
    <row r="983">
      <c r="A983" s="131"/>
      <c r="B983" s="131"/>
      <c r="C983" s="131"/>
      <c r="D983" s="131"/>
      <c r="E983" s="131"/>
      <c r="F983" s="131"/>
    </row>
    <row r="984">
      <c r="A984" s="131"/>
      <c r="B984" s="131"/>
      <c r="C984" s="131"/>
      <c r="D984" s="131"/>
      <c r="E984" s="131"/>
      <c r="F984" s="131"/>
    </row>
    <row r="985">
      <c r="A985" s="131"/>
      <c r="B985" s="131"/>
      <c r="C985" s="131"/>
      <c r="D985" s="131"/>
      <c r="E985" s="131"/>
      <c r="F985" s="131"/>
    </row>
    <row r="986">
      <c r="A986" s="131"/>
      <c r="B986" s="131"/>
      <c r="C986" s="131"/>
      <c r="D986" s="131"/>
      <c r="E986" s="131"/>
      <c r="F986" s="131"/>
    </row>
    <row r="987">
      <c r="A987" s="131"/>
      <c r="B987" s="131"/>
      <c r="C987" s="131"/>
      <c r="D987" s="131"/>
      <c r="E987" s="131"/>
      <c r="F987" s="131"/>
    </row>
    <row r="988">
      <c r="A988" s="131"/>
      <c r="B988" s="131"/>
      <c r="C988" s="131"/>
      <c r="D988" s="131"/>
      <c r="E988" s="131"/>
      <c r="F988" s="131"/>
    </row>
    <row r="989">
      <c r="A989" s="131"/>
      <c r="B989" s="131"/>
      <c r="C989" s="131"/>
      <c r="D989" s="131"/>
      <c r="E989" s="131"/>
      <c r="F989" s="131"/>
    </row>
    <row r="990">
      <c r="A990" s="131"/>
      <c r="B990" s="131"/>
      <c r="C990" s="131"/>
      <c r="D990" s="131"/>
      <c r="E990" s="131"/>
      <c r="F990" s="131"/>
    </row>
    <row r="991">
      <c r="A991" s="131"/>
      <c r="B991" s="131"/>
      <c r="C991" s="131"/>
      <c r="D991" s="131"/>
      <c r="E991" s="131"/>
      <c r="F991" s="131"/>
    </row>
    <row r="992">
      <c r="A992" s="131"/>
      <c r="B992" s="131"/>
      <c r="C992" s="131"/>
      <c r="D992" s="131"/>
      <c r="E992" s="131"/>
      <c r="F992" s="131"/>
    </row>
    <row r="993">
      <c r="A993" s="131"/>
      <c r="B993" s="131"/>
      <c r="C993" s="131"/>
      <c r="D993" s="131"/>
      <c r="E993" s="131"/>
      <c r="F993" s="131"/>
    </row>
    <row r="994">
      <c r="A994" s="131"/>
      <c r="B994" s="131"/>
      <c r="C994" s="131"/>
      <c r="D994" s="131"/>
      <c r="E994" s="131"/>
      <c r="F994" s="131"/>
    </row>
  </sheetData>
  <mergeCells count="3">
    <mergeCell ref="G1:K1"/>
    <mergeCell ref="L1:P1"/>
    <mergeCell ref="Q1:W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2" max="22" width="16.29"/>
    <col customWidth="1" min="23" max="23" width="16.14"/>
  </cols>
  <sheetData>
    <row r="1">
      <c r="A1" s="86" t="s">
        <v>554</v>
      </c>
      <c r="B1" s="87" t="s">
        <v>23</v>
      </c>
      <c r="G1" s="121" t="s">
        <v>555</v>
      </c>
      <c r="H1" s="13"/>
      <c r="I1" s="13"/>
      <c r="J1" s="13"/>
      <c r="K1" s="14"/>
      <c r="L1" s="121" t="s">
        <v>556</v>
      </c>
      <c r="M1" s="13"/>
      <c r="N1" s="13"/>
      <c r="O1" s="13"/>
      <c r="P1" s="14"/>
      <c r="Q1" s="122" t="s">
        <v>33</v>
      </c>
      <c r="R1" s="13"/>
      <c r="S1" s="13"/>
      <c r="T1" s="13"/>
      <c r="U1" s="13"/>
      <c r="V1" s="13"/>
      <c r="W1" s="14"/>
    </row>
    <row r="2">
      <c r="A2" s="90" t="s">
        <v>41</v>
      </c>
      <c r="B2" s="90" t="s">
        <v>42</v>
      </c>
      <c r="C2" s="90" t="s">
        <v>43</v>
      </c>
      <c r="D2" s="90" t="s">
        <v>44</v>
      </c>
      <c r="E2" s="90" t="s">
        <v>45</v>
      </c>
      <c r="F2" s="90" t="s">
        <v>46</v>
      </c>
      <c r="G2" s="123" t="s">
        <v>557</v>
      </c>
      <c r="H2" s="124" t="s">
        <v>558</v>
      </c>
      <c r="I2" s="124" t="s">
        <v>559</v>
      </c>
      <c r="J2" s="125" t="s">
        <v>560</v>
      </c>
      <c r="K2" s="125" t="s">
        <v>574</v>
      </c>
      <c r="L2" s="126" t="s">
        <v>562</v>
      </c>
      <c r="M2" s="125" t="s">
        <v>563</v>
      </c>
      <c r="N2" s="125" t="s">
        <v>564</v>
      </c>
      <c r="O2" s="125" t="s">
        <v>565</v>
      </c>
      <c r="P2" s="127" t="s">
        <v>575</v>
      </c>
      <c r="Q2" s="128" t="s">
        <v>567</v>
      </c>
      <c r="R2" s="129" t="s">
        <v>568</v>
      </c>
      <c r="S2" s="129" t="s">
        <v>569</v>
      </c>
      <c r="T2" s="129" t="s">
        <v>570</v>
      </c>
      <c r="U2" s="129" t="s">
        <v>571</v>
      </c>
      <c r="V2" s="129" t="s">
        <v>572</v>
      </c>
      <c r="W2" s="130" t="s">
        <v>573</v>
      </c>
    </row>
    <row r="3">
      <c r="A3" s="131">
        <f>IFERROR(__xludf.DUMMYFUNCTION("QUERY(MASTERLIST!A3:F995, ""SELECT *"", 0)"),1.0)</f>
        <v>1</v>
      </c>
      <c r="B3" s="131"/>
      <c r="C3" s="131">
        <f>IFERROR(__xludf.DUMMYFUNCTION("""COMPUTED_VALUE"""),1.0)</f>
        <v>1</v>
      </c>
      <c r="D3" s="131" t="b">
        <f>IFERROR(__xludf.DUMMYFUNCTION("""COMPUTED_VALUE"""),TRUE)</f>
        <v>1</v>
      </c>
      <c r="E3" s="94" t="str">
        <f>IFERROR(__xludf.DUMMYFUNCTION("""COMPUTED_VALUE"""),"ARANDA")</f>
        <v>ARANDA</v>
      </c>
      <c r="F3" s="94" t="str">
        <f>IFERROR(__xludf.DUMMYFUNCTION("""COMPUTED_VALUE"""),"KAI")</f>
        <v>KAI</v>
      </c>
      <c r="G3" s="90"/>
      <c r="L3" s="90" t="b">
        <v>0</v>
      </c>
    </row>
    <row r="4">
      <c r="A4" s="131">
        <f>IFERROR(__xludf.DUMMYFUNCTION("""COMPUTED_VALUE"""),2.0)</f>
        <v>2</v>
      </c>
      <c r="B4" s="131"/>
      <c r="C4" s="131">
        <f>IFERROR(__xludf.DUMMYFUNCTION("""COMPUTED_VALUE"""),1.0)</f>
        <v>1</v>
      </c>
      <c r="D4" s="131" t="b">
        <f>IFERROR(__xludf.DUMMYFUNCTION("""COMPUTED_VALUE"""),FALSE)</f>
        <v>0</v>
      </c>
      <c r="E4" s="95" t="str">
        <f>IFERROR(__xludf.DUMMYFUNCTION("""COMPUTED_VALUE"""),"ARCILLA")</f>
        <v>ARCILLA</v>
      </c>
      <c r="F4" s="96" t="str">
        <f>IFERROR(__xludf.DUMMYFUNCTION("""COMPUTED_VALUE"""),"DANIELA")</f>
        <v>DANIELA</v>
      </c>
    </row>
    <row r="5">
      <c r="A5" s="131">
        <f>IFERROR(__xludf.DUMMYFUNCTION("""COMPUTED_VALUE"""),3.0)</f>
        <v>3</v>
      </c>
      <c r="B5" s="131"/>
      <c r="C5" s="131">
        <f>IFERROR(__xludf.DUMMYFUNCTION("""COMPUTED_VALUE"""),1.0)</f>
        <v>1</v>
      </c>
      <c r="D5" s="131" t="b">
        <f>IFERROR(__xludf.DUMMYFUNCTION("""COMPUTED_VALUE"""),FALSE)</f>
        <v>0</v>
      </c>
      <c r="E5" s="96" t="str">
        <f>IFERROR(__xludf.DUMMYFUNCTION("""COMPUTED_VALUE"""),"ANDRE")</f>
        <v>ANDRE</v>
      </c>
      <c r="F5" s="96" t="str">
        <f>IFERROR(__xludf.DUMMYFUNCTION("""COMPUTED_VALUE"""),"CARLA")</f>
        <v>CARLA</v>
      </c>
    </row>
    <row r="6">
      <c r="A6" s="131">
        <f>IFERROR(__xludf.DUMMYFUNCTION("""COMPUTED_VALUE"""),4.0)</f>
        <v>4</v>
      </c>
      <c r="B6" s="131"/>
      <c r="C6" s="131">
        <f>IFERROR(__xludf.DUMMYFUNCTION("""COMPUTED_VALUE"""),1.0)</f>
        <v>1</v>
      </c>
      <c r="D6" s="131" t="b">
        <f>IFERROR(__xludf.DUMMYFUNCTION("""COMPUTED_VALUE"""),FALSE)</f>
        <v>0</v>
      </c>
      <c r="E6" s="96" t="str">
        <f>IFERROR(__xludf.DUMMYFUNCTION("""COMPUTED_VALUE"""),"BALDELOVAR")</f>
        <v>BALDELOVAR</v>
      </c>
      <c r="F6" s="96" t="str">
        <f>IFERROR(__xludf.DUMMYFUNCTION("""COMPUTED_VALUE"""),"LEANNE")</f>
        <v>LEANNE</v>
      </c>
    </row>
    <row r="7">
      <c r="A7" s="131">
        <f>IFERROR(__xludf.DUMMYFUNCTION("""COMPUTED_VALUE"""),5.0)</f>
        <v>5</v>
      </c>
      <c r="B7" s="131"/>
      <c r="C7" s="131">
        <f>IFERROR(__xludf.DUMMYFUNCTION("""COMPUTED_VALUE"""),1.0)</f>
        <v>1</v>
      </c>
      <c r="D7" s="131" t="b">
        <f>IFERROR(__xludf.DUMMYFUNCTION("""COMPUTED_VALUE"""),FALSE)</f>
        <v>0</v>
      </c>
      <c r="E7" s="96" t="str">
        <f>IFERROR(__xludf.DUMMYFUNCTION("""COMPUTED_VALUE"""),"BANTAYAN")</f>
        <v>BANTAYAN</v>
      </c>
      <c r="F7" s="96" t="str">
        <f>IFERROR(__xludf.DUMMYFUNCTION("""COMPUTED_VALUE"""),"EURASIA")</f>
        <v>EURASIA</v>
      </c>
    </row>
    <row r="8">
      <c r="A8" s="131">
        <f>IFERROR(__xludf.DUMMYFUNCTION("""COMPUTED_VALUE"""),6.0)</f>
        <v>6</v>
      </c>
      <c r="B8" s="131"/>
      <c r="C8" s="131">
        <f>IFERROR(__xludf.DUMMYFUNCTION("""COMPUTED_VALUE"""),1.0)</f>
        <v>1</v>
      </c>
      <c r="D8" s="131" t="b">
        <f>IFERROR(__xludf.DUMMYFUNCTION("""COMPUTED_VALUE"""),FALSE)</f>
        <v>0</v>
      </c>
      <c r="E8" s="96" t="str">
        <f>IFERROR(__xludf.DUMMYFUNCTION("""COMPUTED_VALUE"""),"BUCTOT")</f>
        <v>BUCTOT</v>
      </c>
      <c r="F8" s="96" t="str">
        <f>IFERROR(__xludf.DUMMYFUNCTION("""COMPUTED_VALUE"""),"JEZEBEL")</f>
        <v>JEZEBEL</v>
      </c>
    </row>
    <row r="9">
      <c r="A9" s="131">
        <f>IFERROR(__xludf.DUMMYFUNCTION("""COMPUTED_VALUE"""),7.0)</f>
        <v>7</v>
      </c>
      <c r="B9" s="131"/>
      <c r="C9" s="131">
        <f>IFERROR(__xludf.DUMMYFUNCTION("""COMPUTED_VALUE"""),1.0)</f>
        <v>1</v>
      </c>
      <c r="D9" s="131" t="b">
        <f>IFERROR(__xludf.DUMMYFUNCTION("""COMPUTED_VALUE"""),FALSE)</f>
        <v>0</v>
      </c>
      <c r="E9" s="96" t="str">
        <f>IFERROR(__xludf.DUMMYFUNCTION("""COMPUTED_VALUE"""),"ENCARNACION")</f>
        <v>ENCARNACION</v>
      </c>
      <c r="F9" s="96" t="str">
        <f>IFERROR(__xludf.DUMMYFUNCTION("""COMPUTED_VALUE"""),"KRISTEL")</f>
        <v>KRISTEL</v>
      </c>
    </row>
    <row r="10">
      <c r="A10" s="131">
        <f>IFERROR(__xludf.DUMMYFUNCTION("""COMPUTED_VALUE"""),8.0)</f>
        <v>8</v>
      </c>
      <c r="B10" s="131"/>
      <c r="C10" s="131">
        <f>IFERROR(__xludf.DUMMYFUNCTION("""COMPUTED_VALUE"""),1.0)</f>
        <v>1</v>
      </c>
      <c r="D10" s="131" t="b">
        <f>IFERROR(__xludf.DUMMYFUNCTION("""COMPUTED_VALUE"""),FALSE)</f>
        <v>0</v>
      </c>
      <c r="E10" s="96" t="str">
        <f>IFERROR(__xludf.DUMMYFUNCTION("""COMPUTED_VALUE"""),"GUTIERREZ")</f>
        <v>GUTIERREZ</v>
      </c>
      <c r="F10" s="96" t="str">
        <f>IFERROR(__xludf.DUMMYFUNCTION("""COMPUTED_VALUE"""),"PAOLA")</f>
        <v>PAOLA</v>
      </c>
    </row>
    <row r="11">
      <c r="A11" s="131">
        <f>IFERROR(__xludf.DUMMYFUNCTION("""COMPUTED_VALUE"""),9.0)</f>
        <v>9</v>
      </c>
      <c r="B11" s="131"/>
      <c r="C11" s="131">
        <f>IFERROR(__xludf.DUMMYFUNCTION("""COMPUTED_VALUE"""),1.0)</f>
        <v>1</v>
      </c>
      <c r="D11" s="131" t="b">
        <f>IFERROR(__xludf.DUMMYFUNCTION("""COMPUTED_VALUE"""),FALSE)</f>
        <v>0</v>
      </c>
      <c r="E11" s="96" t="str">
        <f>IFERROR(__xludf.DUMMYFUNCTION("""COMPUTED_VALUE"""),"HISPANO")</f>
        <v>HISPANO</v>
      </c>
      <c r="F11" s="96" t="str">
        <f>IFERROR(__xludf.DUMMYFUNCTION("""COMPUTED_VALUE"""),"HANNA")</f>
        <v>HANNA</v>
      </c>
    </row>
    <row r="12">
      <c r="A12" s="131">
        <f>IFERROR(__xludf.DUMMYFUNCTION("""COMPUTED_VALUE"""),10.0)</f>
        <v>10</v>
      </c>
      <c r="B12" s="131"/>
      <c r="C12" s="131">
        <f>IFERROR(__xludf.DUMMYFUNCTION("""COMPUTED_VALUE"""),1.0)</f>
        <v>1</v>
      </c>
      <c r="D12" s="131" t="b">
        <f>IFERROR(__xludf.DUMMYFUNCTION("""COMPUTED_VALUE"""),FALSE)</f>
        <v>0</v>
      </c>
      <c r="E12" s="96" t="str">
        <f>IFERROR(__xludf.DUMMYFUNCTION("""COMPUTED_VALUE"""),"MALOLOY-ON")</f>
        <v>MALOLOY-ON</v>
      </c>
      <c r="F12" s="96" t="str">
        <f>IFERROR(__xludf.DUMMYFUNCTION("""COMPUTED_VALUE"""),"MARIANA")</f>
        <v>MARIANA</v>
      </c>
    </row>
    <row r="13">
      <c r="A13" s="131">
        <f>IFERROR(__xludf.DUMMYFUNCTION("""COMPUTED_VALUE"""),11.0)</f>
        <v>11</v>
      </c>
      <c r="B13" s="131"/>
      <c r="C13" s="131">
        <f>IFERROR(__xludf.DUMMYFUNCTION("""COMPUTED_VALUE"""),1.0)</f>
        <v>1</v>
      </c>
      <c r="D13" s="131" t="b">
        <f>IFERROR(__xludf.DUMMYFUNCTION("""COMPUTED_VALUE"""),FALSE)</f>
        <v>0</v>
      </c>
      <c r="E13" s="96" t="str">
        <f>IFERROR(__xludf.DUMMYFUNCTION("""COMPUTED_VALUE"""),"MALOLOY-ON")</f>
        <v>MALOLOY-ON</v>
      </c>
      <c r="F13" s="96" t="str">
        <f>IFERROR(__xludf.DUMMYFUNCTION("""COMPUTED_VALUE"""),"JOISEALAY")</f>
        <v>JOISEALAY</v>
      </c>
    </row>
    <row r="14">
      <c r="A14" s="131">
        <f>IFERROR(__xludf.DUMMYFUNCTION("""COMPUTED_VALUE"""),12.0)</f>
        <v>12</v>
      </c>
      <c r="B14" s="131"/>
      <c r="C14" s="131">
        <f>IFERROR(__xludf.DUMMYFUNCTION("""COMPUTED_VALUE"""),1.0)</f>
        <v>1</v>
      </c>
      <c r="D14" s="131" t="b">
        <f>IFERROR(__xludf.DUMMYFUNCTION("""COMPUTED_VALUE"""),FALSE)</f>
        <v>0</v>
      </c>
      <c r="E14" s="96" t="str">
        <f>IFERROR(__xludf.DUMMYFUNCTION("""COMPUTED_VALUE"""),"ORQUIA")</f>
        <v>ORQUIA</v>
      </c>
      <c r="F14" s="96" t="str">
        <f>IFERROR(__xludf.DUMMYFUNCTION("""COMPUTED_VALUE"""),"KAYLA")</f>
        <v>KAYLA</v>
      </c>
    </row>
    <row r="15">
      <c r="A15" s="131">
        <f>IFERROR(__xludf.DUMMYFUNCTION("""COMPUTED_VALUE"""),13.0)</f>
        <v>13</v>
      </c>
      <c r="B15" s="131"/>
      <c r="C15" s="131">
        <f>IFERROR(__xludf.DUMMYFUNCTION("""COMPUTED_VALUE"""),1.0)</f>
        <v>1</v>
      </c>
      <c r="D15" s="131" t="b">
        <f>IFERROR(__xludf.DUMMYFUNCTION("""COMPUTED_VALUE"""),FALSE)</f>
        <v>0</v>
      </c>
      <c r="E15" s="96" t="str">
        <f>IFERROR(__xludf.DUMMYFUNCTION("""COMPUTED_VALUE"""),"PIGAO")</f>
        <v>PIGAO</v>
      </c>
      <c r="F15" s="96" t="str">
        <f>IFERROR(__xludf.DUMMYFUNCTION("""COMPUTED_VALUE"""),"HANNAH")</f>
        <v>HANNAH</v>
      </c>
    </row>
    <row r="16">
      <c r="A16" s="131">
        <f>IFERROR(__xludf.DUMMYFUNCTION("""COMPUTED_VALUE"""),14.0)</f>
        <v>14</v>
      </c>
      <c r="B16" s="131"/>
      <c r="C16" s="131">
        <f>IFERROR(__xludf.DUMMYFUNCTION("""COMPUTED_VALUE"""),1.0)</f>
        <v>1</v>
      </c>
      <c r="D16" s="131" t="b">
        <f>IFERROR(__xludf.DUMMYFUNCTION("""COMPUTED_VALUE"""),FALSE)</f>
        <v>0</v>
      </c>
      <c r="E16" s="96" t="str">
        <f>IFERROR(__xludf.DUMMYFUNCTION("""COMPUTED_VALUE"""),"RELEVO")</f>
        <v>RELEVO</v>
      </c>
      <c r="F16" s="96" t="str">
        <f>IFERROR(__xludf.DUMMYFUNCTION("""COMPUTED_VALUE"""),"RICA")</f>
        <v>RICA</v>
      </c>
    </row>
    <row r="17">
      <c r="A17" s="131">
        <f>IFERROR(__xludf.DUMMYFUNCTION("""COMPUTED_VALUE"""),15.0)</f>
        <v>15</v>
      </c>
      <c r="B17" s="131"/>
      <c r="C17" s="131">
        <f>IFERROR(__xludf.DUMMYFUNCTION("""COMPUTED_VALUE"""),1.0)</f>
        <v>1</v>
      </c>
      <c r="D17" s="131" t="b">
        <f>IFERROR(__xludf.DUMMYFUNCTION("""COMPUTED_VALUE"""),FALSE)</f>
        <v>0</v>
      </c>
      <c r="E17" s="97" t="str">
        <f>IFERROR(__xludf.DUMMYFUNCTION("""COMPUTED_VALUE"""),"REYES")</f>
        <v>REYES</v>
      </c>
      <c r="F17" s="97" t="str">
        <f>IFERROR(__xludf.DUMMYFUNCTION("""COMPUTED_VALUE"""),"ARIANNE")</f>
        <v>ARIANNE</v>
      </c>
    </row>
    <row r="18">
      <c r="A18" s="131">
        <f>IFERROR(__xludf.DUMMYFUNCTION("""COMPUTED_VALUE"""),16.0)</f>
        <v>16</v>
      </c>
      <c r="B18" s="131"/>
      <c r="C18" s="131">
        <f>IFERROR(__xludf.DUMMYFUNCTION("""COMPUTED_VALUE"""),1.0)</f>
        <v>1</v>
      </c>
      <c r="D18" s="131" t="b">
        <f>IFERROR(__xludf.DUMMYFUNCTION("""COMPUTED_VALUE"""),FALSE)</f>
        <v>0</v>
      </c>
      <c r="E18" s="96" t="str">
        <f>IFERROR(__xludf.DUMMYFUNCTION("""COMPUTED_VALUE"""),"ROMANO")</f>
        <v>ROMANO</v>
      </c>
      <c r="F18" s="96" t="str">
        <f>IFERROR(__xludf.DUMMYFUNCTION("""COMPUTED_VALUE"""),"ROZANE")</f>
        <v>ROZANE</v>
      </c>
    </row>
    <row r="19">
      <c r="A19" s="131">
        <f>IFERROR(__xludf.DUMMYFUNCTION("""COMPUTED_VALUE"""),17.0)</f>
        <v>17</v>
      </c>
      <c r="B19" s="131"/>
      <c r="C19" s="131">
        <f>IFERROR(__xludf.DUMMYFUNCTION("""COMPUTED_VALUE"""),1.0)</f>
        <v>1</v>
      </c>
      <c r="D19" s="131" t="b">
        <f>IFERROR(__xludf.DUMMYFUNCTION("""COMPUTED_VALUE"""),FALSE)</f>
        <v>0</v>
      </c>
      <c r="E19" s="96" t="str">
        <f>IFERROR(__xludf.DUMMYFUNCTION("""COMPUTED_VALUE"""),"SEBASTIAN")</f>
        <v>SEBASTIAN</v>
      </c>
      <c r="F19" s="96" t="str">
        <f>IFERROR(__xludf.DUMMYFUNCTION("""COMPUTED_VALUE"""),"JENNIFER")</f>
        <v>JENNIFER</v>
      </c>
    </row>
    <row r="20">
      <c r="A20" s="131">
        <f>IFERROR(__xludf.DUMMYFUNCTION("""COMPUTED_VALUE"""),18.0)</f>
        <v>18</v>
      </c>
      <c r="B20" s="131"/>
      <c r="C20" s="131">
        <f>IFERROR(__xludf.DUMMYFUNCTION("""COMPUTED_VALUE"""),1.0)</f>
        <v>1</v>
      </c>
      <c r="D20" s="131" t="b">
        <f>IFERROR(__xludf.DUMMYFUNCTION("""COMPUTED_VALUE"""),FALSE)</f>
        <v>0</v>
      </c>
      <c r="E20" s="96" t="str">
        <f>IFERROR(__xludf.DUMMYFUNCTION("""COMPUTED_VALUE"""),"SIMON")</f>
        <v>SIMON</v>
      </c>
      <c r="F20" s="96" t="str">
        <f>IFERROR(__xludf.DUMMYFUNCTION("""COMPUTED_VALUE"""),"SHERRIE")</f>
        <v>SHERRIE</v>
      </c>
    </row>
    <row r="21">
      <c r="A21" s="131">
        <f>IFERROR(__xludf.DUMMYFUNCTION("""COMPUTED_VALUE"""),19.0)</f>
        <v>19</v>
      </c>
      <c r="B21" s="131">
        <f>IFERROR(__xludf.DUMMYFUNCTION("""COMPUTED_VALUE"""),15.0)</f>
        <v>15</v>
      </c>
      <c r="C21" s="131">
        <f>IFERROR(__xludf.DUMMYFUNCTION("""COMPUTED_VALUE"""),1.0)</f>
        <v>1</v>
      </c>
      <c r="D21" s="131" t="b">
        <f>IFERROR(__xludf.DUMMYFUNCTION("""COMPUTED_VALUE"""),FALSE)</f>
        <v>0</v>
      </c>
      <c r="E21" s="96" t="str">
        <f>IFERROR(__xludf.DUMMYFUNCTION("""COMPUTED_VALUE"""),"TAMIDLES")</f>
        <v>TAMIDLES</v>
      </c>
      <c r="F21" s="96" t="str">
        <f>IFERROR(__xludf.DUMMYFUNCTION("""COMPUTED_VALUE"""),"CZARINA")</f>
        <v>CZARINA</v>
      </c>
    </row>
    <row r="22">
      <c r="A22" s="131">
        <f>IFERROR(__xludf.DUMMYFUNCTION("""COMPUTED_VALUE"""),20.0)</f>
        <v>20</v>
      </c>
      <c r="B22" s="131">
        <f>IFERROR(__xludf.DUMMYFUNCTION("""COMPUTED_VALUE"""),15.0)</f>
        <v>15</v>
      </c>
      <c r="C22" s="131">
        <f>IFERROR(__xludf.DUMMYFUNCTION("""COMPUTED_VALUE"""),1.0)</f>
        <v>1</v>
      </c>
      <c r="D22" s="131" t="b">
        <f>IFERROR(__xludf.DUMMYFUNCTION("""COMPUTED_VALUE"""),FALSE)</f>
        <v>0</v>
      </c>
      <c r="E22" s="96" t="str">
        <f>IFERROR(__xludf.DUMMYFUNCTION("""COMPUTED_VALUE"""),"ULAN")</f>
        <v>ULAN</v>
      </c>
      <c r="F22" s="96" t="str">
        <f>IFERROR(__xludf.DUMMYFUNCTION("""COMPUTED_VALUE"""),"MCWAYNE")</f>
        <v>MCWAYNE</v>
      </c>
    </row>
    <row r="23">
      <c r="A23" s="131">
        <f>IFERROR(__xludf.DUMMYFUNCTION("""COMPUTED_VALUE"""),21.0)</f>
        <v>21</v>
      </c>
      <c r="B23" s="131"/>
      <c r="C23" s="131">
        <f>IFERROR(__xludf.DUMMYFUNCTION("""COMPUTED_VALUE"""),1.0)</f>
        <v>1</v>
      </c>
      <c r="D23" s="131" t="b">
        <f>IFERROR(__xludf.DUMMYFUNCTION("""COMPUTED_VALUE"""),FALSE)</f>
        <v>0</v>
      </c>
      <c r="E23" s="96" t="str">
        <f>IFERROR(__xludf.DUMMYFUNCTION("""COMPUTED_VALUE"""),"VILLARTA")</f>
        <v>VILLARTA</v>
      </c>
      <c r="F23" s="96" t="str">
        <f>IFERROR(__xludf.DUMMYFUNCTION("""COMPUTED_VALUE"""),"JERICKA")</f>
        <v>JERICKA</v>
      </c>
    </row>
    <row r="24">
      <c r="A24" s="131">
        <f>IFERROR(__xludf.DUMMYFUNCTION("""COMPUTED_VALUE"""),22.0)</f>
        <v>22</v>
      </c>
      <c r="B24" s="131"/>
      <c r="C24" s="131"/>
      <c r="D24" s="131" t="b">
        <f>IFERROR(__xludf.DUMMYFUNCTION("""COMPUTED_VALUE"""),FALSE)</f>
        <v>0</v>
      </c>
      <c r="E24" s="98"/>
      <c r="F24" s="96" t="str">
        <f>IFERROR(__xludf.DUMMYFUNCTION("""COMPUTED_VALUE"""),"ANGEL")</f>
        <v>ANGEL</v>
      </c>
    </row>
    <row r="25">
      <c r="A25" s="131">
        <f>IFERROR(__xludf.DUMMYFUNCTION("""COMPUTED_VALUE"""),23.0)</f>
        <v>23</v>
      </c>
      <c r="B25" s="131"/>
      <c r="C25" s="131">
        <f>IFERROR(__xludf.DUMMYFUNCTION("""COMPUTED_VALUE"""),23.0)</f>
        <v>23</v>
      </c>
      <c r="D25" s="131" t="b">
        <f>IFERROR(__xludf.DUMMYFUNCTION("""COMPUTED_VALUE"""),TRUE)</f>
        <v>1</v>
      </c>
      <c r="E25" s="99" t="str">
        <f>IFERROR(__xludf.DUMMYFUNCTION("""COMPUTED_VALUE"""),"AVANCENA")</f>
        <v>AVANCENA</v>
      </c>
      <c r="F25" s="99" t="str">
        <f>IFERROR(__xludf.DUMMYFUNCTION("""COMPUTED_VALUE"""),"AIMEE")</f>
        <v>AIMEE</v>
      </c>
    </row>
    <row r="26">
      <c r="A26" s="131">
        <f>IFERROR(__xludf.DUMMYFUNCTION("""COMPUTED_VALUE"""),24.0)</f>
        <v>24</v>
      </c>
      <c r="B26" s="131"/>
      <c r="C26" s="131">
        <f>IFERROR(__xludf.DUMMYFUNCTION("""COMPUTED_VALUE"""),23.0)</f>
        <v>23</v>
      </c>
      <c r="D26" s="131" t="b">
        <f>IFERROR(__xludf.DUMMYFUNCTION("""COMPUTED_VALUE"""),FALSE)</f>
        <v>0</v>
      </c>
      <c r="E26" s="100" t="str">
        <f>IFERROR(__xludf.DUMMYFUNCTION("""COMPUTED_VALUE"""),"CABO")</f>
        <v>CABO</v>
      </c>
      <c r="F26" s="100" t="str">
        <f>IFERROR(__xludf.DUMMYFUNCTION("""COMPUTED_VALUE"""),"MELANIE")</f>
        <v>MELANIE</v>
      </c>
    </row>
    <row r="27">
      <c r="A27" s="131">
        <f>IFERROR(__xludf.DUMMYFUNCTION("""COMPUTED_VALUE"""),25.0)</f>
        <v>25</v>
      </c>
      <c r="B27" s="131">
        <f>IFERROR(__xludf.DUMMYFUNCTION("""COMPUTED_VALUE"""),24.0)</f>
        <v>24</v>
      </c>
      <c r="C27" s="131">
        <f>IFERROR(__xludf.DUMMYFUNCTION("""COMPUTED_VALUE"""),23.0)</f>
        <v>23</v>
      </c>
      <c r="D27" s="131" t="b">
        <f>IFERROR(__xludf.DUMMYFUNCTION("""COMPUTED_VALUE"""),FALSE)</f>
        <v>0</v>
      </c>
      <c r="E27" s="100" t="str">
        <f>IFERROR(__xludf.DUMMYFUNCTION("""COMPUTED_VALUE"""),"CARLOS")</f>
        <v>CARLOS</v>
      </c>
      <c r="F27" s="100" t="str">
        <f>IFERROR(__xludf.DUMMYFUNCTION("""COMPUTED_VALUE"""),"FRANCINE")</f>
        <v>FRANCINE</v>
      </c>
    </row>
    <row r="28">
      <c r="A28" s="131">
        <f>IFERROR(__xludf.DUMMYFUNCTION("""COMPUTED_VALUE"""),26.0)</f>
        <v>26</v>
      </c>
      <c r="B28" s="131"/>
      <c r="C28" s="131">
        <f>IFERROR(__xludf.DUMMYFUNCTION("""COMPUTED_VALUE"""),23.0)</f>
        <v>23</v>
      </c>
      <c r="D28" s="131" t="b">
        <f>IFERROR(__xludf.DUMMYFUNCTION("""COMPUTED_VALUE"""),FALSE)</f>
        <v>0</v>
      </c>
      <c r="E28" s="100" t="str">
        <f>IFERROR(__xludf.DUMMYFUNCTION("""COMPUTED_VALUE"""),"DALIOAN")</f>
        <v>DALIOAN</v>
      </c>
      <c r="F28" s="100" t="str">
        <f>IFERROR(__xludf.DUMMYFUNCTION("""COMPUTED_VALUE"""),"MONIQUE")</f>
        <v>MONIQUE</v>
      </c>
    </row>
    <row r="29">
      <c r="A29" s="131">
        <f>IFERROR(__xludf.DUMMYFUNCTION("""COMPUTED_VALUE"""),27.0)</f>
        <v>27</v>
      </c>
      <c r="B29" s="131"/>
      <c r="C29" s="131">
        <f>IFERROR(__xludf.DUMMYFUNCTION("""COMPUTED_VALUE"""),23.0)</f>
        <v>23</v>
      </c>
      <c r="D29" s="131" t="b">
        <f>IFERROR(__xludf.DUMMYFUNCTION("""COMPUTED_VALUE"""),FALSE)</f>
        <v>0</v>
      </c>
      <c r="E29" s="100" t="str">
        <f>IFERROR(__xludf.DUMMYFUNCTION("""COMPUTED_VALUE"""),"GELICAME")</f>
        <v>GELICAME</v>
      </c>
      <c r="F29" s="100" t="str">
        <f>IFERROR(__xludf.DUMMYFUNCTION("""COMPUTED_VALUE"""),"ARYHANA")</f>
        <v>ARYHANA</v>
      </c>
    </row>
    <row r="30">
      <c r="A30" s="131">
        <f>IFERROR(__xludf.DUMMYFUNCTION("""COMPUTED_VALUE"""),28.0)</f>
        <v>28</v>
      </c>
      <c r="B30" s="131"/>
      <c r="C30" s="131">
        <f>IFERROR(__xludf.DUMMYFUNCTION("""COMPUTED_VALUE"""),23.0)</f>
        <v>23</v>
      </c>
      <c r="D30" s="131" t="b">
        <f>IFERROR(__xludf.DUMMYFUNCTION("""COMPUTED_VALUE"""),FALSE)</f>
        <v>0</v>
      </c>
      <c r="E30" s="100" t="str">
        <f>IFERROR(__xludf.DUMMYFUNCTION("""COMPUTED_VALUE"""),"GUIMONG")</f>
        <v>GUIMONG</v>
      </c>
      <c r="F30" s="100" t="str">
        <f>IFERROR(__xludf.DUMMYFUNCTION("""COMPUTED_VALUE"""),"FAITH")</f>
        <v>FAITH</v>
      </c>
    </row>
    <row r="31">
      <c r="A31" s="131">
        <f>IFERROR(__xludf.DUMMYFUNCTION("""COMPUTED_VALUE"""),29.0)</f>
        <v>29</v>
      </c>
      <c r="B31" s="131"/>
      <c r="C31" s="131">
        <f>IFERROR(__xludf.DUMMYFUNCTION("""COMPUTED_VALUE"""),23.0)</f>
        <v>23</v>
      </c>
      <c r="D31" s="131" t="b">
        <f>IFERROR(__xludf.DUMMYFUNCTION("""COMPUTED_VALUE"""),FALSE)</f>
        <v>0</v>
      </c>
      <c r="E31" s="100" t="str">
        <f>IFERROR(__xludf.DUMMYFUNCTION("""COMPUTED_VALUE"""),"MANALOTO")</f>
        <v>MANALOTO</v>
      </c>
      <c r="F31" s="100" t="str">
        <f>IFERROR(__xludf.DUMMYFUNCTION("""COMPUTED_VALUE"""),"YOSHA")</f>
        <v>YOSHA</v>
      </c>
    </row>
    <row r="32">
      <c r="A32" s="131">
        <f>IFERROR(__xludf.DUMMYFUNCTION("""COMPUTED_VALUE"""),30.0)</f>
        <v>30</v>
      </c>
      <c r="B32" s="131"/>
      <c r="C32" s="131">
        <f>IFERROR(__xludf.DUMMYFUNCTION("""COMPUTED_VALUE"""),23.0)</f>
        <v>23</v>
      </c>
      <c r="D32" s="131" t="b">
        <f>IFERROR(__xludf.DUMMYFUNCTION("""COMPUTED_VALUE"""),FALSE)</f>
        <v>0</v>
      </c>
      <c r="E32" s="100" t="str">
        <f>IFERROR(__xludf.DUMMYFUNCTION("""COMPUTED_VALUE"""),"MARINAS")</f>
        <v>MARINAS</v>
      </c>
      <c r="F32" s="100" t="str">
        <f>IFERROR(__xludf.DUMMYFUNCTION("""COMPUTED_VALUE"""),"CHERRY")</f>
        <v>CHERRY</v>
      </c>
    </row>
    <row r="33">
      <c r="A33" s="131">
        <f>IFERROR(__xludf.DUMMYFUNCTION("""COMPUTED_VALUE"""),31.0)</f>
        <v>31</v>
      </c>
      <c r="B33" s="131"/>
      <c r="C33" s="131">
        <f>IFERROR(__xludf.DUMMYFUNCTION("""COMPUTED_VALUE"""),23.0)</f>
        <v>23</v>
      </c>
      <c r="D33" s="131" t="b">
        <f>IFERROR(__xludf.DUMMYFUNCTION("""COMPUTED_VALUE"""),FALSE)</f>
        <v>0</v>
      </c>
      <c r="E33" s="101" t="str">
        <f>IFERROR(__xludf.DUMMYFUNCTION("""COMPUTED_VALUE"""),"JIMENEZ")</f>
        <v>JIMENEZ</v>
      </c>
      <c r="F33" s="101" t="str">
        <f>IFERROR(__xludf.DUMMYFUNCTION("""COMPUTED_VALUE"""),"RUTH JHAMELA")</f>
        <v>RUTH JHAMELA</v>
      </c>
    </row>
    <row r="34">
      <c r="A34" s="131">
        <f>IFERROR(__xludf.DUMMYFUNCTION("""COMPUTED_VALUE"""),32.0)</f>
        <v>32</v>
      </c>
      <c r="B34" s="131"/>
      <c r="C34" s="131">
        <f>IFERROR(__xludf.DUMMYFUNCTION("""COMPUTED_VALUE"""),23.0)</f>
        <v>23</v>
      </c>
      <c r="D34" s="131" t="b">
        <f>IFERROR(__xludf.DUMMYFUNCTION("""COMPUTED_VALUE"""),FALSE)</f>
        <v>0</v>
      </c>
      <c r="E34" s="100" t="str">
        <f>IFERROR(__xludf.DUMMYFUNCTION("""COMPUTED_VALUE"""),"GUILLERMO")</f>
        <v>GUILLERMO</v>
      </c>
      <c r="F34" s="100" t="str">
        <f>IFERROR(__xludf.DUMMYFUNCTION("""COMPUTED_VALUE"""),"STAR")</f>
        <v>STAR</v>
      </c>
    </row>
    <row r="35">
      <c r="A35" s="131">
        <f>IFERROR(__xludf.DUMMYFUNCTION("""COMPUTED_VALUE"""),33.0)</f>
        <v>33</v>
      </c>
      <c r="B35" s="131"/>
      <c r="C35" s="131">
        <f>IFERROR(__xludf.DUMMYFUNCTION("""COMPUTED_VALUE"""),23.0)</f>
        <v>23</v>
      </c>
      <c r="D35" s="131" t="b">
        <f>IFERROR(__xludf.DUMMYFUNCTION("""COMPUTED_VALUE"""),FALSE)</f>
        <v>0</v>
      </c>
      <c r="E35" s="100" t="str">
        <f>IFERROR(__xludf.DUMMYFUNCTION("""COMPUTED_VALUE"""),"CATENZA")</f>
        <v>CATENZA</v>
      </c>
      <c r="F35" s="100" t="str">
        <f>IFERROR(__xludf.DUMMYFUNCTION("""COMPUTED_VALUE"""),"PRINCESS")</f>
        <v>PRINCESS</v>
      </c>
    </row>
    <row r="36">
      <c r="A36" s="131">
        <f>IFERROR(__xludf.DUMMYFUNCTION("""COMPUTED_VALUE"""),34.0)</f>
        <v>34</v>
      </c>
      <c r="B36" s="131"/>
      <c r="C36" s="131">
        <f>IFERROR(__xludf.DUMMYFUNCTION("""COMPUTED_VALUE"""),23.0)</f>
        <v>23</v>
      </c>
      <c r="D36" s="131" t="b">
        <f>IFERROR(__xludf.DUMMYFUNCTION("""COMPUTED_VALUE"""),FALSE)</f>
        <v>0</v>
      </c>
      <c r="E36" s="102" t="str">
        <f>IFERROR(__xludf.DUMMYFUNCTION("""COMPUTED_VALUE"""),"GORDON")</f>
        <v>GORDON</v>
      </c>
      <c r="F36" s="102" t="str">
        <f>IFERROR(__xludf.DUMMYFUNCTION("""COMPUTED_VALUE"""),"HARRY")</f>
        <v>HARRY</v>
      </c>
    </row>
    <row r="37">
      <c r="A37" s="131">
        <f>IFERROR(__xludf.DUMMYFUNCTION("""COMPUTED_VALUE"""),35.0)</f>
        <v>35</v>
      </c>
      <c r="B37" s="131"/>
      <c r="C37" s="131">
        <f>IFERROR(__xludf.DUMMYFUNCTION("""COMPUTED_VALUE"""),23.0)</f>
        <v>23</v>
      </c>
      <c r="D37" s="131" t="b">
        <f>IFERROR(__xludf.DUMMYFUNCTION("""COMPUTED_VALUE"""),FALSE)</f>
        <v>0</v>
      </c>
      <c r="E37" s="103" t="str">
        <f>IFERROR(__xludf.DUMMYFUNCTION("""COMPUTED_VALUE"""),"AVILLANO")</f>
        <v>AVILLANO</v>
      </c>
      <c r="F37" s="103" t="str">
        <f>IFERROR(__xludf.DUMMYFUNCTION("""COMPUTED_VALUE"""),"ANGEL DIANNE")</f>
        <v>ANGEL DIANNE</v>
      </c>
    </row>
    <row r="38">
      <c r="A38" s="131">
        <f>IFERROR(__xludf.DUMMYFUNCTION("""COMPUTED_VALUE"""),36.0)</f>
        <v>36</v>
      </c>
      <c r="B38" s="131"/>
      <c r="C38" s="131">
        <f>IFERROR(__xludf.DUMMYFUNCTION("""COMPUTED_VALUE"""),23.0)</f>
        <v>23</v>
      </c>
      <c r="D38" s="131" t="b">
        <f>IFERROR(__xludf.DUMMYFUNCTION("""COMPUTED_VALUE"""),FALSE)</f>
        <v>0</v>
      </c>
      <c r="E38" s="103" t="str">
        <f>IFERROR(__xludf.DUMMYFUNCTION("""COMPUTED_VALUE"""),"BALTAZAR")</f>
        <v>BALTAZAR</v>
      </c>
      <c r="F38" s="103" t="str">
        <f>IFERROR(__xludf.DUMMYFUNCTION("""COMPUTED_VALUE"""),"ARSTON")</f>
        <v>ARSTON</v>
      </c>
    </row>
    <row r="39">
      <c r="A39" s="131">
        <f>IFERROR(__xludf.DUMMYFUNCTION("""COMPUTED_VALUE"""),37.0)</f>
        <v>37</v>
      </c>
      <c r="B39" s="131"/>
      <c r="C39" s="131">
        <f>IFERROR(__xludf.DUMMYFUNCTION("""COMPUTED_VALUE"""),23.0)</f>
        <v>23</v>
      </c>
      <c r="D39" s="131" t="b">
        <f>IFERROR(__xludf.DUMMYFUNCTION("""COMPUTED_VALUE"""),FALSE)</f>
        <v>0</v>
      </c>
      <c r="E39" s="102" t="str">
        <f>IFERROR(__xludf.DUMMYFUNCTION("""COMPUTED_VALUE"""),"SISON")</f>
        <v>SISON</v>
      </c>
      <c r="F39" s="103" t="str">
        <f>IFERROR(__xludf.DUMMYFUNCTION("""COMPUTED_VALUE"""),"KRISTA MAE")</f>
        <v>KRISTA MAE</v>
      </c>
    </row>
    <row r="40">
      <c r="A40" s="131">
        <f>IFERROR(__xludf.DUMMYFUNCTION("""COMPUTED_VALUE"""),38.0)</f>
        <v>38</v>
      </c>
      <c r="B40" s="131"/>
      <c r="C40" s="131">
        <f>IFERROR(__xludf.DUMMYFUNCTION("""COMPUTED_VALUE"""),23.0)</f>
        <v>23</v>
      </c>
      <c r="D40" s="131" t="b">
        <f>IFERROR(__xludf.DUMMYFUNCTION("""COMPUTED_VALUE"""),FALSE)</f>
        <v>0</v>
      </c>
      <c r="E40" s="103" t="str">
        <f>IFERROR(__xludf.DUMMYFUNCTION("""COMPUTED_VALUE"""),"GARCIA")</f>
        <v>GARCIA</v>
      </c>
      <c r="F40" s="103" t="str">
        <f>IFERROR(__xludf.DUMMYFUNCTION("""COMPUTED_VALUE"""),"SELTHIEL")</f>
        <v>SELTHIEL</v>
      </c>
    </row>
    <row r="41">
      <c r="A41" s="131">
        <f>IFERROR(__xludf.DUMMYFUNCTION("""COMPUTED_VALUE"""),39.0)</f>
        <v>39</v>
      </c>
      <c r="B41" s="131"/>
      <c r="C41" s="131">
        <f>IFERROR(__xludf.DUMMYFUNCTION("""COMPUTED_VALUE"""),23.0)</f>
        <v>23</v>
      </c>
      <c r="D41" s="131" t="b">
        <f>IFERROR(__xludf.DUMMYFUNCTION("""COMPUTED_VALUE"""),FALSE)</f>
        <v>0</v>
      </c>
      <c r="E41" s="103" t="str">
        <f>IFERROR(__xludf.DUMMYFUNCTION("""COMPUTED_VALUE"""),"HIJARA")</f>
        <v>HIJARA</v>
      </c>
      <c r="F41" s="103" t="str">
        <f>IFERROR(__xludf.DUMMYFUNCTION("""COMPUTED_VALUE"""),"JAIHMIER VIELLE")</f>
        <v>JAIHMIER VIELLE</v>
      </c>
    </row>
    <row r="42">
      <c r="A42" s="131">
        <f>IFERROR(__xludf.DUMMYFUNCTION("""COMPUTED_VALUE"""),40.0)</f>
        <v>40</v>
      </c>
      <c r="B42" s="131"/>
      <c r="C42" s="131">
        <f>IFERROR(__xludf.DUMMYFUNCTION("""COMPUTED_VALUE"""),23.0)</f>
        <v>23</v>
      </c>
      <c r="D42" s="131" t="b">
        <f>IFERROR(__xludf.DUMMYFUNCTION("""COMPUTED_VALUE"""),FALSE)</f>
        <v>0</v>
      </c>
      <c r="E42" s="103" t="str">
        <f>IFERROR(__xludf.DUMMYFUNCTION("""COMPUTED_VALUE"""),"MAGBANUA")</f>
        <v>MAGBANUA</v>
      </c>
      <c r="F42" s="103" t="str">
        <f>IFERROR(__xludf.DUMMYFUNCTION("""COMPUTED_VALUE"""),"MANUEL HARVEY")</f>
        <v>MANUEL HARVEY</v>
      </c>
    </row>
    <row r="43">
      <c r="A43" s="131">
        <f>IFERROR(__xludf.DUMMYFUNCTION("""COMPUTED_VALUE"""),41.0)</f>
        <v>41</v>
      </c>
      <c r="B43" s="131"/>
      <c r="C43" s="131">
        <f>IFERROR(__xludf.DUMMYFUNCTION("""COMPUTED_VALUE"""),23.0)</f>
        <v>23</v>
      </c>
      <c r="D43" s="131" t="b">
        <f>IFERROR(__xludf.DUMMYFUNCTION("""COMPUTED_VALUE"""),FALSE)</f>
        <v>0</v>
      </c>
      <c r="E43" s="103" t="str">
        <f>IFERROR(__xludf.DUMMYFUNCTION("""COMPUTED_VALUE"""),"TABOY")</f>
        <v>TABOY</v>
      </c>
      <c r="F43" s="103" t="str">
        <f>IFERROR(__xludf.DUMMYFUNCTION("""COMPUTED_VALUE"""),"PRIMO KLYDE")</f>
        <v>PRIMO KLYDE</v>
      </c>
    </row>
    <row r="44">
      <c r="A44" s="131">
        <f>IFERROR(__xludf.DUMMYFUNCTION("""COMPUTED_VALUE"""),42.0)</f>
        <v>42</v>
      </c>
      <c r="B44" s="131"/>
      <c r="C44" s="131"/>
      <c r="D44" s="131" t="b">
        <f>IFERROR(__xludf.DUMMYFUNCTION("""COMPUTED_VALUE"""),FALSE)</f>
        <v>0</v>
      </c>
      <c r="E44" s="103"/>
      <c r="F44" s="103"/>
    </row>
    <row r="45">
      <c r="A45" s="131">
        <f>IFERROR(__xludf.DUMMYFUNCTION("""COMPUTED_VALUE"""),43.0)</f>
        <v>43</v>
      </c>
      <c r="B45" s="131"/>
      <c r="C45" s="131">
        <f>IFERROR(__xludf.DUMMYFUNCTION("""COMPUTED_VALUE"""),23.0)</f>
        <v>23</v>
      </c>
      <c r="D45" s="131" t="b">
        <f>IFERROR(__xludf.DUMMYFUNCTION("""COMPUTED_VALUE"""),FALSE)</f>
        <v>0</v>
      </c>
      <c r="E45" s="103" t="str">
        <f>IFERROR(__xludf.DUMMYFUNCTION("""COMPUTED_VALUE"""),"SABEJON")</f>
        <v>SABEJON</v>
      </c>
      <c r="F45" s="103" t="str">
        <f>IFERROR(__xludf.DUMMYFUNCTION("""COMPUTED_VALUE"""),"KENNETH")</f>
        <v>KENNETH</v>
      </c>
    </row>
    <row r="46">
      <c r="A46" s="131">
        <f>IFERROR(__xludf.DUMMYFUNCTION("""COMPUTED_VALUE"""),44.0)</f>
        <v>44</v>
      </c>
      <c r="B46" s="131"/>
      <c r="C46" s="131">
        <f>IFERROR(__xludf.DUMMYFUNCTION("""COMPUTED_VALUE"""),23.0)</f>
        <v>23</v>
      </c>
      <c r="D46" s="131" t="b">
        <f>IFERROR(__xludf.DUMMYFUNCTION("""COMPUTED_VALUE"""),FALSE)</f>
        <v>0</v>
      </c>
      <c r="E46" s="103" t="str">
        <f>IFERROR(__xludf.DUMMYFUNCTION("""COMPUTED_VALUE"""),"LIRRAG")</f>
        <v>LIRRAG</v>
      </c>
      <c r="F46" s="103" t="str">
        <f>IFERROR(__xludf.DUMMYFUNCTION("""COMPUTED_VALUE"""),"DAN EDRIK")</f>
        <v>DAN EDRIK</v>
      </c>
    </row>
    <row r="47">
      <c r="A47" s="131">
        <f>IFERROR(__xludf.DUMMYFUNCTION("""COMPUTED_VALUE"""),45.0)</f>
        <v>45</v>
      </c>
      <c r="B47" s="131"/>
      <c r="C47" s="131">
        <f>IFERROR(__xludf.DUMMYFUNCTION("""COMPUTED_VALUE"""),23.0)</f>
        <v>23</v>
      </c>
      <c r="D47" s="131" t="b">
        <f>IFERROR(__xludf.DUMMYFUNCTION("""COMPUTED_VALUE"""),FALSE)</f>
        <v>0</v>
      </c>
      <c r="E47" s="103" t="str">
        <f>IFERROR(__xludf.DUMMYFUNCTION("""COMPUTED_VALUE"""),"DELA ROSA")</f>
        <v>DELA ROSA</v>
      </c>
      <c r="F47" s="103" t="str">
        <f>IFERROR(__xludf.DUMMYFUNCTION("""COMPUTED_VALUE"""),"JOREVE")</f>
        <v>JOREVE</v>
      </c>
    </row>
    <row r="48">
      <c r="A48" s="131">
        <f>IFERROR(__xludf.DUMMYFUNCTION("""COMPUTED_VALUE"""),46.0)</f>
        <v>46</v>
      </c>
      <c r="B48" s="131"/>
      <c r="C48" s="131">
        <f>IFERROR(__xludf.DUMMYFUNCTION("""COMPUTED_VALUE"""),23.0)</f>
        <v>23</v>
      </c>
      <c r="D48" s="131" t="b">
        <f>IFERROR(__xludf.DUMMYFUNCTION("""COMPUTED_VALUE"""),FALSE)</f>
        <v>0</v>
      </c>
      <c r="E48" s="103" t="str">
        <f>IFERROR(__xludf.DUMMYFUNCTION("""COMPUTED_VALUE"""),"KOI")</f>
        <v>KOI</v>
      </c>
      <c r="F48" s="103" t="str">
        <f>IFERROR(__xludf.DUMMYFUNCTION("""COMPUTED_VALUE"""),"HERMYLYN")</f>
        <v>HERMYLYN</v>
      </c>
    </row>
    <row r="49">
      <c r="A49" s="131">
        <f>IFERROR(__xludf.DUMMYFUNCTION("""COMPUTED_VALUE"""),47.0)</f>
        <v>47</v>
      </c>
      <c r="B49" s="131"/>
      <c r="C49" s="131">
        <f>IFERROR(__xludf.DUMMYFUNCTION("""COMPUTED_VALUE"""),23.0)</f>
        <v>23</v>
      </c>
      <c r="D49" s="131" t="b">
        <f>IFERROR(__xludf.DUMMYFUNCTION("""COMPUTED_VALUE"""),FALSE)</f>
        <v>0</v>
      </c>
      <c r="E49" s="103" t="str">
        <f>IFERROR(__xludf.DUMMYFUNCTION("""COMPUTED_VALUE"""),"SILVANO")</f>
        <v>SILVANO</v>
      </c>
      <c r="F49" s="103" t="str">
        <f>IFERROR(__xludf.DUMMYFUNCTION("""COMPUTED_VALUE"""),"CRISJARED")</f>
        <v>CRISJARED</v>
      </c>
    </row>
    <row r="50">
      <c r="A50" s="131">
        <f>IFERROR(__xludf.DUMMYFUNCTION("""COMPUTED_VALUE"""),48.0)</f>
        <v>48</v>
      </c>
      <c r="B50" s="131"/>
      <c r="C50" s="131">
        <f>IFERROR(__xludf.DUMMYFUNCTION("""COMPUTED_VALUE"""),23.0)</f>
        <v>23</v>
      </c>
      <c r="D50" s="131" t="b">
        <f>IFERROR(__xludf.DUMMYFUNCTION("""COMPUTED_VALUE"""),FALSE)</f>
        <v>0</v>
      </c>
      <c r="E50" s="103" t="str">
        <f>IFERROR(__xludf.DUMMYFUNCTION("""COMPUTED_VALUE"""),"CORONEL")</f>
        <v>CORONEL</v>
      </c>
      <c r="F50" s="103" t="str">
        <f>IFERROR(__xludf.DUMMYFUNCTION("""COMPUTED_VALUE"""),"CARL CEDRICK")</f>
        <v>CARL CEDRICK</v>
      </c>
    </row>
    <row r="51">
      <c r="A51" s="131">
        <f>IFERROR(__xludf.DUMMYFUNCTION("""COMPUTED_VALUE"""),49.0)</f>
        <v>49</v>
      </c>
      <c r="B51" s="131"/>
      <c r="C51" s="131">
        <f>IFERROR(__xludf.DUMMYFUNCTION("""COMPUTED_VALUE"""),23.0)</f>
        <v>23</v>
      </c>
      <c r="D51" s="131" t="b">
        <f>IFERROR(__xludf.DUMMYFUNCTION("""COMPUTED_VALUE"""),FALSE)</f>
        <v>0</v>
      </c>
      <c r="E51" s="103" t="str">
        <f>IFERROR(__xludf.DUMMYFUNCTION("""COMPUTED_VALUE"""),"ORTALEZA")</f>
        <v>ORTALEZA</v>
      </c>
      <c r="F51" s="103" t="str">
        <f>IFERROR(__xludf.DUMMYFUNCTION("""COMPUTED_VALUE"""),"FROI FANCIS")</f>
        <v>FROI FANCIS</v>
      </c>
    </row>
    <row r="52">
      <c r="A52" s="131">
        <f>IFERROR(__xludf.DUMMYFUNCTION("""COMPUTED_VALUE"""),50.0)</f>
        <v>50</v>
      </c>
      <c r="B52" s="131"/>
      <c r="C52" s="131">
        <f>IFERROR(__xludf.DUMMYFUNCTION("""COMPUTED_VALUE"""),23.0)</f>
        <v>23</v>
      </c>
      <c r="D52" s="131" t="b">
        <f>IFERROR(__xludf.DUMMYFUNCTION("""COMPUTED_VALUE"""),FALSE)</f>
        <v>0</v>
      </c>
      <c r="E52" s="103" t="str">
        <f>IFERROR(__xludf.DUMMYFUNCTION("""COMPUTED_VALUE"""),"ESPOZO")</f>
        <v>ESPOZO</v>
      </c>
      <c r="F52" s="103" t="str">
        <f>IFERROR(__xludf.DUMMYFUNCTION("""COMPUTED_VALUE"""),"MAICA ELLA")</f>
        <v>MAICA ELLA</v>
      </c>
    </row>
    <row r="53">
      <c r="A53" s="131">
        <f>IFERROR(__xludf.DUMMYFUNCTION("""COMPUTED_VALUE"""),51.0)</f>
        <v>51</v>
      </c>
      <c r="B53" s="131"/>
      <c r="C53" s="131">
        <f>IFERROR(__xludf.DUMMYFUNCTION("""COMPUTED_VALUE"""),23.0)</f>
        <v>23</v>
      </c>
      <c r="D53" s="131" t="b">
        <f>IFERROR(__xludf.DUMMYFUNCTION("""COMPUTED_VALUE"""),FALSE)</f>
        <v>0</v>
      </c>
      <c r="E53" s="103" t="str">
        <f>IFERROR(__xludf.DUMMYFUNCTION("""COMPUTED_VALUE"""),"SOBERANO")</f>
        <v>SOBERANO</v>
      </c>
      <c r="F53" s="103" t="str">
        <f>IFERROR(__xludf.DUMMYFUNCTION("""COMPUTED_VALUE"""),"ZAIRUS")</f>
        <v>ZAIRUS</v>
      </c>
    </row>
    <row r="54">
      <c r="A54" s="131">
        <f>IFERROR(__xludf.DUMMYFUNCTION("""COMPUTED_VALUE"""),52.0)</f>
        <v>52</v>
      </c>
      <c r="B54" s="131"/>
      <c r="C54" s="131">
        <f>IFERROR(__xludf.DUMMYFUNCTION("""COMPUTED_VALUE"""),23.0)</f>
        <v>23</v>
      </c>
      <c r="D54" s="131" t="b">
        <f>IFERROR(__xludf.DUMMYFUNCTION("""COMPUTED_VALUE"""),FALSE)</f>
        <v>0</v>
      </c>
      <c r="E54" s="99" t="str">
        <f>IFERROR(__xludf.DUMMYFUNCTION("""COMPUTED_VALUE"""),"ERA")</f>
        <v>ERA</v>
      </c>
      <c r="F54" s="99" t="str">
        <f>IFERROR(__xludf.DUMMYFUNCTION("""COMPUTED_VALUE"""),"ANALEZA")</f>
        <v>ANALEZA</v>
      </c>
    </row>
    <row r="55">
      <c r="A55" s="131">
        <f>IFERROR(__xludf.DUMMYFUNCTION("""COMPUTED_VALUE"""),53.0)</f>
        <v>53</v>
      </c>
      <c r="B55" s="131"/>
      <c r="C55" s="131">
        <f>IFERROR(__xludf.DUMMYFUNCTION("""COMPUTED_VALUE"""),23.0)</f>
        <v>23</v>
      </c>
      <c r="D55" s="131" t="b">
        <f>IFERROR(__xludf.DUMMYFUNCTION("""COMPUTED_VALUE"""),FALSE)</f>
        <v>0</v>
      </c>
      <c r="E55" s="100" t="str">
        <f>IFERROR(__xludf.DUMMYFUNCTION("""COMPUTED_VALUE"""),"ARANA")</f>
        <v>ARANA</v>
      </c>
      <c r="F55" s="100" t="str">
        <f>IFERROR(__xludf.DUMMYFUNCTION("""COMPUTED_VALUE"""),"RHEANA")</f>
        <v>RHEANA</v>
      </c>
    </row>
    <row r="56">
      <c r="A56" s="131">
        <f>IFERROR(__xludf.DUMMYFUNCTION("""COMPUTED_VALUE"""),54.0)</f>
        <v>54</v>
      </c>
      <c r="B56" s="131"/>
      <c r="C56" s="131">
        <f>IFERROR(__xludf.DUMMYFUNCTION("""COMPUTED_VALUE"""),23.0)</f>
        <v>23</v>
      </c>
      <c r="D56" s="131" t="b">
        <f>IFERROR(__xludf.DUMMYFUNCTION("""COMPUTED_VALUE"""),FALSE)</f>
        <v>0</v>
      </c>
      <c r="E56" s="100" t="str">
        <f>IFERROR(__xludf.DUMMYFUNCTION("""COMPUTED_VALUE"""),"BANDE")</f>
        <v>BANDE</v>
      </c>
      <c r="F56" s="100" t="str">
        <f>IFERROR(__xludf.DUMMYFUNCTION("""COMPUTED_VALUE"""),"ERICA")</f>
        <v>ERICA</v>
      </c>
    </row>
    <row r="57">
      <c r="A57" s="131">
        <f>IFERROR(__xludf.DUMMYFUNCTION("""COMPUTED_VALUE"""),55.0)</f>
        <v>55</v>
      </c>
      <c r="B57" s="131"/>
      <c r="C57" s="131">
        <f>IFERROR(__xludf.DUMMYFUNCTION("""COMPUTED_VALUE"""),23.0)</f>
        <v>23</v>
      </c>
      <c r="D57" s="131" t="b">
        <f>IFERROR(__xludf.DUMMYFUNCTION("""COMPUTED_VALUE"""),FALSE)</f>
        <v>0</v>
      </c>
      <c r="E57" s="100" t="str">
        <f>IFERROR(__xludf.DUMMYFUNCTION("""COMPUTED_VALUE"""),"DEL ROSARIO")</f>
        <v>DEL ROSARIO</v>
      </c>
      <c r="F57" s="100" t="str">
        <f>IFERROR(__xludf.DUMMYFUNCTION("""COMPUTED_VALUE"""),"JOY")</f>
        <v>JOY</v>
      </c>
    </row>
    <row r="58">
      <c r="A58" s="131">
        <f>IFERROR(__xludf.DUMMYFUNCTION("""COMPUTED_VALUE"""),56.0)</f>
        <v>56</v>
      </c>
      <c r="B58" s="131"/>
      <c r="C58" s="131">
        <f>IFERROR(__xludf.DUMMYFUNCTION("""COMPUTED_VALUE"""),23.0)</f>
        <v>23</v>
      </c>
      <c r="D58" s="131" t="b">
        <f>IFERROR(__xludf.DUMMYFUNCTION("""COMPUTED_VALUE"""),FALSE)</f>
        <v>0</v>
      </c>
      <c r="E58" s="100" t="str">
        <f>IFERROR(__xludf.DUMMYFUNCTION("""COMPUTED_VALUE"""),"GUETA")</f>
        <v>GUETA</v>
      </c>
      <c r="F58" s="100" t="str">
        <f>IFERROR(__xludf.DUMMYFUNCTION("""COMPUTED_VALUE"""),"SEYVEL")</f>
        <v>SEYVEL</v>
      </c>
    </row>
    <row r="59">
      <c r="A59" s="131">
        <f>IFERROR(__xludf.DUMMYFUNCTION("""COMPUTED_VALUE"""),57.0)</f>
        <v>57</v>
      </c>
      <c r="B59" s="131"/>
      <c r="C59" s="131">
        <f>IFERROR(__xludf.DUMMYFUNCTION("""COMPUTED_VALUE"""),23.0)</f>
        <v>23</v>
      </c>
      <c r="D59" s="131" t="b">
        <f>IFERROR(__xludf.DUMMYFUNCTION("""COMPUTED_VALUE"""),FALSE)</f>
        <v>0</v>
      </c>
      <c r="E59" s="100" t="str">
        <f>IFERROR(__xludf.DUMMYFUNCTION("""COMPUTED_VALUE"""),"MALIPOT")</f>
        <v>MALIPOT</v>
      </c>
      <c r="F59" s="100" t="str">
        <f>IFERROR(__xludf.DUMMYFUNCTION("""COMPUTED_VALUE"""),"JUSTINE")</f>
        <v>JUSTINE</v>
      </c>
    </row>
    <row r="60">
      <c r="A60" s="131">
        <f>IFERROR(__xludf.DUMMYFUNCTION("""COMPUTED_VALUE"""),58.0)</f>
        <v>58</v>
      </c>
      <c r="B60" s="131"/>
      <c r="C60" s="131">
        <f>IFERROR(__xludf.DUMMYFUNCTION("""COMPUTED_VALUE"""),23.0)</f>
        <v>23</v>
      </c>
      <c r="D60" s="131" t="b">
        <f>IFERROR(__xludf.DUMMYFUNCTION("""COMPUTED_VALUE"""),FALSE)</f>
        <v>0</v>
      </c>
      <c r="E60" s="100" t="str">
        <f>IFERROR(__xludf.DUMMYFUNCTION("""COMPUTED_VALUE"""),"PATRICIO")</f>
        <v>PATRICIO</v>
      </c>
      <c r="F60" s="100" t="str">
        <f>IFERROR(__xludf.DUMMYFUNCTION("""COMPUTED_VALUE"""),"VANESSA")</f>
        <v>VANESSA</v>
      </c>
    </row>
    <row r="61">
      <c r="A61" s="131">
        <f>IFERROR(__xludf.DUMMYFUNCTION("""COMPUTED_VALUE"""),59.0)</f>
        <v>59</v>
      </c>
      <c r="B61" s="131"/>
      <c r="C61" s="131">
        <f>IFERROR(__xludf.DUMMYFUNCTION("""COMPUTED_VALUE"""),23.0)</f>
        <v>23</v>
      </c>
      <c r="D61" s="131" t="b">
        <f>IFERROR(__xludf.DUMMYFUNCTION("""COMPUTED_VALUE"""),FALSE)</f>
        <v>0</v>
      </c>
      <c r="E61" s="100" t="str">
        <f>IFERROR(__xludf.DUMMYFUNCTION("""COMPUTED_VALUE"""),"PONCE")</f>
        <v>PONCE</v>
      </c>
      <c r="F61" s="100" t="str">
        <f>IFERROR(__xludf.DUMMYFUNCTION("""COMPUTED_VALUE"""),"SHEENA")</f>
        <v>SHEENA</v>
      </c>
    </row>
    <row r="62">
      <c r="A62" s="131">
        <f>IFERROR(__xludf.DUMMYFUNCTION("""COMPUTED_VALUE"""),60.0)</f>
        <v>60</v>
      </c>
      <c r="B62" s="131"/>
      <c r="C62" s="131">
        <f>IFERROR(__xludf.DUMMYFUNCTION("""COMPUTED_VALUE"""),23.0)</f>
        <v>23</v>
      </c>
      <c r="D62" s="131" t="b">
        <f>IFERROR(__xludf.DUMMYFUNCTION("""COMPUTED_VALUE"""),FALSE)</f>
        <v>0</v>
      </c>
      <c r="E62" s="100" t="str">
        <f>IFERROR(__xludf.DUMMYFUNCTION("""COMPUTED_VALUE"""),"RAMOS")</f>
        <v>RAMOS</v>
      </c>
      <c r="F62" s="100" t="str">
        <f>IFERROR(__xludf.DUMMYFUNCTION("""COMPUTED_VALUE"""),"AA")</f>
        <v>AA</v>
      </c>
    </row>
    <row r="63">
      <c r="A63" s="131">
        <f>IFERROR(__xludf.DUMMYFUNCTION("""COMPUTED_VALUE"""),61.0)</f>
        <v>61</v>
      </c>
      <c r="B63" s="131"/>
      <c r="C63" s="131">
        <f>IFERROR(__xludf.DUMMYFUNCTION("""COMPUTED_VALUE"""),23.0)</f>
        <v>23</v>
      </c>
      <c r="D63" s="131" t="b">
        <f>IFERROR(__xludf.DUMMYFUNCTION("""COMPUTED_VALUE"""),FALSE)</f>
        <v>0</v>
      </c>
      <c r="E63" s="100" t="str">
        <f>IFERROR(__xludf.DUMMYFUNCTION("""COMPUTED_VALUE"""),"REPUBLO")</f>
        <v>REPUBLO</v>
      </c>
      <c r="F63" s="100" t="str">
        <f>IFERROR(__xludf.DUMMYFUNCTION("""COMPUTED_VALUE"""),"CLARISSA")</f>
        <v>CLARISSA</v>
      </c>
    </row>
    <row r="64">
      <c r="A64" s="131">
        <f>IFERROR(__xludf.DUMMYFUNCTION("""COMPUTED_VALUE"""),62.0)</f>
        <v>62</v>
      </c>
      <c r="B64" s="131"/>
      <c r="C64" s="131">
        <f>IFERROR(__xludf.DUMMYFUNCTION("""COMPUTED_VALUE"""),23.0)</f>
        <v>23</v>
      </c>
      <c r="D64" s="131" t="b">
        <f>IFERROR(__xludf.DUMMYFUNCTION("""COMPUTED_VALUE"""),FALSE)</f>
        <v>0</v>
      </c>
      <c r="E64" s="100"/>
      <c r="F64" s="100" t="str">
        <f>IFERROR(__xludf.DUMMYFUNCTION("""COMPUTED_VALUE"""),"JENNY")</f>
        <v>JENNY</v>
      </c>
    </row>
    <row r="65">
      <c r="A65" s="131">
        <f>IFERROR(__xludf.DUMMYFUNCTION("""COMPUTED_VALUE"""),63.0)</f>
        <v>63</v>
      </c>
      <c r="B65" s="131"/>
      <c r="C65" s="131">
        <f>IFERROR(__xludf.DUMMYFUNCTION("""COMPUTED_VALUE"""),23.0)</f>
        <v>23</v>
      </c>
      <c r="D65" s="131" t="b">
        <f>IFERROR(__xludf.DUMMYFUNCTION("""COMPUTED_VALUE"""),FALSE)</f>
        <v>0</v>
      </c>
      <c r="E65" s="99" t="str">
        <f>IFERROR(__xludf.DUMMYFUNCTION("""COMPUTED_VALUE"""),"MAGISTRADO")</f>
        <v>MAGISTRADO</v>
      </c>
      <c r="F65" s="99" t="str">
        <f>IFERROR(__xludf.DUMMYFUNCTION("""COMPUTED_VALUE"""),"ERICA")</f>
        <v>ERICA</v>
      </c>
    </row>
    <row r="66">
      <c r="A66" s="131">
        <f>IFERROR(__xludf.DUMMYFUNCTION("""COMPUTED_VALUE"""),64.0)</f>
        <v>64</v>
      </c>
      <c r="B66" s="131"/>
      <c r="C66" s="131">
        <f>IFERROR(__xludf.DUMMYFUNCTION("""COMPUTED_VALUE"""),23.0)</f>
        <v>23</v>
      </c>
      <c r="D66" s="131" t="b">
        <f>IFERROR(__xludf.DUMMYFUNCTION("""COMPUTED_VALUE"""),FALSE)</f>
        <v>0</v>
      </c>
      <c r="E66" s="100" t="str">
        <f>IFERROR(__xludf.DUMMYFUNCTION("""COMPUTED_VALUE"""),"CARANGUIAN")</f>
        <v>CARANGUIAN</v>
      </c>
      <c r="F66" s="100" t="str">
        <f>IFERROR(__xludf.DUMMYFUNCTION("""COMPUTED_VALUE"""),"DIVINA GRACE")</f>
        <v>DIVINA GRACE</v>
      </c>
    </row>
    <row r="67">
      <c r="A67" s="131">
        <f>IFERROR(__xludf.DUMMYFUNCTION("""COMPUTED_VALUE"""),65.0)</f>
        <v>65</v>
      </c>
      <c r="B67" s="131"/>
      <c r="C67" s="131">
        <f>IFERROR(__xludf.DUMMYFUNCTION("""COMPUTED_VALUE"""),23.0)</f>
        <v>23</v>
      </c>
      <c r="D67" s="131" t="b">
        <f>IFERROR(__xludf.DUMMYFUNCTION("""COMPUTED_VALUE"""),FALSE)</f>
        <v>0</v>
      </c>
      <c r="E67" s="100" t="str">
        <f>IFERROR(__xludf.DUMMYFUNCTION("""COMPUTED_VALUE"""),"ERA")</f>
        <v>ERA</v>
      </c>
      <c r="F67" s="100" t="str">
        <f>IFERROR(__xludf.DUMMYFUNCTION("""COMPUTED_VALUE"""),"CHRISTINA")</f>
        <v>CHRISTINA</v>
      </c>
    </row>
    <row r="68">
      <c r="A68" s="131">
        <f>IFERROR(__xludf.DUMMYFUNCTION("""COMPUTED_VALUE"""),66.0)</f>
        <v>66</v>
      </c>
      <c r="B68" s="131"/>
      <c r="C68" s="131">
        <f>IFERROR(__xludf.DUMMYFUNCTION("""COMPUTED_VALUE"""),23.0)</f>
        <v>23</v>
      </c>
      <c r="D68" s="131" t="b">
        <f>IFERROR(__xludf.DUMMYFUNCTION("""COMPUTED_VALUE"""),FALSE)</f>
        <v>0</v>
      </c>
      <c r="E68" s="100" t="str">
        <f>IFERROR(__xludf.DUMMYFUNCTION("""COMPUTED_VALUE"""),"MAGISTRADO")</f>
        <v>MAGISTRADO</v>
      </c>
      <c r="F68" s="100" t="str">
        <f>IFERROR(__xludf.DUMMYFUNCTION("""COMPUTED_VALUE"""),"LOVELY")</f>
        <v>LOVELY</v>
      </c>
    </row>
    <row r="69">
      <c r="A69" s="131">
        <f>IFERROR(__xludf.DUMMYFUNCTION("""COMPUTED_VALUE"""),67.0)</f>
        <v>67</v>
      </c>
      <c r="B69" s="131"/>
      <c r="C69" s="131">
        <f>IFERROR(__xludf.DUMMYFUNCTION("""COMPUTED_VALUE"""),23.0)</f>
        <v>23</v>
      </c>
      <c r="D69" s="131" t="b">
        <f>IFERROR(__xludf.DUMMYFUNCTION("""COMPUTED_VALUE"""),FALSE)</f>
        <v>0</v>
      </c>
      <c r="E69" s="100" t="str">
        <f>IFERROR(__xludf.DUMMYFUNCTION("""COMPUTED_VALUE"""),"PACLITA")</f>
        <v>PACLITA</v>
      </c>
      <c r="F69" s="100" t="str">
        <f>IFERROR(__xludf.DUMMYFUNCTION("""COMPUTED_VALUE"""),"CHERRY ANN")</f>
        <v>CHERRY ANN</v>
      </c>
    </row>
    <row r="70">
      <c r="A70" s="131">
        <f>IFERROR(__xludf.DUMMYFUNCTION("""COMPUTED_VALUE"""),68.0)</f>
        <v>68</v>
      </c>
      <c r="B70" s="131"/>
      <c r="C70" s="131">
        <f>IFERROR(__xludf.DUMMYFUNCTION("""COMPUTED_VALUE"""),23.0)</f>
        <v>23</v>
      </c>
      <c r="D70" s="131" t="b">
        <f>IFERROR(__xludf.DUMMYFUNCTION("""COMPUTED_VALUE"""),FALSE)</f>
        <v>0</v>
      </c>
      <c r="E70" s="100" t="str">
        <f>IFERROR(__xludf.DUMMYFUNCTION("""COMPUTED_VALUE"""),"PALOMA")</f>
        <v>PALOMA</v>
      </c>
      <c r="F70" s="100" t="str">
        <f>IFERROR(__xludf.DUMMYFUNCTION("""COMPUTED_VALUE"""),"ALEAH")</f>
        <v>ALEAH</v>
      </c>
    </row>
    <row r="71">
      <c r="A71" s="131">
        <f>IFERROR(__xludf.DUMMYFUNCTION("""COMPUTED_VALUE"""),69.0)</f>
        <v>69</v>
      </c>
      <c r="B71" s="131"/>
      <c r="C71" s="131">
        <f>IFERROR(__xludf.DUMMYFUNCTION("""COMPUTED_VALUE"""),23.0)</f>
        <v>23</v>
      </c>
      <c r="D71" s="131" t="b">
        <f>IFERROR(__xludf.DUMMYFUNCTION("""COMPUTED_VALUE"""),FALSE)</f>
        <v>0</v>
      </c>
      <c r="E71" s="100" t="str">
        <f>IFERROR(__xludf.DUMMYFUNCTION("""COMPUTED_VALUE"""),"SATURINAS")</f>
        <v>SATURINAS</v>
      </c>
      <c r="F71" s="100" t="str">
        <f>IFERROR(__xludf.DUMMYFUNCTION("""COMPUTED_VALUE"""),"ALEXANDRA GRACE")</f>
        <v>ALEXANDRA GRACE</v>
      </c>
    </row>
    <row r="72">
      <c r="A72" s="131">
        <f>IFERROR(__xludf.DUMMYFUNCTION("""COMPUTED_VALUE"""),70.0)</f>
        <v>70</v>
      </c>
      <c r="B72" s="131"/>
      <c r="C72" s="131">
        <f>IFERROR(__xludf.DUMMYFUNCTION("""COMPUTED_VALUE"""),23.0)</f>
        <v>23</v>
      </c>
      <c r="D72" s="131" t="b">
        <f>IFERROR(__xludf.DUMMYFUNCTION("""COMPUTED_VALUE"""),FALSE)</f>
        <v>0</v>
      </c>
      <c r="E72" s="101" t="str">
        <f>IFERROR(__xludf.DUMMYFUNCTION("""COMPUTED_VALUE"""),"RONQUILLO")</f>
        <v>RONQUILLO</v>
      </c>
      <c r="F72" s="101" t="str">
        <f>IFERROR(__xludf.DUMMYFUNCTION("""COMPUTED_VALUE"""),"SHANE")</f>
        <v>SHANE</v>
      </c>
    </row>
    <row r="73">
      <c r="A73" s="131">
        <f>IFERROR(__xludf.DUMMYFUNCTION("""COMPUTED_VALUE"""),71.0)</f>
        <v>71</v>
      </c>
      <c r="B73" s="131"/>
      <c r="C73" s="131">
        <f>IFERROR(__xludf.DUMMYFUNCTION("""COMPUTED_VALUE"""),23.0)</f>
        <v>23</v>
      </c>
      <c r="D73" s="131" t="b">
        <f>IFERROR(__xludf.DUMMYFUNCTION("""COMPUTED_VALUE"""),FALSE)</f>
        <v>0</v>
      </c>
      <c r="E73" s="101" t="str">
        <f>IFERROR(__xludf.DUMMYFUNCTION("""COMPUTED_VALUE"""),"MARFIL")</f>
        <v>MARFIL</v>
      </c>
      <c r="F73" s="101" t="str">
        <f>IFERROR(__xludf.DUMMYFUNCTION("""COMPUTED_VALUE"""),"ADELAIZA")</f>
        <v>ADELAIZA</v>
      </c>
    </row>
    <row r="74">
      <c r="A74" s="131">
        <f>IFERROR(__xludf.DUMMYFUNCTION("""COMPUTED_VALUE"""),72.0)</f>
        <v>72</v>
      </c>
      <c r="B74" s="131"/>
      <c r="C74" s="131">
        <f>IFERROR(__xludf.DUMMYFUNCTION("""COMPUTED_VALUE"""),23.0)</f>
        <v>23</v>
      </c>
      <c r="D74" s="131" t="b">
        <f>IFERROR(__xludf.DUMMYFUNCTION("""COMPUTED_VALUE"""),FALSE)</f>
        <v>0</v>
      </c>
      <c r="E74" s="101" t="str">
        <f>IFERROR(__xludf.DUMMYFUNCTION("""COMPUTED_VALUE"""),"PERALTA")</f>
        <v>PERALTA</v>
      </c>
      <c r="F74" s="101" t="str">
        <f>IFERROR(__xludf.DUMMYFUNCTION("""COMPUTED_VALUE"""),"ALAICA")</f>
        <v>ALAICA</v>
      </c>
    </row>
    <row r="75">
      <c r="A75" s="131">
        <f>IFERROR(__xludf.DUMMYFUNCTION("""COMPUTED_VALUE"""),73.0)</f>
        <v>73</v>
      </c>
      <c r="B75" s="131"/>
      <c r="C75" s="131">
        <f>IFERROR(__xludf.DUMMYFUNCTION("""COMPUTED_VALUE"""),23.0)</f>
        <v>23</v>
      </c>
      <c r="D75" s="131" t="b">
        <f>IFERROR(__xludf.DUMMYFUNCTION("""COMPUTED_VALUE"""),FALSE)</f>
        <v>0</v>
      </c>
      <c r="E75" s="101"/>
      <c r="F75" s="101" t="str">
        <f>IFERROR(__xludf.DUMMYFUNCTION("""COMPUTED_VALUE"""),"ALISA")</f>
        <v>ALISA</v>
      </c>
    </row>
    <row r="76">
      <c r="A76" s="131">
        <f>IFERROR(__xludf.DUMMYFUNCTION("""COMPUTED_VALUE"""),74.0)</f>
        <v>74</v>
      </c>
      <c r="B76" s="131"/>
      <c r="C76" s="131">
        <f>IFERROR(__xludf.DUMMYFUNCTION("""COMPUTED_VALUE"""),23.0)</f>
        <v>23</v>
      </c>
      <c r="D76" s="131" t="b">
        <f>IFERROR(__xludf.DUMMYFUNCTION("""COMPUTED_VALUE"""),FALSE)</f>
        <v>0</v>
      </c>
      <c r="E76" s="101" t="str">
        <f>IFERROR(__xludf.DUMMYFUNCTION("""COMPUTED_VALUE"""),"VILLANUEVA")</f>
        <v>VILLANUEVA</v>
      </c>
      <c r="F76" s="101" t="str">
        <f>IFERROR(__xludf.DUMMYFUNCTION("""COMPUTED_VALUE"""),"SOFIA")</f>
        <v>SOFIA</v>
      </c>
    </row>
    <row r="77">
      <c r="A77" s="131">
        <f>IFERROR(__xludf.DUMMYFUNCTION("""COMPUTED_VALUE"""),75.0)</f>
        <v>75</v>
      </c>
      <c r="B77" s="131"/>
      <c r="C77" s="131">
        <f>IFERROR(__xludf.DUMMYFUNCTION("""COMPUTED_VALUE"""),23.0)</f>
        <v>23</v>
      </c>
      <c r="D77" s="131" t="b">
        <f>IFERROR(__xludf.DUMMYFUNCTION("""COMPUTED_VALUE"""),FALSE)</f>
        <v>0</v>
      </c>
      <c r="E77" s="101" t="str">
        <f>IFERROR(__xludf.DUMMYFUNCTION("""COMPUTED_VALUE"""),"TAKEYAMA")</f>
        <v>TAKEYAMA</v>
      </c>
      <c r="F77" s="101" t="str">
        <f>IFERROR(__xludf.DUMMYFUNCTION("""COMPUTED_VALUE"""),"YUKA")</f>
        <v>YUKA</v>
      </c>
    </row>
    <row r="78">
      <c r="A78" s="131">
        <f>IFERROR(__xludf.DUMMYFUNCTION("""COMPUTED_VALUE"""),76.0)</f>
        <v>76</v>
      </c>
      <c r="B78" s="131"/>
      <c r="C78" s="131">
        <f>IFERROR(__xludf.DUMMYFUNCTION("""COMPUTED_VALUE"""),76.0)</f>
        <v>76</v>
      </c>
      <c r="D78" s="131" t="b">
        <f>IFERROR(__xludf.DUMMYFUNCTION("""COMPUTED_VALUE"""),TRUE)</f>
        <v>1</v>
      </c>
      <c r="E78" s="105" t="str">
        <f>IFERROR(__xludf.DUMMYFUNCTION("""COMPUTED_VALUE"""),"ANTONIO")</f>
        <v>ANTONIO</v>
      </c>
      <c r="F78" s="105" t="str">
        <f>IFERROR(__xludf.DUMMYFUNCTION("""COMPUTED_VALUE"""),"CHOLO MIGUEL")</f>
        <v>CHOLO MIGUEL</v>
      </c>
    </row>
    <row r="79">
      <c r="A79" s="131">
        <f>IFERROR(__xludf.DUMMYFUNCTION("""COMPUTED_VALUE"""),77.0)</f>
        <v>77</v>
      </c>
      <c r="B79" s="131"/>
      <c r="C79" s="131">
        <f>IFERROR(__xludf.DUMMYFUNCTION("""COMPUTED_VALUE"""),76.0)</f>
        <v>76</v>
      </c>
      <c r="D79" s="131" t="b">
        <f>IFERROR(__xludf.DUMMYFUNCTION("""COMPUTED_VALUE"""),FALSE)</f>
        <v>0</v>
      </c>
      <c r="E79" s="106" t="str">
        <f>IFERROR(__xludf.DUMMYFUNCTION("""COMPUTED_VALUE"""),"ELCANA")</f>
        <v>ELCANA</v>
      </c>
      <c r="F79" s="106" t="str">
        <f>IFERROR(__xludf.DUMMYFUNCTION("""COMPUTED_VALUE"""),"JOAQUIN")</f>
        <v>JOAQUIN</v>
      </c>
    </row>
    <row r="80">
      <c r="A80" s="131">
        <f>IFERROR(__xludf.DUMMYFUNCTION("""COMPUTED_VALUE"""),78.0)</f>
        <v>78</v>
      </c>
      <c r="B80" s="131"/>
      <c r="C80" s="131">
        <f>IFERROR(__xludf.DUMMYFUNCTION("""COMPUTED_VALUE"""),76.0)</f>
        <v>76</v>
      </c>
      <c r="D80" s="131" t="b">
        <f>IFERROR(__xludf.DUMMYFUNCTION("""COMPUTED_VALUE"""),FALSE)</f>
        <v>0</v>
      </c>
      <c r="E80" s="107" t="str">
        <f>IFERROR(__xludf.DUMMYFUNCTION("""COMPUTED_VALUE"""),"VILLARTA")</f>
        <v>VILLARTA</v>
      </c>
      <c r="F80" s="107" t="str">
        <f>IFERROR(__xludf.DUMMYFUNCTION("""COMPUTED_VALUE"""),"JEXTER")</f>
        <v>JEXTER</v>
      </c>
    </row>
    <row r="81">
      <c r="A81" s="131">
        <f>IFERROR(__xludf.DUMMYFUNCTION("""COMPUTED_VALUE"""),79.0)</f>
        <v>79</v>
      </c>
      <c r="B81" s="131"/>
      <c r="C81" s="131">
        <f>IFERROR(__xludf.DUMMYFUNCTION("""COMPUTED_VALUE"""),76.0)</f>
        <v>76</v>
      </c>
      <c r="D81" s="131" t="b">
        <f>IFERROR(__xludf.DUMMYFUNCTION("""COMPUTED_VALUE"""),FALSE)</f>
        <v>0</v>
      </c>
      <c r="E81" s="107" t="str">
        <f>IFERROR(__xludf.DUMMYFUNCTION("""COMPUTED_VALUE"""),"MANUYAG")</f>
        <v>MANUYAG</v>
      </c>
      <c r="F81" s="107" t="str">
        <f>IFERROR(__xludf.DUMMYFUNCTION("""COMPUTED_VALUE"""),"RAYVER")</f>
        <v>RAYVER</v>
      </c>
    </row>
    <row r="82">
      <c r="A82" s="131">
        <f>IFERROR(__xludf.DUMMYFUNCTION("""COMPUTED_VALUE"""),80.0)</f>
        <v>80</v>
      </c>
      <c r="B82" s="131"/>
      <c r="C82" s="131">
        <f>IFERROR(__xludf.DUMMYFUNCTION("""COMPUTED_VALUE"""),76.0)</f>
        <v>76</v>
      </c>
      <c r="D82" s="131" t="b">
        <f>IFERROR(__xludf.DUMMYFUNCTION("""COMPUTED_VALUE"""),FALSE)</f>
        <v>0</v>
      </c>
      <c r="E82" s="108" t="str">
        <f>IFERROR(__xludf.DUMMYFUNCTION("""COMPUTED_VALUE"""),"RAAGAS")</f>
        <v>RAAGAS</v>
      </c>
      <c r="F82" s="108" t="str">
        <f>IFERROR(__xludf.DUMMYFUNCTION("""COMPUTED_VALUE"""),"PRINCE JHAMIR (YOHAN)")</f>
        <v>PRINCE JHAMIR (YOHAN)</v>
      </c>
    </row>
    <row r="83">
      <c r="A83" s="131">
        <f>IFERROR(__xludf.DUMMYFUNCTION("""COMPUTED_VALUE"""),81.0)</f>
        <v>81</v>
      </c>
      <c r="B83" s="131"/>
      <c r="C83" s="131">
        <f>IFERROR(__xludf.DUMMYFUNCTION("""COMPUTED_VALUE"""),76.0)</f>
        <v>76</v>
      </c>
      <c r="D83" s="131" t="b">
        <f>IFERROR(__xludf.DUMMYFUNCTION("""COMPUTED_VALUE"""),FALSE)</f>
        <v>0</v>
      </c>
      <c r="E83" s="107" t="str">
        <f>IFERROR(__xludf.DUMMYFUNCTION("""COMPUTED_VALUE"""),"MALOLOY-ON")</f>
        <v>MALOLOY-ON</v>
      </c>
      <c r="F83" s="107" t="str">
        <f>IFERROR(__xludf.DUMMYFUNCTION("""COMPUTED_VALUE"""),"HARLEY")</f>
        <v>HARLEY</v>
      </c>
    </row>
    <row r="84">
      <c r="A84" s="131">
        <f>IFERROR(__xludf.DUMMYFUNCTION("""COMPUTED_VALUE"""),82.0)</f>
        <v>82</v>
      </c>
      <c r="B84" s="131"/>
      <c r="C84" s="131">
        <f>IFERROR(__xludf.DUMMYFUNCTION("""COMPUTED_VALUE"""),76.0)</f>
        <v>76</v>
      </c>
      <c r="D84" s="131" t="b">
        <f>IFERROR(__xludf.DUMMYFUNCTION("""COMPUTED_VALUE"""),FALSE)</f>
        <v>0</v>
      </c>
      <c r="E84" s="106" t="str">
        <f>IFERROR(__xludf.DUMMYFUNCTION("""COMPUTED_VALUE"""),"MEDINA")</f>
        <v>MEDINA</v>
      </c>
      <c r="F84" s="106" t="str">
        <f>IFERROR(__xludf.DUMMYFUNCTION("""COMPUTED_VALUE"""),"JOHN PAUL")</f>
        <v>JOHN PAUL</v>
      </c>
    </row>
    <row r="85">
      <c r="A85" s="131">
        <f>IFERROR(__xludf.DUMMYFUNCTION("""COMPUTED_VALUE"""),83.0)</f>
        <v>83</v>
      </c>
      <c r="B85" s="131"/>
      <c r="C85" s="131">
        <f>IFERROR(__xludf.DUMMYFUNCTION("""COMPUTED_VALUE"""),76.0)</f>
        <v>76</v>
      </c>
      <c r="D85" s="131" t="b">
        <f>IFERROR(__xludf.DUMMYFUNCTION("""COMPUTED_VALUE"""),FALSE)</f>
        <v>0</v>
      </c>
      <c r="E85" s="107" t="str">
        <f>IFERROR(__xludf.DUMMYFUNCTION("""COMPUTED_VALUE"""),"SALTA")</f>
        <v>SALTA</v>
      </c>
      <c r="F85" s="107" t="str">
        <f>IFERROR(__xludf.DUMMYFUNCTION("""COMPUTED_VALUE"""),"KARL")</f>
        <v>KARL</v>
      </c>
    </row>
    <row r="86">
      <c r="A86" s="131">
        <f>IFERROR(__xludf.DUMMYFUNCTION("""COMPUTED_VALUE"""),84.0)</f>
        <v>84</v>
      </c>
      <c r="B86" s="131"/>
      <c r="C86" s="131">
        <f>IFERROR(__xludf.DUMMYFUNCTION("""COMPUTED_VALUE"""),76.0)</f>
        <v>76</v>
      </c>
      <c r="D86" s="131" t="b">
        <f>IFERROR(__xludf.DUMMYFUNCTION("""COMPUTED_VALUE"""),FALSE)</f>
        <v>0</v>
      </c>
      <c r="E86" s="107" t="str">
        <f>IFERROR(__xludf.DUMMYFUNCTION("""COMPUTED_VALUE"""),"ROBLOS")</f>
        <v>ROBLOS</v>
      </c>
      <c r="F86" s="107" t="str">
        <f>IFERROR(__xludf.DUMMYFUNCTION("""COMPUTED_VALUE"""),"CEDRIC")</f>
        <v>CEDRIC</v>
      </c>
    </row>
    <row r="87">
      <c r="A87" s="131">
        <f>IFERROR(__xludf.DUMMYFUNCTION("""COMPUTED_VALUE"""),85.0)</f>
        <v>85</v>
      </c>
      <c r="B87" s="131"/>
      <c r="C87" s="131">
        <f>IFERROR(__xludf.DUMMYFUNCTION("""COMPUTED_VALUE"""),76.0)</f>
        <v>76</v>
      </c>
      <c r="D87" s="131" t="b">
        <f>IFERROR(__xludf.DUMMYFUNCTION("""COMPUTED_VALUE"""),FALSE)</f>
        <v>0</v>
      </c>
      <c r="E87" s="107" t="str">
        <f>IFERROR(__xludf.DUMMYFUNCTION("""COMPUTED_VALUE"""),"RIVAS")</f>
        <v>RIVAS</v>
      </c>
      <c r="F87" s="107" t="str">
        <f>IFERROR(__xludf.DUMMYFUNCTION("""COMPUTED_VALUE"""),"RAY ALLEN")</f>
        <v>RAY ALLEN</v>
      </c>
    </row>
    <row r="88">
      <c r="A88" s="131">
        <f>IFERROR(__xludf.DUMMYFUNCTION("""COMPUTED_VALUE"""),86.0)</f>
        <v>86</v>
      </c>
      <c r="B88" s="131"/>
      <c r="C88" s="131">
        <f>IFERROR(__xludf.DUMMYFUNCTION("""COMPUTED_VALUE"""),76.0)</f>
        <v>76</v>
      </c>
      <c r="D88" s="131" t="b">
        <f>IFERROR(__xludf.DUMMYFUNCTION("""COMPUTED_VALUE"""),FALSE)</f>
        <v>0</v>
      </c>
      <c r="E88" s="107" t="str">
        <f>IFERROR(__xludf.DUMMYFUNCTION("""COMPUTED_VALUE"""),"MAGDANGAN")</f>
        <v>MAGDANGAN</v>
      </c>
      <c r="F88" s="107" t="str">
        <f>IFERROR(__xludf.DUMMYFUNCTION("""COMPUTED_VALUE"""),"DENMARK")</f>
        <v>DENMARK</v>
      </c>
    </row>
    <row r="89">
      <c r="A89" s="131">
        <f>IFERROR(__xludf.DUMMYFUNCTION("""COMPUTED_VALUE"""),87.0)</f>
        <v>87</v>
      </c>
      <c r="B89" s="131"/>
      <c r="C89" s="131">
        <f>IFERROR(__xludf.DUMMYFUNCTION("""COMPUTED_VALUE"""),76.0)</f>
        <v>76</v>
      </c>
      <c r="D89" s="131" t="b">
        <f>IFERROR(__xludf.DUMMYFUNCTION("""COMPUTED_VALUE"""),FALSE)</f>
        <v>0</v>
      </c>
      <c r="E89" s="106" t="str">
        <f>IFERROR(__xludf.DUMMYFUNCTION("""COMPUTED_VALUE"""),"SABONG")</f>
        <v>SABONG</v>
      </c>
      <c r="F89" s="106" t="str">
        <f>IFERROR(__xludf.DUMMYFUNCTION("""COMPUTED_VALUE"""),"VINCE")</f>
        <v>VINCE</v>
      </c>
    </row>
    <row r="90">
      <c r="A90" s="131">
        <f>IFERROR(__xludf.DUMMYFUNCTION("""COMPUTED_VALUE"""),88.0)</f>
        <v>88</v>
      </c>
      <c r="B90" s="131"/>
      <c r="C90" s="131">
        <f>IFERROR(__xludf.DUMMYFUNCTION("""COMPUTED_VALUE"""),76.0)</f>
        <v>76</v>
      </c>
      <c r="D90" s="131" t="b">
        <f>IFERROR(__xludf.DUMMYFUNCTION("""COMPUTED_VALUE"""),FALSE)</f>
        <v>0</v>
      </c>
      <c r="E90" s="107" t="str">
        <f>IFERROR(__xludf.DUMMYFUNCTION("""COMPUTED_VALUE"""),"AQUINO")</f>
        <v>AQUINO</v>
      </c>
      <c r="F90" s="107" t="str">
        <f>IFERROR(__xludf.DUMMYFUNCTION("""COMPUTED_VALUE"""),"MARVIN")</f>
        <v>MARVIN</v>
      </c>
    </row>
    <row r="91">
      <c r="A91" s="131">
        <f>IFERROR(__xludf.DUMMYFUNCTION("""COMPUTED_VALUE"""),89.0)</f>
        <v>89</v>
      </c>
      <c r="B91" s="131"/>
      <c r="C91" s="131">
        <f>IFERROR(__xludf.DUMMYFUNCTION("""COMPUTED_VALUE"""),76.0)</f>
        <v>76</v>
      </c>
      <c r="D91" s="131" t="b">
        <f>IFERROR(__xludf.DUMMYFUNCTION("""COMPUTED_VALUE"""),FALSE)</f>
        <v>0</v>
      </c>
      <c r="E91" s="109" t="str">
        <f>IFERROR(__xludf.DUMMYFUNCTION("""COMPUTED_VALUE"""),"LANOZO")</f>
        <v>LANOZO</v>
      </c>
      <c r="F91" s="109" t="str">
        <f>IFERROR(__xludf.DUMMYFUNCTION("""COMPUTED_VALUE"""),"REGGIENALD")</f>
        <v>REGGIENALD</v>
      </c>
    </row>
    <row r="92">
      <c r="A92" s="131">
        <f>IFERROR(__xludf.DUMMYFUNCTION("""COMPUTED_VALUE"""),90.0)</f>
        <v>90</v>
      </c>
      <c r="B92" s="131"/>
      <c r="C92" s="131">
        <f>IFERROR(__xludf.DUMMYFUNCTION("""COMPUTED_VALUE"""),76.0)</f>
        <v>76</v>
      </c>
      <c r="D92" s="131" t="b">
        <f>IFERROR(__xludf.DUMMYFUNCTION("""COMPUTED_VALUE"""),FALSE)</f>
        <v>0</v>
      </c>
      <c r="E92" s="110" t="str">
        <f>IFERROR(__xludf.DUMMYFUNCTION("""COMPUTED_VALUE"""),"QUIRONA")</f>
        <v>QUIRONA</v>
      </c>
      <c r="F92" s="110" t="str">
        <f>IFERROR(__xludf.DUMMYFUNCTION("""COMPUTED_VALUE"""),"IAN CHRISTOPHER")</f>
        <v>IAN CHRISTOPHER</v>
      </c>
    </row>
    <row r="93">
      <c r="A93" s="131">
        <f>IFERROR(__xludf.DUMMYFUNCTION("""COMPUTED_VALUE"""),91.0)</f>
        <v>91</v>
      </c>
      <c r="B93" s="131"/>
      <c r="C93" s="131">
        <f>IFERROR(__xludf.DUMMYFUNCTION("""COMPUTED_VALUE"""),76.0)</f>
        <v>76</v>
      </c>
      <c r="D93" s="131" t="b">
        <f>IFERROR(__xludf.DUMMYFUNCTION("""COMPUTED_VALUE"""),FALSE)</f>
        <v>0</v>
      </c>
      <c r="E93" s="110" t="str">
        <f>IFERROR(__xludf.DUMMYFUNCTION("""COMPUTED_VALUE"""),"BAUYON")</f>
        <v>BAUYON</v>
      </c>
      <c r="F93" s="110" t="str">
        <f>IFERROR(__xludf.DUMMYFUNCTION("""COMPUTED_VALUE"""),"JOHN CARLO")</f>
        <v>JOHN CARLO</v>
      </c>
    </row>
    <row r="94">
      <c r="A94" s="131">
        <f>IFERROR(__xludf.DUMMYFUNCTION("""COMPUTED_VALUE"""),92.0)</f>
        <v>92</v>
      </c>
      <c r="B94" s="131"/>
      <c r="C94" s="131">
        <f>IFERROR(__xludf.DUMMYFUNCTION("""COMPUTED_VALUE"""),76.0)</f>
        <v>76</v>
      </c>
      <c r="D94" s="131" t="b">
        <f>IFERROR(__xludf.DUMMYFUNCTION("""COMPUTED_VALUE"""),FALSE)</f>
        <v>0</v>
      </c>
      <c r="E94" s="111" t="str">
        <f>IFERROR(__xludf.DUMMYFUNCTION("""COMPUTED_VALUE"""),"FIGUEROA")</f>
        <v>FIGUEROA</v>
      </c>
      <c r="F94" s="111" t="str">
        <f>IFERROR(__xludf.DUMMYFUNCTION("""COMPUTED_VALUE"""),"RONALD")</f>
        <v>RONALD</v>
      </c>
    </row>
    <row r="95">
      <c r="A95" s="131"/>
      <c r="B95" s="131"/>
      <c r="C95" s="131"/>
      <c r="D95" s="131"/>
      <c r="E95" s="112"/>
      <c r="F95" s="112"/>
    </row>
    <row r="96">
      <c r="A96" s="131"/>
      <c r="B96" s="131"/>
      <c r="C96" s="131"/>
      <c r="D96" s="131"/>
      <c r="E96" s="112"/>
      <c r="F96" s="112"/>
    </row>
    <row r="97">
      <c r="A97" s="131"/>
      <c r="B97" s="131"/>
      <c r="C97" s="131"/>
      <c r="D97" s="131"/>
      <c r="E97" s="112"/>
      <c r="F97" s="112"/>
    </row>
    <row r="98">
      <c r="A98" s="131"/>
      <c r="B98" s="131"/>
      <c r="C98" s="131"/>
      <c r="D98" s="131"/>
      <c r="E98" s="112"/>
      <c r="F98" s="112"/>
    </row>
    <row r="99">
      <c r="A99" s="131"/>
      <c r="B99" s="131"/>
      <c r="C99" s="131">
        <f>IFERROR(__xludf.DUMMYFUNCTION("""COMPUTED_VALUE"""),76.0)</f>
        <v>76</v>
      </c>
      <c r="D99" s="131" t="b">
        <f>IFERROR(__xludf.DUMMYFUNCTION("""COMPUTED_VALUE"""),FALSE)</f>
        <v>0</v>
      </c>
      <c r="E99" s="112" t="str">
        <f>IFERROR(__xludf.DUMMYFUNCTION("""COMPUTED_VALUE"""),"INACTIVE")</f>
        <v>INACTIVE</v>
      </c>
      <c r="F99" s="112"/>
    </row>
    <row r="100">
      <c r="A100" s="131">
        <f>IFERROR(__xludf.DUMMYFUNCTION("""COMPUTED_VALUE"""),99.0)</f>
        <v>99</v>
      </c>
      <c r="B100" s="131"/>
      <c r="C100" s="131">
        <f>IFERROR(__xludf.DUMMYFUNCTION("""COMPUTED_VALUE"""),76.0)</f>
        <v>76</v>
      </c>
      <c r="D100" s="131" t="b">
        <f>IFERROR(__xludf.DUMMYFUNCTION("""COMPUTED_VALUE"""),FALSE)</f>
        <v>0</v>
      </c>
      <c r="E100" s="113" t="str">
        <f>IFERROR(__xludf.DUMMYFUNCTION("""COMPUTED_VALUE"""),"BONIFACIO")</f>
        <v>BONIFACIO</v>
      </c>
      <c r="F100" s="110" t="str">
        <f>IFERROR(__xludf.DUMMYFUNCTION("""COMPUTED_VALUE"""),"JUNIOR")</f>
        <v>JUNIOR</v>
      </c>
    </row>
    <row r="101">
      <c r="A101" s="131">
        <f>IFERROR(__xludf.DUMMYFUNCTION("""COMPUTED_VALUE"""),100.0)</f>
        <v>100</v>
      </c>
      <c r="B101" s="131"/>
      <c r="C101" s="131">
        <f>IFERROR(__xludf.DUMMYFUNCTION("""COMPUTED_VALUE"""),76.0)</f>
        <v>76</v>
      </c>
      <c r="D101" s="131" t="b">
        <f>IFERROR(__xludf.DUMMYFUNCTION("""COMPUTED_VALUE"""),FALSE)</f>
        <v>0</v>
      </c>
      <c r="E101" s="114" t="str">
        <f>IFERROR(__xludf.DUMMYFUNCTION("""COMPUTED_VALUE"""),"CASTILLO")</f>
        <v>CASTILLO</v>
      </c>
      <c r="F101" s="114" t="str">
        <f>IFERROR(__xludf.DUMMYFUNCTION("""COMPUTED_VALUE"""),"JOHNREY")</f>
        <v>JOHNREY</v>
      </c>
    </row>
    <row r="102">
      <c r="A102" s="131">
        <f>IFERROR(__xludf.DUMMYFUNCTION("""COMPUTED_VALUE"""),101.0)</f>
        <v>101</v>
      </c>
      <c r="B102" s="131"/>
      <c r="C102" s="131">
        <f>IFERROR(__xludf.DUMMYFUNCTION("""COMPUTED_VALUE"""),76.0)</f>
        <v>76</v>
      </c>
      <c r="D102" s="131" t="b">
        <f>IFERROR(__xludf.DUMMYFUNCTION("""COMPUTED_VALUE"""),FALSE)</f>
        <v>0</v>
      </c>
      <c r="E102" s="114" t="str">
        <f>IFERROR(__xludf.DUMMYFUNCTION("""COMPUTED_VALUE"""),"MENDOZA")</f>
        <v>MENDOZA</v>
      </c>
      <c r="F102" s="114" t="str">
        <f>IFERROR(__xludf.DUMMYFUNCTION("""COMPUTED_VALUE"""),"JUSTINE IAN")</f>
        <v>JUSTINE IAN</v>
      </c>
    </row>
    <row r="103">
      <c r="A103" s="131">
        <f>IFERROR(__xludf.DUMMYFUNCTION("""COMPUTED_VALUE"""),102.0)</f>
        <v>102</v>
      </c>
      <c r="B103" s="131"/>
      <c r="C103" s="131">
        <f>IFERROR(__xludf.DUMMYFUNCTION("""COMPUTED_VALUE"""),76.0)</f>
        <v>76</v>
      </c>
      <c r="D103" s="131" t="b">
        <f>IFERROR(__xludf.DUMMYFUNCTION("""COMPUTED_VALUE"""),FALSE)</f>
        <v>0</v>
      </c>
      <c r="E103" s="114" t="str">
        <f>IFERROR(__xludf.DUMMYFUNCTION("""COMPUTED_VALUE"""),"FERMIN")</f>
        <v>FERMIN</v>
      </c>
      <c r="F103" s="114" t="str">
        <f>IFERROR(__xludf.DUMMYFUNCTION("""COMPUTED_VALUE"""),"HARIMAR")</f>
        <v>HARIMAR</v>
      </c>
    </row>
    <row r="104">
      <c r="A104" s="131">
        <f>IFERROR(__xludf.DUMMYFUNCTION("""COMPUTED_VALUE"""),103.0)</f>
        <v>103</v>
      </c>
      <c r="B104" s="131"/>
      <c r="C104" s="131">
        <f>IFERROR(__xludf.DUMMYFUNCTION("""COMPUTED_VALUE"""),76.0)</f>
        <v>76</v>
      </c>
      <c r="D104" s="131" t="b">
        <f>IFERROR(__xludf.DUMMYFUNCTION("""COMPUTED_VALUE"""),FALSE)</f>
        <v>0</v>
      </c>
      <c r="E104" s="114" t="str">
        <f>IFERROR(__xludf.DUMMYFUNCTION("""COMPUTED_VALUE"""),"ADEME")</f>
        <v>ADEME</v>
      </c>
      <c r="F104" s="114" t="str">
        <f>IFERROR(__xludf.DUMMYFUNCTION("""COMPUTED_VALUE"""),"JOHN EVO")</f>
        <v>JOHN EVO</v>
      </c>
    </row>
    <row r="105">
      <c r="A105" s="131">
        <f>IFERROR(__xludf.DUMMYFUNCTION("""COMPUTED_VALUE"""),104.0)</f>
        <v>104</v>
      </c>
      <c r="B105" s="131"/>
      <c r="C105" s="131">
        <f>IFERROR(__xludf.DUMMYFUNCTION("""COMPUTED_VALUE"""),76.0)</f>
        <v>76</v>
      </c>
      <c r="D105" s="131" t="b">
        <f>IFERROR(__xludf.DUMMYFUNCTION("""COMPUTED_VALUE"""),FALSE)</f>
        <v>0</v>
      </c>
      <c r="E105" s="114" t="str">
        <f>IFERROR(__xludf.DUMMYFUNCTION("""COMPUTED_VALUE"""),"FLAGNE")</f>
        <v>FLAGNE</v>
      </c>
      <c r="F105" s="114" t="str">
        <f>IFERROR(__xludf.DUMMYFUNCTION("""COMPUTED_VALUE"""),"JHANDY")</f>
        <v>JHANDY</v>
      </c>
    </row>
    <row r="106">
      <c r="A106" s="131">
        <f>IFERROR(__xludf.DUMMYFUNCTION("""COMPUTED_VALUE"""),105.0)</f>
        <v>105</v>
      </c>
      <c r="B106" s="131"/>
      <c r="C106" s="131">
        <f>IFERROR(__xludf.DUMMYFUNCTION("""COMPUTED_VALUE"""),76.0)</f>
        <v>76</v>
      </c>
      <c r="D106" s="131" t="b">
        <f>IFERROR(__xludf.DUMMYFUNCTION("""COMPUTED_VALUE"""),FALSE)</f>
        <v>0</v>
      </c>
      <c r="E106" s="114" t="str">
        <f>IFERROR(__xludf.DUMMYFUNCTION("""COMPUTED_VALUE"""),"GURION")</f>
        <v>GURION</v>
      </c>
      <c r="F106" s="114" t="str">
        <f>IFERROR(__xludf.DUMMYFUNCTION("""COMPUTED_VALUE"""),"ARJIE")</f>
        <v>ARJIE</v>
      </c>
    </row>
    <row r="107">
      <c r="A107" s="131">
        <f>IFERROR(__xludf.DUMMYFUNCTION("""COMPUTED_VALUE"""),106.0)</f>
        <v>106</v>
      </c>
      <c r="B107" s="131"/>
      <c r="C107" s="131">
        <f>IFERROR(__xludf.DUMMYFUNCTION("""COMPUTED_VALUE"""),76.0)</f>
        <v>76</v>
      </c>
      <c r="D107" s="131" t="b">
        <f>IFERROR(__xludf.DUMMYFUNCTION("""COMPUTED_VALUE"""),FALSE)</f>
        <v>0</v>
      </c>
      <c r="E107" s="114" t="str">
        <f>IFERROR(__xludf.DUMMYFUNCTION("""COMPUTED_VALUE"""),"INAJE")</f>
        <v>INAJE</v>
      </c>
      <c r="F107" s="114" t="str">
        <f>IFERROR(__xludf.DUMMYFUNCTION("""COMPUTED_VALUE"""),"JAYSON")</f>
        <v>JAYSON</v>
      </c>
    </row>
    <row r="108">
      <c r="A108" s="131">
        <f>IFERROR(__xludf.DUMMYFUNCTION("""COMPUTED_VALUE"""),107.0)</f>
        <v>107</v>
      </c>
      <c r="B108" s="131"/>
      <c r="C108" s="131">
        <f>IFERROR(__xludf.DUMMYFUNCTION("""COMPUTED_VALUE"""),76.0)</f>
        <v>76</v>
      </c>
      <c r="D108" s="131" t="b">
        <f>IFERROR(__xludf.DUMMYFUNCTION("""COMPUTED_VALUE"""),FALSE)</f>
        <v>0</v>
      </c>
      <c r="E108" s="114" t="str">
        <f>IFERROR(__xludf.DUMMYFUNCTION("""COMPUTED_VALUE"""),"LUANGCO")</f>
        <v>LUANGCO</v>
      </c>
      <c r="F108" s="114" t="str">
        <f>IFERROR(__xludf.DUMMYFUNCTION("""COMPUTED_VALUE"""),"MARKHIEL")</f>
        <v>MARKHIEL</v>
      </c>
    </row>
    <row r="109">
      <c r="A109" s="131">
        <f>IFERROR(__xludf.DUMMYFUNCTION("""COMPUTED_VALUE"""),108.0)</f>
        <v>108</v>
      </c>
      <c r="B109" s="131"/>
      <c r="C109" s="131">
        <f>IFERROR(__xludf.DUMMYFUNCTION("""COMPUTED_VALUE"""),76.0)</f>
        <v>76</v>
      </c>
      <c r="D109" s="131" t="b">
        <f>IFERROR(__xludf.DUMMYFUNCTION("""COMPUTED_VALUE"""),FALSE)</f>
        <v>0</v>
      </c>
      <c r="E109" s="114" t="str">
        <f>IFERROR(__xludf.DUMMYFUNCTION("""COMPUTED_VALUE"""),"NAPARATO")</f>
        <v>NAPARATO</v>
      </c>
      <c r="F109" s="114" t="str">
        <f>IFERROR(__xludf.DUMMYFUNCTION("""COMPUTED_VALUE"""),"JONEL")</f>
        <v>JONEL</v>
      </c>
    </row>
    <row r="110">
      <c r="A110" s="131">
        <f>IFERROR(__xludf.DUMMYFUNCTION("""COMPUTED_VALUE"""),109.0)</f>
        <v>109</v>
      </c>
      <c r="B110" s="131"/>
      <c r="C110" s="131">
        <f>IFERROR(__xludf.DUMMYFUNCTION("""COMPUTED_VALUE"""),76.0)</f>
        <v>76</v>
      </c>
      <c r="D110" s="131" t="b">
        <f>IFERROR(__xludf.DUMMYFUNCTION("""COMPUTED_VALUE"""),FALSE)</f>
        <v>0</v>
      </c>
      <c r="E110" s="114" t="str">
        <f>IFERROR(__xludf.DUMMYFUNCTION("""COMPUTED_VALUE"""),"NAPARATO")</f>
        <v>NAPARATO</v>
      </c>
      <c r="F110" s="114" t="str">
        <f>IFERROR(__xludf.DUMMYFUNCTION("""COMPUTED_VALUE"""),"JEFF")</f>
        <v>JEFF</v>
      </c>
    </row>
    <row r="111">
      <c r="A111" s="131">
        <f>IFERROR(__xludf.DUMMYFUNCTION("""COMPUTED_VALUE"""),110.0)</f>
        <v>110</v>
      </c>
      <c r="B111" s="131"/>
      <c r="C111" s="131">
        <f>IFERROR(__xludf.DUMMYFUNCTION("""COMPUTED_VALUE"""),76.0)</f>
        <v>76</v>
      </c>
      <c r="D111" s="131" t="b">
        <f>IFERROR(__xludf.DUMMYFUNCTION("""COMPUTED_VALUE"""),FALSE)</f>
        <v>0</v>
      </c>
      <c r="E111" s="114" t="str">
        <f>IFERROR(__xludf.DUMMYFUNCTION("""COMPUTED_VALUE"""),"PABILLO")</f>
        <v>PABILLO</v>
      </c>
      <c r="F111" s="114" t="str">
        <f>IFERROR(__xludf.DUMMYFUNCTION("""COMPUTED_VALUE"""),"PRINCE ALECK")</f>
        <v>PRINCE ALECK</v>
      </c>
    </row>
    <row r="112">
      <c r="A112" s="131">
        <f>IFERROR(__xludf.DUMMYFUNCTION("""COMPUTED_VALUE"""),111.0)</f>
        <v>111</v>
      </c>
      <c r="B112" s="131"/>
      <c r="C112" s="131">
        <f>IFERROR(__xludf.DUMMYFUNCTION("""COMPUTED_VALUE"""),76.0)</f>
        <v>76</v>
      </c>
      <c r="D112" s="131" t="b">
        <f>IFERROR(__xludf.DUMMYFUNCTION("""COMPUTED_VALUE"""),FALSE)</f>
        <v>0</v>
      </c>
      <c r="E112" s="114" t="str">
        <f>IFERROR(__xludf.DUMMYFUNCTION("""COMPUTED_VALUE"""),"PRINCESA")</f>
        <v>PRINCESA</v>
      </c>
      <c r="F112" s="114" t="str">
        <f>IFERROR(__xludf.DUMMYFUNCTION("""COMPUTED_VALUE"""),"ADRIAN CARL")</f>
        <v>ADRIAN CARL</v>
      </c>
    </row>
    <row r="113">
      <c r="A113" s="131">
        <f>IFERROR(__xludf.DUMMYFUNCTION("""COMPUTED_VALUE"""),112.0)</f>
        <v>112</v>
      </c>
      <c r="B113" s="131"/>
      <c r="C113" s="131">
        <f>IFERROR(__xludf.DUMMYFUNCTION("""COMPUTED_VALUE"""),76.0)</f>
        <v>76</v>
      </c>
      <c r="D113" s="131" t="b">
        <f>IFERROR(__xludf.DUMMYFUNCTION("""COMPUTED_VALUE"""),FALSE)</f>
        <v>0</v>
      </c>
      <c r="E113" s="114" t="str">
        <f>IFERROR(__xludf.DUMMYFUNCTION("""COMPUTED_VALUE"""),"RAMOS")</f>
        <v>RAMOS</v>
      </c>
      <c r="F113" s="114" t="str">
        <f>IFERROR(__xludf.DUMMYFUNCTION("""COMPUTED_VALUE"""),"JEREMIAH")</f>
        <v>JEREMIAH</v>
      </c>
    </row>
    <row r="114">
      <c r="A114" s="131">
        <f>IFERROR(__xludf.DUMMYFUNCTION("""COMPUTED_VALUE"""),113.0)</f>
        <v>113</v>
      </c>
      <c r="B114" s="131"/>
      <c r="C114" s="131">
        <f>IFERROR(__xludf.DUMMYFUNCTION("""COMPUTED_VALUE"""),76.0)</f>
        <v>76</v>
      </c>
      <c r="D114" s="131" t="b">
        <f>IFERROR(__xludf.DUMMYFUNCTION("""COMPUTED_VALUE"""),FALSE)</f>
        <v>0</v>
      </c>
      <c r="E114" s="114" t="str">
        <f>IFERROR(__xludf.DUMMYFUNCTION("""COMPUTED_VALUE"""),"RAMOS")</f>
        <v>RAMOS</v>
      </c>
      <c r="F114" s="114" t="str">
        <f>IFERROR(__xludf.DUMMYFUNCTION("""COMPUTED_VALUE"""),"MATTHEW")</f>
        <v>MATTHEW</v>
      </c>
    </row>
    <row r="115">
      <c r="A115" s="131">
        <f>IFERROR(__xludf.DUMMYFUNCTION("""COMPUTED_VALUE"""),114.0)</f>
        <v>114</v>
      </c>
      <c r="B115" s="131"/>
      <c r="C115" s="131">
        <f>IFERROR(__xludf.DUMMYFUNCTION("""COMPUTED_VALUE"""),76.0)</f>
        <v>76</v>
      </c>
      <c r="D115" s="131" t="b">
        <f>IFERROR(__xludf.DUMMYFUNCTION("""COMPUTED_VALUE"""),FALSE)</f>
        <v>0</v>
      </c>
      <c r="E115" s="114" t="str">
        <f>IFERROR(__xludf.DUMMYFUNCTION("""COMPUTED_VALUE"""),"RAMOS")</f>
        <v>RAMOS</v>
      </c>
      <c r="F115" s="114" t="str">
        <f>IFERROR(__xludf.DUMMYFUNCTION("""COMPUTED_VALUE"""),"JONAS")</f>
        <v>JONAS</v>
      </c>
    </row>
    <row r="116">
      <c r="A116" s="131">
        <f>IFERROR(__xludf.DUMMYFUNCTION("""COMPUTED_VALUE"""),115.0)</f>
        <v>115</v>
      </c>
      <c r="B116" s="131"/>
      <c r="C116" s="131">
        <f>IFERROR(__xludf.DUMMYFUNCTION("""COMPUTED_VALUE"""),76.0)</f>
        <v>76</v>
      </c>
      <c r="D116" s="131" t="b">
        <f>IFERROR(__xludf.DUMMYFUNCTION("""COMPUTED_VALUE"""),FALSE)</f>
        <v>0</v>
      </c>
      <c r="E116" s="114" t="str">
        <f>IFERROR(__xludf.DUMMYFUNCTION("""COMPUTED_VALUE"""),"ROMANO")</f>
        <v>ROMANO</v>
      </c>
      <c r="F116" s="114" t="str">
        <f>IFERROR(__xludf.DUMMYFUNCTION("""COMPUTED_VALUE"""),"XIANREY")</f>
        <v>XIANREY</v>
      </c>
    </row>
    <row r="117">
      <c r="A117" s="131">
        <f>IFERROR(__xludf.DUMMYFUNCTION("""COMPUTED_VALUE"""),116.0)</f>
        <v>116</v>
      </c>
      <c r="B117" s="131"/>
      <c r="C117" s="131">
        <f>IFERROR(__xludf.DUMMYFUNCTION("""COMPUTED_VALUE"""),76.0)</f>
        <v>76</v>
      </c>
      <c r="D117" s="131" t="b">
        <f>IFERROR(__xludf.DUMMYFUNCTION("""COMPUTED_VALUE"""),FALSE)</f>
        <v>0</v>
      </c>
      <c r="E117" s="114" t="str">
        <f>IFERROR(__xludf.DUMMYFUNCTION("""COMPUTED_VALUE"""),"AMBROCIO")</f>
        <v>AMBROCIO</v>
      </c>
      <c r="F117" s="114" t="str">
        <f>IFERROR(__xludf.DUMMYFUNCTION("""COMPUTED_VALUE"""),"JAMES")</f>
        <v>JAMES</v>
      </c>
    </row>
    <row r="118">
      <c r="A118" s="131">
        <f>IFERROR(__xludf.DUMMYFUNCTION("""COMPUTED_VALUE"""),117.0)</f>
        <v>117</v>
      </c>
      <c r="B118" s="131"/>
      <c r="C118" s="131">
        <f>IFERROR(__xludf.DUMMYFUNCTION("""COMPUTED_VALUE"""),76.0)</f>
        <v>76</v>
      </c>
      <c r="D118" s="131" t="b">
        <f>IFERROR(__xludf.DUMMYFUNCTION("""COMPUTED_VALUE"""),FALSE)</f>
        <v>0</v>
      </c>
      <c r="E118" s="114" t="str">
        <f>IFERROR(__xludf.DUMMYFUNCTION("""COMPUTED_VALUE"""),"PANADO")</f>
        <v>PANADO</v>
      </c>
      <c r="F118" s="114" t="str">
        <f>IFERROR(__xludf.DUMMYFUNCTION("""COMPUTED_VALUE"""),"JAMES")</f>
        <v>JAMES</v>
      </c>
    </row>
    <row r="119">
      <c r="A119" s="131">
        <f>IFERROR(__xludf.DUMMYFUNCTION("""COMPUTED_VALUE"""),118.0)</f>
        <v>118</v>
      </c>
      <c r="B119" s="131"/>
      <c r="C119" s="131">
        <f>IFERROR(__xludf.DUMMYFUNCTION("""COMPUTED_VALUE"""),76.0)</f>
        <v>76</v>
      </c>
      <c r="D119" s="131" t="b">
        <f>IFERROR(__xludf.DUMMYFUNCTION("""COMPUTED_VALUE"""),FALSE)</f>
        <v>0</v>
      </c>
      <c r="E119" s="132" t="str">
        <f>IFERROR(__xludf.DUMMYFUNCTION("""COMPUTED_VALUE"""),"MALLARI")</f>
        <v>MALLARI</v>
      </c>
      <c r="F119" s="114" t="str">
        <f>IFERROR(__xludf.DUMMYFUNCTION("""COMPUTED_VALUE"""),"JAY IAN")</f>
        <v>JAY IAN</v>
      </c>
    </row>
    <row r="120">
      <c r="A120" s="131"/>
      <c r="B120" s="131"/>
      <c r="C120" s="131"/>
      <c r="D120" s="131"/>
      <c r="E120" s="114"/>
      <c r="F120" s="114"/>
    </row>
    <row r="121">
      <c r="A121" s="131">
        <f>IFERROR(__xludf.DUMMYFUNCTION("""COMPUTED_VALUE"""),120.0)</f>
        <v>120</v>
      </c>
      <c r="B121" s="131"/>
      <c r="C121" s="131">
        <f>IFERROR(__xludf.DUMMYFUNCTION("""COMPUTED_VALUE"""),120.0)</f>
        <v>120</v>
      </c>
      <c r="D121" s="131" t="b">
        <f>IFERROR(__xludf.DUMMYFUNCTION("""COMPUTED_VALUE"""),TRUE)</f>
        <v>1</v>
      </c>
      <c r="E121" s="131" t="str">
        <f>IFERROR(__xludf.DUMMYFUNCTION("""COMPUTED_VALUE"""),"MACASA")</f>
        <v>MACASA</v>
      </c>
      <c r="F121" s="131" t="str">
        <f>IFERROR(__xludf.DUMMYFUNCTION("""COMPUTED_VALUE"""),"POLO")</f>
        <v>POLO</v>
      </c>
    </row>
    <row r="122">
      <c r="A122" s="131">
        <f>IFERROR(__xludf.DUMMYFUNCTION("""COMPUTED_VALUE"""),121.0)</f>
        <v>121</v>
      </c>
      <c r="B122" s="131"/>
      <c r="C122" s="131">
        <f>IFERROR(__xludf.DUMMYFUNCTION("""COMPUTED_VALUE"""),120.0)</f>
        <v>120</v>
      </c>
      <c r="D122" s="131" t="b">
        <f>IFERROR(__xludf.DUMMYFUNCTION("""COMPUTED_VALUE"""),FALSE)</f>
        <v>0</v>
      </c>
      <c r="E122" s="105" t="str">
        <f>IFERROR(__xludf.DUMMYFUNCTION("""COMPUTED_VALUE"""),"ALCANTARA")</f>
        <v>ALCANTARA</v>
      </c>
      <c r="F122" s="105" t="str">
        <f>IFERROR(__xludf.DUMMYFUNCTION("""COMPUTED_VALUE"""),"GERALD")</f>
        <v>GERALD</v>
      </c>
    </row>
    <row r="123">
      <c r="A123" s="131">
        <f>IFERROR(__xludf.DUMMYFUNCTION("""COMPUTED_VALUE"""),122.0)</f>
        <v>122</v>
      </c>
      <c r="B123" s="131"/>
      <c r="C123" s="131">
        <f>IFERROR(__xludf.DUMMYFUNCTION("""COMPUTED_VALUE"""),120.0)</f>
        <v>120</v>
      </c>
      <c r="D123" s="131" t="b">
        <f>IFERROR(__xludf.DUMMYFUNCTION("""COMPUTED_VALUE"""),FALSE)</f>
        <v>0</v>
      </c>
      <c r="E123" s="107" t="str">
        <f>IFERROR(__xludf.DUMMYFUNCTION("""COMPUTED_VALUE"""),"ALVIAR")</f>
        <v>ALVIAR</v>
      </c>
      <c r="F123" s="107" t="str">
        <f>IFERROR(__xludf.DUMMYFUNCTION("""COMPUTED_VALUE"""),"PETER")</f>
        <v>PETER</v>
      </c>
    </row>
    <row r="124">
      <c r="A124" s="131">
        <f>IFERROR(__xludf.DUMMYFUNCTION("""COMPUTED_VALUE"""),123.0)</f>
        <v>123</v>
      </c>
      <c r="B124" s="131"/>
      <c r="C124" s="131">
        <f>IFERROR(__xludf.DUMMYFUNCTION("""COMPUTED_VALUE"""),120.0)</f>
        <v>120</v>
      </c>
      <c r="D124" s="131" t="b">
        <f>IFERROR(__xludf.DUMMYFUNCTION("""COMPUTED_VALUE"""),FALSE)</f>
        <v>0</v>
      </c>
      <c r="E124" s="107" t="str">
        <f>IFERROR(__xludf.DUMMYFUNCTION("""COMPUTED_VALUE"""),"BUCTOT")</f>
        <v>BUCTOT</v>
      </c>
      <c r="F124" s="107" t="str">
        <f>IFERROR(__xludf.DUMMYFUNCTION("""COMPUTED_VALUE"""),"JEFFREY")</f>
        <v>JEFFREY</v>
      </c>
    </row>
    <row r="125">
      <c r="A125" s="131">
        <f>IFERROR(__xludf.DUMMYFUNCTION("""COMPUTED_VALUE"""),124.0)</f>
        <v>124</v>
      </c>
      <c r="B125" s="131"/>
      <c r="C125" s="131">
        <f>IFERROR(__xludf.DUMMYFUNCTION("""COMPUTED_VALUE"""),120.0)</f>
        <v>120</v>
      </c>
      <c r="D125" s="131" t="b">
        <f>IFERROR(__xludf.DUMMYFUNCTION("""COMPUTED_VALUE"""),FALSE)</f>
        <v>0</v>
      </c>
      <c r="E125" s="116" t="str">
        <f>IFERROR(__xludf.DUMMYFUNCTION("""COMPUTED_VALUE"""),"CABRERA")</f>
        <v>CABRERA</v>
      </c>
      <c r="F125" s="107" t="str">
        <f>IFERROR(__xludf.DUMMYFUNCTION("""COMPUTED_VALUE"""),"LANCE")</f>
        <v>LANCE</v>
      </c>
    </row>
    <row r="126">
      <c r="A126" s="131">
        <f>IFERROR(__xludf.DUMMYFUNCTION("""COMPUTED_VALUE"""),125.0)</f>
        <v>125</v>
      </c>
      <c r="B126" s="131"/>
      <c r="C126" s="131">
        <f>IFERROR(__xludf.DUMMYFUNCTION("""COMPUTED_VALUE"""),120.0)</f>
        <v>120</v>
      </c>
      <c r="D126" s="131" t="b">
        <f>IFERROR(__xludf.DUMMYFUNCTION("""COMPUTED_VALUE"""),FALSE)</f>
        <v>0</v>
      </c>
      <c r="E126" s="107" t="str">
        <f>IFERROR(__xludf.DUMMYFUNCTION("""COMPUTED_VALUE"""),"CANDIDO")</f>
        <v>CANDIDO</v>
      </c>
      <c r="F126" s="107" t="str">
        <f>IFERROR(__xludf.DUMMYFUNCTION("""COMPUTED_VALUE"""),"PRINCE")</f>
        <v>PRINCE</v>
      </c>
    </row>
    <row r="127">
      <c r="A127" s="131">
        <f>IFERROR(__xludf.DUMMYFUNCTION("""COMPUTED_VALUE"""),126.0)</f>
        <v>126</v>
      </c>
      <c r="B127" s="131"/>
      <c r="C127" s="131">
        <f>IFERROR(__xludf.DUMMYFUNCTION("""COMPUTED_VALUE"""),120.0)</f>
        <v>120</v>
      </c>
      <c r="D127" s="131" t="b">
        <f>IFERROR(__xludf.DUMMYFUNCTION("""COMPUTED_VALUE"""),FALSE)</f>
        <v>0</v>
      </c>
      <c r="E127" s="107" t="str">
        <f>IFERROR(__xludf.DUMMYFUNCTION("""COMPUTED_VALUE"""),"LOUIE")</f>
        <v>LOUIE</v>
      </c>
      <c r="F127" s="107" t="str">
        <f>IFERROR(__xludf.DUMMYFUNCTION("""COMPUTED_VALUE"""),"JAMES")</f>
        <v>JAMES</v>
      </c>
    </row>
    <row r="128">
      <c r="A128" s="131">
        <f>IFERROR(__xludf.DUMMYFUNCTION("""COMPUTED_VALUE"""),127.0)</f>
        <v>127</v>
      </c>
      <c r="B128" s="131"/>
      <c r="C128" s="131">
        <f>IFERROR(__xludf.DUMMYFUNCTION("""COMPUTED_VALUE"""),120.0)</f>
        <v>120</v>
      </c>
      <c r="D128" s="131" t="b">
        <f>IFERROR(__xludf.DUMMYFUNCTION("""COMPUTED_VALUE"""),FALSE)</f>
        <v>0</v>
      </c>
      <c r="E128" s="107" t="str">
        <f>IFERROR(__xludf.DUMMYFUNCTION("""COMPUTED_VALUE"""),"MALIGTAS")</f>
        <v>MALIGTAS</v>
      </c>
      <c r="F128" s="107" t="str">
        <f>IFERROR(__xludf.DUMMYFUNCTION("""COMPUTED_VALUE"""),"SKYE")</f>
        <v>SKYE</v>
      </c>
    </row>
    <row r="129">
      <c r="A129" s="131">
        <f>IFERROR(__xludf.DUMMYFUNCTION("""COMPUTED_VALUE"""),128.0)</f>
        <v>128</v>
      </c>
      <c r="B129" s="131"/>
      <c r="C129" s="131">
        <f>IFERROR(__xludf.DUMMYFUNCTION("""COMPUTED_VALUE"""),120.0)</f>
        <v>120</v>
      </c>
      <c r="D129" s="131" t="b">
        <f>IFERROR(__xludf.DUMMYFUNCTION("""COMPUTED_VALUE"""),FALSE)</f>
        <v>0</v>
      </c>
      <c r="E129" s="107" t="str">
        <f>IFERROR(__xludf.DUMMYFUNCTION("""COMPUTED_VALUE"""),"NEHEMIAH")</f>
        <v>NEHEMIAH</v>
      </c>
      <c r="F129" s="107" t="str">
        <f>IFERROR(__xludf.DUMMYFUNCTION("""COMPUTED_VALUE"""),"ARKHEL")</f>
        <v>ARKHEL</v>
      </c>
    </row>
    <row r="130">
      <c r="A130" s="131">
        <f>IFERROR(__xludf.DUMMYFUNCTION("""COMPUTED_VALUE"""),129.0)</f>
        <v>129</v>
      </c>
      <c r="B130" s="131"/>
      <c r="C130" s="131">
        <f>IFERROR(__xludf.DUMMYFUNCTION("""COMPUTED_VALUE"""),120.0)</f>
        <v>120</v>
      </c>
      <c r="D130" s="131" t="b">
        <f>IFERROR(__xludf.DUMMYFUNCTION("""COMPUTED_VALUE"""),FALSE)</f>
        <v>0</v>
      </c>
      <c r="E130" s="107" t="str">
        <f>IFERROR(__xludf.DUMMYFUNCTION("""COMPUTED_VALUE"""),"OLASO")</f>
        <v>OLASO</v>
      </c>
      <c r="F130" s="107" t="str">
        <f>IFERROR(__xludf.DUMMYFUNCTION("""COMPUTED_VALUE"""),"CHARLES")</f>
        <v>CHARLES</v>
      </c>
    </row>
    <row r="131">
      <c r="A131" s="131">
        <f>IFERROR(__xludf.DUMMYFUNCTION("""COMPUTED_VALUE"""),130.0)</f>
        <v>130</v>
      </c>
      <c r="B131" s="131"/>
      <c r="C131" s="131">
        <f>IFERROR(__xludf.DUMMYFUNCTION("""COMPUTED_VALUE"""),120.0)</f>
        <v>120</v>
      </c>
      <c r="D131" s="131" t="b">
        <f>IFERROR(__xludf.DUMMYFUNCTION("""COMPUTED_VALUE"""),FALSE)</f>
        <v>0</v>
      </c>
      <c r="E131" s="107" t="str">
        <f>IFERROR(__xludf.DUMMYFUNCTION("""COMPUTED_VALUE"""),"PASCUA")</f>
        <v>PASCUA</v>
      </c>
      <c r="F131" s="107" t="str">
        <f>IFERROR(__xludf.DUMMYFUNCTION("""COMPUTED_VALUE"""),"JOHN MICHAEL")</f>
        <v>JOHN MICHAEL</v>
      </c>
    </row>
    <row r="132">
      <c r="A132" s="131">
        <f>IFERROR(__xludf.DUMMYFUNCTION("""COMPUTED_VALUE"""),131.0)</f>
        <v>131</v>
      </c>
      <c r="B132" s="131"/>
      <c r="C132" s="131">
        <f>IFERROR(__xludf.DUMMYFUNCTION("""COMPUTED_VALUE"""),120.0)</f>
        <v>120</v>
      </c>
      <c r="D132" s="131" t="b">
        <f>IFERROR(__xludf.DUMMYFUNCTION("""COMPUTED_VALUE"""),FALSE)</f>
        <v>0</v>
      </c>
      <c r="E132" s="107" t="str">
        <f>IFERROR(__xludf.DUMMYFUNCTION("""COMPUTED_VALUE"""),"PERALTA")</f>
        <v>PERALTA</v>
      </c>
      <c r="F132" s="107" t="str">
        <f>IFERROR(__xludf.DUMMYFUNCTION("""COMPUTED_VALUE"""),"MARLON")</f>
        <v>MARLON</v>
      </c>
    </row>
    <row r="133">
      <c r="A133" s="131">
        <f>IFERROR(__xludf.DUMMYFUNCTION("""COMPUTED_VALUE"""),132.0)</f>
        <v>132</v>
      </c>
      <c r="B133" s="131"/>
      <c r="C133" s="131">
        <f>IFERROR(__xludf.DUMMYFUNCTION("""COMPUTED_VALUE"""),120.0)</f>
        <v>120</v>
      </c>
      <c r="D133" s="131" t="b">
        <f>IFERROR(__xludf.DUMMYFUNCTION("""COMPUTED_VALUE"""),FALSE)</f>
        <v>0</v>
      </c>
      <c r="E133" s="107" t="str">
        <f>IFERROR(__xludf.DUMMYFUNCTION("""COMPUTED_VALUE"""),"PESAYCO")</f>
        <v>PESAYCO</v>
      </c>
      <c r="F133" s="107" t="str">
        <f>IFERROR(__xludf.DUMMYFUNCTION("""COMPUTED_VALUE"""),"KEITH")</f>
        <v>KEITH</v>
      </c>
    </row>
    <row r="134">
      <c r="A134" s="131">
        <f>IFERROR(__xludf.DUMMYFUNCTION("""COMPUTED_VALUE"""),133.0)</f>
        <v>133</v>
      </c>
      <c r="B134" s="131"/>
      <c r="C134" s="131">
        <f>IFERROR(__xludf.DUMMYFUNCTION("""COMPUTED_VALUE"""),120.0)</f>
        <v>120</v>
      </c>
      <c r="D134" s="131" t="b">
        <f>IFERROR(__xludf.DUMMYFUNCTION("""COMPUTED_VALUE"""),FALSE)</f>
        <v>0</v>
      </c>
      <c r="E134" s="107" t="str">
        <f>IFERROR(__xludf.DUMMYFUNCTION("""COMPUTED_VALUE"""),"RAZON")</f>
        <v>RAZON</v>
      </c>
      <c r="F134" s="107" t="str">
        <f>IFERROR(__xludf.DUMMYFUNCTION("""COMPUTED_VALUE"""),"JOSHUA")</f>
        <v>JOSHUA</v>
      </c>
    </row>
    <row r="135">
      <c r="A135" s="131">
        <f>IFERROR(__xludf.DUMMYFUNCTION("""COMPUTED_VALUE"""),134.0)</f>
        <v>134</v>
      </c>
      <c r="B135" s="131"/>
      <c r="C135" s="131">
        <f>IFERROR(__xludf.DUMMYFUNCTION("""COMPUTED_VALUE"""),120.0)</f>
        <v>120</v>
      </c>
      <c r="D135" s="131" t="b">
        <f>IFERROR(__xludf.DUMMYFUNCTION("""COMPUTED_VALUE"""),FALSE)</f>
        <v>0</v>
      </c>
      <c r="E135" s="107" t="str">
        <f>IFERROR(__xludf.DUMMYFUNCTION("""COMPUTED_VALUE"""),"ROCCO")</f>
        <v>ROCCO</v>
      </c>
      <c r="F135" s="107" t="str">
        <f>IFERROR(__xludf.DUMMYFUNCTION("""COMPUTED_VALUE"""),"MARK")</f>
        <v>MARK</v>
      </c>
    </row>
    <row r="136">
      <c r="A136" s="131">
        <f>IFERROR(__xludf.DUMMYFUNCTION("""COMPUTED_VALUE"""),135.0)</f>
        <v>135</v>
      </c>
      <c r="B136" s="131"/>
      <c r="C136" s="131">
        <f>IFERROR(__xludf.DUMMYFUNCTION("""COMPUTED_VALUE"""),120.0)</f>
        <v>120</v>
      </c>
      <c r="D136" s="131" t="b">
        <f>IFERROR(__xludf.DUMMYFUNCTION("""COMPUTED_VALUE"""),FALSE)</f>
        <v>0</v>
      </c>
      <c r="E136" s="107" t="str">
        <f>IFERROR(__xludf.DUMMYFUNCTION("""COMPUTED_VALUE"""),"ROME")</f>
        <v>ROME</v>
      </c>
      <c r="F136" s="107" t="str">
        <f>IFERROR(__xludf.DUMMYFUNCTION("""COMPUTED_VALUE"""),"ZAYIN")</f>
        <v>ZAYIN</v>
      </c>
    </row>
    <row r="137">
      <c r="A137" s="131">
        <f>IFERROR(__xludf.DUMMYFUNCTION("""COMPUTED_VALUE"""),136.0)</f>
        <v>136</v>
      </c>
      <c r="B137" s="131"/>
      <c r="C137" s="131">
        <f>IFERROR(__xludf.DUMMYFUNCTION("""COMPUTED_VALUE"""),120.0)</f>
        <v>120</v>
      </c>
      <c r="D137" s="131" t="b">
        <f>IFERROR(__xludf.DUMMYFUNCTION("""COMPUTED_VALUE"""),FALSE)</f>
        <v>0</v>
      </c>
      <c r="E137" s="107" t="str">
        <f>IFERROR(__xludf.DUMMYFUNCTION("""COMPUTED_VALUE"""),"ROME")</f>
        <v>ROME</v>
      </c>
      <c r="F137" s="107" t="str">
        <f>IFERROR(__xludf.DUMMYFUNCTION("""COMPUTED_VALUE"""),"ZACH")</f>
        <v>ZACH</v>
      </c>
    </row>
    <row r="138">
      <c r="A138" s="131">
        <f>IFERROR(__xludf.DUMMYFUNCTION("""COMPUTED_VALUE"""),137.0)</f>
        <v>137</v>
      </c>
      <c r="B138" s="131"/>
      <c r="C138" s="131">
        <f>IFERROR(__xludf.DUMMYFUNCTION("""COMPUTED_VALUE"""),120.0)</f>
        <v>120</v>
      </c>
      <c r="D138" s="131" t="b">
        <f>IFERROR(__xludf.DUMMYFUNCTION("""COMPUTED_VALUE"""),FALSE)</f>
        <v>0</v>
      </c>
      <c r="E138" s="107" t="str">
        <f>IFERROR(__xludf.DUMMYFUNCTION("""COMPUTED_VALUE"""),"SERRANO")</f>
        <v>SERRANO</v>
      </c>
      <c r="F138" s="107" t="str">
        <f>IFERROR(__xludf.DUMMYFUNCTION("""COMPUTED_VALUE"""),"MICO")</f>
        <v>MICO</v>
      </c>
    </row>
    <row r="139">
      <c r="A139" s="131">
        <f>IFERROR(__xludf.DUMMYFUNCTION("""COMPUTED_VALUE"""),138.0)</f>
        <v>138</v>
      </c>
      <c r="B139" s="131"/>
      <c r="C139" s="131">
        <f>IFERROR(__xludf.DUMMYFUNCTION("""COMPUTED_VALUE"""),120.0)</f>
        <v>120</v>
      </c>
      <c r="D139" s="131" t="b">
        <f>IFERROR(__xludf.DUMMYFUNCTION("""COMPUTED_VALUE"""),FALSE)</f>
        <v>0</v>
      </c>
      <c r="E139" s="107"/>
      <c r="F139" s="107" t="str">
        <f>IFERROR(__xludf.DUMMYFUNCTION("""COMPUTED_VALUE"""),"PAUL")</f>
        <v>PAUL</v>
      </c>
    </row>
    <row r="140">
      <c r="A140" s="131"/>
      <c r="B140" s="131"/>
      <c r="C140" s="131"/>
      <c r="D140" s="131"/>
      <c r="E140" s="98"/>
      <c r="F140" s="107"/>
    </row>
    <row r="141">
      <c r="A141" s="131">
        <f>IFERROR(__xludf.DUMMYFUNCTION("""COMPUTED_VALUE"""),140.0)</f>
        <v>140</v>
      </c>
      <c r="B141" s="131"/>
      <c r="C141" s="131">
        <f>IFERROR(__xludf.DUMMYFUNCTION("""COMPUTED_VALUE"""),140.0)</f>
        <v>140</v>
      </c>
      <c r="D141" s="131" t="b">
        <f>IFERROR(__xludf.DUMMYFUNCTION("""COMPUTED_VALUE"""),TRUE)</f>
        <v>1</v>
      </c>
      <c r="E141" s="105" t="str">
        <f>IFERROR(__xludf.DUMMYFUNCTION("""COMPUTED_VALUE"""),"ARANDA")</f>
        <v>ARANDA</v>
      </c>
      <c r="F141" s="105" t="str">
        <f>IFERROR(__xludf.DUMMYFUNCTION("""COMPUTED_VALUE"""),"IYA")</f>
        <v>IYA</v>
      </c>
    </row>
    <row r="142">
      <c r="A142" s="131">
        <f>IFERROR(__xludf.DUMMYFUNCTION("""COMPUTED_VALUE"""),141.0)</f>
        <v>141</v>
      </c>
      <c r="B142" s="131"/>
      <c r="C142" s="131">
        <f>IFERROR(__xludf.DUMMYFUNCTION("""COMPUTED_VALUE"""),140.0)</f>
        <v>140</v>
      </c>
      <c r="D142" s="131" t="b">
        <f>IFERROR(__xludf.DUMMYFUNCTION("""COMPUTED_VALUE"""),FALSE)</f>
        <v>0</v>
      </c>
      <c r="E142" s="109" t="str">
        <f>IFERROR(__xludf.DUMMYFUNCTION("""COMPUTED_VALUE"""),"ALIANZA")</f>
        <v>ALIANZA</v>
      </c>
      <c r="F142" s="109" t="str">
        <f>IFERROR(__xludf.DUMMYFUNCTION("""COMPUTED_VALUE"""),"JESEMIL")</f>
        <v>JESEMIL</v>
      </c>
    </row>
    <row r="143">
      <c r="A143" s="131">
        <f>IFERROR(__xludf.DUMMYFUNCTION("""COMPUTED_VALUE"""),142.0)</f>
        <v>142</v>
      </c>
      <c r="B143" s="131"/>
      <c r="C143" s="131">
        <f>IFERROR(__xludf.DUMMYFUNCTION("""COMPUTED_VALUE"""),140.0)</f>
        <v>140</v>
      </c>
      <c r="D143" s="131" t="b">
        <f>IFERROR(__xludf.DUMMYFUNCTION("""COMPUTED_VALUE"""),FALSE)</f>
        <v>0</v>
      </c>
      <c r="E143" s="109" t="str">
        <f>IFERROR(__xludf.DUMMYFUNCTION("""COMPUTED_VALUE"""),"ANTONIO")</f>
        <v>ANTONIO</v>
      </c>
      <c r="F143" s="109" t="str">
        <f>IFERROR(__xludf.DUMMYFUNCTION("""COMPUTED_VALUE"""),"CHAM")</f>
        <v>CHAM</v>
      </c>
    </row>
    <row r="144">
      <c r="A144" s="131">
        <f>IFERROR(__xludf.DUMMYFUNCTION("""COMPUTED_VALUE"""),143.0)</f>
        <v>143</v>
      </c>
      <c r="B144" s="131"/>
      <c r="C144" s="131">
        <f>IFERROR(__xludf.DUMMYFUNCTION("""COMPUTED_VALUE"""),140.0)</f>
        <v>140</v>
      </c>
      <c r="D144" s="131" t="b">
        <f>IFERROR(__xludf.DUMMYFUNCTION("""COMPUTED_VALUE"""),FALSE)</f>
        <v>0</v>
      </c>
      <c r="E144" s="109" t="str">
        <f>IFERROR(__xludf.DUMMYFUNCTION("""COMPUTED_VALUE"""),"AQUINO")</f>
        <v>AQUINO</v>
      </c>
      <c r="F144" s="109" t="str">
        <f>IFERROR(__xludf.DUMMYFUNCTION("""COMPUTED_VALUE"""),"JOANNA")</f>
        <v>JOANNA</v>
      </c>
    </row>
    <row r="145">
      <c r="A145" s="131">
        <f>IFERROR(__xludf.DUMMYFUNCTION("""COMPUTED_VALUE"""),144.0)</f>
        <v>144</v>
      </c>
      <c r="B145" s="131"/>
      <c r="C145" s="131">
        <f>IFERROR(__xludf.DUMMYFUNCTION("""COMPUTED_VALUE"""),140.0)</f>
        <v>140</v>
      </c>
      <c r="D145" s="131" t="b">
        <f>IFERROR(__xludf.DUMMYFUNCTION("""COMPUTED_VALUE"""),FALSE)</f>
        <v>0</v>
      </c>
      <c r="E145" s="109" t="str">
        <f>IFERROR(__xludf.DUMMYFUNCTION("""COMPUTED_VALUE"""),"ARANDA")</f>
        <v>ARANDA</v>
      </c>
      <c r="F145" s="109" t="str">
        <f>IFERROR(__xludf.DUMMYFUNCTION("""COMPUTED_VALUE"""),"ALEXANDRA")</f>
        <v>ALEXANDRA</v>
      </c>
    </row>
    <row r="146">
      <c r="A146" s="131">
        <f>IFERROR(__xludf.DUMMYFUNCTION("""COMPUTED_VALUE"""),145.0)</f>
        <v>145</v>
      </c>
      <c r="B146" s="131"/>
      <c r="C146" s="131">
        <f>IFERROR(__xludf.DUMMYFUNCTION("""COMPUTED_VALUE"""),140.0)</f>
        <v>140</v>
      </c>
      <c r="D146" s="131" t="b">
        <f>IFERROR(__xludf.DUMMYFUNCTION("""COMPUTED_VALUE"""),FALSE)</f>
        <v>0</v>
      </c>
      <c r="E146" s="109" t="str">
        <f>IFERROR(__xludf.DUMMYFUNCTION("""COMPUTED_VALUE"""),"CARAAN")</f>
        <v>CARAAN</v>
      </c>
      <c r="F146" s="109" t="str">
        <f>IFERROR(__xludf.DUMMYFUNCTION("""COMPUTED_VALUE"""),"CATHLINE")</f>
        <v>CATHLINE</v>
      </c>
    </row>
    <row r="147">
      <c r="A147" s="131">
        <f>IFERROR(__xludf.DUMMYFUNCTION("""COMPUTED_VALUE"""),146.0)</f>
        <v>146</v>
      </c>
      <c r="B147" s="131"/>
      <c r="C147" s="131">
        <f>IFERROR(__xludf.DUMMYFUNCTION("""COMPUTED_VALUE"""),140.0)</f>
        <v>140</v>
      </c>
      <c r="D147" s="131" t="b">
        <f>IFERROR(__xludf.DUMMYFUNCTION("""COMPUTED_VALUE"""),FALSE)</f>
        <v>0</v>
      </c>
      <c r="E147" s="109" t="str">
        <f>IFERROR(__xludf.DUMMYFUNCTION("""COMPUTED_VALUE"""),"CASTILLO")</f>
        <v>CASTILLO</v>
      </c>
      <c r="F147" s="109" t="str">
        <f>IFERROR(__xludf.DUMMYFUNCTION("""COMPUTED_VALUE"""),"JASIEL")</f>
        <v>JASIEL</v>
      </c>
    </row>
    <row r="148">
      <c r="A148" s="131">
        <f>IFERROR(__xludf.DUMMYFUNCTION("""COMPUTED_VALUE"""),147.0)</f>
        <v>147</v>
      </c>
      <c r="B148" s="131"/>
      <c r="C148" s="131">
        <f>IFERROR(__xludf.DUMMYFUNCTION("""COMPUTED_VALUE"""),140.0)</f>
        <v>140</v>
      </c>
      <c r="D148" s="131" t="b">
        <f>IFERROR(__xludf.DUMMYFUNCTION("""COMPUTED_VALUE"""),FALSE)</f>
        <v>0</v>
      </c>
      <c r="E148" s="109" t="str">
        <f>IFERROR(__xludf.DUMMYFUNCTION("""COMPUTED_VALUE"""),"CEA")</f>
        <v>CEA</v>
      </c>
      <c r="F148" s="109" t="str">
        <f>IFERROR(__xludf.DUMMYFUNCTION("""COMPUTED_VALUE"""),"DIANA")</f>
        <v>DIANA</v>
      </c>
    </row>
    <row r="149">
      <c r="A149" s="131">
        <f>IFERROR(__xludf.DUMMYFUNCTION("""COMPUTED_VALUE"""),148.0)</f>
        <v>148</v>
      </c>
      <c r="B149" s="131"/>
      <c r="C149" s="131">
        <f>IFERROR(__xludf.DUMMYFUNCTION("""COMPUTED_VALUE"""),140.0)</f>
        <v>140</v>
      </c>
      <c r="D149" s="131" t="b">
        <f>IFERROR(__xludf.DUMMYFUNCTION("""COMPUTED_VALUE"""),FALSE)</f>
        <v>0</v>
      </c>
      <c r="E149" s="109" t="str">
        <f>IFERROR(__xludf.DUMMYFUNCTION("""COMPUTED_VALUE"""),"CHUA")</f>
        <v>CHUA</v>
      </c>
      <c r="F149" s="109" t="str">
        <f>IFERROR(__xludf.DUMMYFUNCTION("""COMPUTED_VALUE"""),"PJ")</f>
        <v>PJ</v>
      </c>
    </row>
    <row r="150">
      <c r="A150" s="131">
        <f>IFERROR(__xludf.DUMMYFUNCTION("""COMPUTED_VALUE"""),149.0)</f>
        <v>149</v>
      </c>
      <c r="B150" s="131"/>
      <c r="C150" s="131">
        <f>IFERROR(__xludf.DUMMYFUNCTION("""COMPUTED_VALUE"""),140.0)</f>
        <v>140</v>
      </c>
      <c r="D150" s="131" t="b">
        <f>IFERROR(__xludf.DUMMYFUNCTION("""COMPUTED_VALUE"""),FALSE)</f>
        <v>0</v>
      </c>
      <c r="E150" s="109" t="str">
        <f>IFERROR(__xludf.DUMMYFUNCTION("""COMPUTED_VALUE"""),"DIZON")</f>
        <v>DIZON</v>
      </c>
      <c r="F150" s="109" t="str">
        <f>IFERROR(__xludf.DUMMYFUNCTION("""COMPUTED_VALUE"""),"ARRA")</f>
        <v>ARRA</v>
      </c>
    </row>
    <row r="151">
      <c r="A151" s="131">
        <f>IFERROR(__xludf.DUMMYFUNCTION("""COMPUTED_VALUE"""),150.0)</f>
        <v>150</v>
      </c>
      <c r="B151" s="131"/>
      <c r="C151" s="131">
        <f>IFERROR(__xludf.DUMMYFUNCTION("""COMPUTED_VALUE"""),140.0)</f>
        <v>140</v>
      </c>
      <c r="D151" s="131" t="b">
        <f>IFERROR(__xludf.DUMMYFUNCTION("""COMPUTED_VALUE"""),FALSE)</f>
        <v>0</v>
      </c>
      <c r="E151" s="109" t="str">
        <f>IFERROR(__xludf.DUMMYFUNCTION("""COMPUTED_VALUE"""),"ECLEVIA")</f>
        <v>ECLEVIA</v>
      </c>
      <c r="F151" s="109" t="str">
        <f>IFERROR(__xludf.DUMMYFUNCTION("""COMPUTED_VALUE"""),"ANGELICA")</f>
        <v>ANGELICA</v>
      </c>
    </row>
    <row r="152">
      <c r="A152" s="131">
        <f>IFERROR(__xludf.DUMMYFUNCTION("""COMPUTED_VALUE"""),151.0)</f>
        <v>151</v>
      </c>
      <c r="B152" s="131"/>
      <c r="C152" s="131">
        <f>IFERROR(__xludf.DUMMYFUNCTION("""COMPUTED_VALUE"""),140.0)</f>
        <v>140</v>
      </c>
      <c r="D152" s="131" t="b">
        <f>IFERROR(__xludf.DUMMYFUNCTION("""COMPUTED_VALUE"""),FALSE)</f>
        <v>0</v>
      </c>
      <c r="E152" s="109" t="str">
        <f>IFERROR(__xludf.DUMMYFUNCTION("""COMPUTED_VALUE"""),"FELIPE")</f>
        <v>FELIPE</v>
      </c>
      <c r="F152" s="109" t="str">
        <f>IFERROR(__xludf.DUMMYFUNCTION("""COMPUTED_VALUE"""),"JAIMIE")</f>
        <v>JAIMIE</v>
      </c>
    </row>
    <row r="153">
      <c r="A153" s="131">
        <f>IFERROR(__xludf.DUMMYFUNCTION("""COMPUTED_VALUE"""),152.0)</f>
        <v>152</v>
      </c>
      <c r="B153" s="131"/>
      <c r="C153" s="131">
        <f>IFERROR(__xludf.DUMMYFUNCTION("""COMPUTED_VALUE"""),140.0)</f>
        <v>140</v>
      </c>
      <c r="D153" s="131" t="b">
        <f>IFERROR(__xludf.DUMMYFUNCTION("""COMPUTED_VALUE"""),FALSE)</f>
        <v>0</v>
      </c>
      <c r="E153" s="109" t="str">
        <f>IFERROR(__xludf.DUMMYFUNCTION("""COMPUTED_VALUE"""),"FERNANDEZ")</f>
        <v>FERNANDEZ</v>
      </c>
      <c r="F153" s="109" t="str">
        <f>IFERROR(__xludf.DUMMYFUNCTION("""COMPUTED_VALUE"""),"SHARMAINE")</f>
        <v>SHARMAINE</v>
      </c>
    </row>
    <row r="154">
      <c r="A154" s="131">
        <f>IFERROR(__xludf.DUMMYFUNCTION("""COMPUTED_VALUE"""),153.0)</f>
        <v>153</v>
      </c>
      <c r="B154" s="131"/>
      <c r="C154" s="131">
        <f>IFERROR(__xludf.DUMMYFUNCTION("""COMPUTED_VALUE"""),140.0)</f>
        <v>140</v>
      </c>
      <c r="D154" s="131" t="b">
        <f>IFERROR(__xludf.DUMMYFUNCTION("""COMPUTED_VALUE"""),FALSE)</f>
        <v>0</v>
      </c>
      <c r="E154" s="109" t="str">
        <f>IFERROR(__xludf.DUMMYFUNCTION("""COMPUTED_VALUE"""),"FILIO")</f>
        <v>FILIO</v>
      </c>
      <c r="F154" s="109" t="str">
        <f>IFERROR(__xludf.DUMMYFUNCTION("""COMPUTED_VALUE"""),"DAISY")</f>
        <v>DAISY</v>
      </c>
    </row>
    <row r="155">
      <c r="A155" s="131">
        <f>IFERROR(__xludf.DUMMYFUNCTION("""COMPUTED_VALUE"""),154.0)</f>
        <v>154</v>
      </c>
      <c r="B155" s="131"/>
      <c r="C155" s="131">
        <f>IFERROR(__xludf.DUMMYFUNCTION("""COMPUTED_VALUE"""),140.0)</f>
        <v>140</v>
      </c>
      <c r="D155" s="131" t="b">
        <f>IFERROR(__xludf.DUMMYFUNCTION("""COMPUTED_VALUE"""),FALSE)</f>
        <v>0</v>
      </c>
      <c r="E155" s="109" t="str">
        <f>IFERROR(__xludf.DUMMYFUNCTION("""COMPUTED_VALUE"""),"FILIO")</f>
        <v>FILIO</v>
      </c>
      <c r="F155" s="109" t="str">
        <f>IFERROR(__xludf.DUMMYFUNCTION("""COMPUTED_VALUE"""),"JENNY")</f>
        <v>JENNY</v>
      </c>
    </row>
    <row r="156">
      <c r="A156" s="131">
        <f>IFERROR(__xludf.DUMMYFUNCTION("""COMPUTED_VALUE"""),155.0)</f>
        <v>155</v>
      </c>
      <c r="B156" s="131"/>
      <c r="C156" s="131">
        <f>IFERROR(__xludf.DUMMYFUNCTION("""COMPUTED_VALUE"""),140.0)</f>
        <v>140</v>
      </c>
      <c r="D156" s="131" t="b">
        <f>IFERROR(__xludf.DUMMYFUNCTION("""COMPUTED_VALUE"""),FALSE)</f>
        <v>0</v>
      </c>
      <c r="E156" s="109" t="str">
        <f>IFERROR(__xludf.DUMMYFUNCTION("""COMPUTED_VALUE"""),"FLORO")</f>
        <v>FLORO</v>
      </c>
      <c r="F156" s="109" t="str">
        <f>IFERROR(__xludf.DUMMYFUNCTION("""COMPUTED_VALUE"""),"JUSTINE")</f>
        <v>JUSTINE</v>
      </c>
    </row>
    <row r="157">
      <c r="A157" s="131">
        <f>IFERROR(__xludf.DUMMYFUNCTION("""COMPUTED_VALUE"""),156.0)</f>
        <v>156</v>
      </c>
      <c r="B157" s="131"/>
      <c r="C157" s="131">
        <f>IFERROR(__xludf.DUMMYFUNCTION("""COMPUTED_VALUE"""),140.0)</f>
        <v>140</v>
      </c>
      <c r="D157" s="131" t="b">
        <f>IFERROR(__xludf.DUMMYFUNCTION("""COMPUTED_VALUE"""),FALSE)</f>
        <v>0</v>
      </c>
      <c r="E157" s="109" t="str">
        <f>IFERROR(__xludf.DUMMYFUNCTION("""COMPUTED_VALUE"""),"FLORO")</f>
        <v>FLORO</v>
      </c>
      <c r="F157" s="109" t="str">
        <f>IFERROR(__xludf.DUMMYFUNCTION("""COMPUTED_VALUE"""),"MICA")</f>
        <v>MICA</v>
      </c>
    </row>
    <row r="158">
      <c r="A158" s="131">
        <f>IFERROR(__xludf.DUMMYFUNCTION("""COMPUTED_VALUE"""),157.0)</f>
        <v>157</v>
      </c>
      <c r="B158" s="131"/>
      <c r="C158" s="131">
        <f>IFERROR(__xludf.DUMMYFUNCTION("""COMPUTED_VALUE"""),140.0)</f>
        <v>140</v>
      </c>
      <c r="D158" s="131" t="b">
        <f>IFERROR(__xludf.DUMMYFUNCTION("""COMPUTED_VALUE"""),FALSE)</f>
        <v>0</v>
      </c>
      <c r="E158" s="109" t="str">
        <f>IFERROR(__xludf.DUMMYFUNCTION("""COMPUTED_VALUE"""),"FRANCISCO")</f>
        <v>FRANCISCO</v>
      </c>
      <c r="F158" s="109" t="str">
        <f>IFERROR(__xludf.DUMMYFUNCTION("""COMPUTED_VALUE"""),"RAMILYN")</f>
        <v>RAMILYN</v>
      </c>
    </row>
    <row r="159">
      <c r="A159" s="131">
        <f>IFERROR(__xludf.DUMMYFUNCTION("""COMPUTED_VALUE"""),158.0)</f>
        <v>158</v>
      </c>
      <c r="B159" s="131"/>
      <c r="C159" s="131">
        <f>IFERROR(__xludf.DUMMYFUNCTION("""COMPUTED_VALUE"""),140.0)</f>
        <v>140</v>
      </c>
      <c r="D159" s="131" t="b">
        <f>IFERROR(__xludf.DUMMYFUNCTION("""COMPUTED_VALUE"""),FALSE)</f>
        <v>0</v>
      </c>
      <c r="E159" s="109" t="str">
        <f>IFERROR(__xludf.DUMMYFUNCTION("""COMPUTED_VALUE"""),"GEMOTO")</f>
        <v>GEMOTO</v>
      </c>
      <c r="F159" s="109" t="str">
        <f>IFERROR(__xludf.DUMMYFUNCTION("""COMPUTED_VALUE"""),"JASMINE")</f>
        <v>JASMINE</v>
      </c>
    </row>
    <row r="160">
      <c r="A160" s="131">
        <f>IFERROR(__xludf.DUMMYFUNCTION("""COMPUTED_VALUE"""),159.0)</f>
        <v>159</v>
      </c>
      <c r="B160" s="131"/>
      <c r="C160" s="131">
        <f>IFERROR(__xludf.DUMMYFUNCTION("""COMPUTED_VALUE"""),140.0)</f>
        <v>140</v>
      </c>
      <c r="D160" s="131" t="b">
        <f>IFERROR(__xludf.DUMMYFUNCTION("""COMPUTED_VALUE"""),FALSE)</f>
        <v>0</v>
      </c>
      <c r="E160" s="109" t="str">
        <f>IFERROR(__xludf.DUMMYFUNCTION("""COMPUTED_VALUE"""),"LABAYNE")</f>
        <v>LABAYNE</v>
      </c>
      <c r="F160" s="109" t="str">
        <f>IFERROR(__xludf.DUMMYFUNCTION("""COMPUTED_VALUE"""),"GRACE")</f>
        <v>GRACE</v>
      </c>
    </row>
    <row r="161">
      <c r="A161" s="131">
        <f>IFERROR(__xludf.DUMMYFUNCTION("""COMPUTED_VALUE"""),160.0)</f>
        <v>160</v>
      </c>
      <c r="B161" s="131"/>
      <c r="C161" s="131">
        <f>IFERROR(__xludf.DUMMYFUNCTION("""COMPUTED_VALUE"""),140.0)</f>
        <v>140</v>
      </c>
      <c r="D161" s="131" t="b">
        <f>IFERROR(__xludf.DUMMYFUNCTION("""COMPUTED_VALUE"""),FALSE)</f>
        <v>0</v>
      </c>
      <c r="E161" s="109" t="str">
        <f>IFERROR(__xludf.DUMMYFUNCTION("""COMPUTED_VALUE"""),"OCEMAN")</f>
        <v>OCEMAN</v>
      </c>
      <c r="F161" s="109" t="str">
        <f>IFERROR(__xludf.DUMMYFUNCTION("""COMPUTED_VALUE"""),"RAI-RAI")</f>
        <v>RAI-RAI</v>
      </c>
    </row>
    <row r="162">
      <c r="A162" s="131">
        <f>IFERROR(__xludf.DUMMYFUNCTION("""COMPUTED_VALUE"""),161.0)</f>
        <v>161</v>
      </c>
      <c r="B162" s="131"/>
      <c r="C162" s="131">
        <f>IFERROR(__xludf.DUMMYFUNCTION("""COMPUTED_VALUE"""),140.0)</f>
        <v>140</v>
      </c>
      <c r="D162" s="131" t="b">
        <f>IFERROR(__xludf.DUMMYFUNCTION("""COMPUTED_VALUE"""),FALSE)</f>
        <v>0</v>
      </c>
      <c r="E162" s="109" t="str">
        <f>IFERROR(__xludf.DUMMYFUNCTION("""COMPUTED_VALUE"""),"ORQUIA")</f>
        <v>ORQUIA</v>
      </c>
      <c r="F162" s="109" t="str">
        <f>IFERROR(__xludf.DUMMYFUNCTION("""COMPUTED_VALUE"""),"KEZA")</f>
        <v>KEZA</v>
      </c>
    </row>
    <row r="163">
      <c r="A163" s="131">
        <f>IFERROR(__xludf.DUMMYFUNCTION("""COMPUTED_VALUE"""),162.0)</f>
        <v>162</v>
      </c>
      <c r="B163" s="131"/>
      <c r="C163" s="131">
        <f>IFERROR(__xludf.DUMMYFUNCTION("""COMPUTED_VALUE"""),140.0)</f>
        <v>140</v>
      </c>
      <c r="D163" s="131" t="b">
        <f>IFERROR(__xludf.DUMMYFUNCTION("""COMPUTED_VALUE"""),FALSE)</f>
        <v>0</v>
      </c>
      <c r="E163" s="109" t="str">
        <f>IFERROR(__xludf.DUMMYFUNCTION("""COMPUTED_VALUE"""),"PERALTA")</f>
        <v>PERALTA</v>
      </c>
      <c r="F163" s="109" t="str">
        <f>IFERROR(__xludf.DUMMYFUNCTION("""COMPUTED_VALUE"""),"YEN")</f>
        <v>YEN</v>
      </c>
    </row>
    <row r="164">
      <c r="A164" s="131">
        <f>IFERROR(__xludf.DUMMYFUNCTION("""COMPUTED_VALUE"""),163.0)</f>
        <v>163</v>
      </c>
      <c r="B164" s="131"/>
      <c r="C164" s="131">
        <f>IFERROR(__xludf.DUMMYFUNCTION("""COMPUTED_VALUE"""),140.0)</f>
        <v>140</v>
      </c>
      <c r="D164" s="131" t="b">
        <f>IFERROR(__xludf.DUMMYFUNCTION("""COMPUTED_VALUE"""),FALSE)</f>
        <v>0</v>
      </c>
      <c r="E164" s="109" t="str">
        <f>IFERROR(__xludf.DUMMYFUNCTION("""COMPUTED_VALUE"""),"TAN SANCHEZ")</f>
        <v>TAN SANCHEZ</v>
      </c>
      <c r="F164" s="109" t="str">
        <f>IFERROR(__xludf.DUMMYFUNCTION("""COMPUTED_VALUE"""),"MARY KHAYE")</f>
        <v>MARY KHAYE</v>
      </c>
    </row>
    <row r="165">
      <c r="A165" s="131">
        <f>IFERROR(__xludf.DUMMYFUNCTION("""COMPUTED_VALUE"""),164.0)</f>
        <v>164</v>
      </c>
      <c r="B165" s="131"/>
      <c r="C165" s="131">
        <f>IFERROR(__xludf.DUMMYFUNCTION("""COMPUTED_VALUE"""),140.0)</f>
        <v>140</v>
      </c>
      <c r="D165" s="131" t="b">
        <f>IFERROR(__xludf.DUMMYFUNCTION("""COMPUTED_VALUE"""),FALSE)</f>
        <v>0</v>
      </c>
      <c r="E165" s="109" t="str">
        <f>IFERROR(__xludf.DUMMYFUNCTION("""COMPUTED_VALUE"""),"TANDUL")</f>
        <v>TANDUL</v>
      </c>
      <c r="F165" s="109" t="str">
        <f>IFERROR(__xludf.DUMMYFUNCTION("""COMPUTED_VALUE"""),"ELAIJAH")</f>
        <v>ELAIJAH</v>
      </c>
    </row>
    <row r="166">
      <c r="A166" s="131">
        <f>IFERROR(__xludf.DUMMYFUNCTION("""COMPUTED_VALUE"""),165.0)</f>
        <v>165</v>
      </c>
      <c r="B166" s="131"/>
      <c r="C166" s="131">
        <f>IFERROR(__xludf.DUMMYFUNCTION("""COMPUTED_VALUE"""),140.0)</f>
        <v>140</v>
      </c>
      <c r="D166" s="131" t="b">
        <f>IFERROR(__xludf.DUMMYFUNCTION("""COMPUTED_VALUE"""),FALSE)</f>
        <v>0</v>
      </c>
      <c r="E166" s="109" t="str">
        <f>IFERROR(__xludf.DUMMYFUNCTION("""COMPUTED_VALUE"""),"VILLONES")</f>
        <v>VILLONES</v>
      </c>
      <c r="F166" s="109" t="str">
        <f>IFERROR(__xludf.DUMMYFUNCTION("""COMPUTED_VALUE"""),"RHEA")</f>
        <v>RHEA</v>
      </c>
    </row>
    <row r="167">
      <c r="A167" s="131">
        <f>IFERROR(__xludf.DUMMYFUNCTION("""COMPUTED_VALUE"""),166.0)</f>
        <v>166</v>
      </c>
      <c r="B167" s="131"/>
      <c r="C167" s="131"/>
      <c r="D167" s="131" t="b">
        <f>IFERROR(__xludf.DUMMYFUNCTION("""COMPUTED_VALUE"""),FALSE)</f>
        <v>0</v>
      </c>
      <c r="E167" s="131"/>
      <c r="F167" s="131"/>
    </row>
    <row r="168">
      <c r="A168" s="131">
        <f>IFERROR(__xludf.DUMMYFUNCTION("""COMPUTED_VALUE"""),167.0)</f>
        <v>167</v>
      </c>
      <c r="B168" s="131"/>
      <c r="C168" s="131">
        <f>IFERROR(__xludf.DUMMYFUNCTION("""COMPUTED_VALUE"""),167.0)</f>
        <v>167</v>
      </c>
      <c r="D168" s="131" t="b">
        <f>IFERROR(__xludf.DUMMYFUNCTION("""COMPUTED_VALUE"""),TRUE)</f>
        <v>1</v>
      </c>
      <c r="E168" s="105" t="str">
        <f>IFERROR(__xludf.DUMMYFUNCTION("""COMPUTED_VALUE"""),"DE-DIOS")</f>
        <v>DE-DIOS</v>
      </c>
      <c r="F168" s="105" t="str">
        <f>IFERROR(__xludf.DUMMYFUNCTION("""COMPUTED_VALUE"""),"JAY-EL")</f>
        <v>JAY-EL</v>
      </c>
    </row>
    <row r="169">
      <c r="A169" s="131">
        <f>IFERROR(__xludf.DUMMYFUNCTION("""COMPUTED_VALUE"""),168.0)</f>
        <v>168</v>
      </c>
      <c r="B169" s="131"/>
      <c r="C169" s="131">
        <f>IFERROR(__xludf.DUMMYFUNCTION("""COMPUTED_VALUE"""),167.0)</f>
        <v>167</v>
      </c>
      <c r="D169" s="131" t="b">
        <f>IFERROR(__xludf.DUMMYFUNCTION("""COMPUTED_VALUE"""),FALSE)</f>
        <v>0</v>
      </c>
      <c r="E169" s="107" t="str">
        <f>IFERROR(__xludf.DUMMYFUNCTION("""COMPUTED_VALUE"""),"BARONGGO")</f>
        <v>BARONGGO</v>
      </c>
      <c r="F169" s="107" t="str">
        <f>IFERROR(__xludf.DUMMYFUNCTION("""COMPUTED_VALUE"""),"FRANK")</f>
        <v>FRANK</v>
      </c>
    </row>
    <row r="170">
      <c r="A170" s="131">
        <f>IFERROR(__xludf.DUMMYFUNCTION("""COMPUTED_VALUE"""),169.0)</f>
        <v>169</v>
      </c>
      <c r="B170" s="131"/>
      <c r="C170" s="131">
        <f>IFERROR(__xludf.DUMMYFUNCTION("""COMPUTED_VALUE"""),167.0)</f>
        <v>167</v>
      </c>
      <c r="D170" s="131" t="b">
        <f>IFERROR(__xludf.DUMMYFUNCTION("""COMPUTED_VALUE"""),FALSE)</f>
        <v>0</v>
      </c>
      <c r="E170" s="107" t="str">
        <f>IFERROR(__xludf.DUMMYFUNCTION("""COMPUTED_VALUE"""),"ABENOJAR")</f>
        <v>ABENOJAR</v>
      </c>
      <c r="F170" s="107" t="str">
        <f>IFERROR(__xludf.DUMMYFUNCTION("""COMPUTED_VALUE"""),"CLIFFORD")</f>
        <v>CLIFFORD</v>
      </c>
    </row>
    <row r="171">
      <c r="A171" s="131">
        <f>IFERROR(__xludf.DUMMYFUNCTION("""COMPUTED_VALUE"""),170.0)</f>
        <v>170</v>
      </c>
      <c r="B171" s="131"/>
      <c r="C171" s="131">
        <f>IFERROR(__xludf.DUMMYFUNCTION("""COMPUTED_VALUE"""),167.0)</f>
        <v>167</v>
      </c>
      <c r="D171" s="131" t="b">
        <f>IFERROR(__xludf.DUMMYFUNCTION("""COMPUTED_VALUE"""),FALSE)</f>
        <v>0</v>
      </c>
      <c r="E171" s="107" t="str">
        <f>IFERROR(__xludf.DUMMYFUNCTION("""COMPUTED_VALUE"""),"ABUS")</f>
        <v>ABUS</v>
      </c>
      <c r="F171" s="107" t="str">
        <f>IFERROR(__xludf.DUMMYFUNCTION("""COMPUTED_VALUE"""),"RV PETER")</f>
        <v>RV PETER</v>
      </c>
    </row>
    <row r="172">
      <c r="A172" s="131">
        <f>IFERROR(__xludf.DUMMYFUNCTION("""COMPUTED_VALUE"""),171.0)</f>
        <v>171</v>
      </c>
      <c r="B172" s="131"/>
      <c r="C172" s="131">
        <f>IFERROR(__xludf.DUMMYFUNCTION("""COMPUTED_VALUE"""),167.0)</f>
        <v>167</v>
      </c>
      <c r="D172" s="131" t="b">
        <f>IFERROR(__xludf.DUMMYFUNCTION("""COMPUTED_VALUE"""),FALSE)</f>
        <v>0</v>
      </c>
      <c r="E172" s="107" t="str">
        <f>IFERROR(__xludf.DUMMYFUNCTION("""COMPUTED_VALUE"""),"ANTONIO")</f>
        <v>ANTONIO</v>
      </c>
      <c r="F172" s="107" t="str">
        <f>IFERROR(__xludf.DUMMYFUNCTION("""COMPUTED_VALUE"""),"DON")</f>
        <v>DON</v>
      </c>
    </row>
    <row r="173">
      <c r="A173" s="131">
        <f>IFERROR(__xludf.DUMMYFUNCTION("""COMPUTED_VALUE"""),172.0)</f>
        <v>172</v>
      </c>
      <c r="B173" s="131"/>
      <c r="C173" s="131">
        <f>IFERROR(__xludf.DUMMYFUNCTION("""COMPUTED_VALUE"""),167.0)</f>
        <v>167</v>
      </c>
      <c r="D173" s="131" t="b">
        <f>IFERROR(__xludf.DUMMYFUNCTION("""COMPUTED_VALUE"""),FALSE)</f>
        <v>0</v>
      </c>
      <c r="E173" s="107" t="str">
        <f>IFERROR(__xludf.DUMMYFUNCTION("""COMPUTED_VALUE"""),"BERDIN")</f>
        <v>BERDIN</v>
      </c>
      <c r="F173" s="107" t="str">
        <f>IFERROR(__xludf.DUMMYFUNCTION("""COMPUTED_VALUE"""),"KURT")</f>
        <v>KURT</v>
      </c>
    </row>
    <row r="174">
      <c r="A174" s="131">
        <f>IFERROR(__xludf.DUMMYFUNCTION("""COMPUTED_VALUE"""),173.0)</f>
        <v>173</v>
      </c>
      <c r="B174" s="131"/>
      <c r="C174" s="131">
        <f>IFERROR(__xludf.DUMMYFUNCTION("""COMPUTED_VALUE"""),167.0)</f>
        <v>167</v>
      </c>
      <c r="D174" s="131" t="b">
        <f>IFERROR(__xludf.DUMMYFUNCTION("""COMPUTED_VALUE"""),FALSE)</f>
        <v>0</v>
      </c>
      <c r="E174" s="107" t="str">
        <f>IFERROR(__xludf.DUMMYFUNCTION("""COMPUTED_VALUE"""),"CALUBIRAN")</f>
        <v>CALUBIRAN</v>
      </c>
      <c r="F174" s="107" t="str">
        <f>IFERROR(__xludf.DUMMYFUNCTION("""COMPUTED_VALUE"""),"JOEL")</f>
        <v>JOEL</v>
      </c>
    </row>
    <row r="175">
      <c r="A175" s="131">
        <f>IFERROR(__xludf.DUMMYFUNCTION("""COMPUTED_VALUE"""),174.0)</f>
        <v>174</v>
      </c>
      <c r="B175" s="131"/>
      <c r="C175" s="131">
        <f>IFERROR(__xludf.DUMMYFUNCTION("""COMPUTED_VALUE"""),167.0)</f>
        <v>167</v>
      </c>
      <c r="D175" s="131" t="b">
        <f>IFERROR(__xludf.DUMMYFUNCTION("""COMPUTED_VALUE"""),FALSE)</f>
        <v>0</v>
      </c>
      <c r="E175" s="107" t="str">
        <f>IFERROR(__xludf.DUMMYFUNCTION("""COMPUTED_VALUE"""),"CARANGAN")</f>
        <v>CARANGAN</v>
      </c>
      <c r="F175" s="107" t="str">
        <f>IFERROR(__xludf.DUMMYFUNCTION("""COMPUTED_VALUE"""),"LANCE")</f>
        <v>LANCE</v>
      </c>
    </row>
    <row r="176">
      <c r="A176" s="131">
        <f>IFERROR(__xludf.DUMMYFUNCTION("""COMPUTED_VALUE"""),175.0)</f>
        <v>175</v>
      </c>
      <c r="B176" s="131"/>
      <c r="C176" s="131">
        <f>IFERROR(__xludf.DUMMYFUNCTION("""COMPUTED_VALUE"""),167.0)</f>
        <v>167</v>
      </c>
      <c r="D176" s="131" t="b">
        <f>IFERROR(__xludf.DUMMYFUNCTION("""COMPUTED_VALUE"""),FALSE)</f>
        <v>0</v>
      </c>
      <c r="E176" s="107" t="str">
        <f>IFERROR(__xludf.DUMMYFUNCTION("""COMPUTED_VALUE"""),"CASINUSIMAN")</f>
        <v>CASINUSIMAN</v>
      </c>
      <c r="F176" s="107" t="str">
        <f>IFERROR(__xludf.DUMMYFUNCTION("""COMPUTED_VALUE"""),"RAINER")</f>
        <v>RAINER</v>
      </c>
    </row>
    <row r="177">
      <c r="A177" s="131">
        <f>IFERROR(__xludf.DUMMYFUNCTION("""COMPUTED_VALUE"""),176.0)</f>
        <v>176</v>
      </c>
      <c r="B177" s="131"/>
      <c r="C177" s="131">
        <f>IFERROR(__xludf.DUMMYFUNCTION("""COMPUTED_VALUE"""),167.0)</f>
        <v>167</v>
      </c>
      <c r="D177" s="131" t="b">
        <f>IFERROR(__xludf.DUMMYFUNCTION("""COMPUTED_VALUE"""),FALSE)</f>
        <v>0</v>
      </c>
      <c r="E177" s="107" t="str">
        <f>IFERROR(__xludf.DUMMYFUNCTION("""COMPUTED_VALUE"""),"CORVERA")</f>
        <v>CORVERA</v>
      </c>
      <c r="F177" s="107" t="str">
        <f>IFERROR(__xludf.DUMMYFUNCTION("""COMPUTED_VALUE"""),"FLORENCE")</f>
        <v>FLORENCE</v>
      </c>
    </row>
    <row r="178">
      <c r="A178" s="131">
        <f>IFERROR(__xludf.DUMMYFUNCTION("""COMPUTED_VALUE"""),177.0)</f>
        <v>177</v>
      </c>
      <c r="B178" s="131"/>
      <c r="C178" s="131">
        <f>IFERROR(__xludf.DUMMYFUNCTION("""COMPUTED_VALUE"""),167.0)</f>
        <v>167</v>
      </c>
      <c r="D178" s="131" t="b">
        <f>IFERROR(__xludf.DUMMYFUNCTION("""COMPUTED_VALUE"""),FALSE)</f>
        <v>0</v>
      </c>
      <c r="E178" s="107" t="str">
        <f>IFERROR(__xludf.DUMMYFUNCTION("""COMPUTED_VALUE"""),"DABALOS")</f>
        <v>DABALOS</v>
      </c>
      <c r="F178" s="107" t="str">
        <f>IFERROR(__xludf.DUMMYFUNCTION("""COMPUTED_VALUE"""),"MERVIN")</f>
        <v>MERVIN</v>
      </c>
    </row>
    <row r="179">
      <c r="A179" s="131">
        <f>IFERROR(__xludf.DUMMYFUNCTION("""COMPUTED_VALUE"""),178.0)</f>
        <v>178</v>
      </c>
      <c r="B179" s="131"/>
      <c r="C179" s="131">
        <f>IFERROR(__xludf.DUMMYFUNCTION("""COMPUTED_VALUE"""),167.0)</f>
        <v>167</v>
      </c>
      <c r="D179" s="131" t="b">
        <f>IFERROR(__xludf.DUMMYFUNCTION("""COMPUTED_VALUE"""),FALSE)</f>
        <v>0</v>
      </c>
      <c r="E179" s="107" t="str">
        <f>IFERROR(__xludf.DUMMYFUNCTION("""COMPUTED_VALUE"""),"DATO")</f>
        <v>DATO</v>
      </c>
      <c r="F179" s="107" t="str">
        <f>IFERROR(__xludf.DUMMYFUNCTION("""COMPUTED_VALUE"""),"JOHN AL")</f>
        <v>JOHN AL</v>
      </c>
    </row>
    <row r="180">
      <c r="A180" s="131">
        <f>IFERROR(__xludf.DUMMYFUNCTION("""COMPUTED_VALUE"""),179.0)</f>
        <v>179</v>
      </c>
      <c r="B180" s="131"/>
      <c r="C180" s="131">
        <f>IFERROR(__xludf.DUMMYFUNCTION("""COMPUTED_VALUE"""),167.0)</f>
        <v>167</v>
      </c>
      <c r="D180" s="131" t="b">
        <f>IFERROR(__xludf.DUMMYFUNCTION("""COMPUTED_VALUE"""),FALSE)</f>
        <v>0</v>
      </c>
      <c r="E180" s="107" t="str">
        <f>IFERROR(__xludf.DUMMYFUNCTION("""COMPUTED_VALUE"""),"DELA CRUZ")</f>
        <v>DELA CRUZ</v>
      </c>
      <c r="F180" s="107" t="str">
        <f>IFERROR(__xludf.DUMMYFUNCTION("""COMPUTED_VALUE"""),"DYLAN")</f>
        <v>DYLAN</v>
      </c>
    </row>
    <row r="181">
      <c r="A181" s="131">
        <f>IFERROR(__xludf.DUMMYFUNCTION("""COMPUTED_VALUE"""),180.0)</f>
        <v>180</v>
      </c>
      <c r="B181" s="131"/>
      <c r="C181" s="131">
        <f>IFERROR(__xludf.DUMMYFUNCTION("""COMPUTED_VALUE"""),167.0)</f>
        <v>167</v>
      </c>
      <c r="D181" s="131" t="b">
        <f>IFERROR(__xludf.DUMMYFUNCTION("""COMPUTED_VALUE"""),FALSE)</f>
        <v>0</v>
      </c>
      <c r="E181" s="107" t="str">
        <f>IFERROR(__xludf.DUMMYFUNCTION("""COMPUTED_VALUE"""),"DELA PEÑA")</f>
        <v>DELA PEÑA</v>
      </c>
      <c r="F181" s="107" t="str">
        <f>IFERROR(__xludf.DUMMYFUNCTION("""COMPUTED_VALUE"""),"ACEL")</f>
        <v>ACEL</v>
      </c>
    </row>
    <row r="182">
      <c r="A182" s="131">
        <f>IFERROR(__xludf.DUMMYFUNCTION("""COMPUTED_VALUE"""),181.0)</f>
        <v>181</v>
      </c>
      <c r="B182" s="131"/>
      <c r="C182" s="131">
        <f>IFERROR(__xludf.DUMMYFUNCTION("""COMPUTED_VALUE"""),167.0)</f>
        <v>167</v>
      </c>
      <c r="D182" s="131" t="b">
        <f>IFERROR(__xludf.DUMMYFUNCTION("""COMPUTED_VALUE"""),FALSE)</f>
        <v>0</v>
      </c>
      <c r="E182" s="107" t="str">
        <f>IFERROR(__xludf.DUMMYFUNCTION("""COMPUTED_VALUE"""),"DELECTOR")</f>
        <v>DELECTOR</v>
      </c>
      <c r="F182" s="107" t="str">
        <f>IFERROR(__xludf.DUMMYFUNCTION("""COMPUTED_VALUE"""),"FRANCIS CRISTEL")</f>
        <v>FRANCIS CRISTEL</v>
      </c>
    </row>
    <row r="183">
      <c r="A183" s="131">
        <f>IFERROR(__xludf.DUMMYFUNCTION("""COMPUTED_VALUE"""),182.0)</f>
        <v>182</v>
      </c>
      <c r="B183" s="131"/>
      <c r="C183" s="131">
        <f>IFERROR(__xludf.DUMMYFUNCTION("""COMPUTED_VALUE"""),167.0)</f>
        <v>167</v>
      </c>
      <c r="D183" s="131" t="b">
        <f>IFERROR(__xludf.DUMMYFUNCTION("""COMPUTED_VALUE"""),FALSE)</f>
        <v>0</v>
      </c>
      <c r="E183" s="107" t="str">
        <f>IFERROR(__xludf.DUMMYFUNCTION("""COMPUTED_VALUE"""),"DELECTOR")</f>
        <v>DELECTOR</v>
      </c>
      <c r="F183" s="107" t="str">
        <f>IFERROR(__xludf.DUMMYFUNCTION("""COMPUTED_VALUE"""),"FRANZINE CARLO")</f>
        <v>FRANZINE CARLO</v>
      </c>
    </row>
    <row r="184">
      <c r="A184" s="131">
        <f>IFERROR(__xludf.DUMMYFUNCTION("""COMPUTED_VALUE"""),183.0)</f>
        <v>183</v>
      </c>
      <c r="B184" s="131"/>
      <c r="C184" s="131">
        <f>IFERROR(__xludf.DUMMYFUNCTION("""COMPUTED_VALUE"""),167.0)</f>
        <v>167</v>
      </c>
      <c r="D184" s="131" t="b">
        <f>IFERROR(__xludf.DUMMYFUNCTION("""COMPUTED_VALUE"""),FALSE)</f>
        <v>0</v>
      </c>
      <c r="E184" s="107" t="str">
        <f>IFERROR(__xludf.DUMMYFUNCTION("""COMPUTED_VALUE"""),"FRONDA")</f>
        <v>FRONDA</v>
      </c>
      <c r="F184" s="107" t="str">
        <f>IFERROR(__xludf.DUMMYFUNCTION("""COMPUTED_VALUE"""),"ED")</f>
        <v>ED</v>
      </c>
    </row>
    <row r="185">
      <c r="A185" s="131">
        <f>IFERROR(__xludf.DUMMYFUNCTION("""COMPUTED_VALUE"""),184.0)</f>
        <v>184</v>
      </c>
      <c r="B185" s="131"/>
      <c r="C185" s="131">
        <f>IFERROR(__xludf.DUMMYFUNCTION("""COMPUTED_VALUE"""),167.0)</f>
        <v>167</v>
      </c>
      <c r="D185" s="131" t="b">
        <f>IFERROR(__xludf.DUMMYFUNCTION("""COMPUTED_VALUE"""),FALSE)</f>
        <v>0</v>
      </c>
      <c r="E185" s="107" t="str">
        <f>IFERROR(__xludf.DUMMYFUNCTION("""COMPUTED_VALUE"""),"GELICAME")</f>
        <v>GELICAME</v>
      </c>
      <c r="F185" s="107" t="str">
        <f>IFERROR(__xludf.DUMMYFUNCTION("""COMPUTED_VALUE"""),"ALJHUN")</f>
        <v>ALJHUN</v>
      </c>
    </row>
    <row r="186">
      <c r="A186" s="131">
        <f>IFERROR(__xludf.DUMMYFUNCTION("""COMPUTED_VALUE"""),185.0)</f>
        <v>185</v>
      </c>
      <c r="B186" s="131"/>
      <c r="C186" s="131">
        <f>IFERROR(__xludf.DUMMYFUNCTION("""COMPUTED_VALUE"""),167.0)</f>
        <v>167</v>
      </c>
      <c r="D186" s="131" t="b">
        <f>IFERROR(__xludf.DUMMYFUNCTION("""COMPUTED_VALUE"""),FALSE)</f>
        <v>0</v>
      </c>
      <c r="E186" s="107" t="str">
        <f>IFERROR(__xludf.DUMMYFUNCTION("""COMPUTED_VALUE"""),"LABAYNE")</f>
        <v>LABAYNE</v>
      </c>
      <c r="F186" s="107" t="str">
        <f>IFERROR(__xludf.DUMMYFUNCTION("""COMPUTED_VALUE"""),"JOSHUA")</f>
        <v>JOSHUA</v>
      </c>
    </row>
    <row r="187">
      <c r="A187" s="131">
        <f>IFERROR(__xludf.DUMMYFUNCTION("""COMPUTED_VALUE"""),186.0)</f>
        <v>186</v>
      </c>
      <c r="B187" s="131"/>
      <c r="C187" s="131">
        <f>IFERROR(__xludf.DUMMYFUNCTION("""COMPUTED_VALUE"""),167.0)</f>
        <v>167</v>
      </c>
      <c r="D187" s="131" t="b">
        <f>IFERROR(__xludf.DUMMYFUNCTION("""COMPUTED_VALUE"""),FALSE)</f>
        <v>0</v>
      </c>
      <c r="E187" s="107" t="str">
        <f>IFERROR(__xludf.DUMMYFUNCTION("""COMPUTED_VALUE"""),"LABAYNE")</f>
        <v>LABAYNE</v>
      </c>
      <c r="F187" s="107" t="str">
        <f>IFERROR(__xludf.DUMMYFUNCTION("""COMPUTED_VALUE"""),"MARK")</f>
        <v>MARK</v>
      </c>
    </row>
    <row r="188">
      <c r="A188" s="131">
        <f>IFERROR(__xludf.DUMMYFUNCTION("""COMPUTED_VALUE"""),187.0)</f>
        <v>187</v>
      </c>
      <c r="B188" s="131"/>
      <c r="C188" s="131">
        <f>IFERROR(__xludf.DUMMYFUNCTION("""COMPUTED_VALUE"""),167.0)</f>
        <v>167</v>
      </c>
      <c r="D188" s="131" t="b">
        <f>IFERROR(__xludf.DUMMYFUNCTION("""COMPUTED_VALUE"""),FALSE)</f>
        <v>0</v>
      </c>
      <c r="E188" s="107" t="str">
        <f>IFERROR(__xludf.DUMMYFUNCTION("""COMPUTED_VALUE"""),"LABAYNE")</f>
        <v>LABAYNE</v>
      </c>
      <c r="F188" s="107" t="str">
        <f>IFERROR(__xludf.DUMMYFUNCTION("""COMPUTED_VALUE"""),"JAMES")</f>
        <v>JAMES</v>
      </c>
    </row>
    <row r="189">
      <c r="A189" s="131">
        <f>IFERROR(__xludf.DUMMYFUNCTION("""COMPUTED_VALUE"""),188.0)</f>
        <v>188</v>
      </c>
      <c r="B189" s="131"/>
      <c r="C189" s="131">
        <f>IFERROR(__xludf.DUMMYFUNCTION("""COMPUTED_VALUE"""),167.0)</f>
        <v>167</v>
      </c>
      <c r="D189" s="131" t="b">
        <f>IFERROR(__xludf.DUMMYFUNCTION("""COMPUTED_VALUE"""),FALSE)</f>
        <v>0</v>
      </c>
      <c r="E189" s="107" t="str">
        <f>IFERROR(__xludf.DUMMYFUNCTION("""COMPUTED_VALUE"""),"LLORENTE")</f>
        <v>LLORENTE</v>
      </c>
      <c r="F189" s="107" t="str">
        <f>IFERROR(__xludf.DUMMYFUNCTION("""COMPUTED_VALUE"""),"MILLS")</f>
        <v>MILLS</v>
      </c>
    </row>
    <row r="190">
      <c r="A190" s="131">
        <f>IFERROR(__xludf.DUMMYFUNCTION("""COMPUTED_VALUE"""),189.0)</f>
        <v>189</v>
      </c>
      <c r="B190" s="131"/>
      <c r="C190" s="131">
        <f>IFERROR(__xludf.DUMMYFUNCTION("""COMPUTED_VALUE"""),167.0)</f>
        <v>167</v>
      </c>
      <c r="D190" s="131" t="b">
        <f>IFERROR(__xludf.DUMMYFUNCTION("""COMPUTED_VALUE"""),FALSE)</f>
        <v>0</v>
      </c>
      <c r="E190" s="107" t="str">
        <f>IFERROR(__xludf.DUMMYFUNCTION("""COMPUTED_VALUE"""),"MANUEL")</f>
        <v>MANUEL</v>
      </c>
      <c r="F190" s="107" t="str">
        <f>IFERROR(__xludf.DUMMYFUNCTION("""COMPUTED_VALUE"""),"JOHN MARK")</f>
        <v>JOHN MARK</v>
      </c>
    </row>
    <row r="191">
      <c r="A191" s="131">
        <f>IFERROR(__xludf.DUMMYFUNCTION("""COMPUTED_VALUE"""),190.0)</f>
        <v>190</v>
      </c>
      <c r="B191" s="131"/>
      <c r="C191" s="131">
        <f>IFERROR(__xludf.DUMMYFUNCTION("""COMPUTED_VALUE"""),167.0)</f>
        <v>167</v>
      </c>
      <c r="D191" s="131" t="b">
        <f>IFERROR(__xludf.DUMMYFUNCTION("""COMPUTED_VALUE"""),FALSE)</f>
        <v>0</v>
      </c>
      <c r="E191" s="107" t="str">
        <f>IFERROR(__xludf.DUMMYFUNCTION("""COMPUTED_VALUE"""),"MENDOZA")</f>
        <v>MENDOZA</v>
      </c>
      <c r="F191" s="107" t="str">
        <f>IFERROR(__xludf.DUMMYFUNCTION("""COMPUTED_VALUE"""),"JM")</f>
        <v>JM</v>
      </c>
    </row>
    <row r="192">
      <c r="A192" s="131">
        <f>IFERROR(__xludf.DUMMYFUNCTION("""COMPUTED_VALUE"""),191.0)</f>
        <v>191</v>
      </c>
      <c r="B192" s="131"/>
      <c r="C192" s="131">
        <f>IFERROR(__xludf.DUMMYFUNCTION("""COMPUTED_VALUE"""),167.0)</f>
        <v>167</v>
      </c>
      <c r="D192" s="131" t="b">
        <f>IFERROR(__xludf.DUMMYFUNCTION("""COMPUTED_VALUE"""),FALSE)</f>
        <v>0</v>
      </c>
      <c r="E192" s="107" t="str">
        <f>IFERROR(__xludf.DUMMYFUNCTION("""COMPUTED_VALUE"""),"MOLINA")</f>
        <v>MOLINA</v>
      </c>
      <c r="F192" s="107" t="str">
        <f>IFERROR(__xludf.DUMMYFUNCTION("""COMPUTED_VALUE"""),"ADRIAN")</f>
        <v>ADRIAN</v>
      </c>
    </row>
    <row r="193">
      <c r="A193" s="131">
        <f>IFERROR(__xludf.DUMMYFUNCTION("""COMPUTED_VALUE"""),192.0)</f>
        <v>192</v>
      </c>
      <c r="B193" s="131"/>
      <c r="C193" s="131">
        <f>IFERROR(__xludf.DUMMYFUNCTION("""COMPUTED_VALUE"""),167.0)</f>
        <v>167</v>
      </c>
      <c r="D193" s="131" t="b">
        <f>IFERROR(__xludf.DUMMYFUNCTION("""COMPUTED_VALUE"""),FALSE)</f>
        <v>0</v>
      </c>
      <c r="E193" s="107" t="str">
        <f>IFERROR(__xludf.DUMMYFUNCTION("""COMPUTED_VALUE"""),"MONTECER")</f>
        <v>MONTECER</v>
      </c>
      <c r="F193" s="107" t="str">
        <f>IFERROR(__xludf.DUMMYFUNCTION("""COMPUTED_VALUE"""),"RYAN")</f>
        <v>RYAN</v>
      </c>
    </row>
    <row r="194">
      <c r="A194" s="131">
        <f>IFERROR(__xludf.DUMMYFUNCTION("""COMPUTED_VALUE"""),193.0)</f>
        <v>193</v>
      </c>
      <c r="B194" s="131"/>
      <c r="C194" s="131">
        <f>IFERROR(__xludf.DUMMYFUNCTION("""COMPUTED_VALUE"""),167.0)</f>
        <v>167</v>
      </c>
      <c r="D194" s="131" t="b">
        <f>IFERROR(__xludf.DUMMYFUNCTION("""COMPUTED_VALUE"""),FALSE)</f>
        <v>0</v>
      </c>
      <c r="E194" s="107" t="str">
        <f>IFERROR(__xludf.DUMMYFUNCTION("""COMPUTED_VALUE"""),"MOSQUITO")</f>
        <v>MOSQUITO</v>
      </c>
      <c r="F194" s="107" t="str">
        <f>IFERROR(__xludf.DUMMYFUNCTION("""COMPUTED_VALUE"""),"JOHN MARK")</f>
        <v>JOHN MARK</v>
      </c>
    </row>
    <row r="195">
      <c r="A195" s="131">
        <f>IFERROR(__xludf.DUMMYFUNCTION("""COMPUTED_VALUE"""),194.0)</f>
        <v>194</v>
      </c>
      <c r="B195" s="131"/>
      <c r="C195" s="131">
        <f>IFERROR(__xludf.DUMMYFUNCTION("""COMPUTED_VALUE"""),167.0)</f>
        <v>167</v>
      </c>
      <c r="D195" s="131" t="b">
        <f>IFERROR(__xludf.DUMMYFUNCTION("""COMPUTED_VALUE"""),FALSE)</f>
        <v>0</v>
      </c>
      <c r="E195" s="107" t="str">
        <f>IFERROR(__xludf.DUMMYFUNCTION("""COMPUTED_VALUE"""),"PASCUAL")</f>
        <v>PASCUAL</v>
      </c>
      <c r="F195" s="107" t="str">
        <f>IFERROR(__xludf.DUMMYFUNCTION("""COMPUTED_VALUE"""),"KIOSKE")</f>
        <v>KIOSKE</v>
      </c>
    </row>
    <row r="196">
      <c r="A196" s="131">
        <f>IFERROR(__xludf.DUMMYFUNCTION("""COMPUTED_VALUE"""),195.0)</f>
        <v>195</v>
      </c>
      <c r="B196" s="131"/>
      <c r="C196" s="131">
        <f>IFERROR(__xludf.DUMMYFUNCTION("""COMPUTED_VALUE"""),167.0)</f>
        <v>167</v>
      </c>
      <c r="D196" s="131" t="b">
        <f>IFERROR(__xludf.DUMMYFUNCTION("""COMPUTED_VALUE"""),FALSE)</f>
        <v>0</v>
      </c>
      <c r="E196" s="107" t="str">
        <f>IFERROR(__xludf.DUMMYFUNCTION("""COMPUTED_VALUE"""),"PERALTA")</f>
        <v>PERALTA</v>
      </c>
      <c r="F196" s="107" t="str">
        <f>IFERROR(__xludf.DUMMYFUNCTION("""COMPUTED_VALUE"""),"MARION")</f>
        <v>MARION</v>
      </c>
    </row>
    <row r="197">
      <c r="A197" s="131">
        <f>IFERROR(__xludf.DUMMYFUNCTION("""COMPUTED_VALUE"""),196.0)</f>
        <v>196</v>
      </c>
      <c r="B197" s="131"/>
      <c r="C197" s="131">
        <f>IFERROR(__xludf.DUMMYFUNCTION("""COMPUTED_VALUE"""),167.0)</f>
        <v>167</v>
      </c>
      <c r="D197" s="131" t="b">
        <f>IFERROR(__xludf.DUMMYFUNCTION("""COMPUTED_VALUE"""),FALSE)</f>
        <v>0</v>
      </c>
      <c r="E197" s="107" t="str">
        <f>IFERROR(__xludf.DUMMYFUNCTION("""COMPUTED_VALUE"""),"RANOLA")</f>
        <v>RANOLA</v>
      </c>
      <c r="F197" s="107" t="str">
        <f>IFERROR(__xludf.DUMMYFUNCTION("""COMPUTED_VALUE"""),"JOHN GABRIELLE P.")</f>
        <v>JOHN GABRIELLE P.</v>
      </c>
    </row>
    <row r="198">
      <c r="A198" s="131">
        <f>IFERROR(__xludf.DUMMYFUNCTION("""COMPUTED_VALUE"""),197.0)</f>
        <v>197</v>
      </c>
      <c r="B198" s="131"/>
      <c r="C198" s="131">
        <f>IFERROR(__xludf.DUMMYFUNCTION("""COMPUTED_VALUE"""),167.0)</f>
        <v>167</v>
      </c>
      <c r="D198" s="131" t="b">
        <f>IFERROR(__xludf.DUMMYFUNCTION("""COMPUTED_VALUE"""),FALSE)</f>
        <v>0</v>
      </c>
      <c r="E198" s="107" t="str">
        <f>IFERROR(__xludf.DUMMYFUNCTION("""COMPUTED_VALUE"""),"REMOPALOS")</f>
        <v>REMOPALOS</v>
      </c>
      <c r="F198" s="107" t="str">
        <f>IFERROR(__xludf.DUMMYFUNCTION("""COMPUTED_VALUE"""),"ZION")</f>
        <v>ZION</v>
      </c>
    </row>
    <row r="199">
      <c r="A199" s="131">
        <f>IFERROR(__xludf.DUMMYFUNCTION("""COMPUTED_VALUE"""),198.0)</f>
        <v>198</v>
      </c>
      <c r="B199" s="131"/>
      <c r="C199" s="131">
        <f>IFERROR(__xludf.DUMMYFUNCTION("""COMPUTED_VALUE"""),167.0)</f>
        <v>167</v>
      </c>
      <c r="D199" s="131" t="b">
        <f>IFERROR(__xludf.DUMMYFUNCTION("""COMPUTED_VALUE"""),FALSE)</f>
        <v>0</v>
      </c>
      <c r="E199" s="107" t="str">
        <f>IFERROR(__xludf.DUMMYFUNCTION("""COMPUTED_VALUE"""),"ROSAL")</f>
        <v>ROSAL</v>
      </c>
      <c r="F199" s="107" t="str">
        <f>IFERROR(__xludf.DUMMYFUNCTION("""COMPUTED_VALUE"""),"CYRUS JOSEPH")</f>
        <v>CYRUS JOSEPH</v>
      </c>
    </row>
    <row r="200">
      <c r="A200" s="131">
        <f>IFERROR(__xludf.DUMMYFUNCTION("""COMPUTED_VALUE"""),199.0)</f>
        <v>199</v>
      </c>
      <c r="B200" s="131"/>
      <c r="C200" s="131">
        <f>IFERROR(__xludf.DUMMYFUNCTION("""COMPUTED_VALUE"""),167.0)</f>
        <v>167</v>
      </c>
      <c r="D200" s="131" t="b">
        <f>IFERROR(__xludf.DUMMYFUNCTION("""COMPUTED_VALUE"""),FALSE)</f>
        <v>0</v>
      </c>
      <c r="E200" s="107" t="str">
        <f>IFERROR(__xludf.DUMMYFUNCTION("""COMPUTED_VALUE"""),"SAMONTANES")</f>
        <v>SAMONTANES</v>
      </c>
      <c r="F200" s="107" t="str">
        <f>IFERROR(__xludf.DUMMYFUNCTION("""COMPUTED_VALUE"""),"DAVID")</f>
        <v>DAVID</v>
      </c>
    </row>
    <row r="201">
      <c r="A201" s="131">
        <f>IFERROR(__xludf.DUMMYFUNCTION("""COMPUTED_VALUE"""),200.0)</f>
        <v>200</v>
      </c>
      <c r="B201" s="131"/>
      <c r="C201" s="131">
        <f>IFERROR(__xludf.DUMMYFUNCTION("""COMPUTED_VALUE"""),167.0)</f>
        <v>167</v>
      </c>
      <c r="D201" s="131" t="b">
        <f>IFERROR(__xludf.DUMMYFUNCTION("""COMPUTED_VALUE"""),FALSE)</f>
        <v>0</v>
      </c>
      <c r="E201" s="107" t="str">
        <f>IFERROR(__xludf.DUMMYFUNCTION("""COMPUTED_VALUE"""),"SISON")</f>
        <v>SISON</v>
      </c>
      <c r="F201" s="107" t="str">
        <f>IFERROR(__xludf.DUMMYFUNCTION("""COMPUTED_VALUE"""),"RAVEN JAZZ")</f>
        <v>RAVEN JAZZ</v>
      </c>
    </row>
    <row r="202">
      <c r="A202" s="131">
        <f>IFERROR(__xludf.DUMMYFUNCTION("""COMPUTED_VALUE"""),201.0)</f>
        <v>201</v>
      </c>
      <c r="B202" s="131"/>
      <c r="C202" s="131">
        <f>IFERROR(__xludf.DUMMYFUNCTION("""COMPUTED_VALUE"""),167.0)</f>
        <v>167</v>
      </c>
      <c r="D202" s="131" t="b">
        <f>IFERROR(__xludf.DUMMYFUNCTION("""COMPUTED_VALUE"""),FALSE)</f>
        <v>0</v>
      </c>
      <c r="E202" s="107" t="str">
        <f>IFERROR(__xludf.DUMMYFUNCTION("""COMPUTED_VALUE"""),"SOMERA")</f>
        <v>SOMERA</v>
      </c>
      <c r="F202" s="107" t="str">
        <f>IFERROR(__xludf.DUMMYFUNCTION("""COMPUTED_VALUE"""),"MICHAEL")</f>
        <v>MICHAEL</v>
      </c>
    </row>
    <row r="203">
      <c r="A203" s="131">
        <f>IFERROR(__xludf.DUMMYFUNCTION("""COMPUTED_VALUE"""),202.0)</f>
        <v>202</v>
      </c>
      <c r="B203" s="131"/>
      <c r="C203" s="131">
        <f>IFERROR(__xludf.DUMMYFUNCTION("""COMPUTED_VALUE"""),167.0)</f>
        <v>167</v>
      </c>
      <c r="D203" s="131" t="b">
        <f>IFERROR(__xludf.DUMMYFUNCTION("""COMPUTED_VALUE"""),FALSE)</f>
        <v>0</v>
      </c>
      <c r="E203" s="107" t="str">
        <f>IFERROR(__xludf.DUMMYFUNCTION("""COMPUTED_VALUE"""),"TAMIDLES")</f>
        <v>TAMIDLES</v>
      </c>
      <c r="F203" s="107" t="str">
        <f>IFERROR(__xludf.DUMMYFUNCTION("""COMPUTED_VALUE"""),"KARL")</f>
        <v>KARL</v>
      </c>
    </row>
    <row r="204">
      <c r="A204" s="131">
        <f>IFERROR(__xludf.DUMMYFUNCTION("""COMPUTED_VALUE"""),203.0)</f>
        <v>203</v>
      </c>
      <c r="B204" s="131"/>
      <c r="C204" s="131">
        <f>IFERROR(__xludf.DUMMYFUNCTION("""COMPUTED_VALUE"""),167.0)</f>
        <v>167</v>
      </c>
      <c r="D204" s="131" t="b">
        <f>IFERROR(__xludf.DUMMYFUNCTION("""COMPUTED_VALUE"""),FALSE)</f>
        <v>0</v>
      </c>
      <c r="E204" s="107" t="str">
        <f>IFERROR(__xludf.DUMMYFUNCTION("""COMPUTED_VALUE"""),"TAN")</f>
        <v>TAN</v>
      </c>
      <c r="F204" s="107" t="str">
        <f>IFERROR(__xludf.DUMMYFUNCTION("""COMPUTED_VALUE"""),"RAMON")</f>
        <v>RAMON</v>
      </c>
    </row>
    <row r="205">
      <c r="A205" s="131">
        <f>IFERROR(__xludf.DUMMYFUNCTION("""COMPUTED_VALUE"""),204.0)</f>
        <v>204</v>
      </c>
      <c r="B205" s="131"/>
      <c r="C205" s="131">
        <f>IFERROR(__xludf.DUMMYFUNCTION("""COMPUTED_VALUE"""),167.0)</f>
        <v>167</v>
      </c>
      <c r="D205" s="131" t="b">
        <f>IFERROR(__xludf.DUMMYFUNCTION("""COMPUTED_VALUE"""),FALSE)</f>
        <v>0</v>
      </c>
      <c r="E205" s="116" t="str">
        <f>IFERROR(__xludf.DUMMYFUNCTION("""COMPUTED_VALUE"""),"TOLEDO")</f>
        <v>TOLEDO</v>
      </c>
      <c r="F205" s="107" t="str">
        <f>IFERROR(__xludf.DUMMYFUNCTION("""COMPUTED_VALUE"""),"ASZHER")</f>
        <v>ASZHER</v>
      </c>
    </row>
    <row r="206">
      <c r="A206" s="131">
        <f>IFERROR(__xludf.DUMMYFUNCTION("""COMPUTED_VALUE"""),205.0)</f>
        <v>205</v>
      </c>
      <c r="B206" s="131"/>
      <c r="C206" s="131">
        <f>IFERROR(__xludf.DUMMYFUNCTION("""COMPUTED_VALUE"""),167.0)</f>
        <v>167</v>
      </c>
      <c r="D206" s="131" t="b">
        <f>IFERROR(__xludf.DUMMYFUNCTION("""COMPUTED_VALUE"""),FALSE)</f>
        <v>0</v>
      </c>
      <c r="E206" s="107" t="str">
        <f>IFERROR(__xludf.DUMMYFUNCTION("""COMPUTED_VALUE"""),"TAMIDLES")</f>
        <v>TAMIDLES</v>
      </c>
      <c r="F206" s="107" t="str">
        <f>IFERROR(__xludf.DUMMYFUNCTION("""COMPUTED_VALUE"""),"ZHAIRON")</f>
        <v>ZHAIRON</v>
      </c>
    </row>
    <row r="207">
      <c r="A207" s="131">
        <f>IFERROR(__xludf.DUMMYFUNCTION("""COMPUTED_VALUE"""),206.0)</f>
        <v>206</v>
      </c>
      <c r="B207" s="131"/>
      <c r="C207" s="131">
        <f>IFERROR(__xludf.DUMMYFUNCTION("""COMPUTED_VALUE"""),167.0)</f>
        <v>167</v>
      </c>
      <c r="D207" s="131" t="b">
        <f>IFERROR(__xludf.DUMMYFUNCTION("""COMPUTED_VALUE"""),FALSE)</f>
        <v>0</v>
      </c>
      <c r="E207" s="107" t="str">
        <f>IFERROR(__xludf.DUMMYFUNCTION("""COMPUTED_VALUE"""),"VERTUDAZO")</f>
        <v>VERTUDAZO</v>
      </c>
      <c r="F207" s="107" t="str">
        <f>IFERROR(__xludf.DUMMYFUNCTION("""COMPUTED_VALUE"""),"KENNETH")</f>
        <v>KENNETH</v>
      </c>
    </row>
    <row r="208">
      <c r="A208" s="131">
        <f>IFERROR(__xludf.DUMMYFUNCTION("""COMPUTED_VALUE"""),207.0)</f>
        <v>207</v>
      </c>
      <c r="B208" s="131"/>
      <c r="C208" s="131">
        <f>IFERROR(__xludf.DUMMYFUNCTION("""COMPUTED_VALUE"""),167.0)</f>
        <v>167</v>
      </c>
      <c r="D208" s="131" t="b">
        <f>IFERROR(__xludf.DUMMYFUNCTION("""COMPUTED_VALUE"""),FALSE)</f>
        <v>0</v>
      </c>
      <c r="E208" s="107" t="str">
        <f>IFERROR(__xludf.DUMMYFUNCTION("""COMPUTED_VALUE"""),"VILLARUEL")</f>
        <v>VILLARUEL</v>
      </c>
      <c r="F208" s="107" t="str">
        <f>IFERROR(__xludf.DUMMYFUNCTION("""COMPUTED_VALUE"""),"KIAN")</f>
        <v>KIAN</v>
      </c>
    </row>
    <row r="209">
      <c r="A209" s="131">
        <f>IFERROR(__xludf.DUMMYFUNCTION("""COMPUTED_VALUE"""),208.0)</f>
        <v>208</v>
      </c>
      <c r="B209" s="131"/>
      <c r="C209" s="131">
        <f>IFERROR(__xludf.DUMMYFUNCTION("""COMPUTED_VALUE"""),167.0)</f>
        <v>167</v>
      </c>
      <c r="D209" s="131" t="b">
        <f>IFERROR(__xludf.DUMMYFUNCTION("""COMPUTED_VALUE"""),FALSE)</f>
        <v>0</v>
      </c>
      <c r="E209" s="107" t="str">
        <f>IFERROR(__xludf.DUMMYFUNCTION("""COMPUTED_VALUE"""),"VILLARUEL")</f>
        <v>VILLARUEL</v>
      </c>
      <c r="F209" s="107" t="str">
        <f>IFERROR(__xludf.DUMMYFUNCTION("""COMPUTED_VALUE"""),"KYLE")</f>
        <v>KYLE</v>
      </c>
    </row>
    <row r="210">
      <c r="A210" s="131">
        <f>IFERROR(__xludf.DUMMYFUNCTION("""COMPUTED_VALUE"""),209.0)</f>
        <v>209</v>
      </c>
      <c r="B210" s="131"/>
      <c r="C210" s="131">
        <f>IFERROR(__xludf.DUMMYFUNCTION("""COMPUTED_VALUE"""),167.0)</f>
        <v>167</v>
      </c>
      <c r="D210" s="131" t="b">
        <f>IFERROR(__xludf.DUMMYFUNCTION("""COMPUTED_VALUE"""),FALSE)</f>
        <v>0</v>
      </c>
      <c r="E210" s="118" t="str">
        <f>IFERROR(__xludf.DUMMYFUNCTION("""COMPUTED_VALUE"""),"PADLAN")</f>
        <v>PADLAN</v>
      </c>
      <c r="F210" s="107" t="str">
        <f>IFERROR(__xludf.DUMMYFUNCTION("""COMPUTED_VALUE"""),"STEPHEN")</f>
        <v>STEPHEN</v>
      </c>
    </row>
    <row r="211">
      <c r="A211" s="131">
        <f>IFERROR(__xludf.DUMMYFUNCTION("""COMPUTED_VALUE"""),210.0)</f>
        <v>210</v>
      </c>
      <c r="B211" s="131"/>
      <c r="C211" s="131">
        <f>IFERROR(__xludf.DUMMYFUNCTION("""COMPUTED_VALUE"""),167.0)</f>
        <v>167</v>
      </c>
      <c r="D211" s="131" t="b">
        <f>IFERROR(__xludf.DUMMYFUNCTION("""COMPUTED_VALUE"""),FALSE)</f>
        <v>0</v>
      </c>
      <c r="E211" s="118"/>
      <c r="F211" s="107" t="str">
        <f>IFERROR(__xludf.DUMMYFUNCTION("""COMPUTED_VALUE"""),"SIMON")</f>
        <v>SIMON</v>
      </c>
    </row>
    <row r="212">
      <c r="A212" s="131">
        <f>IFERROR(__xludf.DUMMYFUNCTION("""COMPUTED_VALUE"""),211.0)</f>
        <v>211</v>
      </c>
      <c r="B212" s="131"/>
      <c r="C212" s="131">
        <f>IFERROR(__xludf.DUMMYFUNCTION("""COMPUTED_VALUE"""),167.0)</f>
        <v>167</v>
      </c>
      <c r="D212" s="131" t="b">
        <f>IFERROR(__xludf.DUMMYFUNCTION("""COMPUTED_VALUE"""),FALSE)</f>
        <v>0</v>
      </c>
      <c r="E212" s="118"/>
      <c r="F212" s="107" t="str">
        <f>IFERROR(__xludf.DUMMYFUNCTION("""COMPUTED_VALUE"""),"NICO")</f>
        <v>NICO</v>
      </c>
    </row>
    <row r="213">
      <c r="A213" s="131">
        <f>IFERROR(__xludf.DUMMYFUNCTION("""COMPUTED_VALUE"""),212.0)</f>
        <v>212</v>
      </c>
      <c r="B213" s="131"/>
      <c r="C213" s="131">
        <f>IFERROR(__xludf.DUMMYFUNCTION("""COMPUTED_VALUE"""),167.0)</f>
        <v>167</v>
      </c>
      <c r="D213" s="131" t="b">
        <f>IFERROR(__xludf.DUMMYFUNCTION("""COMPUTED_VALUE"""),FALSE)</f>
        <v>0</v>
      </c>
      <c r="E213" s="118"/>
      <c r="F213" s="107" t="str">
        <f>IFERROR(__xludf.DUMMYFUNCTION("""COMPUTED_VALUE"""),"JERVISH")</f>
        <v>JERVISH</v>
      </c>
    </row>
    <row r="214">
      <c r="A214" s="131">
        <f>IFERROR(__xludf.DUMMYFUNCTION("""COMPUTED_VALUE"""),213.0)</f>
        <v>213</v>
      </c>
      <c r="B214" s="131"/>
      <c r="C214" s="131">
        <f>IFERROR(__xludf.DUMMYFUNCTION("""COMPUTED_VALUE"""),23.0)</f>
        <v>23</v>
      </c>
      <c r="D214" s="131" t="b">
        <f>IFERROR(__xludf.DUMMYFUNCTION("""COMPUTED_VALUE"""),TRUE)</f>
        <v>1</v>
      </c>
      <c r="E214" s="105" t="str">
        <f>IFERROR(__xludf.DUMMYFUNCTION("""COMPUTED_VALUE"""),"UDAUNDO")</f>
        <v>UDAUNDO</v>
      </c>
      <c r="F214" s="105" t="str">
        <f>IFERROR(__xludf.DUMMYFUNCTION("""COMPUTED_VALUE"""),"RINOA MAE")</f>
        <v>RINOA MAE</v>
      </c>
    </row>
    <row r="215">
      <c r="A215" s="131">
        <f>IFERROR(__xludf.DUMMYFUNCTION("""COMPUTED_VALUE"""),214.0)</f>
        <v>214</v>
      </c>
      <c r="B215" s="131"/>
      <c r="C215" s="131">
        <f>IFERROR(__xludf.DUMMYFUNCTION("""COMPUTED_VALUE"""),23.0)</f>
        <v>23</v>
      </c>
      <c r="D215" s="131" t="b">
        <f>IFERROR(__xludf.DUMMYFUNCTION("""COMPUTED_VALUE"""),FALSE)</f>
        <v>0</v>
      </c>
      <c r="E215" s="107" t="str">
        <f>IFERROR(__xludf.DUMMYFUNCTION("""COMPUTED_VALUE"""),"CASERO")</f>
        <v>CASERO</v>
      </c>
      <c r="F215" s="107" t="str">
        <f>IFERROR(__xludf.DUMMYFUNCTION("""COMPUTED_VALUE"""),"AALIYAH")</f>
        <v>AALIYAH</v>
      </c>
    </row>
    <row r="216">
      <c r="A216" s="131">
        <f>IFERROR(__xludf.DUMMYFUNCTION("""COMPUTED_VALUE"""),215.0)</f>
        <v>215</v>
      </c>
      <c r="B216" s="131"/>
      <c r="C216" s="131">
        <f>IFERROR(__xludf.DUMMYFUNCTION("""COMPUTED_VALUE"""),23.0)</f>
        <v>23</v>
      </c>
      <c r="D216" s="131" t="b">
        <f>IFERROR(__xludf.DUMMYFUNCTION("""COMPUTED_VALUE"""),FALSE)</f>
        <v>0</v>
      </c>
      <c r="E216" s="107" t="str">
        <f>IFERROR(__xludf.DUMMYFUNCTION("""COMPUTED_VALUE"""),"CELASES")</f>
        <v>CELASES</v>
      </c>
      <c r="F216" s="107" t="str">
        <f>IFERROR(__xludf.DUMMYFUNCTION("""COMPUTED_VALUE"""),"SOFIA")</f>
        <v>SOFIA</v>
      </c>
    </row>
    <row r="217">
      <c r="A217" s="131">
        <f>IFERROR(__xludf.DUMMYFUNCTION("""COMPUTED_VALUE"""),216.0)</f>
        <v>216</v>
      </c>
      <c r="B217" s="131"/>
      <c r="C217" s="131">
        <f>IFERROR(__xludf.DUMMYFUNCTION("""COMPUTED_VALUE"""),23.0)</f>
        <v>23</v>
      </c>
      <c r="D217" s="131" t="b">
        <f>IFERROR(__xludf.DUMMYFUNCTION("""COMPUTED_VALUE"""),FALSE)</f>
        <v>0</v>
      </c>
      <c r="E217" s="107" t="str">
        <f>IFERROR(__xludf.DUMMYFUNCTION("""COMPUTED_VALUE"""),"LACONSAY")</f>
        <v>LACONSAY</v>
      </c>
      <c r="F217" s="107" t="str">
        <f>IFERROR(__xludf.DUMMYFUNCTION("""COMPUTED_VALUE"""),"MAIYA")</f>
        <v>MAIYA</v>
      </c>
    </row>
    <row r="218">
      <c r="A218" s="131">
        <f>IFERROR(__xludf.DUMMYFUNCTION("""COMPUTED_VALUE"""),217.0)</f>
        <v>217</v>
      </c>
      <c r="B218" s="131"/>
      <c r="C218" s="131">
        <f>IFERROR(__xludf.DUMMYFUNCTION("""COMPUTED_VALUE"""),23.0)</f>
        <v>23</v>
      </c>
      <c r="D218" s="131" t="b">
        <f>IFERROR(__xludf.DUMMYFUNCTION("""COMPUTED_VALUE"""),FALSE)</f>
        <v>0</v>
      </c>
      <c r="E218" s="107" t="str">
        <f>IFERROR(__xludf.DUMMYFUNCTION("""COMPUTED_VALUE"""),"MADLANGAWA")</f>
        <v>MADLANGAWA</v>
      </c>
      <c r="F218" s="107" t="str">
        <f>IFERROR(__xludf.DUMMYFUNCTION("""COMPUTED_VALUE"""),"INGRID")</f>
        <v>INGRID</v>
      </c>
    </row>
    <row r="219">
      <c r="A219" s="131">
        <f>IFERROR(__xludf.DUMMYFUNCTION("""COMPUTED_VALUE"""),218.0)</f>
        <v>218</v>
      </c>
      <c r="B219" s="131"/>
      <c r="C219" s="131">
        <f>IFERROR(__xludf.DUMMYFUNCTION("""COMPUTED_VALUE"""),23.0)</f>
        <v>23</v>
      </c>
      <c r="D219" s="131" t="b">
        <f>IFERROR(__xludf.DUMMYFUNCTION("""COMPUTED_VALUE"""),FALSE)</f>
        <v>0</v>
      </c>
      <c r="E219" s="107" t="str">
        <f>IFERROR(__xludf.DUMMYFUNCTION("""COMPUTED_VALUE"""),"MALAGOTNOT")</f>
        <v>MALAGOTNOT</v>
      </c>
      <c r="F219" s="107" t="str">
        <f>IFERROR(__xludf.DUMMYFUNCTION("""COMPUTED_VALUE"""),"PHOEBE")</f>
        <v>PHOEBE</v>
      </c>
    </row>
    <row r="220">
      <c r="A220" s="131">
        <f>IFERROR(__xludf.DUMMYFUNCTION("""COMPUTED_VALUE"""),219.0)</f>
        <v>219</v>
      </c>
      <c r="B220" s="131"/>
      <c r="C220" s="131">
        <f>IFERROR(__xludf.DUMMYFUNCTION("""COMPUTED_VALUE"""),23.0)</f>
        <v>23</v>
      </c>
      <c r="D220" s="131" t="b">
        <f>IFERROR(__xludf.DUMMYFUNCTION("""COMPUTED_VALUE"""),FALSE)</f>
        <v>0</v>
      </c>
      <c r="E220" s="107" t="str">
        <f>IFERROR(__xludf.DUMMYFUNCTION("""COMPUTED_VALUE"""),"MALOLOY-ON")</f>
        <v>MALOLOY-ON</v>
      </c>
      <c r="F220" s="107" t="str">
        <f>IFERROR(__xludf.DUMMYFUNCTION("""COMPUTED_VALUE"""),"EUNICE")</f>
        <v>EUNICE</v>
      </c>
    </row>
    <row r="221">
      <c r="A221" s="131">
        <f>IFERROR(__xludf.DUMMYFUNCTION("""COMPUTED_VALUE"""),220.0)</f>
        <v>220</v>
      </c>
      <c r="B221" s="131"/>
      <c r="C221" s="131">
        <f>IFERROR(__xludf.DUMMYFUNCTION("""COMPUTED_VALUE"""),23.0)</f>
        <v>23</v>
      </c>
      <c r="D221" s="131" t="b">
        <f>IFERROR(__xludf.DUMMYFUNCTION("""COMPUTED_VALUE"""),FALSE)</f>
        <v>0</v>
      </c>
      <c r="E221" s="107" t="str">
        <f>IFERROR(__xludf.DUMMYFUNCTION("""COMPUTED_VALUE"""),"OBASAN")</f>
        <v>OBASAN</v>
      </c>
      <c r="F221" s="107" t="str">
        <f>IFERROR(__xludf.DUMMYFUNCTION("""COMPUTED_VALUE"""),"AUDREY")</f>
        <v>AUDREY</v>
      </c>
    </row>
    <row r="222">
      <c r="A222" s="131">
        <f>IFERROR(__xludf.DUMMYFUNCTION("""COMPUTED_VALUE"""),221.0)</f>
        <v>221</v>
      </c>
      <c r="B222" s="131"/>
      <c r="C222" s="131">
        <f>IFERROR(__xludf.DUMMYFUNCTION("""COMPUTED_VALUE"""),23.0)</f>
        <v>23</v>
      </c>
      <c r="D222" s="131" t="b">
        <f>IFERROR(__xludf.DUMMYFUNCTION("""COMPUTED_VALUE"""),FALSE)</f>
        <v>0</v>
      </c>
      <c r="E222" s="107" t="str">
        <f>IFERROR(__xludf.DUMMYFUNCTION("""COMPUTED_VALUE"""),"OBASAN")</f>
        <v>OBASAN</v>
      </c>
      <c r="F222" s="107" t="str">
        <f>IFERROR(__xludf.DUMMYFUNCTION("""COMPUTED_VALUE"""),"ACEZZY")</f>
        <v>ACEZZY</v>
      </c>
    </row>
    <row r="223">
      <c r="A223" s="131">
        <f>IFERROR(__xludf.DUMMYFUNCTION("""COMPUTED_VALUE"""),222.0)</f>
        <v>222</v>
      </c>
      <c r="B223" s="131"/>
      <c r="C223" s="131">
        <f>IFERROR(__xludf.DUMMYFUNCTION("""COMPUTED_VALUE"""),23.0)</f>
        <v>23</v>
      </c>
      <c r="D223" s="131" t="b">
        <f>IFERROR(__xludf.DUMMYFUNCTION("""COMPUTED_VALUE"""),FALSE)</f>
        <v>0</v>
      </c>
      <c r="E223" s="107" t="str">
        <f>IFERROR(__xludf.DUMMYFUNCTION("""COMPUTED_VALUE"""),"OBASAN")</f>
        <v>OBASAN</v>
      </c>
      <c r="F223" s="107" t="str">
        <f>IFERROR(__xludf.DUMMYFUNCTION("""COMPUTED_VALUE"""),"AYESHA")</f>
        <v>AYESHA</v>
      </c>
    </row>
    <row r="224">
      <c r="A224" s="131">
        <f>IFERROR(__xludf.DUMMYFUNCTION("""COMPUTED_VALUE"""),223.0)</f>
        <v>223</v>
      </c>
      <c r="B224" s="131"/>
      <c r="C224" s="131">
        <f>IFERROR(__xludf.DUMMYFUNCTION("""COMPUTED_VALUE"""),23.0)</f>
        <v>23</v>
      </c>
      <c r="D224" s="131" t="b">
        <f>IFERROR(__xludf.DUMMYFUNCTION("""COMPUTED_VALUE"""),FALSE)</f>
        <v>0</v>
      </c>
      <c r="E224" s="107" t="str">
        <f>IFERROR(__xludf.DUMMYFUNCTION("""COMPUTED_VALUE"""),"PACSON")</f>
        <v>PACSON</v>
      </c>
      <c r="F224" s="107" t="str">
        <f>IFERROR(__xludf.DUMMYFUNCTION("""COMPUTED_VALUE"""),"KAYTE")</f>
        <v>KAYTE</v>
      </c>
    </row>
    <row r="225">
      <c r="A225" s="131">
        <f>IFERROR(__xludf.DUMMYFUNCTION("""COMPUTED_VALUE"""),224.0)</f>
        <v>224</v>
      </c>
      <c r="B225" s="131"/>
      <c r="C225" s="131">
        <f>IFERROR(__xludf.DUMMYFUNCTION("""COMPUTED_VALUE"""),23.0)</f>
        <v>23</v>
      </c>
      <c r="D225" s="131" t="b">
        <f>IFERROR(__xludf.DUMMYFUNCTION("""COMPUTED_VALUE"""),FALSE)</f>
        <v>0</v>
      </c>
      <c r="E225" s="107" t="str">
        <f>IFERROR(__xludf.DUMMYFUNCTION("""COMPUTED_VALUE"""),"PACSON")</f>
        <v>PACSON</v>
      </c>
      <c r="F225" s="107" t="str">
        <f>IFERROR(__xludf.DUMMYFUNCTION("""COMPUTED_VALUE"""),"MICAELLA")</f>
        <v>MICAELLA</v>
      </c>
    </row>
    <row r="226">
      <c r="A226" s="131">
        <f>IFERROR(__xludf.DUMMYFUNCTION("""COMPUTED_VALUE"""),225.0)</f>
        <v>225</v>
      </c>
      <c r="B226" s="131"/>
      <c r="C226" s="131">
        <f>IFERROR(__xludf.DUMMYFUNCTION("""COMPUTED_VALUE"""),23.0)</f>
        <v>23</v>
      </c>
      <c r="D226" s="131" t="b">
        <f>IFERROR(__xludf.DUMMYFUNCTION("""COMPUTED_VALUE"""),FALSE)</f>
        <v>0</v>
      </c>
      <c r="E226" s="107" t="str">
        <f>IFERROR(__xludf.DUMMYFUNCTION("""COMPUTED_VALUE"""),"RETAMAR")</f>
        <v>RETAMAR</v>
      </c>
      <c r="F226" s="107" t="str">
        <f>IFERROR(__xludf.DUMMYFUNCTION("""COMPUTED_VALUE"""),"JASMINE")</f>
        <v>JASMINE</v>
      </c>
    </row>
    <row r="227">
      <c r="A227" s="131">
        <f>IFERROR(__xludf.DUMMYFUNCTION("""COMPUTED_VALUE"""),226.0)</f>
        <v>226</v>
      </c>
      <c r="B227" s="131"/>
      <c r="C227" s="131">
        <f>IFERROR(__xludf.DUMMYFUNCTION("""COMPUTED_VALUE"""),23.0)</f>
        <v>23</v>
      </c>
      <c r="D227" s="131" t="b">
        <f>IFERROR(__xludf.DUMMYFUNCTION("""COMPUTED_VALUE"""),FALSE)</f>
        <v>0</v>
      </c>
      <c r="E227" s="107" t="str">
        <f>IFERROR(__xludf.DUMMYFUNCTION("""COMPUTED_VALUE"""),"ROGACION")</f>
        <v>ROGACION</v>
      </c>
      <c r="F227" s="107" t="str">
        <f>IFERROR(__xludf.DUMMYFUNCTION("""COMPUTED_VALUE"""),"LYKA")</f>
        <v>LYKA</v>
      </c>
    </row>
    <row r="228">
      <c r="A228" s="131">
        <f>IFERROR(__xludf.DUMMYFUNCTION("""COMPUTED_VALUE"""),227.0)</f>
        <v>227</v>
      </c>
      <c r="B228" s="131"/>
      <c r="C228" s="131">
        <f>IFERROR(__xludf.DUMMYFUNCTION("""COMPUTED_VALUE"""),23.0)</f>
        <v>23</v>
      </c>
      <c r="D228" s="131" t="b">
        <f>IFERROR(__xludf.DUMMYFUNCTION("""COMPUTED_VALUE"""),FALSE)</f>
        <v>0</v>
      </c>
      <c r="E228" s="107" t="str">
        <f>IFERROR(__xludf.DUMMYFUNCTION("""COMPUTED_VALUE"""),"TINGSON")</f>
        <v>TINGSON</v>
      </c>
      <c r="F228" s="107" t="str">
        <f>IFERROR(__xludf.DUMMYFUNCTION("""COMPUTED_VALUE"""),"JANELLE")</f>
        <v>JANELLE</v>
      </c>
    </row>
    <row r="229">
      <c r="A229" s="131">
        <f>IFERROR(__xludf.DUMMYFUNCTION("""COMPUTED_VALUE"""),228.0)</f>
        <v>228</v>
      </c>
      <c r="B229" s="131"/>
      <c r="C229" s="131">
        <f>IFERROR(__xludf.DUMMYFUNCTION("""COMPUTED_VALUE"""),23.0)</f>
        <v>23</v>
      </c>
      <c r="D229" s="131" t="b">
        <f>IFERROR(__xludf.DUMMYFUNCTION("""COMPUTED_VALUE"""),FALSE)</f>
        <v>0</v>
      </c>
      <c r="E229" s="107" t="str">
        <f>IFERROR(__xludf.DUMMYFUNCTION("""COMPUTED_VALUE"""),"TOLEDO")</f>
        <v>TOLEDO</v>
      </c>
      <c r="F229" s="107" t="str">
        <f>IFERROR(__xludf.DUMMYFUNCTION("""COMPUTED_VALUE"""),"AKIZSAH")</f>
        <v>AKIZSAH</v>
      </c>
    </row>
    <row r="230">
      <c r="A230" s="131">
        <f>IFERROR(__xludf.DUMMYFUNCTION("""COMPUTED_VALUE"""),229.0)</f>
        <v>229</v>
      </c>
      <c r="B230" s="131"/>
      <c r="C230" s="131">
        <f>IFERROR(__xludf.DUMMYFUNCTION("""COMPUTED_VALUE"""),23.0)</f>
        <v>23</v>
      </c>
      <c r="D230" s="131" t="b">
        <f>IFERROR(__xludf.DUMMYFUNCTION("""COMPUTED_VALUE"""),FALSE)</f>
        <v>0</v>
      </c>
      <c r="E230" s="107" t="str">
        <f>IFERROR(__xludf.DUMMYFUNCTION("""COMPUTED_VALUE"""),"UDAUNDO")</f>
        <v>UDAUNDO</v>
      </c>
      <c r="F230" s="107" t="str">
        <f>IFERROR(__xludf.DUMMYFUNCTION("""COMPUTED_VALUE"""),"ELLA")</f>
        <v>ELLA</v>
      </c>
    </row>
    <row r="231">
      <c r="A231" s="131">
        <f>IFERROR(__xludf.DUMMYFUNCTION("""COMPUTED_VALUE"""),230.0)</f>
        <v>230</v>
      </c>
      <c r="B231" s="131"/>
      <c r="C231" s="131">
        <f>IFERROR(__xludf.DUMMYFUNCTION("""COMPUTED_VALUE"""),1.0)</f>
        <v>1</v>
      </c>
      <c r="D231" s="131" t="b">
        <f>IFERROR(__xludf.DUMMYFUNCTION("""COMPUTED_VALUE"""),FALSE)</f>
        <v>0</v>
      </c>
      <c r="E231" s="131" t="str">
        <f>IFERROR(__xludf.DUMMYFUNCTION("""COMPUTED_VALUE"""),"ROMUALDO")</f>
        <v>ROMUALDO</v>
      </c>
      <c r="F231" s="131" t="str">
        <f>IFERROR(__xludf.DUMMYFUNCTION("""COMPUTED_VALUE"""),"AC")</f>
        <v>AC</v>
      </c>
    </row>
    <row r="232">
      <c r="A232" s="131">
        <f>IFERROR(__xludf.DUMMYFUNCTION("""COMPUTED_VALUE"""),231.0)</f>
        <v>231</v>
      </c>
      <c r="B232" s="131"/>
      <c r="C232" s="131">
        <f>IFERROR(__xludf.DUMMYFUNCTION("""COMPUTED_VALUE"""),1.0)</f>
        <v>1</v>
      </c>
      <c r="D232" s="131" t="b">
        <f>IFERROR(__xludf.DUMMYFUNCTION("""COMPUTED_VALUE"""),FALSE)</f>
        <v>0</v>
      </c>
      <c r="E232" s="131" t="str">
        <f>IFERROR(__xludf.DUMMYFUNCTION("""COMPUTED_VALUE"""),"SEBASTIAN")</f>
        <v>SEBASTIAN</v>
      </c>
      <c r="F232" s="131" t="str">
        <f>IFERROR(__xludf.DUMMYFUNCTION("""COMPUTED_VALUE"""),"NEHEMIAH")</f>
        <v>NEHEMIAH</v>
      </c>
    </row>
    <row r="233">
      <c r="A233" s="131">
        <f>IFERROR(__xludf.DUMMYFUNCTION("""COMPUTED_VALUE"""),232.0)</f>
        <v>232</v>
      </c>
      <c r="B233" s="131"/>
      <c r="C233" s="131">
        <f>IFERROR(__xludf.DUMMYFUNCTION("""COMPUTED_VALUE"""),1.0)</f>
        <v>1</v>
      </c>
      <c r="D233" s="131" t="b">
        <f>IFERROR(__xludf.DUMMYFUNCTION("""COMPUTED_VALUE"""),FALSE)</f>
        <v>0</v>
      </c>
      <c r="E233" s="131" t="str">
        <f>IFERROR(__xludf.DUMMYFUNCTION("""COMPUTED_VALUE"""),"GINONGALA")</f>
        <v>GINONGALA</v>
      </c>
      <c r="F233" s="131" t="str">
        <f>IFERROR(__xludf.DUMMYFUNCTION("""COMPUTED_VALUE"""),"HANNAH MAE")</f>
        <v>HANNAH MAE</v>
      </c>
    </row>
    <row r="234">
      <c r="A234" s="131">
        <f>IFERROR(__xludf.DUMMYFUNCTION("""COMPUTED_VALUE"""),233.0)</f>
        <v>233</v>
      </c>
      <c r="B234" s="131"/>
      <c r="C234" s="131">
        <f>IFERROR(__xludf.DUMMYFUNCTION("""COMPUTED_VALUE"""),76.0)</f>
        <v>76</v>
      </c>
      <c r="D234" s="131" t="b">
        <f>IFERROR(__xludf.DUMMYFUNCTION("""COMPUTED_VALUE"""),FALSE)</f>
        <v>0</v>
      </c>
      <c r="E234" s="131" t="str">
        <f>IFERROR(__xludf.DUMMYFUNCTION("""COMPUTED_VALUE"""),"NIONES")</f>
        <v>NIONES</v>
      </c>
      <c r="F234" s="131" t="str">
        <f>IFERROR(__xludf.DUMMYFUNCTION("""COMPUTED_VALUE"""),"LOUIS")</f>
        <v>LOUIS</v>
      </c>
    </row>
    <row r="235">
      <c r="A235" s="131">
        <f>IFERROR(__xludf.DUMMYFUNCTION("""COMPUTED_VALUE"""),234.0)</f>
        <v>234</v>
      </c>
      <c r="B235" s="131"/>
      <c r="C235" s="131">
        <f>IFERROR(__xludf.DUMMYFUNCTION("""COMPUTED_VALUE"""),76.0)</f>
        <v>76</v>
      </c>
      <c r="D235" s="131" t="b">
        <f>IFERROR(__xludf.DUMMYFUNCTION("""COMPUTED_VALUE"""),FALSE)</f>
        <v>0</v>
      </c>
      <c r="E235" s="131" t="str">
        <f>IFERROR(__xludf.DUMMYFUNCTION("""COMPUTED_VALUE"""),"ACA")</f>
        <v>ACA</v>
      </c>
      <c r="F235" s="131" t="str">
        <f>IFERROR(__xludf.DUMMYFUNCTION("""COMPUTED_VALUE"""),"ELIJAH")</f>
        <v>ELIJAH</v>
      </c>
    </row>
    <row r="236">
      <c r="A236" s="131">
        <f>IFERROR(__xludf.DUMMYFUNCTION("""COMPUTED_VALUE"""),235.0)</f>
        <v>235</v>
      </c>
      <c r="B236" s="131"/>
      <c r="C236" s="131">
        <f>IFERROR(__xludf.DUMMYFUNCTION("""COMPUTED_VALUE"""),120.0)</f>
        <v>120</v>
      </c>
      <c r="D236" s="131" t="b">
        <f>IFERROR(__xludf.DUMMYFUNCTION("""COMPUTED_VALUE"""),FALSE)</f>
        <v>0</v>
      </c>
      <c r="E236" s="131" t="str">
        <f>IFERROR(__xludf.DUMMYFUNCTION("""COMPUTED_VALUE"""),"CERBETO")</f>
        <v>CERBETO</v>
      </c>
      <c r="F236" s="131" t="str">
        <f>IFERROR(__xludf.DUMMYFUNCTION("""COMPUTED_VALUE"""),"AIVANNE")</f>
        <v>AIVANNE</v>
      </c>
    </row>
    <row r="237">
      <c r="A237" s="131">
        <f>IFERROR(__xludf.DUMMYFUNCTION("""COMPUTED_VALUE"""),236.0)</f>
        <v>236</v>
      </c>
      <c r="B237" s="131"/>
      <c r="C237" s="131">
        <f>IFERROR(__xludf.DUMMYFUNCTION("""COMPUTED_VALUE"""),120.0)</f>
        <v>120</v>
      </c>
      <c r="D237" s="131" t="b">
        <f>IFERROR(__xludf.DUMMYFUNCTION("""COMPUTED_VALUE"""),FALSE)</f>
        <v>0</v>
      </c>
      <c r="E237" s="131" t="str">
        <f>IFERROR(__xludf.DUMMYFUNCTION("""COMPUTED_VALUE"""),"PARAZO")</f>
        <v>PARAZO</v>
      </c>
      <c r="F237" s="131" t="str">
        <f>IFERROR(__xludf.DUMMYFUNCTION("""COMPUTED_VALUE"""),"CJ")</f>
        <v>CJ</v>
      </c>
    </row>
    <row r="238">
      <c r="A238" s="131">
        <f>IFERROR(__xludf.DUMMYFUNCTION("""COMPUTED_VALUE"""),237.0)</f>
        <v>237</v>
      </c>
      <c r="B238" s="131"/>
      <c r="C238" s="131">
        <f>IFERROR(__xludf.DUMMYFUNCTION("""COMPUTED_VALUE"""),120.0)</f>
        <v>120</v>
      </c>
      <c r="D238" s="131" t="b">
        <f>IFERROR(__xludf.DUMMYFUNCTION("""COMPUTED_VALUE"""),FALSE)</f>
        <v>0</v>
      </c>
      <c r="E238" s="131" t="str">
        <f>IFERROR(__xludf.DUMMYFUNCTION("""COMPUTED_VALUE"""),"AWA-AW")</f>
        <v>AWA-AW</v>
      </c>
      <c r="F238" s="131" t="str">
        <f>IFERROR(__xludf.DUMMYFUNCTION("""COMPUTED_VALUE"""),"CARL")</f>
        <v>CARL</v>
      </c>
    </row>
    <row r="239">
      <c r="A239" s="131">
        <f>IFERROR(__xludf.DUMMYFUNCTION("""COMPUTED_VALUE"""),238.0)</f>
        <v>238</v>
      </c>
      <c r="B239" s="131"/>
      <c r="C239" s="131">
        <f>IFERROR(__xludf.DUMMYFUNCTION("""COMPUTED_VALUE"""),23.0)</f>
        <v>23</v>
      </c>
      <c r="D239" s="131" t="b">
        <f>IFERROR(__xludf.DUMMYFUNCTION("""COMPUTED_VALUE"""),FALSE)</f>
        <v>0</v>
      </c>
      <c r="E239" s="131" t="str">
        <f>IFERROR(__xludf.DUMMYFUNCTION("""COMPUTED_VALUE"""),"ALAYON")</f>
        <v>ALAYON</v>
      </c>
      <c r="F239" s="131" t="str">
        <f>IFERROR(__xludf.DUMMYFUNCTION("""COMPUTED_VALUE"""),"PATRICIA")</f>
        <v>PATRICIA</v>
      </c>
    </row>
    <row r="240">
      <c r="A240" s="131">
        <f>IFERROR(__xludf.DUMMYFUNCTION("""COMPUTED_VALUE"""),239.0)</f>
        <v>239</v>
      </c>
      <c r="B240" s="131"/>
      <c r="C240" s="131">
        <f>IFERROR(__xludf.DUMMYFUNCTION("""COMPUTED_VALUE"""),23.0)</f>
        <v>23</v>
      </c>
      <c r="D240" s="131" t="b">
        <f>IFERROR(__xludf.DUMMYFUNCTION("""COMPUTED_VALUE"""),FALSE)</f>
        <v>0</v>
      </c>
      <c r="E240" s="131" t="str">
        <f>IFERROR(__xludf.DUMMYFUNCTION("""COMPUTED_VALUE"""),"UDAUNDO")</f>
        <v>UDAUNDO</v>
      </c>
      <c r="F240" s="131" t="str">
        <f>IFERROR(__xludf.DUMMYFUNCTION("""COMPUTED_VALUE"""),"MICA ELLA")</f>
        <v>MICA ELLA</v>
      </c>
    </row>
    <row r="241">
      <c r="A241" s="131">
        <f>IFERROR(__xludf.DUMMYFUNCTION("""COMPUTED_VALUE"""),240.0)</f>
        <v>240</v>
      </c>
      <c r="B241" s="131"/>
      <c r="C241" s="131">
        <f>IFERROR(__xludf.DUMMYFUNCTION("""COMPUTED_VALUE"""),23.0)</f>
        <v>23</v>
      </c>
      <c r="D241" s="131" t="b">
        <f>IFERROR(__xludf.DUMMYFUNCTION("""COMPUTED_VALUE"""),FALSE)</f>
        <v>0</v>
      </c>
      <c r="E241" s="131" t="str">
        <f>IFERROR(__xludf.DUMMYFUNCTION("""COMPUTED_VALUE"""),"CALUBIRAN")</f>
        <v>CALUBIRAN</v>
      </c>
      <c r="F241" s="131" t="str">
        <f>IFERROR(__xludf.DUMMYFUNCTION("""COMPUTED_VALUE"""),"JACKIELYN")</f>
        <v>JACKIELYN</v>
      </c>
    </row>
    <row r="242">
      <c r="A242" s="131">
        <f>IFERROR(__xludf.DUMMYFUNCTION("""COMPUTED_VALUE"""),241.0)</f>
        <v>241</v>
      </c>
      <c r="B242" s="131"/>
      <c r="C242" s="131">
        <f>IFERROR(__xludf.DUMMYFUNCTION("""COMPUTED_VALUE"""),23.0)</f>
        <v>23</v>
      </c>
      <c r="D242" s="131" t="b">
        <f>IFERROR(__xludf.DUMMYFUNCTION("""COMPUTED_VALUE"""),FALSE)</f>
        <v>0</v>
      </c>
      <c r="E242" s="131" t="str">
        <f>IFERROR(__xludf.DUMMYFUNCTION("""COMPUTED_VALUE"""),"MATAMIS")</f>
        <v>MATAMIS</v>
      </c>
      <c r="F242" s="131" t="str">
        <f>IFERROR(__xludf.DUMMYFUNCTION("""COMPUTED_VALUE"""),"JEAH G.")</f>
        <v>JEAH G.</v>
      </c>
    </row>
    <row r="243">
      <c r="A243" s="131">
        <f>IFERROR(__xludf.DUMMYFUNCTION("""COMPUTED_VALUE"""),242.0)</f>
        <v>242</v>
      </c>
      <c r="B243" s="131"/>
      <c r="C243" s="131">
        <f>IFERROR(__xludf.DUMMYFUNCTION("""COMPUTED_VALUE"""),23.0)</f>
        <v>23</v>
      </c>
      <c r="D243" s="131" t="b">
        <f>IFERROR(__xludf.DUMMYFUNCTION("""COMPUTED_VALUE"""),FALSE)</f>
        <v>0</v>
      </c>
      <c r="E243" s="131" t="str">
        <f>IFERROR(__xludf.DUMMYFUNCTION("""COMPUTED_VALUE"""),"MATAMIS")</f>
        <v>MATAMIS</v>
      </c>
      <c r="F243" s="131" t="str">
        <f>IFERROR(__xludf.DUMMYFUNCTION("""COMPUTED_VALUE"""),"JANELA")</f>
        <v>JANELA</v>
      </c>
    </row>
    <row r="244">
      <c r="A244" s="131">
        <f>IFERROR(__xludf.DUMMYFUNCTION("""COMPUTED_VALUE"""),243.0)</f>
        <v>243</v>
      </c>
      <c r="B244" s="131"/>
      <c r="C244" s="131">
        <f>IFERROR(__xludf.DUMMYFUNCTION("""COMPUTED_VALUE"""),23.0)</f>
        <v>23</v>
      </c>
      <c r="D244" s="131" t="b">
        <f>IFERROR(__xludf.DUMMYFUNCTION("""COMPUTED_VALUE"""),FALSE)</f>
        <v>0</v>
      </c>
      <c r="E244" s="131" t="str">
        <f>IFERROR(__xludf.DUMMYFUNCTION("""COMPUTED_VALUE"""),"GALANG")</f>
        <v>GALANG</v>
      </c>
      <c r="F244" s="131" t="str">
        <f>IFERROR(__xludf.DUMMYFUNCTION("""COMPUTED_VALUE"""),"MAGGA")</f>
        <v>MAGGA</v>
      </c>
    </row>
    <row r="245">
      <c r="A245" s="131">
        <f>IFERROR(__xludf.DUMMYFUNCTION("""COMPUTED_VALUE"""),244.0)</f>
        <v>244</v>
      </c>
      <c r="B245" s="131"/>
      <c r="C245" s="131">
        <f>IFERROR(__xludf.DUMMYFUNCTION("""COMPUTED_VALUE"""),244.0)</f>
        <v>244</v>
      </c>
      <c r="D245" s="131" t="b">
        <f>IFERROR(__xludf.DUMMYFUNCTION("""COMPUTED_VALUE"""),TRUE)</f>
        <v>1</v>
      </c>
      <c r="E245" s="131" t="str">
        <f>IFERROR(__xludf.DUMMYFUNCTION("""COMPUTED_VALUE"""),"ORQUIA")</f>
        <v>ORQUIA</v>
      </c>
      <c r="F245" s="131" t="str">
        <f>IFERROR(__xludf.DUMMYFUNCTION("""COMPUTED_VALUE"""),"HANNA ")</f>
        <v>HANNA </v>
      </c>
    </row>
    <row r="246">
      <c r="A246" s="131">
        <f>IFERROR(__xludf.DUMMYFUNCTION("""COMPUTED_VALUE"""),245.0)</f>
        <v>245</v>
      </c>
      <c r="B246" s="131"/>
      <c r="C246" s="131">
        <f>IFERROR(__xludf.DUMMYFUNCTION("""COMPUTED_VALUE"""),244.0)</f>
        <v>244</v>
      </c>
      <c r="D246" s="131" t="b">
        <f>IFERROR(__xludf.DUMMYFUNCTION("""COMPUTED_VALUE"""),FALSE)</f>
        <v>0</v>
      </c>
      <c r="E246" s="131" t="str">
        <f>IFERROR(__xludf.DUMMYFUNCTION("""COMPUTED_VALUE"""),"DEL ROSARIO")</f>
        <v>DEL ROSARIO</v>
      </c>
      <c r="F246" s="131" t="str">
        <f>IFERROR(__xludf.DUMMYFUNCTION("""COMPUTED_VALUE"""),"GRACE")</f>
        <v>GRACE</v>
      </c>
    </row>
    <row r="247">
      <c r="A247" s="131">
        <f>IFERROR(__xludf.DUMMYFUNCTION("""COMPUTED_VALUE"""),246.0)</f>
        <v>246</v>
      </c>
      <c r="B247" s="131"/>
      <c r="C247" s="131">
        <f>IFERROR(__xludf.DUMMYFUNCTION("""COMPUTED_VALUE"""),244.0)</f>
        <v>244</v>
      </c>
      <c r="D247" s="131" t="b">
        <f>IFERROR(__xludf.DUMMYFUNCTION("""COMPUTED_VALUE"""),FALSE)</f>
        <v>0</v>
      </c>
      <c r="E247" s="131" t="str">
        <f>IFERROR(__xludf.DUMMYFUNCTION("""COMPUTED_VALUE"""),"CODILLA")</f>
        <v>CODILLA</v>
      </c>
      <c r="F247" s="131" t="str">
        <f>IFERROR(__xludf.DUMMYFUNCTION("""COMPUTED_VALUE"""),"JANNA")</f>
        <v>JANNA</v>
      </c>
    </row>
    <row r="248">
      <c r="A248" s="131">
        <f>IFERROR(__xludf.DUMMYFUNCTION("""COMPUTED_VALUE"""),247.0)</f>
        <v>247</v>
      </c>
      <c r="B248" s="131"/>
      <c r="C248" s="131">
        <f>IFERROR(__xludf.DUMMYFUNCTION("""COMPUTED_VALUE"""),244.0)</f>
        <v>244</v>
      </c>
      <c r="D248" s="131" t="b">
        <f>IFERROR(__xludf.DUMMYFUNCTION("""COMPUTED_VALUE"""),FALSE)</f>
        <v>0</v>
      </c>
      <c r="E248" s="131" t="str">
        <f>IFERROR(__xludf.DUMMYFUNCTION("""COMPUTED_VALUE"""),"WALATH")</f>
        <v>WALATH</v>
      </c>
      <c r="F248" s="131" t="str">
        <f>IFERROR(__xludf.DUMMYFUNCTION("""COMPUTED_VALUE"""),"AILEEN")</f>
        <v>AILEEN</v>
      </c>
    </row>
    <row r="249">
      <c r="A249" s="131">
        <f>IFERROR(__xludf.DUMMYFUNCTION("""COMPUTED_VALUE"""),248.0)</f>
        <v>248</v>
      </c>
      <c r="B249" s="131"/>
      <c r="C249" s="131">
        <f>IFERROR(__xludf.DUMMYFUNCTION("""COMPUTED_VALUE"""),244.0)</f>
        <v>244</v>
      </c>
      <c r="D249" s="131" t="b">
        <f>IFERROR(__xludf.DUMMYFUNCTION("""COMPUTED_VALUE"""),FALSE)</f>
        <v>0</v>
      </c>
      <c r="E249" s="131" t="str">
        <f>IFERROR(__xludf.DUMMYFUNCTION("""COMPUTED_VALUE"""),"FULLON")</f>
        <v>FULLON</v>
      </c>
      <c r="F249" s="131" t="str">
        <f>IFERROR(__xludf.DUMMYFUNCTION("""COMPUTED_VALUE"""),"SARAH")</f>
        <v>SARAH</v>
      </c>
    </row>
    <row r="250">
      <c r="A250" s="131">
        <f>IFERROR(__xludf.DUMMYFUNCTION("""COMPUTED_VALUE"""),249.0)</f>
        <v>249</v>
      </c>
      <c r="B250" s="131"/>
      <c r="C250" s="131">
        <f>IFERROR(__xludf.DUMMYFUNCTION("""COMPUTED_VALUE"""),244.0)</f>
        <v>244</v>
      </c>
      <c r="D250" s="131" t="b">
        <f>IFERROR(__xludf.DUMMYFUNCTION("""COMPUTED_VALUE"""),FALSE)</f>
        <v>0</v>
      </c>
      <c r="E250" s="131" t="str">
        <f>IFERROR(__xludf.DUMMYFUNCTION("""COMPUTED_VALUE"""),"MONTERDE")</f>
        <v>MONTERDE</v>
      </c>
      <c r="F250" s="131" t="str">
        <f>IFERROR(__xludf.DUMMYFUNCTION("""COMPUTED_VALUE"""),"BELLE")</f>
        <v>BELLE</v>
      </c>
    </row>
    <row r="251">
      <c r="A251" s="131">
        <f>IFERROR(__xludf.DUMMYFUNCTION("""COMPUTED_VALUE"""),250.0)</f>
        <v>250</v>
      </c>
      <c r="B251" s="131"/>
      <c r="C251" s="131">
        <f>IFERROR(__xludf.DUMMYFUNCTION("""COMPUTED_VALUE"""),167.0)</f>
        <v>167</v>
      </c>
      <c r="D251" s="131"/>
      <c r="E251" s="131" t="str">
        <f>IFERROR(__xludf.DUMMYFUNCTION("""COMPUTED_VALUE"""),"RAUSO")</f>
        <v>RAUSO</v>
      </c>
      <c r="F251" s="131" t="str">
        <f>IFERROR(__xludf.DUMMYFUNCTION("""COMPUTED_VALUE"""),"STEVE")</f>
        <v>STEVE</v>
      </c>
    </row>
    <row r="252">
      <c r="A252" s="131">
        <f>IFERROR(__xludf.DUMMYFUNCTION("""COMPUTED_VALUE"""),251.0)</f>
        <v>251</v>
      </c>
      <c r="B252" s="131"/>
      <c r="C252" s="131">
        <f>IFERROR(__xludf.DUMMYFUNCTION("""COMPUTED_VALUE"""),167.0)</f>
        <v>167</v>
      </c>
      <c r="D252" s="131" t="b">
        <f>IFERROR(__xludf.DUMMYFUNCTION("""COMPUTED_VALUE"""),FALSE)</f>
        <v>0</v>
      </c>
      <c r="E252" s="131" t="str">
        <f>IFERROR(__xludf.DUMMYFUNCTION("""COMPUTED_VALUE"""),"LIBRES")</f>
        <v>LIBRES</v>
      </c>
      <c r="F252" s="131" t="str">
        <f>IFERROR(__xludf.DUMMYFUNCTION("""COMPUTED_VALUE"""),"GABRIEL")</f>
        <v>GABRIEL</v>
      </c>
    </row>
    <row r="253">
      <c r="A253" s="131">
        <f>IFERROR(__xludf.DUMMYFUNCTION("""COMPUTED_VALUE"""),252.0)</f>
        <v>252</v>
      </c>
      <c r="B253" s="131"/>
      <c r="C253" s="131">
        <f>IFERROR(__xludf.DUMMYFUNCTION("""COMPUTED_VALUE"""),167.0)</f>
        <v>167</v>
      </c>
      <c r="D253" s="131" t="b">
        <f>IFERROR(__xludf.DUMMYFUNCTION("""COMPUTED_VALUE"""),FALSE)</f>
        <v>0</v>
      </c>
      <c r="E253" s="131" t="str">
        <f>IFERROR(__xludf.DUMMYFUNCTION("""COMPUTED_VALUE"""),"PARONGAN")</f>
        <v>PARONGAN</v>
      </c>
      <c r="F253" s="131" t="str">
        <f>IFERROR(__xludf.DUMMYFUNCTION("""COMPUTED_VALUE"""),"KIAN")</f>
        <v>KIAN</v>
      </c>
    </row>
    <row r="254">
      <c r="A254" s="131">
        <f>IFERROR(__xludf.DUMMYFUNCTION("""COMPUTED_VALUE"""),253.0)</f>
        <v>253</v>
      </c>
      <c r="B254" s="131"/>
      <c r="C254" s="131">
        <f>IFERROR(__xludf.DUMMYFUNCTION("""COMPUTED_VALUE"""),167.0)</f>
        <v>167</v>
      </c>
      <c r="D254" s="131" t="b">
        <f>IFERROR(__xludf.DUMMYFUNCTION("""COMPUTED_VALUE"""),FALSE)</f>
        <v>0</v>
      </c>
      <c r="E254" s="131" t="str">
        <f>IFERROR(__xludf.DUMMYFUNCTION("""COMPUTED_VALUE"""),"RACCA")</f>
        <v>RACCA</v>
      </c>
      <c r="F254" s="131" t="str">
        <f>IFERROR(__xludf.DUMMYFUNCTION("""COMPUTED_VALUE"""),"GRANT EL")</f>
        <v>GRANT EL</v>
      </c>
    </row>
    <row r="255">
      <c r="A255" s="131">
        <f>IFERROR(__xludf.DUMMYFUNCTION("""COMPUTED_VALUE"""),254.0)</f>
        <v>254</v>
      </c>
      <c r="B255" s="131"/>
      <c r="C255" s="131">
        <f>IFERROR(__xludf.DUMMYFUNCTION("""COMPUTED_VALUE"""),23.0)</f>
        <v>23</v>
      </c>
      <c r="D255" s="131" t="b">
        <f>IFERROR(__xludf.DUMMYFUNCTION("""COMPUTED_VALUE"""),FALSE)</f>
        <v>0</v>
      </c>
      <c r="E255" s="131" t="str">
        <f>IFERROR(__xludf.DUMMYFUNCTION("""COMPUTED_VALUE"""),"MATAMIS")</f>
        <v>MATAMIS</v>
      </c>
      <c r="F255" s="131" t="str">
        <f>IFERROR(__xludf.DUMMYFUNCTION("""COMPUTED_VALUE"""),"SEYVEL")</f>
        <v>SEYVEL</v>
      </c>
    </row>
    <row r="256">
      <c r="A256" s="131">
        <f>IFERROR(__xludf.DUMMYFUNCTION("""COMPUTED_VALUE"""),257.0)</f>
        <v>257</v>
      </c>
      <c r="B256" s="131"/>
      <c r="C256" s="131">
        <f>IFERROR(__xludf.DUMMYFUNCTION("""COMPUTED_VALUE"""),23.0)</f>
        <v>23</v>
      </c>
      <c r="D256" s="131" t="b">
        <f>IFERROR(__xludf.DUMMYFUNCTION("""COMPUTED_VALUE"""),FALSE)</f>
        <v>0</v>
      </c>
      <c r="E256" s="131" t="str">
        <f>IFERROR(__xludf.DUMMYFUNCTION("""COMPUTED_VALUE"""),"PARCAREY")</f>
        <v>PARCAREY</v>
      </c>
      <c r="F256" s="131" t="str">
        <f>IFERROR(__xludf.DUMMYFUNCTION("""COMPUTED_VALUE"""),"MARZETTI")</f>
        <v>MARZETTI</v>
      </c>
    </row>
    <row r="257">
      <c r="A257" s="131">
        <f>IFERROR(__xludf.DUMMYFUNCTION("""COMPUTED_VALUE"""),256.0)</f>
        <v>256</v>
      </c>
      <c r="B257" s="131"/>
      <c r="C257" s="131">
        <f>IFERROR(__xludf.DUMMYFUNCTION("""COMPUTED_VALUE"""),23.0)</f>
        <v>23</v>
      </c>
      <c r="D257" s="131" t="b">
        <f>IFERROR(__xludf.DUMMYFUNCTION("""COMPUTED_VALUE"""),FALSE)</f>
        <v>0</v>
      </c>
      <c r="E257" s="131" t="str">
        <f>IFERROR(__xludf.DUMMYFUNCTION("""COMPUTED_VALUE"""),"AGSALUD")</f>
        <v>AGSALUD</v>
      </c>
      <c r="F257" s="131" t="str">
        <f>IFERROR(__xludf.DUMMYFUNCTION("""COMPUTED_VALUE"""),"ROSE MARIE")</f>
        <v>ROSE MARIE</v>
      </c>
    </row>
    <row r="258">
      <c r="A258" s="131">
        <f>IFERROR(__xludf.DUMMYFUNCTION("""COMPUTED_VALUE"""),259.0)</f>
        <v>259</v>
      </c>
      <c r="B258" s="131"/>
      <c r="C258" s="131">
        <f>IFERROR(__xludf.DUMMYFUNCTION("""COMPUTED_VALUE"""),167.0)</f>
        <v>167</v>
      </c>
      <c r="D258" s="131"/>
      <c r="E258" s="131" t="str">
        <f>IFERROR(__xludf.DUMMYFUNCTION("""COMPUTED_VALUE"""),"Gelicame")</f>
        <v>Gelicame</v>
      </c>
      <c r="F258" s="131" t="str">
        <f>IFERROR(__xludf.DUMMYFUNCTION("""COMPUTED_VALUE"""),"Aljun")</f>
        <v>Aljun</v>
      </c>
    </row>
    <row r="259">
      <c r="A259" s="131">
        <f>IFERROR(__xludf.DUMMYFUNCTION("""COMPUTED_VALUE"""),260.0)</f>
        <v>260</v>
      </c>
      <c r="B259" s="131"/>
      <c r="C259" s="131">
        <f>IFERROR(__xludf.DUMMYFUNCTION("""COMPUTED_VALUE"""),167.0)</f>
        <v>167</v>
      </c>
      <c r="D259" s="131"/>
      <c r="E259" s="131" t="str">
        <f>IFERROR(__xludf.DUMMYFUNCTION("""COMPUTED_VALUE"""),"Valera")</f>
        <v>Valera</v>
      </c>
      <c r="F259" s="131" t="str">
        <f>IFERROR(__xludf.DUMMYFUNCTION("""COMPUTED_VALUE"""),"Edward Luis")</f>
        <v>Edward Luis</v>
      </c>
    </row>
    <row r="260">
      <c r="A260" s="131">
        <f>IFERROR(__xludf.DUMMYFUNCTION("""COMPUTED_VALUE"""),261.0)</f>
        <v>261</v>
      </c>
      <c r="B260" s="131"/>
      <c r="C260" s="131">
        <f>IFERROR(__xludf.DUMMYFUNCTION("""COMPUTED_VALUE"""),23.0)</f>
        <v>23</v>
      </c>
      <c r="D260" s="131"/>
      <c r="E260" s="131" t="str">
        <f>IFERROR(__xludf.DUMMYFUNCTION("""COMPUTED_VALUE"""),"CERBETO")</f>
        <v>CERBETO</v>
      </c>
      <c r="F260" s="131" t="str">
        <f>IFERROR(__xludf.DUMMYFUNCTION("""COMPUTED_VALUE"""),"AIFHA")</f>
        <v>AIFHA</v>
      </c>
    </row>
    <row r="261">
      <c r="A261" s="131">
        <f>IFERROR(__xludf.DUMMYFUNCTION("""COMPUTED_VALUE"""),262.0)</f>
        <v>262</v>
      </c>
      <c r="B261" s="131"/>
      <c r="C261" s="131">
        <f>IFERROR(__xludf.DUMMYFUNCTION("""COMPUTED_VALUE"""),23.0)</f>
        <v>23</v>
      </c>
      <c r="D261" s="131"/>
      <c r="E261" s="131" t="str">
        <f>IFERROR(__xludf.DUMMYFUNCTION("""COMPUTED_VALUE"""),"PARCAREY")</f>
        <v>PARCAREY</v>
      </c>
      <c r="F261" s="131" t="str">
        <f>IFERROR(__xludf.DUMMYFUNCTION("""COMPUTED_VALUE"""),"MARZETTI")</f>
        <v>MARZETTI</v>
      </c>
    </row>
    <row r="262">
      <c r="A262" s="131">
        <f>IFERROR(__xludf.DUMMYFUNCTION("""COMPUTED_VALUE"""),263.0)</f>
        <v>263</v>
      </c>
      <c r="B262" s="131"/>
      <c r="C262" s="131">
        <f>IFERROR(__xludf.DUMMYFUNCTION("""COMPUTED_VALUE"""),1.0)</f>
        <v>1</v>
      </c>
      <c r="D262" s="131"/>
      <c r="E262" s="131" t="str">
        <f>IFERROR(__xludf.DUMMYFUNCTION("""COMPUTED_VALUE"""),"MABAO")</f>
        <v>MABAO</v>
      </c>
      <c r="F262" s="131" t="str">
        <f>IFERROR(__xludf.DUMMYFUNCTION("""COMPUTED_VALUE"""),"ROSELYN")</f>
        <v>ROSELYN</v>
      </c>
    </row>
    <row r="263">
      <c r="A263" s="131">
        <f>IFERROR(__xludf.DUMMYFUNCTION("""COMPUTED_VALUE"""),264.0)</f>
        <v>264</v>
      </c>
      <c r="B263" s="131"/>
      <c r="C263" s="131">
        <f>IFERROR(__xludf.DUMMYFUNCTION("""COMPUTED_VALUE"""),167.0)</f>
        <v>167</v>
      </c>
      <c r="D263" s="131"/>
      <c r="E263" s="131" t="str">
        <f>IFERROR(__xludf.DUMMYFUNCTION("""COMPUTED_VALUE"""),"VALERA")</f>
        <v>VALERA</v>
      </c>
      <c r="F263" s="131" t="str">
        <f>IFERROR(__xludf.DUMMYFUNCTION("""COMPUTED_VALUE"""),"ELY")</f>
        <v>ELY</v>
      </c>
    </row>
    <row r="264">
      <c r="A264" s="131">
        <f>IFERROR(__xludf.DUMMYFUNCTION("""COMPUTED_VALUE"""),265.0)</f>
        <v>265</v>
      </c>
      <c r="B264" s="131"/>
      <c r="C264" s="131">
        <f>IFERROR(__xludf.DUMMYFUNCTION("""COMPUTED_VALUE"""),167.0)</f>
        <v>167</v>
      </c>
      <c r="D264" s="131"/>
      <c r="E264" s="131" t="str">
        <f>IFERROR(__xludf.DUMMYFUNCTION("""COMPUTED_VALUE"""),"RAUSO")</f>
        <v>RAUSO</v>
      </c>
      <c r="F264" s="131" t="str">
        <f>IFERROR(__xludf.DUMMYFUNCTION("""COMPUTED_VALUE"""),"GABRIEL")</f>
        <v>GABRIEL</v>
      </c>
    </row>
    <row r="265">
      <c r="A265" s="131"/>
      <c r="B265" s="131"/>
      <c r="C265" s="131"/>
      <c r="D265" s="131"/>
      <c r="E265" s="131"/>
      <c r="F265" s="131"/>
    </row>
    <row r="266">
      <c r="A266" s="131">
        <f>IFERROR(__xludf.DUMMYFUNCTION("""COMPUTED_VALUE"""),1230.0)</f>
        <v>1230</v>
      </c>
      <c r="B266" s="131"/>
      <c r="C266" s="131">
        <f>IFERROR(__xludf.DUMMYFUNCTION("""COMPUTED_VALUE"""),1230.0)</f>
        <v>1230</v>
      </c>
      <c r="D266" s="131" t="b">
        <f>IFERROR(__xludf.DUMMYFUNCTION("""COMPUTED_VALUE"""),TRUE)</f>
        <v>1</v>
      </c>
      <c r="E266" s="131" t="str">
        <f>IFERROR(__xludf.DUMMYFUNCTION("""COMPUTED_VALUE"""),"CALUALHATIAN")</f>
        <v>CALUALHATIAN</v>
      </c>
      <c r="F266" s="131" t="str">
        <f>IFERROR(__xludf.DUMMYFUNCTION("""COMPUTED_VALUE"""),"DANTE")</f>
        <v>DANTE</v>
      </c>
      <c r="H266" s="90" t="s">
        <v>4</v>
      </c>
      <c r="K266" s="90" t="s">
        <v>4</v>
      </c>
      <c r="P266" s="90" t="b">
        <v>1</v>
      </c>
    </row>
    <row r="267">
      <c r="A267" s="131">
        <f>IFERROR(__xludf.DUMMYFUNCTION("""COMPUTED_VALUE"""),1231.0)</f>
        <v>1231</v>
      </c>
      <c r="B267" s="131"/>
      <c r="C267" s="131">
        <f>IFERROR(__xludf.DUMMYFUNCTION("""COMPUTED_VALUE"""),1230.0)</f>
        <v>1230</v>
      </c>
      <c r="D267" s="131"/>
      <c r="E267" s="131" t="str">
        <f>IFERROR(__xludf.DUMMYFUNCTION("""COMPUTED_VALUE"""),"A.")</f>
        <v>A.</v>
      </c>
      <c r="F267" s="131" t="str">
        <f>IFERROR(__xludf.DUMMYFUNCTION("""COMPUTED_VALUE"""),"BONG")</f>
        <v>BONG</v>
      </c>
      <c r="G267" s="90" t="b">
        <v>0</v>
      </c>
      <c r="H267" s="90" t="b">
        <v>0</v>
      </c>
      <c r="I267" s="90" t="b">
        <v>0</v>
      </c>
      <c r="J267" s="90" t="b">
        <v>0</v>
      </c>
      <c r="K267" s="90" t="s">
        <v>4</v>
      </c>
      <c r="L267" s="90" t="b">
        <v>0</v>
      </c>
      <c r="M267" s="90" t="b">
        <v>0</v>
      </c>
      <c r="N267" s="90" t="b">
        <v>0</v>
      </c>
      <c r="O267" s="90" t="b">
        <v>0</v>
      </c>
      <c r="P267" s="90" t="b">
        <v>1</v>
      </c>
    </row>
    <row r="268">
      <c r="A268" s="131">
        <f>IFERROR(__xludf.DUMMYFUNCTION("""COMPUTED_VALUE"""),1232.0)</f>
        <v>1232</v>
      </c>
      <c r="B268" s="131"/>
      <c r="C268" s="131">
        <f>IFERROR(__xludf.DUMMYFUNCTION("""COMPUTED_VALUE"""),1230.0)</f>
        <v>1230</v>
      </c>
      <c r="D268" s="131"/>
      <c r="E268" s="131" t="str">
        <f>IFERROR(__xludf.DUMMYFUNCTION("""COMPUTED_VALUE"""),"SALAC")</f>
        <v>SALAC</v>
      </c>
      <c r="F268" s="131" t="str">
        <f>IFERROR(__xludf.DUMMYFUNCTION("""COMPUTED_VALUE"""),"ROMEO")</f>
        <v>ROMEO</v>
      </c>
      <c r="G268" s="90" t="b">
        <v>0</v>
      </c>
      <c r="H268" s="90" t="s">
        <v>4</v>
      </c>
      <c r="I268" s="90" t="b">
        <v>0</v>
      </c>
      <c r="J268" s="90" t="b">
        <v>0</v>
      </c>
      <c r="K268" s="90" t="s">
        <v>4</v>
      </c>
      <c r="L268" s="90" t="b">
        <v>0</v>
      </c>
      <c r="M268" s="90" t="b">
        <v>0</v>
      </c>
      <c r="N268" s="90" t="b">
        <v>0</v>
      </c>
      <c r="O268" s="90" t="b">
        <v>0</v>
      </c>
      <c r="P268" s="90" t="b">
        <v>1</v>
      </c>
    </row>
    <row r="269">
      <c r="A269" s="131">
        <f>IFERROR(__xludf.DUMMYFUNCTION("""COMPUTED_VALUE"""),1233.0)</f>
        <v>1233</v>
      </c>
      <c r="B269" s="131"/>
      <c r="C269" s="131">
        <f>IFERROR(__xludf.DUMMYFUNCTION("""COMPUTED_VALUE"""),1230.0)</f>
        <v>1230</v>
      </c>
      <c r="D269" s="131"/>
      <c r="E269" s="131" t="str">
        <f>IFERROR(__xludf.DUMMYFUNCTION("""COMPUTED_VALUE"""),"GREGORIO")</f>
        <v>GREGORIO</v>
      </c>
      <c r="F269" s="131" t="str">
        <f>IFERROR(__xludf.DUMMYFUNCTION("""COMPUTED_VALUE"""),"MARLOU")</f>
        <v>MARLOU</v>
      </c>
      <c r="G269" s="90" t="b">
        <v>0</v>
      </c>
      <c r="H269" s="90" t="b">
        <v>0</v>
      </c>
      <c r="I269" s="90" t="b">
        <v>0</v>
      </c>
      <c r="J269" s="90" t="b">
        <v>0</v>
      </c>
      <c r="K269" s="90" t="s">
        <v>4</v>
      </c>
      <c r="L269" s="90" t="b">
        <v>0</v>
      </c>
      <c r="M269" s="90" t="b">
        <v>0</v>
      </c>
      <c r="N269" s="90" t="b">
        <v>0</v>
      </c>
      <c r="O269" s="90" t="b">
        <v>0</v>
      </c>
      <c r="P269" s="90" t="b">
        <v>1</v>
      </c>
    </row>
    <row r="270">
      <c r="A270" s="131">
        <f>IFERROR(__xludf.DUMMYFUNCTION("""COMPUTED_VALUE"""),1234.0)</f>
        <v>1234</v>
      </c>
      <c r="B270" s="131"/>
      <c r="C270" s="131">
        <f>IFERROR(__xludf.DUMMYFUNCTION("""COMPUTED_VALUE"""),1230.0)</f>
        <v>1230</v>
      </c>
      <c r="D270" s="131"/>
      <c r="E270" s="131" t="str">
        <f>IFERROR(__xludf.DUMMYFUNCTION("""COMPUTED_VALUE"""),"SOMERA")</f>
        <v>SOMERA</v>
      </c>
      <c r="F270" s="131" t="str">
        <f>IFERROR(__xludf.DUMMYFUNCTION("""COMPUTED_VALUE"""),"JAY")</f>
        <v>JAY</v>
      </c>
      <c r="G270" s="90" t="b">
        <v>0</v>
      </c>
      <c r="H270" s="90" t="s">
        <v>4</v>
      </c>
      <c r="I270" s="90" t="b">
        <v>0</v>
      </c>
      <c r="J270" s="90" t="b">
        <v>0</v>
      </c>
      <c r="K270" s="90" t="s">
        <v>4</v>
      </c>
      <c r="L270" s="90" t="b">
        <v>0</v>
      </c>
      <c r="M270" s="90" t="b">
        <v>0</v>
      </c>
      <c r="N270" s="90" t="b">
        <v>0</v>
      </c>
      <c r="O270" s="90" t="b">
        <v>0</v>
      </c>
      <c r="P270" s="90" t="b">
        <v>1</v>
      </c>
    </row>
    <row r="271">
      <c r="A271" s="131">
        <f>IFERROR(__xludf.DUMMYFUNCTION("""COMPUTED_VALUE"""),1235.0)</f>
        <v>1235</v>
      </c>
      <c r="B271" s="131"/>
      <c r="C271" s="131">
        <f>IFERROR(__xludf.DUMMYFUNCTION("""COMPUTED_VALUE"""),1230.0)</f>
        <v>1230</v>
      </c>
      <c r="D271" s="131"/>
      <c r="E271" s="131" t="str">
        <f>IFERROR(__xludf.DUMMYFUNCTION("""COMPUTED_VALUE"""),"MALIWAT")</f>
        <v>MALIWAT</v>
      </c>
      <c r="F271" s="131" t="str">
        <f>IFERROR(__xludf.DUMMYFUNCTION("""COMPUTED_VALUE"""),"LEO")</f>
        <v>LEO</v>
      </c>
      <c r="G271" s="90" t="b">
        <v>0</v>
      </c>
      <c r="H271" s="90" t="s">
        <v>4</v>
      </c>
      <c r="I271" s="90" t="b">
        <v>0</v>
      </c>
      <c r="J271" s="90" t="b">
        <v>0</v>
      </c>
      <c r="K271" s="90" t="s">
        <v>4</v>
      </c>
      <c r="L271" s="90" t="b">
        <v>0</v>
      </c>
      <c r="M271" s="90" t="b">
        <v>0</v>
      </c>
      <c r="N271" s="90" t="b">
        <v>0</v>
      </c>
      <c r="O271" s="90" t="b">
        <v>0</v>
      </c>
      <c r="P271" s="90" t="b">
        <v>1</v>
      </c>
    </row>
    <row r="272">
      <c r="A272" s="131"/>
      <c r="B272" s="131"/>
      <c r="C272" s="131"/>
      <c r="D272" s="131"/>
      <c r="E272" s="131"/>
      <c r="F272" s="131"/>
    </row>
    <row r="273">
      <c r="A273" s="131">
        <f>IFERROR(__xludf.DUMMYFUNCTION("""COMPUTED_VALUE"""),1236.0)</f>
        <v>1236</v>
      </c>
      <c r="B273" s="131"/>
      <c r="C273" s="131">
        <f>IFERROR(__xludf.DUMMYFUNCTION("""COMPUTED_VALUE"""),1236.0)</f>
        <v>1236</v>
      </c>
      <c r="D273" s="131" t="b">
        <f>IFERROR(__xludf.DUMMYFUNCTION("""COMPUTED_VALUE"""),TRUE)</f>
        <v>1</v>
      </c>
      <c r="E273" s="131" t="str">
        <f>IFERROR(__xludf.DUMMYFUNCTION("""COMPUTED_VALUE"""),"RETAMAR")</f>
        <v>RETAMAR</v>
      </c>
      <c r="F273" s="131" t="str">
        <f>IFERROR(__xludf.DUMMYFUNCTION("""COMPUTED_VALUE"""),"ELENA")</f>
        <v>ELENA</v>
      </c>
      <c r="K273" s="90" t="s">
        <v>4</v>
      </c>
      <c r="P273" s="90" t="b">
        <v>1</v>
      </c>
    </row>
    <row r="274">
      <c r="A274" s="131">
        <f>IFERROR(__xludf.DUMMYFUNCTION("""COMPUTED_VALUE"""),1237.0)</f>
        <v>1237</v>
      </c>
      <c r="B274" s="131"/>
      <c r="C274" s="131">
        <f>IFERROR(__xludf.DUMMYFUNCTION("""COMPUTED_VALUE"""),1236.0)</f>
        <v>1236</v>
      </c>
      <c r="D274" s="131"/>
      <c r="E274" s="131" t="str">
        <f>IFERROR(__xludf.DUMMYFUNCTION("""COMPUTED_VALUE"""),"VILLA")</f>
        <v>VILLA</v>
      </c>
      <c r="F274" s="131" t="str">
        <f>IFERROR(__xludf.DUMMYFUNCTION("""COMPUTED_VALUE"""),"WENG NIONES")</f>
        <v>WENG NIONES</v>
      </c>
      <c r="G274" s="90" t="b">
        <v>0</v>
      </c>
      <c r="H274" s="90" t="b">
        <v>0</v>
      </c>
      <c r="I274" s="90" t="b">
        <v>0</v>
      </c>
      <c r="J274" s="90" t="b">
        <v>0</v>
      </c>
      <c r="K274" s="90" t="s">
        <v>4</v>
      </c>
      <c r="L274" s="90" t="b">
        <v>0</v>
      </c>
      <c r="M274" s="90" t="b">
        <v>0</v>
      </c>
      <c r="N274" s="90" t="b">
        <v>0</v>
      </c>
      <c r="O274" s="90" t="b">
        <v>0</v>
      </c>
      <c r="P274" s="90" t="b">
        <v>1</v>
      </c>
    </row>
    <row r="275">
      <c r="A275" s="131">
        <f>IFERROR(__xludf.DUMMYFUNCTION("""COMPUTED_VALUE"""),1238.0)</f>
        <v>1238</v>
      </c>
      <c r="B275" s="131"/>
      <c r="C275" s="131">
        <f>IFERROR(__xludf.DUMMYFUNCTION("""COMPUTED_VALUE"""),1236.0)</f>
        <v>1236</v>
      </c>
      <c r="D275" s="131"/>
      <c r="E275" s="131" t="str">
        <f>IFERROR(__xludf.DUMMYFUNCTION("""COMPUTED_VALUE"""),"V")</f>
        <v>V</v>
      </c>
      <c r="F275" s="131" t="str">
        <f>IFERROR(__xludf.DUMMYFUNCTION("""COMPUTED_VALUE"""),"ROSE")</f>
        <v>ROSE</v>
      </c>
      <c r="G275" s="90" t="b">
        <v>0</v>
      </c>
      <c r="H275" s="90" t="b">
        <v>0</v>
      </c>
      <c r="I275" s="90" t="b">
        <v>0</v>
      </c>
      <c r="J275" s="90" t="b">
        <v>0</v>
      </c>
      <c r="K275" s="90" t="s">
        <v>4</v>
      </c>
      <c r="L275" s="90" t="b">
        <v>0</v>
      </c>
      <c r="M275" s="90" t="b">
        <v>0</v>
      </c>
      <c r="N275" s="90" t="b">
        <v>0</v>
      </c>
      <c r="O275" s="90" t="b">
        <v>0</v>
      </c>
      <c r="P275" s="90" t="b">
        <v>1</v>
      </c>
    </row>
    <row r="276">
      <c r="A276" s="131">
        <f>IFERROR(__xludf.DUMMYFUNCTION("""COMPUTED_VALUE"""),1239.0)</f>
        <v>1239</v>
      </c>
      <c r="B276" s="131"/>
      <c r="C276" s="131">
        <f>IFERROR(__xludf.DUMMYFUNCTION("""COMPUTED_VALUE"""),1236.0)</f>
        <v>1236</v>
      </c>
      <c r="D276" s="131"/>
      <c r="E276" s="131" t="str">
        <f>IFERROR(__xludf.DUMMYFUNCTION("""COMPUTED_VALUE"""),"DATO")</f>
        <v>DATO</v>
      </c>
      <c r="F276" s="131" t="str">
        <f>IFERROR(__xludf.DUMMYFUNCTION("""COMPUTED_VALUE"""),"EVELYN")</f>
        <v>EVELYN</v>
      </c>
      <c r="G276" s="90"/>
      <c r="H276" s="90" t="s">
        <v>4</v>
      </c>
      <c r="I276" s="90" t="b">
        <v>0</v>
      </c>
      <c r="J276" s="90" t="b">
        <v>0</v>
      </c>
      <c r="K276" s="90" t="s">
        <v>4</v>
      </c>
      <c r="L276" s="90" t="b">
        <v>0</v>
      </c>
      <c r="M276" s="90" t="b">
        <v>0</v>
      </c>
      <c r="N276" s="90" t="b">
        <v>0</v>
      </c>
      <c r="O276" s="90" t="b">
        <v>0</v>
      </c>
      <c r="P276" s="90" t="b">
        <v>1</v>
      </c>
    </row>
    <row r="277">
      <c r="A277" s="131">
        <f>IFERROR(__xludf.DUMMYFUNCTION("""COMPUTED_VALUE"""),1240.0)</f>
        <v>1240</v>
      </c>
      <c r="B277" s="131"/>
      <c r="C277" s="131">
        <f>IFERROR(__xludf.DUMMYFUNCTION("""COMPUTED_VALUE"""),1236.0)</f>
        <v>1236</v>
      </c>
      <c r="D277" s="131"/>
      <c r="E277" s="131"/>
      <c r="F277" s="131" t="str">
        <f>IFERROR(__xludf.DUMMYFUNCTION("""COMPUTED_VALUE"""),"ELIZABETH")</f>
        <v>ELIZABETH</v>
      </c>
      <c r="G277" s="90" t="b">
        <v>0</v>
      </c>
      <c r="H277" s="90" t="b">
        <v>0</v>
      </c>
      <c r="I277" s="90" t="b">
        <v>0</v>
      </c>
      <c r="J277" s="90" t="b">
        <v>0</v>
      </c>
      <c r="K277" s="90" t="s">
        <v>4</v>
      </c>
      <c r="L277" s="90" t="b">
        <v>0</v>
      </c>
      <c r="M277" s="90" t="b">
        <v>0</v>
      </c>
      <c r="N277" s="90" t="b">
        <v>0</v>
      </c>
      <c r="O277" s="90" t="b">
        <v>0</v>
      </c>
      <c r="P277" s="90" t="b">
        <v>1</v>
      </c>
    </row>
    <row r="278">
      <c r="A278" s="131">
        <f>IFERROR(__xludf.DUMMYFUNCTION("""COMPUTED_VALUE"""),1241.0)</f>
        <v>1241</v>
      </c>
      <c r="B278" s="131"/>
      <c r="C278" s="131">
        <f>IFERROR(__xludf.DUMMYFUNCTION("""COMPUTED_VALUE"""),1236.0)</f>
        <v>1236</v>
      </c>
      <c r="D278" s="131"/>
      <c r="E278" s="131"/>
      <c r="F278" s="131" t="str">
        <f>IFERROR(__xludf.DUMMYFUNCTION("""COMPUTED_VALUE"""),"WINNIE")</f>
        <v>WINNIE</v>
      </c>
      <c r="G278" s="90" t="b">
        <v>0</v>
      </c>
      <c r="H278" s="90" t="b">
        <v>0</v>
      </c>
      <c r="I278" s="90" t="b">
        <v>0</v>
      </c>
      <c r="J278" s="90" t="b">
        <v>0</v>
      </c>
      <c r="K278" s="90" t="s">
        <v>4</v>
      </c>
      <c r="L278" s="90" t="b">
        <v>0</v>
      </c>
      <c r="M278" s="90" t="b">
        <v>0</v>
      </c>
      <c r="N278" s="90" t="b">
        <v>0</v>
      </c>
      <c r="O278" s="90" t="b">
        <v>0</v>
      </c>
      <c r="P278" s="90" t="b">
        <v>1</v>
      </c>
    </row>
    <row r="279">
      <c r="A279" s="131">
        <f>IFERROR(__xludf.DUMMYFUNCTION("""COMPUTED_VALUE"""),1242.0)</f>
        <v>1242</v>
      </c>
      <c r="B279" s="131"/>
      <c r="C279" s="131">
        <f>IFERROR(__xludf.DUMMYFUNCTION("""COMPUTED_VALUE"""),1236.0)</f>
        <v>1236</v>
      </c>
      <c r="D279" s="131"/>
      <c r="E279" s="131"/>
      <c r="F279" s="131" t="str">
        <f>IFERROR(__xludf.DUMMYFUNCTION("""COMPUTED_VALUE"""),"MALOU")</f>
        <v>MALOU</v>
      </c>
      <c r="G279" s="90" t="b">
        <v>0</v>
      </c>
      <c r="H279" s="90" t="b">
        <v>0</v>
      </c>
      <c r="I279" s="90" t="b">
        <v>0</v>
      </c>
      <c r="J279" s="90" t="b">
        <v>0</v>
      </c>
      <c r="K279" s="90" t="s">
        <v>4</v>
      </c>
      <c r="L279" s="90" t="b">
        <v>0</v>
      </c>
      <c r="M279" s="90" t="b">
        <v>0</v>
      </c>
      <c r="N279" s="90" t="b">
        <v>0</v>
      </c>
      <c r="O279" s="90" t="b">
        <v>0</v>
      </c>
      <c r="P279" s="90" t="b">
        <v>1</v>
      </c>
    </row>
    <row r="280">
      <c r="A280" s="131">
        <f>IFERROR(__xludf.DUMMYFUNCTION("""COMPUTED_VALUE"""),1243.0)</f>
        <v>1243</v>
      </c>
      <c r="B280" s="131"/>
      <c r="C280" s="131">
        <f>IFERROR(__xludf.DUMMYFUNCTION("""COMPUTED_VALUE"""),1236.0)</f>
        <v>1236</v>
      </c>
      <c r="D280" s="131"/>
      <c r="E280" s="131" t="str">
        <f>IFERROR(__xludf.DUMMYFUNCTION("""COMPUTED_VALUE"""),"TOLEDO")</f>
        <v>TOLEDO</v>
      </c>
      <c r="F280" s="131" t="str">
        <f>IFERROR(__xludf.DUMMYFUNCTION("""COMPUTED_VALUE"""),"MAYE")</f>
        <v>MAYE</v>
      </c>
      <c r="G280" s="90" t="b">
        <v>0</v>
      </c>
      <c r="H280" s="90" t="b">
        <v>0</v>
      </c>
      <c r="I280" s="90" t="b">
        <v>0</v>
      </c>
      <c r="J280" s="90" t="b">
        <v>0</v>
      </c>
      <c r="K280" s="90" t="s">
        <v>4</v>
      </c>
      <c r="L280" s="90" t="b">
        <v>0</v>
      </c>
      <c r="M280" s="90" t="b">
        <v>0</v>
      </c>
      <c r="N280" s="90" t="b">
        <v>0</v>
      </c>
      <c r="O280" s="90" t="b">
        <v>0</v>
      </c>
      <c r="P280" s="90" t="b">
        <v>1</v>
      </c>
    </row>
    <row r="281">
      <c r="A281" s="131">
        <f>IFERROR(__xludf.DUMMYFUNCTION("""COMPUTED_VALUE"""),1244.0)</f>
        <v>1244</v>
      </c>
      <c r="B281" s="131"/>
      <c r="C281" s="131">
        <f>IFERROR(__xludf.DUMMYFUNCTION("""COMPUTED_VALUE"""),1236.0)</f>
        <v>1236</v>
      </c>
      <c r="D281" s="131"/>
      <c r="E281" s="131" t="str">
        <f>IFERROR(__xludf.DUMMYFUNCTION("""COMPUTED_VALUE"""),"LIM")</f>
        <v>LIM</v>
      </c>
      <c r="F281" s="131" t="str">
        <f>IFERROR(__xludf.DUMMYFUNCTION("""COMPUTED_VALUE"""),"GRACE")</f>
        <v>GRACE</v>
      </c>
      <c r="G281" s="90" t="b">
        <v>0</v>
      </c>
      <c r="H281" s="90" t="b">
        <v>0</v>
      </c>
      <c r="I281" s="90" t="b">
        <v>0</v>
      </c>
      <c r="J281" s="90" t="b">
        <v>0</v>
      </c>
      <c r="K281" s="90" t="s">
        <v>4</v>
      </c>
      <c r="L281" s="90" t="b">
        <v>0</v>
      </c>
      <c r="M281" s="90" t="b">
        <v>0</v>
      </c>
      <c r="N281" s="90" t="b">
        <v>0</v>
      </c>
      <c r="O281" s="90" t="b">
        <v>0</v>
      </c>
      <c r="P281" s="90" t="b">
        <v>1</v>
      </c>
    </row>
    <row r="282">
      <c r="A282" s="131">
        <f>IFERROR(__xludf.DUMMYFUNCTION("""COMPUTED_VALUE"""),1245.0)</f>
        <v>1245</v>
      </c>
      <c r="B282" s="131"/>
      <c r="C282" s="131">
        <f>IFERROR(__xludf.DUMMYFUNCTION("""COMPUTED_VALUE"""),1236.0)</f>
        <v>1236</v>
      </c>
      <c r="D282" s="131"/>
      <c r="E282" s="131" t="str">
        <f>IFERROR(__xludf.DUMMYFUNCTION("""COMPUTED_VALUE"""),"CALUALHATIAN")</f>
        <v>CALUALHATIAN</v>
      </c>
      <c r="F282" s="131" t="str">
        <f>IFERROR(__xludf.DUMMYFUNCTION("""COMPUTED_VALUE"""),"ADELAIDA")</f>
        <v>ADELAIDA</v>
      </c>
      <c r="G282" s="90" t="b">
        <v>0</v>
      </c>
      <c r="H282" s="90" t="b">
        <v>0</v>
      </c>
      <c r="I282" s="90" t="b">
        <v>0</v>
      </c>
      <c r="J282" s="90" t="b">
        <v>0</v>
      </c>
      <c r="K282" s="90" t="s">
        <v>4</v>
      </c>
      <c r="L282" s="90" t="b">
        <v>0</v>
      </c>
      <c r="M282" s="90" t="b">
        <v>0</v>
      </c>
      <c r="N282" s="90" t="b">
        <v>0</v>
      </c>
      <c r="O282" s="90" t="b">
        <v>0</v>
      </c>
      <c r="P282" s="90" t="b">
        <v>1</v>
      </c>
    </row>
    <row r="283">
      <c r="A283" s="131">
        <f>IFERROR(__xludf.DUMMYFUNCTION("""COMPUTED_VALUE"""),1246.0)</f>
        <v>1246</v>
      </c>
      <c r="B283" s="131"/>
      <c r="C283" s="131">
        <f>IFERROR(__xludf.DUMMYFUNCTION("""COMPUTED_VALUE"""),1236.0)</f>
        <v>1236</v>
      </c>
      <c r="D283" s="131"/>
      <c r="E283" s="131" t="str">
        <f>IFERROR(__xludf.DUMMYFUNCTION("""COMPUTED_VALUE"""),"CALUALHATIAN")</f>
        <v>CALUALHATIAN</v>
      </c>
      <c r="F283" s="131" t="str">
        <f>IFERROR(__xludf.DUMMYFUNCTION("""COMPUTED_VALUE"""),"DAHNA")</f>
        <v>DAHNA</v>
      </c>
      <c r="G283" s="90" t="b">
        <v>0</v>
      </c>
      <c r="H283" s="90" t="b">
        <v>0</v>
      </c>
      <c r="I283" s="90" t="b">
        <v>0</v>
      </c>
      <c r="J283" s="90" t="b">
        <v>0</v>
      </c>
      <c r="K283" s="90" t="s">
        <v>4</v>
      </c>
      <c r="L283" s="90" t="b">
        <v>0</v>
      </c>
      <c r="M283" s="90" t="b">
        <v>0</v>
      </c>
      <c r="N283" s="90" t="b">
        <v>0</v>
      </c>
      <c r="O283" s="90" t="b">
        <v>0</v>
      </c>
      <c r="P283" s="90" t="b">
        <v>1</v>
      </c>
    </row>
    <row r="284">
      <c r="A284" s="131">
        <f>IFERROR(__xludf.DUMMYFUNCTION("""COMPUTED_VALUE"""),1247.0)</f>
        <v>1247</v>
      </c>
      <c r="B284" s="131"/>
      <c r="C284" s="131">
        <f>IFERROR(__xludf.DUMMYFUNCTION("""COMPUTED_VALUE"""),1236.0)</f>
        <v>1236</v>
      </c>
      <c r="D284" s="131"/>
      <c r="E284" s="131" t="str">
        <f>IFERROR(__xludf.DUMMYFUNCTION("""COMPUTED_VALUE"""),"SEXON")</f>
        <v>SEXON</v>
      </c>
      <c r="F284" s="131" t="str">
        <f>IFERROR(__xludf.DUMMYFUNCTION("""COMPUTED_VALUE"""),"MARILYN")</f>
        <v>MARILYN</v>
      </c>
      <c r="G284" s="90" t="b">
        <v>0</v>
      </c>
      <c r="H284" s="90" t="b">
        <v>0</v>
      </c>
      <c r="I284" s="90" t="b">
        <v>0</v>
      </c>
      <c r="J284" s="90" t="b">
        <v>0</v>
      </c>
      <c r="K284" s="90" t="s">
        <v>4</v>
      </c>
      <c r="L284" s="90" t="b">
        <v>0</v>
      </c>
      <c r="M284" s="90" t="b">
        <v>0</v>
      </c>
      <c r="N284" s="90" t="b">
        <v>0</v>
      </c>
      <c r="O284" s="90" t="b">
        <v>0</v>
      </c>
      <c r="P284" s="90" t="b">
        <v>1</v>
      </c>
    </row>
    <row r="285">
      <c r="A285" s="131">
        <f>IFERROR(__xludf.DUMMYFUNCTION("""COMPUTED_VALUE"""),1248.0)</f>
        <v>1248</v>
      </c>
      <c r="B285" s="131"/>
      <c r="C285" s="131">
        <f>IFERROR(__xludf.DUMMYFUNCTION("""COMPUTED_VALUE"""),1236.0)</f>
        <v>1236</v>
      </c>
      <c r="D285" s="131"/>
      <c r="E285" s="131" t="str">
        <f>IFERROR(__xludf.DUMMYFUNCTION("""COMPUTED_VALUE"""),"CALUALHATIAN")</f>
        <v>CALUALHATIAN</v>
      </c>
      <c r="F285" s="131" t="str">
        <f>IFERROR(__xludf.DUMMYFUNCTION("""COMPUTED_VALUE"""),"DANIKKA")</f>
        <v>DANIKKA</v>
      </c>
      <c r="G285" s="90" t="b">
        <v>0</v>
      </c>
      <c r="H285" s="90" t="b">
        <v>0</v>
      </c>
      <c r="I285" s="90" t="b">
        <v>0</v>
      </c>
      <c r="J285" s="90" t="b">
        <v>0</v>
      </c>
      <c r="K285" s="90" t="s">
        <v>4</v>
      </c>
      <c r="L285" s="90" t="b">
        <v>0</v>
      </c>
      <c r="M285" s="90" t="b">
        <v>0</v>
      </c>
      <c r="N285" s="90" t="b">
        <v>0</v>
      </c>
      <c r="O285" s="90" t="b">
        <v>0</v>
      </c>
      <c r="P285" s="90" t="b">
        <v>1</v>
      </c>
    </row>
    <row r="286">
      <c r="A286" s="131">
        <f>IFERROR(__xludf.DUMMYFUNCTION("""COMPUTED_VALUE"""),1249.0)</f>
        <v>1249</v>
      </c>
      <c r="B286" s="131"/>
      <c r="C286" s="131">
        <f>IFERROR(__xludf.DUMMYFUNCTION("""COMPUTED_VALUE"""),1236.0)</f>
        <v>1236</v>
      </c>
      <c r="D286" s="131"/>
      <c r="E286" s="131" t="str">
        <f>IFERROR(__xludf.DUMMYFUNCTION("""COMPUTED_VALUE"""),"CODILLA")</f>
        <v>CODILLA</v>
      </c>
      <c r="F286" s="131" t="str">
        <f>IFERROR(__xludf.DUMMYFUNCTION("""COMPUTED_VALUE"""),"CORY")</f>
        <v>CORY</v>
      </c>
      <c r="G286" s="90" t="b">
        <v>0</v>
      </c>
      <c r="H286" s="90" t="b">
        <v>0</v>
      </c>
      <c r="I286" s="90" t="b">
        <v>0</v>
      </c>
      <c r="J286" s="90" t="b">
        <v>0</v>
      </c>
      <c r="K286" s="90" t="s">
        <v>4</v>
      </c>
      <c r="L286" s="90" t="b">
        <v>0</v>
      </c>
      <c r="M286" s="90" t="b">
        <v>0</v>
      </c>
      <c r="N286" s="90" t="b">
        <v>0</v>
      </c>
      <c r="O286" s="90" t="b">
        <v>0</v>
      </c>
      <c r="P286" s="90" t="b">
        <v>1</v>
      </c>
    </row>
    <row r="287">
      <c r="A287" s="131">
        <f>IFERROR(__xludf.DUMMYFUNCTION("""COMPUTED_VALUE"""),1250.0)</f>
        <v>1250</v>
      </c>
      <c r="B287" s="131"/>
      <c r="C287" s="131">
        <f>IFERROR(__xludf.DUMMYFUNCTION("""COMPUTED_VALUE"""),1236.0)</f>
        <v>1236</v>
      </c>
      <c r="D287" s="131"/>
      <c r="E287" s="131" t="str">
        <f>IFERROR(__xludf.DUMMYFUNCTION("""COMPUTED_VALUE"""),"LANGITAN")</f>
        <v>LANGITAN</v>
      </c>
      <c r="F287" s="131" t="str">
        <f>IFERROR(__xludf.DUMMYFUNCTION("""COMPUTED_VALUE"""),"SARAH")</f>
        <v>SARAH</v>
      </c>
      <c r="G287" s="90" t="b">
        <v>0</v>
      </c>
      <c r="H287" s="90" t="b">
        <v>0</v>
      </c>
      <c r="I287" s="90" t="b">
        <v>0</v>
      </c>
      <c r="J287" s="90" t="b">
        <v>0</v>
      </c>
      <c r="K287" s="90" t="s">
        <v>4</v>
      </c>
      <c r="L287" s="90" t="b">
        <v>0</v>
      </c>
      <c r="M287" s="90" t="b">
        <v>0</v>
      </c>
      <c r="N287" s="90" t="b">
        <v>0</v>
      </c>
      <c r="O287" s="90" t="b">
        <v>0</v>
      </c>
      <c r="P287" s="90" t="b">
        <v>1</v>
      </c>
    </row>
    <row r="288">
      <c r="A288" s="131">
        <f>IFERROR(__xludf.DUMMYFUNCTION("""COMPUTED_VALUE"""),1251.0)</f>
        <v>1251</v>
      </c>
      <c r="B288" s="131"/>
      <c r="C288" s="131">
        <f>IFERROR(__xludf.DUMMYFUNCTION("""COMPUTED_VALUE"""),1236.0)</f>
        <v>1236</v>
      </c>
      <c r="D288" s="131"/>
      <c r="E288" s="131" t="str">
        <f>IFERROR(__xludf.DUMMYFUNCTION("""COMPUTED_VALUE"""),"LACONSAY")</f>
        <v>LACONSAY</v>
      </c>
      <c r="F288" s="131" t="str">
        <f>IFERROR(__xludf.DUMMYFUNCTION("""COMPUTED_VALUE"""),"MA. LOURDES")</f>
        <v>MA. LOURDES</v>
      </c>
      <c r="G288" s="90" t="b">
        <v>0</v>
      </c>
      <c r="H288" s="90" t="b">
        <v>0</v>
      </c>
      <c r="I288" s="90" t="b">
        <v>0</v>
      </c>
      <c r="J288" s="90" t="b">
        <v>0</v>
      </c>
      <c r="K288" s="90" t="s">
        <v>4</v>
      </c>
      <c r="L288" s="90" t="b">
        <v>0</v>
      </c>
      <c r="M288" s="90" t="b">
        <v>0</v>
      </c>
      <c r="N288" s="90" t="b">
        <v>0</v>
      </c>
      <c r="O288" s="90" t="b">
        <v>0</v>
      </c>
      <c r="P288" s="90" t="b">
        <v>1</v>
      </c>
    </row>
    <row r="289">
      <c r="A289" s="131">
        <f>IFERROR(__xludf.DUMMYFUNCTION("""COMPUTED_VALUE"""),1252.0)</f>
        <v>1252</v>
      </c>
      <c r="B289" s="131"/>
      <c r="C289" s="131">
        <f>IFERROR(__xludf.DUMMYFUNCTION("""COMPUTED_VALUE"""),1236.0)</f>
        <v>1236</v>
      </c>
      <c r="D289" s="131"/>
      <c r="E289" s="131" t="str">
        <f>IFERROR(__xludf.DUMMYFUNCTION("""COMPUTED_VALUE"""),"LACONSAY")</f>
        <v>LACONSAY</v>
      </c>
      <c r="F289" s="131" t="str">
        <f>IFERROR(__xludf.DUMMYFUNCTION("""COMPUTED_VALUE"""),"MA. ELENA")</f>
        <v>MA. ELENA</v>
      </c>
      <c r="G289" s="90" t="b">
        <v>0</v>
      </c>
      <c r="H289" s="90" t="b">
        <v>0</v>
      </c>
      <c r="I289" s="90" t="b">
        <v>0</v>
      </c>
      <c r="J289" s="90" t="b">
        <v>0</v>
      </c>
      <c r="K289" s="90" t="s">
        <v>4</v>
      </c>
      <c r="L289" s="90" t="b">
        <v>0</v>
      </c>
      <c r="M289" s="90" t="b">
        <v>0</v>
      </c>
      <c r="N289" s="90" t="b">
        <v>0</v>
      </c>
      <c r="O289" s="90" t="b">
        <v>0</v>
      </c>
      <c r="P289" s="90" t="b">
        <v>1</v>
      </c>
    </row>
    <row r="290">
      <c r="A290" s="131">
        <f>IFERROR(__xludf.DUMMYFUNCTION("""COMPUTED_VALUE"""),1253.0)</f>
        <v>1253</v>
      </c>
      <c r="B290" s="131"/>
      <c r="C290" s="131">
        <f>IFERROR(__xludf.DUMMYFUNCTION("""COMPUTED_VALUE"""),1236.0)</f>
        <v>1236</v>
      </c>
      <c r="D290" s="131"/>
      <c r="E290" s="131" t="str">
        <f>IFERROR(__xludf.DUMMYFUNCTION("""COMPUTED_VALUE"""),"MENOSO")</f>
        <v>MENOSO</v>
      </c>
      <c r="F290" s="131" t="str">
        <f>IFERROR(__xludf.DUMMYFUNCTION("""COMPUTED_VALUE"""),"DANICA")</f>
        <v>DANICA</v>
      </c>
      <c r="G290" s="90" t="b">
        <v>0</v>
      </c>
      <c r="H290" s="90" t="b">
        <v>0</v>
      </c>
      <c r="I290" s="90" t="b">
        <v>0</v>
      </c>
      <c r="J290" s="90" t="b">
        <v>0</v>
      </c>
      <c r="K290" s="90" t="s">
        <v>4</v>
      </c>
      <c r="L290" s="90" t="b">
        <v>0</v>
      </c>
      <c r="M290" s="90" t="b">
        <v>0</v>
      </c>
      <c r="N290" s="90" t="b">
        <v>0</v>
      </c>
      <c r="O290" s="90" t="b">
        <v>0</v>
      </c>
      <c r="P290" s="90" t="b">
        <v>1</v>
      </c>
    </row>
    <row r="291">
      <c r="A291" s="131">
        <f>IFERROR(__xludf.DUMMYFUNCTION("""COMPUTED_VALUE"""),1254.0)</f>
        <v>1254</v>
      </c>
      <c r="B291" s="131"/>
      <c r="C291" s="131">
        <f>IFERROR(__xludf.DUMMYFUNCTION("""COMPUTED_VALUE"""),1236.0)</f>
        <v>1236</v>
      </c>
      <c r="D291" s="131"/>
      <c r="E291" s="131"/>
      <c r="F291" s="131" t="str">
        <f>IFERROR(__xludf.DUMMYFUNCTION("""COMPUTED_VALUE"""),"AGNES")</f>
        <v>AGNES</v>
      </c>
      <c r="G291" s="90" t="b">
        <v>0</v>
      </c>
      <c r="H291" s="90" t="b">
        <v>0</v>
      </c>
      <c r="I291" s="90" t="b">
        <v>0</v>
      </c>
      <c r="J291" s="90" t="b">
        <v>0</v>
      </c>
      <c r="K291" s="90" t="s">
        <v>4</v>
      </c>
      <c r="L291" s="90" t="b">
        <v>0</v>
      </c>
      <c r="M291" s="90" t="b">
        <v>0</v>
      </c>
      <c r="N291" s="90" t="b">
        <v>0</v>
      </c>
      <c r="O291" s="90" t="b">
        <v>0</v>
      </c>
      <c r="P291" s="90" t="b">
        <v>1</v>
      </c>
    </row>
    <row r="292">
      <c r="A292" s="131"/>
      <c r="B292" s="131"/>
      <c r="C292" s="131"/>
      <c r="D292" s="131"/>
      <c r="E292" s="131"/>
      <c r="F292" s="131"/>
    </row>
    <row r="293">
      <c r="A293" s="131">
        <f>IFERROR(__xludf.DUMMYFUNCTION("""COMPUTED_VALUE"""),1255.0)</f>
        <v>1255</v>
      </c>
      <c r="B293" s="131"/>
      <c r="C293" s="131">
        <f>IFERROR(__xludf.DUMMYFUNCTION("""COMPUTED_VALUE"""),1255.0)</f>
        <v>1255</v>
      </c>
      <c r="D293" s="131" t="b">
        <f>IFERROR(__xludf.DUMMYFUNCTION("""COMPUTED_VALUE"""),TRUE)</f>
        <v>1</v>
      </c>
      <c r="E293" s="131" t="str">
        <f>IFERROR(__xludf.DUMMYFUNCTION("""COMPUTED_VALUE"""),"VERTODAZO")</f>
        <v>VERTODAZO</v>
      </c>
      <c r="F293" s="131" t="str">
        <f>IFERROR(__xludf.DUMMYFUNCTION("""COMPUTED_VALUE"""),"MONETH")</f>
        <v>MONETH</v>
      </c>
      <c r="H293" s="90" t="s">
        <v>4</v>
      </c>
      <c r="K293" s="90" t="s">
        <v>4</v>
      </c>
      <c r="P293" s="90" t="b">
        <v>1</v>
      </c>
    </row>
    <row r="294">
      <c r="A294" s="131">
        <f>IFERROR(__xludf.DUMMYFUNCTION("""COMPUTED_VALUE"""),1256.0)</f>
        <v>1256</v>
      </c>
      <c r="B294" s="131"/>
      <c r="C294" s="131">
        <f>IFERROR(__xludf.DUMMYFUNCTION("""COMPUTED_VALUE"""),1255.0)</f>
        <v>1255</v>
      </c>
      <c r="D294" s="131"/>
      <c r="E294" s="131" t="str">
        <f>IFERROR(__xludf.DUMMYFUNCTION("""COMPUTED_VALUE"""),"SOMERA")</f>
        <v>SOMERA</v>
      </c>
      <c r="F294" s="131" t="str">
        <f>IFERROR(__xludf.DUMMYFUNCTION("""COMPUTED_VALUE"""),"CHA")</f>
        <v>CHA</v>
      </c>
      <c r="G294" s="90" t="b">
        <v>0</v>
      </c>
      <c r="H294" s="90" t="s">
        <v>4</v>
      </c>
      <c r="I294" s="90" t="b">
        <v>0</v>
      </c>
      <c r="J294" s="90" t="b">
        <v>0</v>
      </c>
      <c r="K294" s="90" t="s">
        <v>4</v>
      </c>
      <c r="L294" s="90" t="b">
        <v>0</v>
      </c>
      <c r="M294" s="90" t="b">
        <v>0</v>
      </c>
      <c r="N294" s="90" t="b">
        <v>0</v>
      </c>
      <c r="O294" s="90" t="b">
        <v>0</v>
      </c>
      <c r="P294" s="90" t="b">
        <v>1</v>
      </c>
    </row>
    <row r="295">
      <c r="A295" s="131">
        <f>IFERROR(__xludf.DUMMYFUNCTION("""COMPUTED_VALUE"""),1257.0)</f>
        <v>1257</v>
      </c>
      <c r="B295" s="131"/>
      <c r="C295" s="131">
        <f>IFERROR(__xludf.DUMMYFUNCTION("""COMPUTED_VALUE"""),1255.0)</f>
        <v>1255</v>
      </c>
      <c r="D295" s="131"/>
      <c r="E295" s="131" t="str">
        <f>IFERROR(__xludf.DUMMYFUNCTION("""COMPUTED_VALUE"""),"MAGDUAY")</f>
        <v>MAGDUAY</v>
      </c>
      <c r="F295" s="131" t="str">
        <f>IFERROR(__xludf.DUMMYFUNCTION("""COMPUTED_VALUE"""),"HEIDEE")</f>
        <v>HEIDEE</v>
      </c>
      <c r="G295" s="90" t="b">
        <v>0</v>
      </c>
      <c r="H295" s="90" t="s">
        <v>4</v>
      </c>
      <c r="I295" s="90" t="b">
        <v>0</v>
      </c>
      <c r="J295" s="90" t="b">
        <v>0</v>
      </c>
      <c r="K295" s="90" t="s">
        <v>6</v>
      </c>
      <c r="L295" s="90" t="b">
        <v>0</v>
      </c>
      <c r="M295" s="90" t="b">
        <v>0</v>
      </c>
      <c r="N295" s="90" t="b">
        <v>0</v>
      </c>
      <c r="O295" s="90" t="b">
        <v>0</v>
      </c>
      <c r="P295" s="90" t="b">
        <v>0</v>
      </c>
    </row>
    <row r="296">
      <c r="A296" s="131">
        <f>IFERROR(__xludf.DUMMYFUNCTION("""COMPUTED_VALUE"""),1258.0)</f>
        <v>1258</v>
      </c>
      <c r="B296" s="131"/>
      <c r="C296" s="131">
        <f>IFERROR(__xludf.DUMMYFUNCTION("""COMPUTED_VALUE"""),1255.0)</f>
        <v>1255</v>
      </c>
      <c r="D296" s="131"/>
      <c r="E296" s="131" t="str">
        <f>IFERROR(__xludf.DUMMYFUNCTION("""COMPUTED_VALUE"""),"TANDUL")</f>
        <v>TANDUL</v>
      </c>
      <c r="F296" s="131" t="str">
        <f>IFERROR(__xludf.DUMMYFUNCTION("""COMPUTED_VALUE"""),"RAQUEL")</f>
        <v>RAQUEL</v>
      </c>
      <c r="G296" s="90" t="b">
        <v>0</v>
      </c>
      <c r="H296" s="90" t="s">
        <v>4</v>
      </c>
      <c r="I296" s="90" t="b">
        <v>0</v>
      </c>
      <c r="J296" s="90" t="b">
        <v>0</v>
      </c>
      <c r="K296" s="90" t="s">
        <v>6</v>
      </c>
      <c r="L296" s="90" t="b">
        <v>0</v>
      </c>
      <c r="M296" s="90" t="b">
        <v>0</v>
      </c>
      <c r="N296" s="90" t="b">
        <v>0</v>
      </c>
      <c r="O296" s="90" t="b">
        <v>0</v>
      </c>
      <c r="P296" s="90" t="b">
        <v>0</v>
      </c>
    </row>
    <row r="297">
      <c r="A297" s="131">
        <f>IFERROR(__xludf.DUMMYFUNCTION("""COMPUTED_VALUE"""),1259.0)</f>
        <v>1259</v>
      </c>
      <c r="B297" s="131"/>
      <c r="C297" s="131">
        <f>IFERROR(__xludf.DUMMYFUNCTION("""COMPUTED_VALUE"""),1255.0)</f>
        <v>1255</v>
      </c>
      <c r="D297" s="131"/>
      <c r="E297" s="131" t="str">
        <f>IFERROR(__xludf.DUMMYFUNCTION("""COMPUTED_VALUE"""),"ARTICULO")</f>
        <v>ARTICULO</v>
      </c>
      <c r="F297" s="131" t="str">
        <f>IFERROR(__xludf.DUMMYFUNCTION("""COMPUTED_VALUE"""),"LEILA M.")</f>
        <v>LEILA M.</v>
      </c>
      <c r="G297" s="90" t="b">
        <v>0</v>
      </c>
      <c r="H297" s="90" t="b">
        <v>0</v>
      </c>
      <c r="I297" s="90" t="b">
        <v>0</v>
      </c>
      <c r="J297" s="90" t="b">
        <v>0</v>
      </c>
      <c r="K297" s="90" t="s">
        <v>4</v>
      </c>
      <c r="L297" s="90" t="b">
        <v>0</v>
      </c>
      <c r="M297" s="90" t="b">
        <v>0</v>
      </c>
      <c r="N297" s="90" t="b">
        <v>0</v>
      </c>
      <c r="O297" s="90" t="b">
        <v>0</v>
      </c>
      <c r="P297" s="90" t="b">
        <v>1</v>
      </c>
    </row>
    <row r="298">
      <c r="A298" s="131">
        <f>IFERROR(__xludf.DUMMYFUNCTION("""COMPUTED_VALUE"""),1260.0)</f>
        <v>1260</v>
      </c>
      <c r="B298" s="131"/>
      <c r="C298" s="131">
        <f>IFERROR(__xludf.DUMMYFUNCTION("""COMPUTED_VALUE"""),1255.0)</f>
        <v>1255</v>
      </c>
      <c r="D298" s="131"/>
      <c r="E298" s="131" t="str">
        <f>IFERROR(__xludf.DUMMYFUNCTION("""COMPUTED_VALUE"""),"BALDONADO")</f>
        <v>BALDONADO</v>
      </c>
      <c r="F298" s="131" t="str">
        <f>IFERROR(__xludf.DUMMYFUNCTION("""COMPUTED_VALUE"""),"JULIETA")</f>
        <v>JULIETA</v>
      </c>
      <c r="G298" s="90" t="b">
        <v>0</v>
      </c>
      <c r="H298" s="90" t="s">
        <v>4</v>
      </c>
      <c r="I298" s="90" t="b">
        <v>0</v>
      </c>
      <c r="J298" s="90" t="b">
        <v>0</v>
      </c>
      <c r="K298" s="90" t="s">
        <v>4</v>
      </c>
      <c r="L298" s="90" t="b">
        <v>0</v>
      </c>
      <c r="M298" s="90" t="b">
        <v>0</v>
      </c>
      <c r="N298" s="90" t="b">
        <v>0</v>
      </c>
      <c r="O298" s="90" t="b">
        <v>0</v>
      </c>
      <c r="P298" s="90" t="b">
        <v>1</v>
      </c>
    </row>
    <row r="299">
      <c r="A299" s="131">
        <f>IFERROR(__xludf.DUMMYFUNCTION("""COMPUTED_VALUE"""),1261.0)</f>
        <v>1261</v>
      </c>
      <c r="B299" s="131"/>
      <c r="C299" s="131">
        <f>IFERROR(__xludf.DUMMYFUNCTION("""COMPUTED_VALUE"""),1255.0)</f>
        <v>1255</v>
      </c>
      <c r="D299" s="131"/>
      <c r="E299" s="131" t="str">
        <f>IFERROR(__xludf.DUMMYFUNCTION("""COMPUTED_VALUE"""),"CARLOS")</f>
        <v>CARLOS</v>
      </c>
      <c r="F299" s="131" t="str">
        <f>IFERROR(__xludf.DUMMYFUNCTION("""COMPUTED_VALUE"""),"ANTONETTE M.")</f>
        <v>ANTONETTE M.</v>
      </c>
      <c r="G299" s="90" t="b">
        <v>0</v>
      </c>
      <c r="H299" s="90" t="s">
        <v>4</v>
      </c>
      <c r="I299" s="90" t="b">
        <v>0</v>
      </c>
      <c r="J299" s="90" t="b">
        <v>0</v>
      </c>
      <c r="K299" s="90" t="s">
        <v>4</v>
      </c>
      <c r="L299" s="90" t="b">
        <v>0</v>
      </c>
      <c r="M299" s="90" t="b">
        <v>0</v>
      </c>
      <c r="N299" s="90" t="b">
        <v>0</v>
      </c>
      <c r="O299" s="90" t="b">
        <v>0</v>
      </c>
      <c r="P299" s="90" t="b">
        <v>1</v>
      </c>
    </row>
    <row r="300">
      <c r="A300" s="131">
        <f>IFERROR(__xludf.DUMMYFUNCTION("""COMPUTED_VALUE"""),1262.0)</f>
        <v>1262</v>
      </c>
      <c r="B300" s="131"/>
      <c r="C300" s="131">
        <f>IFERROR(__xludf.DUMMYFUNCTION("""COMPUTED_VALUE"""),1255.0)</f>
        <v>1255</v>
      </c>
      <c r="D300" s="131"/>
      <c r="E300" s="131" t="str">
        <f>IFERROR(__xludf.DUMMYFUNCTION("""COMPUTED_VALUE"""),"INCARNATION")</f>
        <v>INCARNATION</v>
      </c>
      <c r="F300" s="131" t="str">
        <f>IFERROR(__xludf.DUMMYFUNCTION("""COMPUTED_VALUE"""),"LUCILA")</f>
        <v>LUCILA</v>
      </c>
      <c r="G300" s="90" t="b">
        <v>0</v>
      </c>
      <c r="H300" s="90" t="s">
        <v>4</v>
      </c>
      <c r="I300" s="90" t="b">
        <v>0</v>
      </c>
      <c r="J300" s="90" t="b">
        <v>0</v>
      </c>
      <c r="K300" s="90" t="s">
        <v>4</v>
      </c>
      <c r="L300" s="90" t="b">
        <v>0</v>
      </c>
      <c r="M300" s="90" t="b">
        <v>0</v>
      </c>
      <c r="N300" s="90" t="b">
        <v>0</v>
      </c>
      <c r="O300" s="90" t="b">
        <v>0</v>
      </c>
      <c r="P300" s="90" t="b">
        <v>1</v>
      </c>
    </row>
    <row r="301">
      <c r="A301" s="131">
        <f>IFERROR(__xludf.DUMMYFUNCTION("""COMPUTED_VALUE"""),1263.0)</f>
        <v>1263</v>
      </c>
      <c r="B301" s="131"/>
      <c r="C301" s="131">
        <f>IFERROR(__xludf.DUMMYFUNCTION("""COMPUTED_VALUE"""),1255.0)</f>
        <v>1255</v>
      </c>
      <c r="D301" s="131"/>
      <c r="E301" s="131" t="str">
        <f>IFERROR(__xludf.DUMMYFUNCTION("""COMPUTED_VALUE"""),"MAGAT")</f>
        <v>MAGAT</v>
      </c>
      <c r="F301" s="131" t="str">
        <f>IFERROR(__xludf.DUMMYFUNCTION("""COMPUTED_VALUE"""),"SYLVIA")</f>
        <v>SYLVIA</v>
      </c>
      <c r="G301" s="90" t="b">
        <v>0</v>
      </c>
      <c r="H301" s="90" t="s">
        <v>4</v>
      </c>
      <c r="I301" s="90" t="b">
        <v>0</v>
      </c>
      <c r="J301" s="90" t="b">
        <v>0</v>
      </c>
      <c r="K301" s="90" t="s">
        <v>4</v>
      </c>
      <c r="L301" s="90" t="b">
        <v>0</v>
      </c>
      <c r="M301" s="90" t="b">
        <v>0</v>
      </c>
      <c r="N301" s="90" t="b">
        <v>0</v>
      </c>
      <c r="O301" s="90" t="b">
        <v>0</v>
      </c>
      <c r="P301" s="90" t="b">
        <v>1</v>
      </c>
    </row>
    <row r="302">
      <c r="A302" s="131">
        <f>IFERROR(__xludf.DUMMYFUNCTION("""COMPUTED_VALUE"""),1264.0)</f>
        <v>1264</v>
      </c>
      <c r="B302" s="131"/>
      <c r="C302" s="131">
        <f>IFERROR(__xludf.DUMMYFUNCTION("""COMPUTED_VALUE"""),1255.0)</f>
        <v>1255</v>
      </c>
      <c r="D302" s="131"/>
      <c r="E302" s="131" t="str">
        <f>IFERROR(__xludf.DUMMYFUNCTION("""COMPUTED_VALUE"""),"MAGAT")</f>
        <v>MAGAT</v>
      </c>
      <c r="F302" s="131" t="str">
        <f>IFERROR(__xludf.DUMMYFUNCTION("""COMPUTED_VALUE"""),"JOSEPHINA")</f>
        <v>JOSEPHINA</v>
      </c>
      <c r="G302" s="90" t="b">
        <v>0</v>
      </c>
      <c r="H302" s="90" t="s">
        <v>4</v>
      </c>
      <c r="I302" s="90" t="b">
        <v>0</v>
      </c>
      <c r="J302" s="90" t="b">
        <v>0</v>
      </c>
      <c r="K302" s="90" t="s">
        <v>4</v>
      </c>
      <c r="L302" s="90" t="b">
        <v>0</v>
      </c>
      <c r="M302" s="90" t="b">
        <v>0</v>
      </c>
      <c r="N302" s="90" t="b">
        <v>0</v>
      </c>
      <c r="O302" s="90" t="b">
        <v>0</v>
      </c>
      <c r="P302" s="90" t="b">
        <v>1</v>
      </c>
    </row>
    <row r="303">
      <c r="A303" s="131">
        <f>IFERROR(__xludf.DUMMYFUNCTION("""COMPUTED_VALUE"""),1265.0)</f>
        <v>1265</v>
      </c>
      <c r="B303" s="131"/>
      <c r="C303" s="131">
        <f>IFERROR(__xludf.DUMMYFUNCTION("""COMPUTED_VALUE"""),1255.0)</f>
        <v>1255</v>
      </c>
      <c r="D303" s="131"/>
      <c r="E303" s="131" t="str">
        <f>IFERROR(__xludf.DUMMYFUNCTION("""COMPUTED_VALUE"""),"VILLARTA")</f>
        <v>VILLARTA</v>
      </c>
      <c r="F303" s="131" t="str">
        <f>IFERROR(__xludf.DUMMYFUNCTION("""COMPUTED_VALUE"""),"JESSICA")</f>
        <v>JESSICA</v>
      </c>
      <c r="G303" s="90" t="b">
        <v>0</v>
      </c>
      <c r="H303" s="90" t="b">
        <v>0</v>
      </c>
      <c r="I303" s="90" t="b">
        <v>0</v>
      </c>
      <c r="J303" s="90" t="b">
        <v>0</v>
      </c>
      <c r="K303" s="90" t="s">
        <v>4</v>
      </c>
      <c r="L303" s="90" t="b">
        <v>0</v>
      </c>
      <c r="M303" s="90" t="b">
        <v>0</v>
      </c>
      <c r="N303" s="90" t="b">
        <v>0</v>
      </c>
      <c r="O303" s="90" t="b">
        <v>0</v>
      </c>
      <c r="P303" s="90" t="b">
        <v>1</v>
      </c>
    </row>
    <row r="304">
      <c r="A304" s="131">
        <f>IFERROR(__xludf.DUMMYFUNCTION("""COMPUTED_VALUE"""),1266.0)</f>
        <v>1266</v>
      </c>
      <c r="B304" s="131"/>
      <c r="C304" s="131">
        <f>IFERROR(__xludf.DUMMYFUNCTION("""COMPUTED_VALUE"""),1255.0)</f>
        <v>1255</v>
      </c>
      <c r="D304" s="131"/>
      <c r="E304" s="131" t="str">
        <f>IFERROR(__xludf.DUMMYFUNCTION("""COMPUTED_VALUE"""),"MORAL")</f>
        <v>MORAL</v>
      </c>
      <c r="F304" s="131" t="str">
        <f>IFERROR(__xludf.DUMMYFUNCTION("""COMPUTED_VALUE"""),"LUCHELLE")</f>
        <v>LUCHELLE</v>
      </c>
      <c r="G304" s="90" t="b">
        <v>0</v>
      </c>
      <c r="H304" s="90" t="s">
        <v>4</v>
      </c>
      <c r="I304" s="90" t="b">
        <v>0</v>
      </c>
      <c r="J304" s="90" t="b">
        <v>0</v>
      </c>
      <c r="K304" s="90" t="s">
        <v>4</v>
      </c>
      <c r="L304" s="90" t="b">
        <v>0</v>
      </c>
      <c r="M304" s="90" t="b">
        <v>0</v>
      </c>
      <c r="N304" s="90" t="b">
        <v>0</v>
      </c>
      <c r="O304" s="90" t="b">
        <v>0</v>
      </c>
      <c r="P304" s="90" t="b">
        <v>1</v>
      </c>
    </row>
    <row r="305">
      <c r="A305" s="131">
        <f>IFERROR(__xludf.DUMMYFUNCTION("""COMPUTED_VALUE"""),1267.0)</f>
        <v>1267</v>
      </c>
      <c r="B305" s="131"/>
      <c r="C305" s="131">
        <f>IFERROR(__xludf.DUMMYFUNCTION("""COMPUTED_VALUE"""),1255.0)</f>
        <v>1255</v>
      </c>
      <c r="D305" s="131"/>
      <c r="E305" s="131" t="str">
        <f>IFERROR(__xludf.DUMMYFUNCTION("""COMPUTED_VALUE"""),"BRUSOLA")</f>
        <v>BRUSOLA</v>
      </c>
      <c r="F305" s="131" t="str">
        <f>IFERROR(__xludf.DUMMYFUNCTION("""COMPUTED_VALUE"""),"MERLY")</f>
        <v>MERLY</v>
      </c>
      <c r="G305" s="90" t="b">
        <v>0</v>
      </c>
      <c r="H305" s="90" t="s">
        <v>4</v>
      </c>
      <c r="I305" s="90" t="b">
        <v>0</v>
      </c>
      <c r="J305" s="90" t="b">
        <v>0</v>
      </c>
      <c r="K305" s="90" t="b">
        <v>0</v>
      </c>
      <c r="L305" s="90" t="b">
        <v>0</v>
      </c>
      <c r="M305" s="90" t="b">
        <v>0</v>
      </c>
      <c r="N305" s="90" t="b">
        <v>0</v>
      </c>
      <c r="O305" s="90" t="b">
        <v>0</v>
      </c>
      <c r="P305" s="90" t="b">
        <v>0</v>
      </c>
    </row>
    <row r="306">
      <c r="A306" s="131">
        <f>IFERROR(__xludf.DUMMYFUNCTION("""COMPUTED_VALUE"""),1268.0)</f>
        <v>1268</v>
      </c>
      <c r="B306" s="131"/>
      <c r="C306" s="131">
        <f>IFERROR(__xludf.DUMMYFUNCTION("""COMPUTED_VALUE"""),1255.0)</f>
        <v>1255</v>
      </c>
      <c r="D306" s="131"/>
      <c r="E306" s="131" t="str">
        <f>IFERROR(__xludf.DUMMYFUNCTION("""COMPUTED_VALUE"""),"TARINAY")</f>
        <v>TARINAY</v>
      </c>
      <c r="F306" s="131" t="str">
        <f>IFERROR(__xludf.DUMMYFUNCTION("""COMPUTED_VALUE"""),"MARILYN")</f>
        <v>MARILYN</v>
      </c>
      <c r="G306" s="90" t="b">
        <v>0</v>
      </c>
      <c r="H306" s="90" t="s">
        <v>4</v>
      </c>
      <c r="I306" s="90" t="b">
        <v>0</v>
      </c>
      <c r="J306" s="90" t="b">
        <v>0</v>
      </c>
      <c r="K306" s="90" t="b">
        <v>0</v>
      </c>
      <c r="L306" s="90" t="b">
        <v>0</v>
      </c>
      <c r="M306" s="90" t="b">
        <v>0</v>
      </c>
      <c r="N306" s="90" t="b">
        <v>0</v>
      </c>
      <c r="O306" s="90" t="b">
        <v>0</v>
      </c>
      <c r="P306" s="90" t="b">
        <v>0</v>
      </c>
    </row>
    <row r="307">
      <c r="A307" s="131">
        <f>IFERROR(__xludf.DUMMYFUNCTION("""COMPUTED_VALUE"""),1269.0)</f>
        <v>1269</v>
      </c>
      <c r="B307" s="131"/>
      <c r="C307" s="131">
        <f>IFERROR(__xludf.DUMMYFUNCTION("""COMPUTED_VALUE"""),1255.0)</f>
        <v>1255</v>
      </c>
      <c r="D307" s="131"/>
      <c r="E307" s="131" t="str">
        <f>IFERROR(__xludf.DUMMYFUNCTION("""COMPUTED_VALUE"""),"VARGAS")</f>
        <v>VARGAS</v>
      </c>
      <c r="F307" s="131" t="str">
        <f>IFERROR(__xludf.DUMMYFUNCTION("""COMPUTED_VALUE"""),"VILMA")</f>
        <v>VILMA</v>
      </c>
      <c r="G307" s="90" t="b">
        <v>0</v>
      </c>
      <c r="H307" s="90" t="s">
        <v>4</v>
      </c>
      <c r="I307" s="90" t="b">
        <v>0</v>
      </c>
      <c r="J307" s="90" t="b">
        <v>0</v>
      </c>
      <c r="K307" s="90" t="b">
        <v>0</v>
      </c>
      <c r="L307" s="90" t="b">
        <v>0</v>
      </c>
      <c r="M307" s="90" t="b">
        <v>0</v>
      </c>
      <c r="N307" s="90" t="b">
        <v>0</v>
      </c>
      <c r="O307" s="90" t="b">
        <v>0</v>
      </c>
      <c r="P307" s="90" t="b">
        <v>0</v>
      </c>
    </row>
    <row r="308">
      <c r="A308" s="131">
        <f>IFERROR(__xludf.DUMMYFUNCTION("""COMPUTED_VALUE"""),1270.0)</f>
        <v>1270</v>
      </c>
      <c r="B308" s="131"/>
      <c r="C308" s="131">
        <f>IFERROR(__xludf.DUMMYFUNCTION("""COMPUTED_VALUE"""),1255.0)</f>
        <v>1255</v>
      </c>
      <c r="D308" s="131"/>
      <c r="E308" s="131" t="str">
        <f>IFERROR(__xludf.DUMMYFUNCTION("""COMPUTED_VALUE"""),"GAPAS")</f>
        <v>GAPAS</v>
      </c>
      <c r="F308" s="131" t="str">
        <f>IFERROR(__xludf.DUMMYFUNCTION("""COMPUTED_VALUE"""),"EDITH")</f>
        <v>EDITH</v>
      </c>
      <c r="G308" s="90" t="b">
        <v>0</v>
      </c>
      <c r="H308" s="90" t="s">
        <v>4</v>
      </c>
      <c r="I308" s="90" t="b">
        <v>0</v>
      </c>
      <c r="J308" s="90" t="b">
        <v>0</v>
      </c>
      <c r="K308" s="90" t="b">
        <v>0</v>
      </c>
      <c r="L308" s="90" t="b">
        <v>0</v>
      </c>
      <c r="M308" s="90" t="b">
        <v>0</v>
      </c>
      <c r="N308" s="90" t="b">
        <v>0</v>
      </c>
      <c r="O308" s="90" t="b">
        <v>0</v>
      </c>
      <c r="P308" s="90" t="b">
        <v>0</v>
      </c>
    </row>
    <row r="309">
      <c r="A309" s="131">
        <f>IFERROR(__xludf.DUMMYFUNCTION("""COMPUTED_VALUE"""),1271.0)</f>
        <v>1271</v>
      </c>
      <c r="B309" s="131"/>
      <c r="C309" s="131">
        <f>IFERROR(__xludf.DUMMYFUNCTION("""COMPUTED_VALUE"""),1255.0)</f>
        <v>1255</v>
      </c>
      <c r="D309" s="131"/>
      <c r="E309" s="131" t="str">
        <f>IFERROR(__xludf.DUMMYFUNCTION("""COMPUTED_VALUE"""),"PACHECO")</f>
        <v>PACHECO</v>
      </c>
      <c r="F309" s="131" t="str">
        <f>IFERROR(__xludf.DUMMYFUNCTION("""COMPUTED_VALUE"""),"CAROLINE")</f>
        <v>CAROLINE</v>
      </c>
      <c r="G309" s="90" t="b">
        <v>0</v>
      </c>
      <c r="H309" s="90" t="s">
        <v>4</v>
      </c>
      <c r="I309" s="90" t="b">
        <v>0</v>
      </c>
      <c r="J309" s="90" t="b">
        <v>0</v>
      </c>
      <c r="K309" s="90" t="b">
        <v>0</v>
      </c>
      <c r="L309" s="90" t="b">
        <v>0</v>
      </c>
      <c r="M309" s="90" t="b">
        <v>0</v>
      </c>
      <c r="N309" s="90" t="b">
        <v>0</v>
      </c>
      <c r="O309" s="90" t="b">
        <v>0</v>
      </c>
      <c r="P309" s="90" t="b">
        <v>0</v>
      </c>
    </row>
    <row r="310">
      <c r="A310" s="131">
        <f>IFERROR(__xludf.DUMMYFUNCTION("""COMPUTED_VALUE"""),1272.0)</f>
        <v>1272</v>
      </c>
      <c r="B310" s="131"/>
      <c r="C310" s="131">
        <f>IFERROR(__xludf.DUMMYFUNCTION("""COMPUTED_VALUE"""),1255.0)</f>
        <v>1255</v>
      </c>
      <c r="D310" s="131"/>
      <c r="E310" s="131" t="str">
        <f>IFERROR(__xludf.DUMMYFUNCTION("""COMPUTED_VALUE"""),"BACOSA")</f>
        <v>BACOSA</v>
      </c>
      <c r="F310" s="131" t="str">
        <f>IFERROR(__xludf.DUMMYFUNCTION("""COMPUTED_VALUE"""),"MAIDA")</f>
        <v>MAIDA</v>
      </c>
      <c r="G310" s="90" t="b">
        <v>0</v>
      </c>
      <c r="H310" s="90" t="s">
        <v>4</v>
      </c>
      <c r="I310" s="90" t="b">
        <v>0</v>
      </c>
      <c r="J310" s="90" t="b">
        <v>0</v>
      </c>
      <c r="K310" s="90" t="b">
        <v>0</v>
      </c>
      <c r="L310" s="90" t="b">
        <v>0</v>
      </c>
      <c r="M310" s="90" t="b">
        <v>0</v>
      </c>
      <c r="N310" s="90" t="b">
        <v>0</v>
      </c>
      <c r="O310" s="90" t="b">
        <v>0</v>
      </c>
      <c r="P310" s="90" t="b">
        <v>0</v>
      </c>
    </row>
    <row r="311">
      <c r="A311" s="131">
        <f>IFERROR(__xludf.DUMMYFUNCTION("""COMPUTED_VALUE"""),1273.0)</f>
        <v>1273</v>
      </c>
      <c r="B311" s="131"/>
      <c r="C311" s="131">
        <f>IFERROR(__xludf.DUMMYFUNCTION("""COMPUTED_VALUE"""),1255.0)</f>
        <v>1255</v>
      </c>
      <c r="D311" s="131"/>
      <c r="E311" s="131" t="str">
        <f>IFERROR(__xludf.DUMMYFUNCTION("""COMPUTED_VALUE"""),"LIM")</f>
        <v>LIM</v>
      </c>
      <c r="F311" s="131" t="str">
        <f>IFERROR(__xludf.DUMMYFUNCTION("""COMPUTED_VALUE"""),"LANIE")</f>
        <v>LANIE</v>
      </c>
      <c r="G311" s="90" t="b">
        <v>0</v>
      </c>
      <c r="H311" s="90" t="s">
        <v>4</v>
      </c>
      <c r="I311" s="90" t="b">
        <v>0</v>
      </c>
      <c r="J311" s="90" t="b">
        <v>0</v>
      </c>
      <c r="K311" s="90" t="b">
        <v>0</v>
      </c>
      <c r="L311" s="90" t="b">
        <v>0</v>
      </c>
      <c r="M311" s="90" t="b">
        <v>0</v>
      </c>
      <c r="N311" s="90" t="b">
        <v>0</v>
      </c>
      <c r="O311" s="90" t="b">
        <v>0</v>
      </c>
      <c r="P311" s="90" t="b">
        <v>0</v>
      </c>
    </row>
    <row r="312">
      <c r="A312" s="131">
        <f>IFERROR(__xludf.DUMMYFUNCTION("""COMPUTED_VALUE"""),1274.0)</f>
        <v>1274</v>
      </c>
      <c r="B312" s="131"/>
      <c r="C312" s="131">
        <f>IFERROR(__xludf.DUMMYFUNCTION("""COMPUTED_VALUE"""),1255.0)</f>
        <v>1255</v>
      </c>
      <c r="D312" s="131"/>
      <c r="E312" s="131" t="str">
        <f>IFERROR(__xludf.DUMMYFUNCTION("""COMPUTED_VALUE"""),"DELA VEGA")</f>
        <v>DELA VEGA</v>
      </c>
      <c r="F312" s="131" t="str">
        <f>IFERROR(__xludf.DUMMYFUNCTION("""COMPUTED_VALUE"""),"MAVIC")</f>
        <v>MAVIC</v>
      </c>
      <c r="G312" s="90" t="b">
        <v>0</v>
      </c>
      <c r="H312" s="90" t="s">
        <v>4</v>
      </c>
      <c r="I312" s="90" t="b">
        <v>0</v>
      </c>
      <c r="J312" s="90" t="b">
        <v>0</v>
      </c>
      <c r="K312" s="90" t="b">
        <v>0</v>
      </c>
      <c r="L312" s="90" t="b">
        <v>0</v>
      </c>
      <c r="M312" s="90" t="b">
        <v>0</v>
      </c>
      <c r="N312" s="90" t="b">
        <v>0</v>
      </c>
      <c r="O312" s="90" t="b">
        <v>0</v>
      </c>
      <c r="P312" s="90" t="b">
        <v>0</v>
      </c>
    </row>
    <row r="313">
      <c r="A313" s="131">
        <f>IFERROR(__xludf.DUMMYFUNCTION("""COMPUTED_VALUE"""),1275.0)</f>
        <v>1275</v>
      </c>
      <c r="B313" s="131"/>
      <c r="C313" s="131">
        <f>IFERROR(__xludf.DUMMYFUNCTION("""COMPUTED_VALUE"""),1255.0)</f>
        <v>1255</v>
      </c>
      <c r="D313" s="131"/>
      <c r="E313" s="131"/>
      <c r="F313" s="131" t="str">
        <f>IFERROR(__xludf.DUMMYFUNCTION("""COMPUTED_VALUE"""),"MILA M.")</f>
        <v>MILA M.</v>
      </c>
      <c r="G313" s="90" t="b">
        <v>0</v>
      </c>
      <c r="H313" s="90" t="b">
        <v>0</v>
      </c>
      <c r="I313" s="90" t="b">
        <v>0</v>
      </c>
      <c r="J313" s="90" t="b">
        <v>0</v>
      </c>
      <c r="K313" s="90" t="b">
        <v>0</v>
      </c>
      <c r="L313" s="90" t="b">
        <v>0</v>
      </c>
      <c r="M313" s="90" t="b">
        <v>0</v>
      </c>
      <c r="N313" s="90" t="b">
        <v>0</v>
      </c>
      <c r="O313" s="90" t="b">
        <v>0</v>
      </c>
      <c r="P313" s="90" t="b">
        <v>0</v>
      </c>
    </row>
    <row r="314">
      <c r="A314" s="131">
        <f>IFERROR(__xludf.DUMMYFUNCTION("""COMPUTED_VALUE"""),1276.0)</f>
        <v>1276</v>
      </c>
      <c r="B314" s="131"/>
      <c r="C314" s="131">
        <f>IFERROR(__xludf.DUMMYFUNCTION("""COMPUTED_VALUE"""),1230.0)</f>
        <v>1230</v>
      </c>
      <c r="D314" s="131"/>
      <c r="E314" s="131" t="str">
        <f>IFERROR(__xludf.DUMMYFUNCTION("""COMPUTED_VALUE"""),"TANDUL")</f>
        <v>TANDUL</v>
      </c>
      <c r="F314" s="131" t="str">
        <f>IFERROR(__xludf.DUMMYFUNCTION("""COMPUTED_VALUE"""),"ED")</f>
        <v>ED</v>
      </c>
      <c r="G314" s="90" t="b">
        <v>0</v>
      </c>
      <c r="H314" s="90" t="s">
        <v>4</v>
      </c>
      <c r="I314" s="90" t="b">
        <v>0</v>
      </c>
      <c r="J314" s="90" t="b">
        <v>0</v>
      </c>
      <c r="K314" s="90" t="b">
        <v>0</v>
      </c>
      <c r="L314" s="90" t="b">
        <v>0</v>
      </c>
      <c r="M314" s="90" t="b">
        <v>0</v>
      </c>
      <c r="N314" s="90" t="b">
        <v>0</v>
      </c>
      <c r="O314" s="90" t="b">
        <v>0</v>
      </c>
      <c r="P314" s="90" t="b">
        <v>0</v>
      </c>
    </row>
    <row r="315">
      <c r="A315" s="131">
        <f>IFERROR(__xludf.DUMMYFUNCTION("""COMPUTED_VALUE"""),1277.0)</f>
        <v>1277</v>
      </c>
      <c r="B315" s="131"/>
      <c r="C315" s="131">
        <f>IFERROR(__xludf.DUMMYFUNCTION("""COMPUTED_VALUE"""),1230.0)</f>
        <v>1230</v>
      </c>
      <c r="D315" s="131"/>
      <c r="E315" s="131" t="str">
        <f>IFERROR(__xludf.DUMMYFUNCTION("""COMPUTED_VALUE"""),"VILLA")</f>
        <v>VILLA</v>
      </c>
      <c r="F315" s="131" t="str">
        <f>IFERROR(__xludf.DUMMYFUNCTION("""COMPUTED_VALUE"""),"EDWARD")</f>
        <v>EDWARD</v>
      </c>
      <c r="G315" s="90" t="b">
        <v>0</v>
      </c>
      <c r="H315" s="90" t="s">
        <v>4</v>
      </c>
      <c r="I315" s="90" t="b">
        <v>0</v>
      </c>
      <c r="J315" s="90" t="b">
        <v>0</v>
      </c>
      <c r="K315" s="90" t="b">
        <v>0</v>
      </c>
      <c r="L315" s="90" t="b">
        <v>0</v>
      </c>
      <c r="M315" s="90" t="b">
        <v>0</v>
      </c>
      <c r="N315" s="90" t="b">
        <v>0</v>
      </c>
      <c r="O315" s="90" t="b">
        <v>0</v>
      </c>
      <c r="P315" s="90" t="b">
        <v>0</v>
      </c>
    </row>
    <row r="316">
      <c r="A316" s="131">
        <f>IFERROR(__xludf.DUMMYFUNCTION("""COMPUTED_VALUE"""),1278.0)</f>
        <v>1278</v>
      </c>
      <c r="B316" s="131"/>
      <c r="C316" s="131">
        <f>IFERROR(__xludf.DUMMYFUNCTION("""COMPUTED_VALUE"""),1230.0)</f>
        <v>1230</v>
      </c>
      <c r="D316" s="131"/>
      <c r="E316" s="131" t="str">
        <f>IFERROR(__xludf.DUMMYFUNCTION("""COMPUTED_VALUE"""),"RETAMAR")</f>
        <v>RETAMAR</v>
      </c>
      <c r="F316" s="131" t="str">
        <f>IFERROR(__xludf.DUMMYFUNCTION("""COMPUTED_VALUE"""),"GLEN")</f>
        <v>GLEN</v>
      </c>
      <c r="G316" s="90" t="b">
        <v>0</v>
      </c>
      <c r="H316" s="90" t="s">
        <v>4</v>
      </c>
      <c r="I316" s="90" t="b">
        <v>0</v>
      </c>
      <c r="J316" s="90" t="b">
        <v>0</v>
      </c>
      <c r="K316" s="90" t="b">
        <v>0</v>
      </c>
      <c r="L316" s="90" t="b">
        <v>0</v>
      </c>
      <c r="M316" s="90" t="b">
        <v>0</v>
      </c>
      <c r="N316" s="90" t="b">
        <v>0</v>
      </c>
      <c r="O316" s="90" t="b">
        <v>0</v>
      </c>
      <c r="P316" s="90" t="b">
        <v>0</v>
      </c>
    </row>
    <row r="317">
      <c r="A317" s="131">
        <f>IFERROR(__xludf.DUMMYFUNCTION("""COMPUTED_VALUE"""),1279.0)</f>
        <v>1279</v>
      </c>
      <c r="B317" s="131"/>
      <c r="C317" s="131">
        <f>IFERROR(__xludf.DUMMYFUNCTION("""COMPUTED_VALUE"""),1230.0)</f>
        <v>1230</v>
      </c>
      <c r="D317" s="131"/>
      <c r="E317" s="131" t="str">
        <f>IFERROR(__xludf.DUMMYFUNCTION("""COMPUTED_VALUE"""),"PASAYLON")</f>
        <v>PASAYLON</v>
      </c>
      <c r="F317" s="131" t="str">
        <f>IFERROR(__xludf.DUMMYFUNCTION("""COMPUTED_VALUE"""),"RAYMOND")</f>
        <v>RAYMOND</v>
      </c>
      <c r="G317" s="90" t="b">
        <v>0</v>
      </c>
      <c r="H317" s="90" t="s">
        <v>4</v>
      </c>
      <c r="I317" s="90" t="b">
        <v>0</v>
      </c>
      <c r="J317" s="90" t="b">
        <v>0</v>
      </c>
      <c r="K317" s="90" t="b">
        <v>0</v>
      </c>
      <c r="L317" s="90" t="b">
        <v>0</v>
      </c>
      <c r="M317" s="90" t="b">
        <v>0</v>
      </c>
      <c r="N317" s="90" t="b">
        <v>0</v>
      </c>
      <c r="O317" s="90" t="b">
        <v>0</v>
      </c>
      <c r="P317" s="90" t="b">
        <v>0</v>
      </c>
    </row>
    <row r="318">
      <c r="A318" s="131">
        <f>IFERROR(__xludf.DUMMYFUNCTION("""COMPUTED_VALUE"""),1280.0)</f>
        <v>1280</v>
      </c>
      <c r="B318" s="131"/>
      <c r="C318" s="131">
        <f>IFERROR(__xludf.DUMMYFUNCTION("""COMPUTED_VALUE"""),1230.0)</f>
        <v>1230</v>
      </c>
      <c r="D318" s="131"/>
      <c r="E318" s="131" t="str">
        <f>IFERROR(__xludf.DUMMYFUNCTION("""COMPUTED_VALUE"""),"CODILLA")</f>
        <v>CODILLA</v>
      </c>
      <c r="F318" s="131" t="str">
        <f>IFERROR(__xludf.DUMMYFUNCTION("""COMPUTED_VALUE"""),"JONNEL")</f>
        <v>JONNEL</v>
      </c>
      <c r="G318" s="90" t="b">
        <v>0</v>
      </c>
      <c r="H318" s="90" t="s">
        <v>4</v>
      </c>
      <c r="I318" s="90" t="b">
        <v>0</v>
      </c>
      <c r="J318" s="90" t="b">
        <v>0</v>
      </c>
      <c r="K318" s="90" t="b">
        <v>0</v>
      </c>
      <c r="L318" s="90" t="b">
        <v>0</v>
      </c>
      <c r="M318" s="90" t="b">
        <v>0</v>
      </c>
      <c r="N318" s="90" t="b">
        <v>0</v>
      </c>
      <c r="O318" s="90" t="b">
        <v>0</v>
      </c>
      <c r="P318" s="90" t="b">
        <v>0</v>
      </c>
    </row>
    <row r="319">
      <c r="A319" s="131">
        <f>IFERROR(__xludf.DUMMYFUNCTION("""COMPUTED_VALUE"""),1281.0)</f>
        <v>1281</v>
      </c>
      <c r="B319" s="131"/>
      <c r="C319" s="131">
        <f>IFERROR(__xludf.DUMMYFUNCTION("""COMPUTED_VALUE"""),1230.0)</f>
        <v>1230</v>
      </c>
      <c r="D319" s="131"/>
      <c r="E319" s="131" t="str">
        <f>IFERROR(__xludf.DUMMYFUNCTION("""COMPUTED_VALUE"""),"AZUL")</f>
        <v>AZUL</v>
      </c>
      <c r="F319" s="131" t="str">
        <f>IFERROR(__xludf.DUMMYFUNCTION("""COMPUTED_VALUE"""),"BENIE")</f>
        <v>BENIE</v>
      </c>
      <c r="G319" s="90" t="b">
        <v>0</v>
      </c>
      <c r="H319" s="90" t="s">
        <v>4</v>
      </c>
      <c r="I319" s="90" t="b">
        <v>0</v>
      </c>
      <c r="J319" s="90" t="b">
        <v>0</v>
      </c>
      <c r="K319" s="90" t="b">
        <v>0</v>
      </c>
      <c r="L319" s="90" t="b">
        <v>0</v>
      </c>
      <c r="M319" s="90" t="b">
        <v>0</v>
      </c>
      <c r="N319" s="90" t="b">
        <v>0</v>
      </c>
      <c r="O319" s="90" t="b">
        <v>0</v>
      </c>
      <c r="P319" s="90" t="b">
        <v>0</v>
      </c>
    </row>
    <row r="320">
      <c r="A320" s="131">
        <f>IFERROR(__xludf.DUMMYFUNCTION("""COMPUTED_VALUE"""),1282.0)</f>
        <v>1282</v>
      </c>
      <c r="B320" s="131"/>
      <c r="C320" s="131">
        <f>IFERROR(__xludf.DUMMYFUNCTION("""COMPUTED_VALUE"""),1230.0)</f>
        <v>1230</v>
      </c>
      <c r="D320" s="131"/>
      <c r="E320" s="131" t="str">
        <f>IFERROR(__xludf.DUMMYFUNCTION("""COMPUTED_VALUE"""),"E.")</f>
        <v>E.</v>
      </c>
      <c r="F320" s="131" t="str">
        <f>IFERROR(__xludf.DUMMYFUNCTION("""COMPUTED_VALUE"""),"MANNY")</f>
        <v>MANNY</v>
      </c>
      <c r="G320" s="90" t="b">
        <v>0</v>
      </c>
      <c r="H320" s="90" t="s">
        <v>4</v>
      </c>
      <c r="I320" s="90" t="b">
        <v>0</v>
      </c>
      <c r="J320" s="90" t="b">
        <v>0</v>
      </c>
      <c r="K320" s="90" t="b">
        <v>0</v>
      </c>
      <c r="L320" s="90" t="b">
        <v>0</v>
      </c>
      <c r="M320" s="90" t="b">
        <v>0</v>
      </c>
      <c r="N320" s="90" t="b">
        <v>0</v>
      </c>
      <c r="O320" s="90" t="b">
        <v>0</v>
      </c>
      <c r="P320" s="90" t="b">
        <v>0</v>
      </c>
    </row>
    <row r="321">
      <c r="A321" s="131"/>
      <c r="B321" s="131"/>
      <c r="C321" s="131"/>
      <c r="D321" s="131"/>
      <c r="E321" s="131"/>
      <c r="F321" s="131"/>
    </row>
    <row r="322">
      <c r="A322" s="131">
        <f>IFERROR(__xludf.DUMMYFUNCTION("""COMPUTED_VALUE"""),1283.0)</f>
        <v>1283</v>
      </c>
      <c r="B322" s="131"/>
      <c r="C322" s="131">
        <f>IFERROR(__xludf.DUMMYFUNCTION("""COMPUTED_VALUE"""),1283.0)</f>
        <v>1283</v>
      </c>
      <c r="D322" s="131" t="b">
        <f>IFERROR(__xludf.DUMMYFUNCTION("""COMPUTED_VALUE"""),TRUE)</f>
        <v>1</v>
      </c>
      <c r="E322" s="131" t="str">
        <f>IFERROR(__xludf.DUMMYFUNCTION("""COMPUTED_VALUE"""),"LIM")</f>
        <v>LIM</v>
      </c>
      <c r="F322" s="131" t="str">
        <f>IFERROR(__xludf.DUMMYFUNCTION("""COMPUTED_VALUE"""),"MARLINA")</f>
        <v>MARLINA</v>
      </c>
    </row>
    <row r="323">
      <c r="A323" s="131"/>
      <c r="B323" s="131"/>
      <c r="C323" s="131"/>
      <c r="D323" s="131"/>
      <c r="E323" s="131"/>
      <c r="F323" s="131"/>
    </row>
    <row r="324">
      <c r="A324" s="131"/>
      <c r="B324" s="131"/>
      <c r="C324" s="131"/>
      <c r="D324" s="131"/>
      <c r="E324" s="131"/>
      <c r="F324" s="131"/>
    </row>
    <row r="325">
      <c r="A325" s="131"/>
      <c r="B325" s="131"/>
      <c r="C325" s="131"/>
      <c r="D325" s="131"/>
      <c r="E325" s="131"/>
      <c r="F325" s="131"/>
    </row>
    <row r="326">
      <c r="A326" s="131"/>
      <c r="B326" s="131"/>
      <c r="C326" s="131"/>
      <c r="D326" s="131"/>
      <c r="E326" s="131"/>
      <c r="F326" s="131"/>
    </row>
    <row r="327">
      <c r="A327" s="131"/>
      <c r="B327" s="131"/>
      <c r="C327" s="131"/>
      <c r="D327" s="131"/>
      <c r="E327" s="131"/>
      <c r="F327" s="131"/>
    </row>
    <row r="328">
      <c r="A328" s="131"/>
      <c r="B328" s="131"/>
      <c r="C328" s="131"/>
      <c r="D328" s="131"/>
      <c r="E328" s="131"/>
      <c r="F328" s="131"/>
    </row>
    <row r="329">
      <c r="A329" s="131"/>
      <c r="B329" s="131"/>
      <c r="C329" s="131"/>
      <c r="D329" s="131"/>
      <c r="E329" s="131"/>
      <c r="F329" s="131"/>
    </row>
    <row r="330">
      <c r="A330" s="131"/>
      <c r="B330" s="131"/>
      <c r="C330" s="131"/>
      <c r="D330" s="131"/>
      <c r="E330" s="131"/>
      <c r="F330" s="131"/>
    </row>
    <row r="331">
      <c r="A331" s="131"/>
      <c r="B331" s="131"/>
      <c r="C331" s="131"/>
      <c r="D331" s="131"/>
      <c r="E331" s="131"/>
      <c r="F331" s="131"/>
    </row>
    <row r="332">
      <c r="A332" s="131"/>
      <c r="B332" s="131"/>
      <c r="C332" s="131"/>
      <c r="D332" s="131"/>
      <c r="E332" s="131"/>
      <c r="F332" s="131"/>
    </row>
    <row r="333">
      <c r="A333" s="131"/>
      <c r="B333" s="131"/>
      <c r="C333" s="131"/>
      <c r="D333" s="131"/>
      <c r="E333" s="131"/>
      <c r="F333" s="131"/>
    </row>
    <row r="334">
      <c r="A334" s="131"/>
      <c r="B334" s="131"/>
      <c r="C334" s="131"/>
      <c r="D334" s="131"/>
      <c r="E334" s="131"/>
      <c r="F334" s="131"/>
    </row>
    <row r="335">
      <c r="A335" s="131"/>
      <c r="B335" s="131"/>
      <c r="C335" s="131"/>
      <c r="D335" s="131"/>
      <c r="E335" s="131"/>
      <c r="F335" s="131"/>
    </row>
    <row r="336">
      <c r="A336" s="131"/>
      <c r="B336" s="131"/>
      <c r="C336" s="131"/>
      <c r="D336" s="131"/>
      <c r="E336" s="131"/>
      <c r="F336" s="131"/>
    </row>
    <row r="337">
      <c r="A337" s="131"/>
      <c r="B337" s="131"/>
      <c r="C337" s="131"/>
      <c r="D337" s="131"/>
      <c r="E337" s="131"/>
      <c r="F337" s="131"/>
    </row>
    <row r="338">
      <c r="A338" s="131"/>
      <c r="B338" s="131"/>
      <c r="C338" s="131"/>
      <c r="D338" s="131"/>
      <c r="E338" s="131"/>
      <c r="F338" s="131"/>
    </row>
    <row r="339">
      <c r="A339" s="131"/>
      <c r="B339" s="131"/>
      <c r="C339" s="131"/>
      <c r="D339" s="131"/>
      <c r="E339" s="131"/>
      <c r="F339" s="131"/>
    </row>
    <row r="340">
      <c r="A340" s="131"/>
      <c r="B340" s="131"/>
      <c r="C340" s="131"/>
      <c r="D340" s="131"/>
      <c r="E340" s="131"/>
      <c r="F340" s="131"/>
    </row>
    <row r="341">
      <c r="A341" s="131"/>
      <c r="B341" s="131"/>
      <c r="C341" s="131"/>
      <c r="D341" s="131"/>
      <c r="E341" s="131"/>
      <c r="F341" s="131"/>
    </row>
    <row r="342">
      <c r="A342" s="131"/>
      <c r="B342" s="131"/>
      <c r="C342" s="131"/>
      <c r="D342" s="131"/>
      <c r="E342" s="131"/>
      <c r="F342" s="131"/>
    </row>
    <row r="343">
      <c r="A343" s="131"/>
      <c r="B343" s="131"/>
      <c r="C343" s="131"/>
      <c r="D343" s="131"/>
      <c r="E343" s="131"/>
      <c r="F343" s="131"/>
    </row>
    <row r="344">
      <c r="A344" s="131"/>
      <c r="B344" s="131"/>
      <c r="C344" s="131"/>
      <c r="D344" s="131"/>
      <c r="E344" s="131"/>
      <c r="F344" s="131"/>
    </row>
    <row r="345">
      <c r="A345" s="131"/>
      <c r="B345" s="131"/>
      <c r="C345" s="131"/>
      <c r="D345" s="131"/>
      <c r="E345" s="131"/>
      <c r="F345" s="131"/>
    </row>
    <row r="346">
      <c r="A346" s="131"/>
      <c r="B346" s="131"/>
      <c r="C346" s="131"/>
      <c r="D346" s="131"/>
      <c r="E346" s="131"/>
      <c r="F346" s="131"/>
    </row>
    <row r="347">
      <c r="A347" s="131"/>
      <c r="B347" s="131"/>
      <c r="C347" s="131"/>
      <c r="D347" s="131"/>
      <c r="E347" s="131"/>
      <c r="F347" s="131"/>
    </row>
    <row r="348">
      <c r="A348" s="131"/>
      <c r="B348" s="131"/>
      <c r="C348" s="131"/>
      <c r="D348" s="131"/>
      <c r="E348" s="131"/>
      <c r="F348" s="131"/>
    </row>
    <row r="349">
      <c r="A349" s="131"/>
      <c r="B349" s="131"/>
      <c r="C349" s="131"/>
      <c r="D349" s="131"/>
      <c r="E349" s="131"/>
      <c r="F349" s="131"/>
    </row>
    <row r="350">
      <c r="A350" s="131"/>
      <c r="B350" s="131"/>
      <c r="C350" s="131"/>
      <c r="D350" s="131"/>
      <c r="E350" s="131"/>
      <c r="F350" s="131"/>
    </row>
    <row r="351">
      <c r="A351" s="131"/>
      <c r="B351" s="131"/>
      <c r="C351" s="131"/>
      <c r="D351" s="131"/>
      <c r="E351" s="131"/>
      <c r="F351" s="131"/>
    </row>
    <row r="352">
      <c r="A352" s="131"/>
      <c r="B352" s="131"/>
      <c r="C352" s="131"/>
      <c r="D352" s="131"/>
      <c r="E352" s="131"/>
      <c r="F352" s="131"/>
    </row>
    <row r="353">
      <c r="A353" s="131"/>
      <c r="B353" s="131"/>
      <c r="C353" s="131"/>
      <c r="D353" s="131"/>
      <c r="E353" s="131"/>
      <c r="F353" s="131"/>
    </row>
    <row r="354">
      <c r="A354" s="131"/>
      <c r="B354" s="131"/>
      <c r="C354" s="131"/>
      <c r="D354" s="131"/>
      <c r="E354" s="131"/>
      <c r="F354" s="131"/>
    </row>
    <row r="355">
      <c r="A355" s="131"/>
      <c r="B355" s="131"/>
      <c r="C355" s="131"/>
      <c r="D355" s="131"/>
      <c r="E355" s="131"/>
      <c r="F355" s="131"/>
    </row>
    <row r="356">
      <c r="A356" s="131"/>
      <c r="B356" s="131"/>
      <c r="C356" s="131"/>
      <c r="D356" s="131"/>
      <c r="E356" s="131"/>
      <c r="F356" s="131"/>
    </row>
    <row r="357">
      <c r="A357" s="131"/>
      <c r="B357" s="131"/>
      <c r="C357" s="131"/>
      <c r="D357" s="131"/>
      <c r="E357" s="131"/>
      <c r="F357" s="131"/>
    </row>
    <row r="358">
      <c r="A358" s="131"/>
      <c r="B358" s="131"/>
      <c r="C358" s="131"/>
      <c r="D358" s="131"/>
      <c r="E358" s="131"/>
      <c r="F358" s="131"/>
    </row>
    <row r="359">
      <c r="A359" s="131"/>
      <c r="B359" s="131"/>
      <c r="C359" s="131"/>
      <c r="D359" s="131"/>
      <c r="E359" s="131"/>
      <c r="F359" s="131"/>
    </row>
    <row r="360">
      <c r="A360" s="131"/>
      <c r="B360" s="131"/>
      <c r="C360" s="131"/>
      <c r="D360" s="131"/>
      <c r="E360" s="131"/>
      <c r="F360" s="131"/>
    </row>
    <row r="361">
      <c r="A361" s="131"/>
      <c r="B361" s="131"/>
      <c r="C361" s="131"/>
      <c r="D361" s="131"/>
      <c r="E361" s="131"/>
      <c r="F361" s="131"/>
    </row>
    <row r="362">
      <c r="A362" s="131"/>
      <c r="B362" s="131"/>
      <c r="C362" s="131"/>
      <c r="D362" s="131"/>
      <c r="E362" s="131"/>
      <c r="F362" s="131"/>
    </row>
    <row r="363">
      <c r="A363" s="131"/>
      <c r="B363" s="131"/>
      <c r="C363" s="131"/>
      <c r="D363" s="131"/>
      <c r="E363" s="131"/>
      <c r="F363" s="131"/>
    </row>
    <row r="364">
      <c r="A364" s="131"/>
      <c r="B364" s="131"/>
      <c r="C364" s="131"/>
      <c r="D364" s="131"/>
      <c r="E364" s="131"/>
      <c r="F364" s="131"/>
    </row>
    <row r="365">
      <c r="A365" s="131"/>
      <c r="B365" s="131"/>
      <c r="C365" s="131"/>
      <c r="D365" s="131"/>
      <c r="E365" s="131"/>
      <c r="F365" s="131"/>
    </row>
    <row r="366">
      <c r="A366" s="131"/>
      <c r="B366" s="131"/>
      <c r="C366" s="131"/>
      <c r="D366" s="131"/>
      <c r="E366" s="131"/>
      <c r="F366" s="131"/>
    </row>
    <row r="367">
      <c r="A367" s="131"/>
      <c r="B367" s="131"/>
      <c r="C367" s="131"/>
      <c r="D367" s="131"/>
      <c r="E367" s="131"/>
      <c r="F367" s="131"/>
    </row>
    <row r="368">
      <c r="A368" s="131"/>
      <c r="B368" s="131"/>
      <c r="C368" s="131"/>
      <c r="D368" s="131"/>
      <c r="E368" s="131"/>
      <c r="F368" s="131"/>
    </row>
    <row r="369">
      <c r="A369" s="131"/>
      <c r="B369" s="131"/>
      <c r="C369" s="131"/>
      <c r="D369" s="131"/>
      <c r="E369" s="131"/>
      <c r="F369" s="131"/>
    </row>
    <row r="370">
      <c r="A370" s="131"/>
      <c r="B370" s="131"/>
      <c r="C370" s="131"/>
      <c r="D370" s="131"/>
      <c r="E370" s="131"/>
      <c r="F370" s="131"/>
    </row>
    <row r="371">
      <c r="A371" s="131"/>
      <c r="B371" s="131"/>
      <c r="C371" s="131"/>
      <c r="D371" s="131"/>
      <c r="E371" s="131"/>
      <c r="F371" s="131"/>
    </row>
    <row r="372">
      <c r="A372" s="131"/>
      <c r="B372" s="131"/>
      <c r="C372" s="131"/>
      <c r="D372" s="131"/>
      <c r="E372" s="131"/>
      <c r="F372" s="131"/>
    </row>
    <row r="373">
      <c r="A373" s="131"/>
      <c r="B373" s="131"/>
      <c r="C373" s="131"/>
      <c r="D373" s="131"/>
      <c r="E373" s="131"/>
      <c r="F373" s="131"/>
    </row>
    <row r="374">
      <c r="A374" s="131"/>
      <c r="B374" s="131"/>
      <c r="C374" s="131"/>
      <c r="D374" s="131"/>
      <c r="E374" s="131"/>
      <c r="F374" s="131"/>
    </row>
    <row r="375">
      <c r="A375" s="131"/>
      <c r="B375" s="131"/>
      <c r="C375" s="131"/>
      <c r="D375" s="131"/>
      <c r="E375" s="131"/>
      <c r="F375" s="131"/>
    </row>
    <row r="376">
      <c r="A376" s="131"/>
      <c r="B376" s="131"/>
      <c r="C376" s="131"/>
      <c r="D376" s="131"/>
      <c r="E376" s="131"/>
      <c r="F376" s="131"/>
    </row>
    <row r="377">
      <c r="A377" s="131"/>
      <c r="B377" s="131"/>
      <c r="C377" s="131"/>
      <c r="D377" s="131"/>
      <c r="E377" s="131"/>
      <c r="F377" s="131"/>
    </row>
    <row r="378">
      <c r="A378" s="131"/>
      <c r="B378" s="131"/>
      <c r="C378" s="131"/>
      <c r="D378" s="131"/>
      <c r="E378" s="131"/>
      <c r="F378" s="131"/>
    </row>
    <row r="379">
      <c r="A379" s="131"/>
      <c r="B379" s="131"/>
      <c r="C379" s="131"/>
      <c r="D379" s="131"/>
      <c r="E379" s="131"/>
      <c r="F379" s="131"/>
    </row>
    <row r="380">
      <c r="A380" s="131"/>
      <c r="B380" s="131"/>
      <c r="C380" s="131"/>
      <c r="D380" s="131"/>
      <c r="E380" s="131"/>
      <c r="F380" s="131"/>
    </row>
    <row r="381">
      <c r="A381" s="131"/>
      <c r="B381" s="131"/>
      <c r="C381" s="131"/>
      <c r="D381" s="131"/>
      <c r="E381" s="131"/>
      <c r="F381" s="131"/>
    </row>
    <row r="382">
      <c r="A382" s="131"/>
      <c r="B382" s="131"/>
      <c r="C382" s="131"/>
      <c r="D382" s="131"/>
      <c r="E382" s="131"/>
      <c r="F382" s="131"/>
    </row>
    <row r="383">
      <c r="A383" s="131"/>
      <c r="B383" s="131"/>
      <c r="C383" s="131"/>
      <c r="D383" s="131"/>
      <c r="E383" s="131"/>
      <c r="F383" s="131"/>
    </row>
    <row r="384">
      <c r="A384" s="131"/>
      <c r="B384" s="131"/>
      <c r="C384" s="131"/>
      <c r="D384" s="131"/>
      <c r="E384" s="131"/>
      <c r="F384" s="131"/>
    </row>
    <row r="385">
      <c r="A385" s="131"/>
      <c r="B385" s="131"/>
      <c r="C385" s="131"/>
      <c r="D385" s="131"/>
      <c r="E385" s="131"/>
      <c r="F385" s="131"/>
    </row>
    <row r="386">
      <c r="A386" s="131"/>
      <c r="B386" s="131"/>
      <c r="C386" s="131"/>
      <c r="D386" s="131"/>
      <c r="E386" s="131"/>
      <c r="F386" s="131"/>
    </row>
    <row r="387">
      <c r="A387" s="131"/>
      <c r="B387" s="131"/>
      <c r="C387" s="131"/>
      <c r="D387" s="131"/>
      <c r="E387" s="131"/>
      <c r="F387" s="131"/>
    </row>
    <row r="388">
      <c r="A388" s="131"/>
      <c r="B388" s="131"/>
      <c r="C388" s="131"/>
      <c r="D388" s="131"/>
      <c r="E388" s="131"/>
      <c r="F388" s="131"/>
    </row>
    <row r="389">
      <c r="A389" s="131"/>
      <c r="B389" s="131"/>
      <c r="C389" s="131"/>
      <c r="D389" s="131"/>
      <c r="E389" s="131"/>
      <c r="F389" s="131"/>
    </row>
    <row r="390">
      <c r="A390" s="131"/>
      <c r="B390" s="131"/>
      <c r="C390" s="131"/>
      <c r="D390" s="131"/>
      <c r="E390" s="131"/>
      <c r="F390" s="131"/>
    </row>
    <row r="391">
      <c r="A391" s="131"/>
      <c r="B391" s="131"/>
      <c r="C391" s="131"/>
      <c r="D391" s="131"/>
      <c r="E391" s="131"/>
      <c r="F391" s="131"/>
    </row>
    <row r="392">
      <c r="A392" s="131"/>
      <c r="B392" s="131"/>
      <c r="C392" s="131"/>
      <c r="D392" s="131"/>
      <c r="E392" s="131"/>
      <c r="F392" s="131"/>
    </row>
    <row r="393">
      <c r="A393" s="131"/>
      <c r="B393" s="131"/>
      <c r="C393" s="131"/>
      <c r="D393" s="131"/>
      <c r="E393" s="131"/>
      <c r="F393" s="131"/>
    </row>
    <row r="394">
      <c r="A394" s="131"/>
      <c r="B394" s="131"/>
      <c r="C394" s="131"/>
      <c r="D394" s="131"/>
      <c r="E394" s="131"/>
      <c r="F394" s="131"/>
    </row>
    <row r="395">
      <c r="A395" s="131"/>
      <c r="B395" s="131"/>
      <c r="C395" s="131"/>
      <c r="D395" s="131"/>
      <c r="E395" s="131"/>
      <c r="F395" s="131"/>
    </row>
    <row r="396">
      <c r="A396" s="131"/>
      <c r="B396" s="131"/>
      <c r="C396" s="131"/>
      <c r="D396" s="131"/>
      <c r="E396" s="131"/>
      <c r="F396" s="131"/>
    </row>
    <row r="397">
      <c r="A397" s="131"/>
      <c r="B397" s="131"/>
      <c r="C397" s="131"/>
      <c r="D397" s="131"/>
      <c r="E397" s="131"/>
      <c r="F397" s="131"/>
    </row>
    <row r="398">
      <c r="A398" s="131"/>
      <c r="B398" s="131"/>
      <c r="C398" s="131"/>
      <c r="D398" s="131"/>
      <c r="E398" s="131"/>
      <c r="F398" s="131"/>
    </row>
    <row r="399">
      <c r="A399" s="131"/>
      <c r="B399" s="131"/>
      <c r="C399" s="131"/>
      <c r="D399" s="131"/>
      <c r="E399" s="131"/>
      <c r="F399" s="131"/>
    </row>
    <row r="400">
      <c r="A400" s="131"/>
      <c r="B400" s="131"/>
      <c r="C400" s="131"/>
      <c r="D400" s="131"/>
      <c r="E400" s="131"/>
      <c r="F400" s="131"/>
    </row>
    <row r="401">
      <c r="A401" s="131"/>
      <c r="B401" s="131"/>
      <c r="C401" s="131"/>
      <c r="D401" s="131"/>
      <c r="E401" s="131"/>
      <c r="F401" s="131"/>
    </row>
    <row r="402">
      <c r="A402" s="131"/>
      <c r="B402" s="131"/>
      <c r="C402" s="131"/>
      <c r="D402" s="131"/>
      <c r="E402" s="131"/>
      <c r="F402" s="131"/>
    </row>
    <row r="403">
      <c r="A403" s="131"/>
      <c r="B403" s="131"/>
      <c r="C403" s="131"/>
      <c r="D403" s="131"/>
      <c r="E403" s="131"/>
      <c r="F403" s="131"/>
    </row>
    <row r="404">
      <c r="A404" s="131"/>
      <c r="B404" s="131"/>
      <c r="C404" s="131"/>
      <c r="D404" s="131"/>
      <c r="E404" s="131"/>
      <c r="F404" s="131"/>
    </row>
    <row r="405">
      <c r="A405" s="131"/>
      <c r="B405" s="131"/>
      <c r="C405" s="131"/>
      <c r="D405" s="131"/>
      <c r="E405" s="131"/>
      <c r="F405" s="131"/>
    </row>
    <row r="406">
      <c r="A406" s="131"/>
      <c r="B406" s="131"/>
      <c r="C406" s="131"/>
      <c r="D406" s="131"/>
      <c r="E406" s="131"/>
      <c r="F406" s="131"/>
    </row>
    <row r="407">
      <c r="A407" s="131"/>
      <c r="B407" s="131"/>
      <c r="C407" s="131"/>
      <c r="D407" s="131"/>
      <c r="E407" s="131"/>
      <c r="F407" s="131"/>
    </row>
    <row r="408">
      <c r="A408" s="131"/>
      <c r="B408" s="131"/>
      <c r="C408" s="131"/>
      <c r="D408" s="131"/>
      <c r="E408" s="131"/>
      <c r="F408" s="131"/>
    </row>
    <row r="409">
      <c r="A409" s="131"/>
      <c r="B409" s="131"/>
      <c r="C409" s="131"/>
      <c r="D409" s="131"/>
      <c r="E409" s="131"/>
      <c r="F409" s="131"/>
    </row>
    <row r="410">
      <c r="A410" s="131"/>
      <c r="B410" s="131"/>
      <c r="C410" s="131"/>
      <c r="D410" s="131"/>
      <c r="E410" s="131"/>
      <c r="F410" s="131"/>
    </row>
    <row r="411">
      <c r="A411" s="131"/>
      <c r="B411" s="131"/>
      <c r="C411" s="131"/>
      <c r="D411" s="131"/>
      <c r="E411" s="131"/>
      <c r="F411" s="131"/>
    </row>
    <row r="412">
      <c r="A412" s="131"/>
      <c r="B412" s="131"/>
      <c r="C412" s="131"/>
      <c r="D412" s="131"/>
      <c r="E412" s="131"/>
      <c r="F412" s="131"/>
    </row>
    <row r="413">
      <c r="A413" s="131"/>
      <c r="B413" s="131"/>
      <c r="C413" s="131"/>
      <c r="D413" s="131"/>
      <c r="E413" s="131"/>
      <c r="F413" s="131"/>
    </row>
    <row r="414">
      <c r="A414" s="131"/>
      <c r="B414" s="131"/>
      <c r="C414" s="131"/>
      <c r="D414" s="131"/>
      <c r="E414" s="131"/>
      <c r="F414" s="131"/>
    </row>
    <row r="415">
      <c r="A415" s="131"/>
      <c r="B415" s="131"/>
      <c r="C415" s="131"/>
      <c r="D415" s="131"/>
      <c r="E415" s="131"/>
      <c r="F415" s="131"/>
    </row>
    <row r="416">
      <c r="A416" s="131"/>
      <c r="B416" s="131"/>
      <c r="C416" s="131"/>
      <c r="D416" s="131"/>
      <c r="E416" s="131"/>
      <c r="F416" s="131"/>
    </row>
    <row r="417">
      <c r="A417" s="131"/>
      <c r="B417" s="131"/>
      <c r="C417" s="131"/>
      <c r="D417" s="131"/>
      <c r="E417" s="131"/>
      <c r="F417" s="131"/>
    </row>
    <row r="418">
      <c r="A418" s="131"/>
      <c r="B418" s="131"/>
      <c r="C418" s="131"/>
      <c r="D418" s="131"/>
      <c r="E418" s="131"/>
      <c r="F418" s="131"/>
    </row>
    <row r="419">
      <c r="A419" s="131"/>
      <c r="B419" s="131"/>
      <c r="C419" s="131"/>
      <c r="D419" s="131"/>
      <c r="E419" s="131"/>
      <c r="F419" s="131"/>
    </row>
    <row r="420">
      <c r="A420" s="131"/>
      <c r="B420" s="131"/>
      <c r="C420" s="131"/>
      <c r="D420" s="131"/>
      <c r="E420" s="131"/>
      <c r="F420" s="131"/>
    </row>
    <row r="421">
      <c r="A421" s="131"/>
      <c r="B421" s="131"/>
      <c r="C421" s="131"/>
      <c r="D421" s="131"/>
      <c r="E421" s="131"/>
      <c r="F421" s="131"/>
    </row>
    <row r="422">
      <c r="A422" s="131"/>
      <c r="B422" s="131"/>
      <c r="C422" s="131"/>
      <c r="D422" s="131"/>
      <c r="E422" s="131"/>
      <c r="F422" s="131"/>
    </row>
    <row r="423">
      <c r="A423" s="131"/>
      <c r="B423" s="131"/>
      <c r="C423" s="131"/>
      <c r="D423" s="131"/>
      <c r="E423" s="131"/>
      <c r="F423" s="131"/>
    </row>
    <row r="424">
      <c r="A424" s="131"/>
      <c r="B424" s="131"/>
      <c r="C424" s="131"/>
      <c r="D424" s="131"/>
      <c r="E424" s="131"/>
      <c r="F424" s="131"/>
    </row>
    <row r="425">
      <c r="A425" s="131"/>
      <c r="B425" s="131"/>
      <c r="C425" s="131"/>
      <c r="D425" s="131"/>
      <c r="E425" s="131"/>
      <c r="F425" s="131"/>
    </row>
    <row r="426">
      <c r="A426" s="131"/>
      <c r="B426" s="131"/>
      <c r="C426" s="131"/>
      <c r="D426" s="131"/>
      <c r="E426" s="131"/>
      <c r="F426" s="131"/>
    </row>
    <row r="427">
      <c r="A427" s="131"/>
      <c r="B427" s="131"/>
      <c r="C427" s="131"/>
      <c r="D427" s="131"/>
      <c r="E427" s="131"/>
      <c r="F427" s="131"/>
    </row>
    <row r="428">
      <c r="A428" s="131"/>
      <c r="B428" s="131"/>
      <c r="C428" s="131"/>
      <c r="D428" s="131"/>
      <c r="E428" s="131"/>
      <c r="F428" s="131"/>
    </row>
    <row r="429">
      <c r="A429" s="131"/>
      <c r="B429" s="131"/>
      <c r="C429" s="131"/>
      <c r="D429" s="131"/>
      <c r="E429" s="131"/>
      <c r="F429" s="131"/>
    </row>
    <row r="430">
      <c r="A430" s="131"/>
      <c r="B430" s="131"/>
      <c r="C430" s="131"/>
      <c r="D430" s="131"/>
      <c r="E430" s="131"/>
      <c r="F430" s="131"/>
    </row>
    <row r="431">
      <c r="A431" s="131"/>
      <c r="B431" s="131"/>
      <c r="C431" s="131"/>
      <c r="D431" s="131"/>
      <c r="E431" s="131"/>
      <c r="F431" s="131"/>
    </row>
    <row r="432">
      <c r="A432" s="131"/>
      <c r="B432" s="131"/>
      <c r="C432" s="131"/>
      <c r="D432" s="131"/>
      <c r="E432" s="131"/>
      <c r="F432" s="131"/>
    </row>
    <row r="433">
      <c r="A433" s="131"/>
      <c r="B433" s="131"/>
      <c r="C433" s="131"/>
      <c r="D433" s="131"/>
      <c r="E433" s="131"/>
      <c r="F433" s="131"/>
    </row>
    <row r="434">
      <c r="A434" s="131"/>
      <c r="B434" s="131"/>
      <c r="C434" s="131"/>
      <c r="D434" s="131"/>
      <c r="E434" s="131"/>
      <c r="F434" s="131"/>
    </row>
    <row r="435">
      <c r="A435" s="131"/>
      <c r="B435" s="131"/>
      <c r="C435" s="131"/>
      <c r="D435" s="131"/>
      <c r="E435" s="131"/>
      <c r="F435" s="131"/>
    </row>
    <row r="436">
      <c r="A436" s="131"/>
      <c r="B436" s="131"/>
      <c r="C436" s="131"/>
      <c r="D436" s="131"/>
      <c r="E436" s="131"/>
      <c r="F436" s="131"/>
    </row>
    <row r="437">
      <c r="A437" s="131"/>
      <c r="B437" s="131"/>
      <c r="C437" s="131"/>
      <c r="D437" s="131"/>
      <c r="E437" s="131"/>
      <c r="F437" s="131"/>
    </row>
    <row r="438">
      <c r="A438" s="131"/>
      <c r="B438" s="131"/>
      <c r="C438" s="131"/>
      <c r="D438" s="131"/>
      <c r="E438" s="131"/>
      <c r="F438" s="131"/>
    </row>
    <row r="439">
      <c r="A439" s="131"/>
      <c r="B439" s="131"/>
      <c r="C439" s="131"/>
      <c r="D439" s="131"/>
      <c r="E439" s="131"/>
      <c r="F439" s="131"/>
    </row>
    <row r="440">
      <c r="A440" s="131"/>
      <c r="B440" s="131"/>
      <c r="C440" s="131"/>
      <c r="D440" s="131"/>
      <c r="E440" s="131"/>
      <c r="F440" s="131"/>
    </row>
    <row r="441">
      <c r="A441" s="131"/>
      <c r="B441" s="131"/>
      <c r="C441" s="131"/>
      <c r="D441" s="131"/>
      <c r="E441" s="131"/>
      <c r="F441" s="131"/>
    </row>
    <row r="442">
      <c r="A442" s="131"/>
      <c r="B442" s="131"/>
      <c r="C442" s="131"/>
      <c r="D442" s="131"/>
      <c r="E442" s="131"/>
      <c r="F442" s="131"/>
    </row>
    <row r="443">
      <c r="A443" s="131"/>
      <c r="B443" s="131"/>
      <c r="C443" s="131"/>
      <c r="D443" s="131"/>
      <c r="E443" s="131"/>
      <c r="F443" s="131"/>
    </row>
    <row r="444">
      <c r="A444" s="131"/>
      <c r="B444" s="131"/>
      <c r="C444" s="131"/>
      <c r="D444" s="131"/>
      <c r="E444" s="131"/>
      <c r="F444" s="131"/>
    </row>
    <row r="445">
      <c r="A445" s="131"/>
      <c r="B445" s="131"/>
      <c r="C445" s="131"/>
      <c r="D445" s="131"/>
      <c r="E445" s="131"/>
      <c r="F445" s="131"/>
    </row>
    <row r="446">
      <c r="A446" s="131"/>
      <c r="B446" s="131"/>
      <c r="C446" s="131"/>
      <c r="D446" s="131"/>
      <c r="E446" s="131"/>
      <c r="F446" s="131"/>
    </row>
    <row r="447">
      <c r="A447" s="131"/>
      <c r="B447" s="131"/>
      <c r="C447" s="131"/>
      <c r="D447" s="131"/>
      <c r="E447" s="131"/>
      <c r="F447" s="131"/>
    </row>
    <row r="448">
      <c r="A448" s="131"/>
      <c r="B448" s="131"/>
      <c r="C448" s="131"/>
      <c r="D448" s="131"/>
      <c r="E448" s="131"/>
      <c r="F448" s="131"/>
    </row>
    <row r="449">
      <c r="A449" s="131"/>
      <c r="B449" s="131"/>
      <c r="C449" s="131"/>
      <c r="D449" s="131"/>
      <c r="E449" s="131"/>
      <c r="F449" s="131"/>
    </row>
    <row r="450">
      <c r="A450" s="131"/>
      <c r="B450" s="131"/>
      <c r="C450" s="131"/>
      <c r="D450" s="131"/>
      <c r="E450" s="131"/>
      <c r="F450" s="131"/>
    </row>
    <row r="451">
      <c r="A451" s="131"/>
      <c r="B451" s="131"/>
      <c r="C451" s="131"/>
      <c r="D451" s="131"/>
      <c r="E451" s="131"/>
      <c r="F451" s="131"/>
    </row>
    <row r="452">
      <c r="A452" s="131"/>
      <c r="B452" s="131"/>
      <c r="C452" s="131"/>
      <c r="D452" s="131"/>
      <c r="E452" s="131"/>
      <c r="F452" s="131"/>
    </row>
    <row r="453">
      <c r="A453" s="131"/>
      <c r="B453" s="131"/>
      <c r="C453" s="131"/>
      <c r="D453" s="131"/>
      <c r="E453" s="131"/>
      <c r="F453" s="131"/>
    </row>
    <row r="454">
      <c r="A454" s="131"/>
      <c r="B454" s="131"/>
      <c r="C454" s="131"/>
      <c r="D454" s="131"/>
      <c r="E454" s="131"/>
      <c r="F454" s="131"/>
    </row>
    <row r="455">
      <c r="A455" s="131"/>
      <c r="B455" s="131"/>
      <c r="C455" s="131"/>
      <c r="D455" s="131"/>
      <c r="E455" s="131"/>
      <c r="F455" s="131"/>
    </row>
    <row r="456">
      <c r="A456" s="131"/>
      <c r="B456" s="131"/>
      <c r="C456" s="131"/>
      <c r="D456" s="131"/>
      <c r="E456" s="131"/>
      <c r="F456" s="131"/>
    </row>
    <row r="457">
      <c r="A457" s="131"/>
      <c r="B457" s="131"/>
      <c r="C457" s="131"/>
      <c r="D457" s="131"/>
      <c r="E457" s="131"/>
      <c r="F457" s="131"/>
    </row>
    <row r="458">
      <c r="A458" s="131"/>
      <c r="B458" s="131"/>
      <c r="C458" s="131"/>
      <c r="D458" s="131"/>
      <c r="E458" s="131"/>
      <c r="F458" s="131"/>
    </row>
    <row r="459">
      <c r="A459" s="131"/>
      <c r="B459" s="131"/>
      <c r="C459" s="131"/>
      <c r="D459" s="131"/>
      <c r="E459" s="131"/>
      <c r="F459" s="131"/>
    </row>
    <row r="460">
      <c r="A460" s="131"/>
      <c r="B460" s="131"/>
      <c r="C460" s="131"/>
      <c r="D460" s="131"/>
      <c r="E460" s="131"/>
      <c r="F460" s="131"/>
    </row>
    <row r="461">
      <c r="A461" s="131"/>
      <c r="B461" s="131"/>
      <c r="C461" s="131"/>
      <c r="D461" s="131"/>
      <c r="E461" s="131"/>
      <c r="F461" s="131"/>
    </row>
    <row r="462">
      <c r="A462" s="131"/>
      <c r="B462" s="131"/>
      <c r="C462" s="131"/>
      <c r="D462" s="131"/>
      <c r="E462" s="131"/>
      <c r="F462" s="131"/>
    </row>
    <row r="463">
      <c r="A463" s="131"/>
      <c r="B463" s="131"/>
      <c r="C463" s="131"/>
      <c r="D463" s="131"/>
      <c r="E463" s="131"/>
      <c r="F463" s="131"/>
    </row>
    <row r="464">
      <c r="A464" s="131"/>
      <c r="B464" s="131"/>
      <c r="C464" s="131"/>
      <c r="D464" s="131"/>
      <c r="E464" s="131"/>
      <c r="F464" s="131"/>
    </row>
    <row r="465">
      <c r="A465" s="131"/>
      <c r="B465" s="131"/>
      <c r="C465" s="131"/>
      <c r="D465" s="131"/>
      <c r="E465" s="131"/>
      <c r="F465" s="131"/>
    </row>
    <row r="466">
      <c r="A466" s="131"/>
      <c r="B466" s="131"/>
      <c r="C466" s="131"/>
      <c r="D466" s="131"/>
      <c r="E466" s="131"/>
      <c r="F466" s="131"/>
    </row>
    <row r="467">
      <c r="A467" s="131"/>
      <c r="B467" s="131"/>
      <c r="C467" s="131"/>
      <c r="D467" s="131"/>
      <c r="E467" s="131"/>
      <c r="F467" s="131"/>
    </row>
    <row r="468">
      <c r="A468" s="131"/>
      <c r="B468" s="131"/>
      <c r="C468" s="131"/>
      <c r="D468" s="131"/>
      <c r="E468" s="131"/>
      <c r="F468" s="131"/>
    </row>
    <row r="469">
      <c r="A469" s="131"/>
      <c r="B469" s="131"/>
      <c r="C469" s="131"/>
      <c r="D469" s="131"/>
      <c r="E469" s="131"/>
      <c r="F469" s="131"/>
    </row>
    <row r="470">
      <c r="A470" s="131"/>
      <c r="B470" s="131"/>
      <c r="C470" s="131"/>
      <c r="D470" s="131"/>
      <c r="E470" s="131"/>
      <c r="F470" s="131"/>
    </row>
    <row r="471">
      <c r="A471" s="131"/>
      <c r="B471" s="131"/>
      <c r="C471" s="131"/>
      <c r="D471" s="131"/>
      <c r="E471" s="131"/>
      <c r="F471" s="131"/>
    </row>
    <row r="472">
      <c r="A472" s="131"/>
      <c r="B472" s="131"/>
      <c r="C472" s="131"/>
      <c r="D472" s="131"/>
      <c r="E472" s="131"/>
      <c r="F472" s="131"/>
    </row>
    <row r="473">
      <c r="A473" s="131"/>
      <c r="B473" s="131"/>
      <c r="C473" s="131"/>
      <c r="D473" s="131"/>
      <c r="E473" s="131"/>
      <c r="F473" s="131"/>
    </row>
    <row r="474">
      <c r="A474" s="131"/>
      <c r="B474" s="131"/>
      <c r="C474" s="131"/>
      <c r="D474" s="131"/>
      <c r="E474" s="131"/>
      <c r="F474" s="131"/>
    </row>
    <row r="475">
      <c r="A475" s="131"/>
      <c r="B475" s="131"/>
      <c r="C475" s="131"/>
      <c r="D475" s="131"/>
      <c r="E475" s="131"/>
      <c r="F475" s="131"/>
    </row>
    <row r="476">
      <c r="A476" s="131"/>
      <c r="B476" s="131"/>
      <c r="C476" s="131"/>
      <c r="D476" s="131"/>
      <c r="E476" s="131"/>
      <c r="F476" s="131"/>
    </row>
    <row r="477">
      <c r="A477" s="131"/>
      <c r="B477" s="131"/>
      <c r="C477" s="131"/>
      <c r="D477" s="131"/>
      <c r="E477" s="131"/>
      <c r="F477" s="131"/>
    </row>
    <row r="478">
      <c r="A478" s="131"/>
      <c r="B478" s="131"/>
      <c r="C478" s="131"/>
      <c r="D478" s="131"/>
      <c r="E478" s="131"/>
      <c r="F478" s="131"/>
    </row>
    <row r="479">
      <c r="A479" s="131"/>
      <c r="B479" s="131"/>
      <c r="C479" s="131"/>
      <c r="D479" s="131"/>
      <c r="E479" s="131"/>
      <c r="F479" s="131"/>
    </row>
    <row r="480">
      <c r="A480" s="131"/>
      <c r="B480" s="131"/>
      <c r="C480" s="131"/>
      <c r="D480" s="131"/>
      <c r="E480" s="131"/>
      <c r="F480" s="131"/>
    </row>
    <row r="481">
      <c r="A481" s="131"/>
      <c r="B481" s="131"/>
      <c r="C481" s="131"/>
      <c r="D481" s="131"/>
      <c r="E481" s="131"/>
      <c r="F481" s="131"/>
    </row>
    <row r="482">
      <c r="A482" s="131"/>
      <c r="B482" s="131"/>
      <c r="C482" s="131"/>
      <c r="D482" s="131"/>
      <c r="E482" s="131"/>
      <c r="F482" s="131"/>
    </row>
    <row r="483">
      <c r="A483" s="131"/>
      <c r="B483" s="131"/>
      <c r="C483" s="131"/>
      <c r="D483" s="131"/>
      <c r="E483" s="131"/>
      <c r="F483" s="131"/>
    </row>
    <row r="484">
      <c r="A484" s="131"/>
      <c r="B484" s="131"/>
      <c r="C484" s="131"/>
      <c r="D484" s="131"/>
      <c r="E484" s="131"/>
      <c r="F484" s="131"/>
    </row>
    <row r="485">
      <c r="A485" s="131"/>
      <c r="B485" s="131"/>
      <c r="C485" s="131"/>
      <c r="D485" s="131"/>
      <c r="E485" s="131"/>
      <c r="F485" s="131"/>
    </row>
    <row r="486">
      <c r="A486" s="131"/>
      <c r="B486" s="131"/>
      <c r="C486" s="131"/>
      <c r="D486" s="131"/>
      <c r="E486" s="131"/>
      <c r="F486" s="131"/>
    </row>
    <row r="487">
      <c r="A487" s="131"/>
      <c r="B487" s="131"/>
      <c r="C487" s="131"/>
      <c r="D487" s="131"/>
      <c r="E487" s="131"/>
      <c r="F487" s="131"/>
    </row>
    <row r="488">
      <c r="A488" s="131"/>
      <c r="B488" s="131"/>
      <c r="C488" s="131"/>
      <c r="D488" s="131"/>
      <c r="E488" s="131"/>
      <c r="F488" s="131"/>
    </row>
    <row r="489">
      <c r="A489" s="131"/>
      <c r="B489" s="131"/>
      <c r="C489" s="131"/>
      <c r="D489" s="131"/>
      <c r="E489" s="131"/>
      <c r="F489" s="131"/>
    </row>
    <row r="490">
      <c r="A490" s="131"/>
      <c r="B490" s="131"/>
      <c r="C490" s="131"/>
      <c r="D490" s="131"/>
      <c r="E490" s="131"/>
      <c r="F490" s="131"/>
    </row>
    <row r="491">
      <c r="A491" s="131"/>
      <c r="B491" s="131"/>
      <c r="C491" s="131"/>
      <c r="D491" s="131"/>
      <c r="E491" s="131"/>
      <c r="F491" s="131"/>
    </row>
    <row r="492">
      <c r="A492" s="131"/>
      <c r="B492" s="131"/>
      <c r="C492" s="131"/>
      <c r="D492" s="131"/>
      <c r="E492" s="131"/>
      <c r="F492" s="131"/>
    </row>
    <row r="493">
      <c r="A493" s="131"/>
      <c r="B493" s="131"/>
      <c r="C493" s="131"/>
      <c r="D493" s="131"/>
      <c r="E493" s="131"/>
      <c r="F493" s="131"/>
    </row>
    <row r="494">
      <c r="A494" s="131"/>
      <c r="B494" s="131"/>
      <c r="C494" s="131"/>
      <c r="D494" s="131"/>
      <c r="E494" s="131"/>
      <c r="F494" s="131"/>
    </row>
    <row r="495">
      <c r="A495" s="131"/>
      <c r="B495" s="131"/>
      <c r="C495" s="131"/>
      <c r="D495" s="131"/>
      <c r="E495" s="131"/>
      <c r="F495" s="131"/>
    </row>
    <row r="496">
      <c r="A496" s="131"/>
      <c r="B496" s="131"/>
      <c r="C496" s="131"/>
      <c r="D496" s="131"/>
      <c r="E496" s="131"/>
      <c r="F496" s="131"/>
    </row>
    <row r="497">
      <c r="A497" s="131"/>
      <c r="B497" s="131"/>
      <c r="C497" s="131"/>
      <c r="D497" s="131"/>
      <c r="E497" s="131"/>
      <c r="F497" s="131"/>
    </row>
    <row r="498">
      <c r="A498" s="131"/>
      <c r="B498" s="131"/>
      <c r="C498" s="131"/>
      <c r="D498" s="131"/>
      <c r="E498" s="131"/>
      <c r="F498" s="131"/>
    </row>
    <row r="499">
      <c r="A499" s="131"/>
      <c r="B499" s="131"/>
      <c r="C499" s="131"/>
      <c r="D499" s="131"/>
      <c r="E499" s="131"/>
      <c r="F499" s="131"/>
    </row>
    <row r="500">
      <c r="A500" s="131"/>
      <c r="B500" s="131"/>
      <c r="C500" s="131"/>
      <c r="D500" s="131"/>
      <c r="E500" s="131"/>
      <c r="F500" s="131"/>
    </row>
    <row r="501">
      <c r="A501" s="131"/>
      <c r="B501" s="131"/>
      <c r="C501" s="131"/>
      <c r="D501" s="131"/>
      <c r="E501" s="131"/>
      <c r="F501" s="131"/>
    </row>
    <row r="502">
      <c r="A502" s="131"/>
      <c r="B502" s="131"/>
      <c r="C502" s="131"/>
      <c r="D502" s="131"/>
      <c r="E502" s="131"/>
      <c r="F502" s="131"/>
    </row>
    <row r="503">
      <c r="A503" s="131"/>
      <c r="B503" s="131"/>
      <c r="C503" s="131"/>
      <c r="D503" s="131"/>
      <c r="E503" s="131"/>
      <c r="F503" s="131"/>
    </row>
    <row r="504">
      <c r="A504" s="131"/>
      <c r="B504" s="131"/>
      <c r="C504" s="131"/>
      <c r="D504" s="131"/>
      <c r="E504" s="131"/>
      <c r="F504" s="131"/>
    </row>
    <row r="505">
      <c r="A505" s="131"/>
      <c r="B505" s="131"/>
      <c r="C505" s="131"/>
      <c r="D505" s="131"/>
      <c r="E505" s="131"/>
      <c r="F505" s="131"/>
    </row>
    <row r="506">
      <c r="A506" s="131"/>
      <c r="B506" s="131"/>
      <c r="C506" s="131"/>
      <c r="D506" s="131"/>
      <c r="E506" s="131"/>
      <c r="F506" s="131"/>
    </row>
    <row r="507">
      <c r="A507" s="131"/>
      <c r="B507" s="131"/>
      <c r="C507" s="131"/>
      <c r="D507" s="131"/>
      <c r="E507" s="131"/>
      <c r="F507" s="131"/>
    </row>
    <row r="508">
      <c r="A508" s="131"/>
      <c r="B508" s="131"/>
      <c r="C508" s="131"/>
      <c r="D508" s="131"/>
      <c r="E508" s="131"/>
      <c r="F508" s="131"/>
    </row>
    <row r="509">
      <c r="A509" s="131"/>
      <c r="B509" s="131"/>
      <c r="C509" s="131"/>
      <c r="D509" s="131"/>
      <c r="E509" s="131"/>
      <c r="F509" s="131"/>
    </row>
    <row r="510">
      <c r="A510" s="131"/>
      <c r="B510" s="131"/>
      <c r="C510" s="131"/>
      <c r="D510" s="131"/>
      <c r="E510" s="131"/>
      <c r="F510" s="131"/>
    </row>
    <row r="511">
      <c r="A511" s="131"/>
      <c r="B511" s="131"/>
      <c r="C511" s="131"/>
      <c r="D511" s="131"/>
      <c r="E511" s="131"/>
      <c r="F511" s="131"/>
    </row>
    <row r="512">
      <c r="A512" s="131"/>
      <c r="B512" s="131"/>
      <c r="C512" s="131"/>
      <c r="D512" s="131"/>
      <c r="E512" s="131"/>
      <c r="F512" s="131"/>
    </row>
    <row r="513">
      <c r="A513" s="131"/>
      <c r="B513" s="131"/>
      <c r="C513" s="131"/>
      <c r="D513" s="131"/>
      <c r="E513" s="131"/>
      <c r="F513" s="131"/>
    </row>
    <row r="514">
      <c r="A514" s="131"/>
      <c r="B514" s="131"/>
      <c r="C514" s="131"/>
      <c r="D514" s="131"/>
      <c r="E514" s="131"/>
      <c r="F514" s="131"/>
    </row>
    <row r="515">
      <c r="A515" s="131"/>
      <c r="B515" s="131"/>
      <c r="C515" s="131"/>
      <c r="D515" s="131"/>
      <c r="E515" s="131"/>
      <c r="F515" s="131"/>
    </row>
    <row r="516">
      <c r="A516" s="131"/>
      <c r="B516" s="131"/>
      <c r="C516" s="131"/>
      <c r="D516" s="131"/>
      <c r="E516" s="131"/>
      <c r="F516" s="131"/>
    </row>
    <row r="517">
      <c r="A517" s="131"/>
      <c r="B517" s="131"/>
      <c r="C517" s="131"/>
      <c r="D517" s="131"/>
      <c r="E517" s="131"/>
      <c r="F517" s="131"/>
    </row>
    <row r="518">
      <c r="A518" s="131"/>
      <c r="B518" s="131"/>
      <c r="C518" s="131"/>
      <c r="D518" s="131"/>
      <c r="E518" s="131"/>
      <c r="F518" s="131"/>
    </row>
    <row r="519">
      <c r="A519" s="131"/>
      <c r="B519" s="131"/>
      <c r="C519" s="131"/>
      <c r="D519" s="131"/>
      <c r="E519" s="131"/>
      <c r="F519" s="131"/>
    </row>
    <row r="520">
      <c r="A520" s="131"/>
      <c r="B520" s="131"/>
      <c r="C520" s="131"/>
      <c r="D520" s="131"/>
      <c r="E520" s="131"/>
      <c r="F520" s="131"/>
    </row>
    <row r="521">
      <c r="A521" s="131"/>
      <c r="B521" s="131"/>
      <c r="C521" s="131"/>
      <c r="D521" s="131"/>
      <c r="E521" s="131"/>
      <c r="F521" s="131"/>
    </row>
    <row r="522">
      <c r="A522" s="131"/>
      <c r="B522" s="131"/>
      <c r="C522" s="131"/>
      <c r="D522" s="131"/>
      <c r="E522" s="131"/>
      <c r="F522" s="131"/>
    </row>
    <row r="523">
      <c r="A523" s="131"/>
      <c r="B523" s="131"/>
      <c r="C523" s="131"/>
      <c r="D523" s="131"/>
      <c r="E523" s="131"/>
      <c r="F523" s="131"/>
    </row>
    <row r="524">
      <c r="A524" s="131"/>
      <c r="B524" s="131"/>
      <c r="C524" s="131"/>
      <c r="D524" s="131"/>
      <c r="E524" s="131"/>
      <c r="F524" s="131"/>
    </row>
    <row r="525">
      <c r="A525" s="131"/>
      <c r="B525" s="131"/>
      <c r="C525" s="131"/>
      <c r="D525" s="131"/>
      <c r="E525" s="131"/>
      <c r="F525" s="131"/>
    </row>
    <row r="526">
      <c r="A526" s="131"/>
      <c r="B526" s="131"/>
      <c r="C526" s="131"/>
      <c r="D526" s="131"/>
      <c r="E526" s="131"/>
      <c r="F526" s="131"/>
    </row>
    <row r="527">
      <c r="A527" s="131"/>
      <c r="B527" s="131"/>
      <c r="C527" s="131"/>
      <c r="D527" s="131"/>
      <c r="E527" s="131"/>
      <c r="F527" s="131"/>
    </row>
    <row r="528">
      <c r="A528" s="131"/>
      <c r="B528" s="131"/>
      <c r="C528" s="131"/>
      <c r="D528" s="131"/>
      <c r="E528" s="131"/>
      <c r="F528" s="131"/>
    </row>
    <row r="529">
      <c r="A529" s="131"/>
      <c r="B529" s="131"/>
      <c r="C529" s="131"/>
      <c r="D529" s="131"/>
      <c r="E529" s="131"/>
      <c r="F529" s="131"/>
    </row>
    <row r="530">
      <c r="A530" s="131"/>
      <c r="B530" s="131"/>
      <c r="C530" s="131"/>
      <c r="D530" s="131"/>
      <c r="E530" s="131"/>
      <c r="F530" s="131"/>
    </row>
    <row r="531">
      <c r="A531" s="131"/>
      <c r="B531" s="131"/>
      <c r="C531" s="131"/>
      <c r="D531" s="131"/>
      <c r="E531" s="131"/>
      <c r="F531" s="131"/>
    </row>
    <row r="532">
      <c r="A532" s="131"/>
      <c r="B532" s="131"/>
      <c r="C532" s="131"/>
      <c r="D532" s="131"/>
      <c r="E532" s="131"/>
      <c r="F532" s="131"/>
    </row>
    <row r="533">
      <c r="A533" s="131"/>
      <c r="B533" s="131"/>
      <c r="C533" s="131"/>
      <c r="D533" s="131"/>
      <c r="E533" s="131"/>
      <c r="F533" s="131"/>
    </row>
    <row r="534">
      <c r="A534" s="131"/>
      <c r="B534" s="131"/>
      <c r="C534" s="131"/>
      <c r="D534" s="131"/>
      <c r="E534" s="131"/>
      <c r="F534" s="131"/>
    </row>
    <row r="535">
      <c r="A535" s="131"/>
      <c r="B535" s="131"/>
      <c r="C535" s="131"/>
      <c r="D535" s="131"/>
      <c r="E535" s="131"/>
      <c r="F535" s="131"/>
    </row>
    <row r="536">
      <c r="A536" s="131"/>
      <c r="B536" s="131"/>
      <c r="C536" s="131"/>
      <c r="D536" s="131"/>
      <c r="E536" s="131"/>
      <c r="F536" s="131"/>
    </row>
    <row r="537">
      <c r="A537" s="131"/>
      <c r="B537" s="131"/>
      <c r="C537" s="131"/>
      <c r="D537" s="131"/>
      <c r="E537" s="131"/>
      <c r="F537" s="131"/>
    </row>
    <row r="538">
      <c r="A538" s="131"/>
      <c r="B538" s="131"/>
      <c r="C538" s="131"/>
      <c r="D538" s="131"/>
      <c r="E538" s="131"/>
      <c r="F538" s="131"/>
    </row>
    <row r="539">
      <c r="A539" s="131"/>
      <c r="B539" s="131"/>
      <c r="C539" s="131"/>
      <c r="D539" s="131"/>
      <c r="E539" s="131"/>
      <c r="F539" s="131"/>
    </row>
    <row r="540">
      <c r="A540" s="131"/>
      <c r="B540" s="131"/>
      <c r="C540" s="131"/>
      <c r="D540" s="131"/>
      <c r="E540" s="131"/>
      <c r="F540" s="131"/>
    </row>
    <row r="541">
      <c r="A541" s="131"/>
      <c r="B541" s="131"/>
      <c r="C541" s="131"/>
      <c r="D541" s="131"/>
      <c r="E541" s="131"/>
      <c r="F541" s="131"/>
    </row>
    <row r="542">
      <c r="A542" s="131"/>
      <c r="B542" s="131"/>
      <c r="C542" s="131"/>
      <c r="D542" s="131"/>
      <c r="E542" s="131"/>
      <c r="F542" s="131"/>
    </row>
    <row r="543">
      <c r="A543" s="131"/>
      <c r="B543" s="131"/>
      <c r="C543" s="131"/>
      <c r="D543" s="131"/>
      <c r="E543" s="131"/>
      <c r="F543" s="131"/>
    </row>
    <row r="544">
      <c r="A544" s="131"/>
      <c r="B544" s="131"/>
      <c r="C544" s="131"/>
      <c r="D544" s="131"/>
      <c r="E544" s="131"/>
      <c r="F544" s="131"/>
    </row>
    <row r="545">
      <c r="A545" s="131"/>
      <c r="B545" s="131"/>
      <c r="C545" s="131"/>
      <c r="D545" s="131"/>
      <c r="E545" s="131"/>
      <c r="F545" s="131"/>
    </row>
    <row r="546">
      <c r="A546" s="131"/>
      <c r="B546" s="131"/>
      <c r="C546" s="131"/>
      <c r="D546" s="131"/>
      <c r="E546" s="131"/>
      <c r="F546" s="131"/>
    </row>
    <row r="547">
      <c r="A547" s="131"/>
      <c r="B547" s="131"/>
      <c r="C547" s="131"/>
      <c r="D547" s="131"/>
      <c r="E547" s="131"/>
      <c r="F547" s="131"/>
    </row>
    <row r="548">
      <c r="A548" s="131"/>
      <c r="B548" s="131"/>
      <c r="C548" s="131"/>
      <c r="D548" s="131"/>
      <c r="E548" s="131"/>
      <c r="F548" s="131"/>
    </row>
    <row r="549">
      <c r="A549" s="131"/>
      <c r="B549" s="131"/>
      <c r="C549" s="131"/>
      <c r="D549" s="131"/>
      <c r="E549" s="131"/>
      <c r="F549" s="131"/>
    </row>
    <row r="550">
      <c r="A550" s="131"/>
      <c r="B550" s="131"/>
      <c r="C550" s="131"/>
      <c r="D550" s="131"/>
      <c r="E550" s="131"/>
      <c r="F550" s="131"/>
    </row>
    <row r="551">
      <c r="A551" s="131"/>
      <c r="B551" s="131"/>
      <c r="C551" s="131"/>
      <c r="D551" s="131"/>
      <c r="E551" s="131"/>
      <c r="F551" s="131"/>
    </row>
    <row r="552">
      <c r="A552" s="131"/>
      <c r="B552" s="131"/>
      <c r="C552" s="131"/>
      <c r="D552" s="131"/>
      <c r="E552" s="131"/>
      <c r="F552" s="131"/>
    </row>
    <row r="553">
      <c r="A553" s="131"/>
      <c r="B553" s="131"/>
      <c r="C553" s="131"/>
      <c r="D553" s="131"/>
      <c r="E553" s="131"/>
      <c r="F553" s="131"/>
    </row>
    <row r="554">
      <c r="A554" s="131"/>
      <c r="B554" s="131"/>
      <c r="C554" s="131"/>
      <c r="D554" s="131"/>
      <c r="E554" s="131"/>
      <c r="F554" s="131"/>
    </row>
    <row r="555">
      <c r="A555" s="131"/>
      <c r="B555" s="131"/>
      <c r="C555" s="131"/>
      <c r="D555" s="131"/>
      <c r="E555" s="131"/>
      <c r="F555" s="131"/>
    </row>
    <row r="556">
      <c r="A556" s="131"/>
      <c r="B556" s="131"/>
      <c r="C556" s="131"/>
      <c r="D556" s="131"/>
      <c r="E556" s="131"/>
      <c r="F556" s="131"/>
    </row>
    <row r="557">
      <c r="A557" s="131"/>
      <c r="B557" s="131"/>
      <c r="C557" s="131"/>
      <c r="D557" s="131"/>
      <c r="E557" s="131"/>
      <c r="F557" s="131"/>
    </row>
    <row r="558">
      <c r="A558" s="131"/>
      <c r="B558" s="131"/>
      <c r="C558" s="131"/>
      <c r="D558" s="131"/>
      <c r="E558" s="131"/>
      <c r="F558" s="131"/>
    </row>
    <row r="559">
      <c r="A559" s="131"/>
      <c r="B559" s="131"/>
      <c r="C559" s="131"/>
      <c r="D559" s="131"/>
      <c r="E559" s="131"/>
      <c r="F559" s="131"/>
    </row>
    <row r="560">
      <c r="A560" s="131"/>
      <c r="B560" s="131"/>
      <c r="C560" s="131"/>
      <c r="D560" s="131"/>
      <c r="E560" s="131"/>
      <c r="F560" s="131"/>
    </row>
    <row r="561">
      <c r="A561" s="131"/>
      <c r="B561" s="131"/>
      <c r="C561" s="131"/>
      <c r="D561" s="131"/>
      <c r="E561" s="131"/>
      <c r="F561" s="131"/>
    </row>
    <row r="562">
      <c r="A562" s="131"/>
      <c r="B562" s="131"/>
      <c r="C562" s="131"/>
      <c r="D562" s="131"/>
      <c r="E562" s="131"/>
      <c r="F562" s="131"/>
    </row>
    <row r="563">
      <c r="A563" s="131"/>
      <c r="B563" s="131"/>
      <c r="C563" s="131"/>
      <c r="D563" s="131"/>
      <c r="E563" s="131"/>
      <c r="F563" s="131"/>
    </row>
    <row r="564">
      <c r="A564" s="131"/>
      <c r="B564" s="131"/>
      <c r="C564" s="131"/>
      <c r="D564" s="131"/>
      <c r="E564" s="131"/>
      <c r="F564" s="131"/>
    </row>
    <row r="565">
      <c r="A565" s="131"/>
      <c r="B565" s="131"/>
      <c r="C565" s="131"/>
      <c r="D565" s="131"/>
      <c r="E565" s="131"/>
      <c r="F565" s="131"/>
    </row>
    <row r="566">
      <c r="A566" s="131"/>
      <c r="B566" s="131"/>
      <c r="C566" s="131"/>
      <c r="D566" s="131"/>
      <c r="E566" s="131"/>
      <c r="F566" s="131"/>
    </row>
    <row r="567">
      <c r="A567" s="131"/>
      <c r="B567" s="131"/>
      <c r="C567" s="131"/>
      <c r="D567" s="131"/>
      <c r="E567" s="131"/>
      <c r="F567" s="131"/>
    </row>
    <row r="568">
      <c r="A568" s="131"/>
      <c r="B568" s="131"/>
      <c r="C568" s="131"/>
      <c r="D568" s="131"/>
      <c r="E568" s="131"/>
      <c r="F568" s="131"/>
    </row>
    <row r="569">
      <c r="A569" s="131"/>
      <c r="B569" s="131"/>
      <c r="C569" s="131"/>
      <c r="D569" s="131"/>
      <c r="E569" s="131"/>
      <c r="F569" s="131"/>
    </row>
    <row r="570">
      <c r="A570" s="131"/>
      <c r="B570" s="131"/>
      <c r="C570" s="131"/>
      <c r="D570" s="131"/>
      <c r="E570" s="131"/>
      <c r="F570" s="131"/>
    </row>
    <row r="571">
      <c r="A571" s="131"/>
      <c r="B571" s="131"/>
      <c r="C571" s="131"/>
      <c r="D571" s="131"/>
      <c r="E571" s="131"/>
      <c r="F571" s="131"/>
    </row>
    <row r="572">
      <c r="A572" s="131"/>
      <c r="B572" s="131"/>
      <c r="C572" s="131"/>
      <c r="D572" s="131"/>
      <c r="E572" s="131"/>
      <c r="F572" s="131"/>
    </row>
    <row r="573">
      <c r="A573" s="131"/>
      <c r="B573" s="131"/>
      <c r="C573" s="131"/>
      <c r="D573" s="131"/>
      <c r="E573" s="131"/>
      <c r="F573" s="131"/>
    </row>
    <row r="574">
      <c r="A574" s="131"/>
      <c r="B574" s="131"/>
      <c r="C574" s="131"/>
      <c r="D574" s="131"/>
      <c r="E574" s="131"/>
      <c r="F574" s="131"/>
    </row>
    <row r="575">
      <c r="A575" s="131"/>
      <c r="B575" s="131"/>
      <c r="C575" s="131"/>
      <c r="D575" s="131"/>
      <c r="E575" s="131"/>
      <c r="F575" s="131"/>
    </row>
    <row r="576">
      <c r="A576" s="131"/>
      <c r="B576" s="131"/>
      <c r="C576" s="131"/>
      <c r="D576" s="131"/>
      <c r="E576" s="131"/>
      <c r="F576" s="131"/>
    </row>
    <row r="577">
      <c r="A577" s="131"/>
      <c r="B577" s="131"/>
      <c r="C577" s="131"/>
      <c r="D577" s="131"/>
      <c r="E577" s="131"/>
      <c r="F577" s="131"/>
    </row>
    <row r="578">
      <c r="A578" s="131"/>
      <c r="B578" s="131"/>
      <c r="C578" s="131"/>
      <c r="D578" s="131"/>
      <c r="E578" s="131"/>
      <c r="F578" s="131"/>
    </row>
    <row r="579">
      <c r="A579" s="131"/>
      <c r="B579" s="131"/>
      <c r="C579" s="131"/>
      <c r="D579" s="131"/>
      <c r="E579" s="131"/>
      <c r="F579" s="131"/>
    </row>
    <row r="580">
      <c r="A580" s="131"/>
      <c r="B580" s="131"/>
      <c r="C580" s="131"/>
      <c r="D580" s="131"/>
      <c r="E580" s="131"/>
      <c r="F580" s="131"/>
    </row>
    <row r="581">
      <c r="A581" s="131"/>
      <c r="B581" s="131"/>
      <c r="C581" s="131"/>
      <c r="D581" s="131"/>
      <c r="E581" s="131"/>
      <c r="F581" s="131"/>
    </row>
    <row r="582">
      <c r="A582" s="131"/>
      <c r="B582" s="131"/>
      <c r="C582" s="131"/>
      <c r="D582" s="131"/>
      <c r="E582" s="131"/>
      <c r="F582" s="131"/>
    </row>
    <row r="583">
      <c r="A583" s="131"/>
      <c r="B583" s="131"/>
      <c r="C583" s="131"/>
      <c r="D583" s="131"/>
      <c r="E583" s="131"/>
      <c r="F583" s="131"/>
    </row>
    <row r="584">
      <c r="A584" s="131"/>
      <c r="B584" s="131"/>
      <c r="C584" s="131"/>
      <c r="D584" s="131"/>
      <c r="E584" s="131"/>
      <c r="F584" s="131"/>
    </row>
    <row r="585">
      <c r="A585" s="131"/>
      <c r="B585" s="131"/>
      <c r="C585" s="131"/>
      <c r="D585" s="131"/>
      <c r="E585" s="131"/>
      <c r="F585" s="131"/>
    </row>
    <row r="586">
      <c r="A586" s="131"/>
      <c r="B586" s="131"/>
      <c r="C586" s="131"/>
      <c r="D586" s="131"/>
      <c r="E586" s="131"/>
      <c r="F586" s="131"/>
    </row>
    <row r="587">
      <c r="A587" s="131"/>
      <c r="B587" s="131"/>
      <c r="C587" s="131"/>
      <c r="D587" s="131"/>
      <c r="E587" s="131"/>
      <c r="F587" s="131"/>
    </row>
    <row r="588">
      <c r="A588" s="131"/>
      <c r="B588" s="131"/>
      <c r="C588" s="131"/>
      <c r="D588" s="131"/>
      <c r="E588" s="131"/>
      <c r="F588" s="131"/>
    </row>
    <row r="589">
      <c r="A589" s="131"/>
      <c r="B589" s="131"/>
      <c r="C589" s="131"/>
      <c r="D589" s="131"/>
      <c r="E589" s="131"/>
      <c r="F589" s="131"/>
    </row>
    <row r="590">
      <c r="A590" s="131"/>
      <c r="B590" s="131"/>
      <c r="C590" s="131"/>
      <c r="D590" s="131"/>
      <c r="E590" s="131"/>
      <c r="F590" s="131"/>
    </row>
    <row r="591">
      <c r="A591" s="131"/>
      <c r="B591" s="131"/>
      <c r="C591" s="131"/>
      <c r="D591" s="131"/>
      <c r="E591" s="131"/>
      <c r="F591" s="131"/>
    </row>
    <row r="592">
      <c r="A592" s="131"/>
      <c r="B592" s="131"/>
      <c r="C592" s="131"/>
      <c r="D592" s="131"/>
      <c r="E592" s="131"/>
      <c r="F592" s="131"/>
    </row>
    <row r="593">
      <c r="A593" s="131"/>
      <c r="B593" s="131"/>
      <c r="C593" s="131"/>
      <c r="D593" s="131"/>
      <c r="E593" s="131"/>
      <c r="F593" s="131"/>
    </row>
    <row r="594">
      <c r="A594" s="131"/>
      <c r="B594" s="131"/>
      <c r="C594" s="131"/>
      <c r="D594" s="131"/>
      <c r="E594" s="131"/>
      <c r="F594" s="131"/>
    </row>
    <row r="595">
      <c r="A595" s="131"/>
      <c r="B595" s="131"/>
      <c r="C595" s="131"/>
      <c r="D595" s="131"/>
      <c r="E595" s="131"/>
      <c r="F595" s="131"/>
    </row>
    <row r="596">
      <c r="A596" s="131"/>
      <c r="B596" s="131"/>
      <c r="C596" s="131"/>
      <c r="D596" s="131"/>
      <c r="E596" s="131"/>
      <c r="F596" s="131"/>
    </row>
    <row r="597">
      <c r="A597" s="131"/>
      <c r="B597" s="131"/>
      <c r="C597" s="131"/>
      <c r="D597" s="131"/>
      <c r="E597" s="131"/>
      <c r="F597" s="131"/>
    </row>
    <row r="598">
      <c r="A598" s="131"/>
      <c r="B598" s="131"/>
      <c r="C598" s="131"/>
      <c r="D598" s="131"/>
      <c r="E598" s="131"/>
      <c r="F598" s="131"/>
    </row>
    <row r="599">
      <c r="A599" s="131"/>
      <c r="B599" s="131"/>
      <c r="C599" s="131"/>
      <c r="D599" s="131"/>
      <c r="E599" s="131"/>
      <c r="F599" s="131"/>
    </row>
    <row r="600">
      <c r="A600" s="131"/>
      <c r="B600" s="131"/>
      <c r="C600" s="131"/>
      <c r="D600" s="131"/>
      <c r="E600" s="131"/>
      <c r="F600" s="131"/>
    </row>
    <row r="601">
      <c r="A601" s="131"/>
      <c r="B601" s="131"/>
      <c r="C601" s="131"/>
      <c r="D601" s="131"/>
      <c r="E601" s="131"/>
      <c r="F601" s="131"/>
    </row>
    <row r="602">
      <c r="A602" s="131"/>
      <c r="B602" s="131"/>
      <c r="C602" s="131"/>
      <c r="D602" s="131"/>
      <c r="E602" s="131"/>
      <c r="F602" s="131"/>
    </row>
    <row r="603">
      <c r="A603" s="131"/>
      <c r="B603" s="131"/>
      <c r="C603" s="131"/>
      <c r="D603" s="131"/>
      <c r="E603" s="131"/>
      <c r="F603" s="131"/>
    </row>
    <row r="604">
      <c r="A604" s="131"/>
      <c r="B604" s="131"/>
      <c r="C604" s="131"/>
      <c r="D604" s="131"/>
      <c r="E604" s="131"/>
      <c r="F604" s="131"/>
    </row>
    <row r="605">
      <c r="A605" s="131"/>
      <c r="B605" s="131"/>
      <c r="C605" s="131"/>
      <c r="D605" s="131"/>
      <c r="E605" s="131"/>
      <c r="F605" s="131"/>
    </row>
    <row r="606">
      <c r="A606" s="131"/>
      <c r="B606" s="131"/>
      <c r="C606" s="131"/>
      <c r="D606" s="131"/>
      <c r="E606" s="131"/>
      <c r="F606" s="131"/>
    </row>
    <row r="607">
      <c r="A607" s="131"/>
      <c r="B607" s="131"/>
      <c r="C607" s="131"/>
      <c r="D607" s="131"/>
      <c r="E607" s="131"/>
      <c r="F607" s="131"/>
    </row>
    <row r="608">
      <c r="A608" s="131"/>
      <c r="B608" s="131"/>
      <c r="C608" s="131"/>
      <c r="D608" s="131"/>
      <c r="E608" s="131"/>
      <c r="F608" s="131"/>
    </row>
    <row r="609">
      <c r="A609" s="131"/>
      <c r="B609" s="131"/>
      <c r="C609" s="131"/>
      <c r="D609" s="131"/>
      <c r="E609" s="131"/>
      <c r="F609" s="131"/>
    </row>
    <row r="610">
      <c r="A610" s="131"/>
      <c r="B610" s="131"/>
      <c r="C610" s="131"/>
      <c r="D610" s="131"/>
      <c r="E610" s="131"/>
      <c r="F610" s="131"/>
    </row>
    <row r="611">
      <c r="A611" s="131"/>
      <c r="B611" s="131"/>
      <c r="C611" s="131"/>
      <c r="D611" s="131"/>
      <c r="E611" s="131"/>
      <c r="F611" s="131"/>
    </row>
    <row r="612">
      <c r="A612" s="131"/>
      <c r="B612" s="131"/>
      <c r="C612" s="131"/>
      <c r="D612" s="131"/>
      <c r="E612" s="131"/>
      <c r="F612" s="131"/>
    </row>
    <row r="613">
      <c r="A613" s="131"/>
      <c r="B613" s="131"/>
      <c r="C613" s="131"/>
      <c r="D613" s="131"/>
      <c r="E613" s="131"/>
      <c r="F613" s="131"/>
    </row>
    <row r="614">
      <c r="A614" s="131"/>
      <c r="B614" s="131"/>
      <c r="C614" s="131"/>
      <c r="D614" s="131"/>
      <c r="E614" s="131"/>
      <c r="F614" s="131"/>
    </row>
    <row r="615">
      <c r="A615" s="131"/>
      <c r="B615" s="131"/>
      <c r="C615" s="131"/>
      <c r="D615" s="131"/>
      <c r="E615" s="131"/>
      <c r="F615" s="131"/>
    </row>
    <row r="616">
      <c r="A616" s="131"/>
      <c r="B616" s="131"/>
      <c r="C616" s="131"/>
      <c r="D616" s="131"/>
      <c r="E616" s="131"/>
      <c r="F616" s="131"/>
    </row>
    <row r="617">
      <c r="A617" s="131"/>
      <c r="B617" s="131"/>
      <c r="C617" s="131"/>
      <c r="D617" s="131"/>
      <c r="E617" s="131"/>
      <c r="F617" s="131"/>
    </row>
    <row r="618">
      <c r="A618" s="131"/>
      <c r="B618" s="131"/>
      <c r="C618" s="131"/>
      <c r="D618" s="131"/>
      <c r="E618" s="131"/>
      <c r="F618" s="131"/>
    </row>
    <row r="619">
      <c r="A619" s="131"/>
      <c r="B619" s="131"/>
      <c r="C619" s="131"/>
      <c r="D619" s="131"/>
      <c r="E619" s="131"/>
      <c r="F619" s="131"/>
    </row>
    <row r="620">
      <c r="A620" s="131"/>
      <c r="B620" s="131"/>
      <c r="C620" s="131"/>
      <c r="D620" s="131"/>
      <c r="E620" s="131"/>
      <c r="F620" s="131"/>
    </row>
    <row r="621">
      <c r="A621" s="131"/>
      <c r="B621" s="131"/>
      <c r="C621" s="131"/>
      <c r="D621" s="131"/>
      <c r="E621" s="131"/>
      <c r="F621" s="131"/>
    </row>
    <row r="622">
      <c r="A622" s="131"/>
      <c r="B622" s="131"/>
      <c r="C622" s="131"/>
      <c r="D622" s="131"/>
      <c r="E622" s="131"/>
      <c r="F622" s="131"/>
    </row>
    <row r="623">
      <c r="A623" s="131"/>
      <c r="B623" s="131"/>
      <c r="C623" s="131"/>
      <c r="D623" s="131"/>
      <c r="E623" s="131"/>
      <c r="F623" s="131"/>
    </row>
    <row r="624">
      <c r="A624" s="131"/>
      <c r="B624" s="131"/>
      <c r="C624" s="131"/>
      <c r="D624" s="131"/>
      <c r="E624" s="131"/>
      <c r="F624" s="131"/>
    </row>
    <row r="625">
      <c r="A625" s="131"/>
      <c r="B625" s="131"/>
      <c r="C625" s="131"/>
      <c r="D625" s="131"/>
      <c r="E625" s="131"/>
      <c r="F625" s="131"/>
    </row>
    <row r="626">
      <c r="A626" s="131"/>
      <c r="B626" s="131"/>
      <c r="C626" s="131"/>
      <c r="D626" s="131"/>
      <c r="E626" s="131"/>
      <c r="F626" s="131"/>
    </row>
    <row r="627">
      <c r="A627" s="131"/>
      <c r="B627" s="131"/>
      <c r="C627" s="131"/>
      <c r="D627" s="131"/>
      <c r="E627" s="131"/>
      <c r="F627" s="131"/>
    </row>
    <row r="628">
      <c r="A628" s="131"/>
      <c r="B628" s="131"/>
      <c r="C628" s="131"/>
      <c r="D628" s="131"/>
      <c r="E628" s="131"/>
      <c r="F628" s="131"/>
    </row>
    <row r="629">
      <c r="A629" s="131"/>
      <c r="B629" s="131"/>
      <c r="C629" s="131"/>
      <c r="D629" s="131"/>
      <c r="E629" s="131"/>
      <c r="F629" s="131"/>
    </row>
    <row r="630">
      <c r="A630" s="131"/>
      <c r="B630" s="131"/>
      <c r="C630" s="131"/>
      <c r="D630" s="131"/>
      <c r="E630" s="131"/>
      <c r="F630" s="131"/>
    </row>
    <row r="631">
      <c r="A631" s="131"/>
      <c r="B631" s="131"/>
      <c r="C631" s="131"/>
      <c r="D631" s="131"/>
      <c r="E631" s="131"/>
      <c r="F631" s="131"/>
    </row>
    <row r="632">
      <c r="A632" s="131"/>
      <c r="B632" s="131"/>
      <c r="C632" s="131"/>
      <c r="D632" s="131"/>
      <c r="E632" s="131"/>
      <c r="F632" s="131"/>
    </row>
    <row r="633">
      <c r="A633" s="131"/>
      <c r="B633" s="131"/>
      <c r="C633" s="131"/>
      <c r="D633" s="131"/>
      <c r="E633" s="131"/>
      <c r="F633" s="131"/>
    </row>
    <row r="634">
      <c r="A634" s="131"/>
      <c r="B634" s="131"/>
      <c r="C634" s="131"/>
      <c r="D634" s="131"/>
      <c r="E634" s="131"/>
      <c r="F634" s="131"/>
    </row>
    <row r="635">
      <c r="A635" s="131"/>
      <c r="B635" s="131"/>
      <c r="C635" s="131"/>
      <c r="D635" s="131"/>
      <c r="E635" s="131"/>
      <c r="F635" s="131"/>
    </row>
    <row r="636">
      <c r="A636" s="131"/>
      <c r="B636" s="131"/>
      <c r="C636" s="131"/>
      <c r="D636" s="131"/>
      <c r="E636" s="131"/>
      <c r="F636" s="131"/>
    </row>
    <row r="637">
      <c r="A637" s="131"/>
      <c r="B637" s="131"/>
      <c r="C637" s="131"/>
      <c r="D637" s="131"/>
      <c r="E637" s="131"/>
      <c r="F637" s="131"/>
    </row>
    <row r="638">
      <c r="A638" s="131"/>
      <c r="B638" s="131"/>
      <c r="C638" s="131"/>
      <c r="D638" s="131"/>
      <c r="E638" s="131"/>
      <c r="F638" s="131"/>
    </row>
    <row r="639">
      <c r="A639" s="131"/>
      <c r="B639" s="131"/>
      <c r="C639" s="131"/>
      <c r="D639" s="131"/>
      <c r="E639" s="131"/>
      <c r="F639" s="131"/>
    </row>
    <row r="640">
      <c r="A640" s="131"/>
      <c r="B640" s="131"/>
      <c r="C640" s="131"/>
      <c r="D640" s="131"/>
      <c r="E640" s="131"/>
      <c r="F640" s="131"/>
    </row>
    <row r="641">
      <c r="A641" s="131"/>
      <c r="B641" s="131"/>
      <c r="C641" s="131"/>
      <c r="D641" s="131"/>
      <c r="E641" s="131"/>
      <c r="F641" s="131"/>
    </row>
    <row r="642">
      <c r="A642" s="131"/>
      <c r="B642" s="131"/>
      <c r="C642" s="131"/>
      <c r="D642" s="131"/>
      <c r="E642" s="131"/>
      <c r="F642" s="131"/>
    </row>
    <row r="643">
      <c r="A643" s="131"/>
      <c r="B643" s="131"/>
      <c r="C643" s="131"/>
      <c r="D643" s="131"/>
      <c r="E643" s="131"/>
      <c r="F643" s="131"/>
    </row>
    <row r="644">
      <c r="A644" s="131"/>
      <c r="B644" s="131"/>
      <c r="C644" s="131"/>
      <c r="D644" s="131"/>
      <c r="E644" s="131"/>
      <c r="F644" s="131"/>
    </row>
    <row r="645">
      <c r="A645" s="131"/>
      <c r="B645" s="131"/>
      <c r="C645" s="131"/>
      <c r="D645" s="131"/>
      <c r="E645" s="131"/>
      <c r="F645" s="131"/>
    </row>
    <row r="646">
      <c r="A646" s="131"/>
      <c r="B646" s="131"/>
      <c r="C646" s="131"/>
      <c r="D646" s="131"/>
      <c r="E646" s="131"/>
      <c r="F646" s="131"/>
    </row>
    <row r="647">
      <c r="A647" s="131"/>
      <c r="B647" s="131"/>
      <c r="C647" s="131"/>
      <c r="D647" s="131"/>
      <c r="E647" s="131"/>
      <c r="F647" s="131"/>
    </row>
    <row r="648">
      <c r="A648" s="131"/>
      <c r="B648" s="131"/>
      <c r="C648" s="131"/>
      <c r="D648" s="131"/>
      <c r="E648" s="131"/>
      <c r="F648" s="131"/>
    </row>
    <row r="649">
      <c r="A649" s="131"/>
      <c r="B649" s="131"/>
      <c r="C649" s="131"/>
      <c r="D649" s="131"/>
      <c r="E649" s="131"/>
      <c r="F649" s="131"/>
    </row>
    <row r="650">
      <c r="A650" s="131"/>
      <c r="B650" s="131"/>
      <c r="C650" s="131"/>
      <c r="D650" s="131"/>
      <c r="E650" s="131"/>
      <c r="F650" s="131"/>
    </row>
    <row r="651">
      <c r="A651" s="131"/>
      <c r="B651" s="131"/>
      <c r="C651" s="131"/>
      <c r="D651" s="131"/>
      <c r="E651" s="131"/>
      <c r="F651" s="131"/>
    </row>
    <row r="652">
      <c r="A652" s="131"/>
      <c r="B652" s="131"/>
      <c r="C652" s="131"/>
      <c r="D652" s="131"/>
      <c r="E652" s="131"/>
      <c r="F652" s="131"/>
    </row>
    <row r="653">
      <c r="A653" s="131"/>
      <c r="B653" s="131"/>
      <c r="C653" s="131"/>
      <c r="D653" s="131"/>
      <c r="E653" s="131"/>
      <c r="F653" s="131"/>
    </row>
    <row r="654">
      <c r="A654" s="131"/>
      <c r="B654" s="131"/>
      <c r="C654" s="131"/>
      <c r="D654" s="131"/>
      <c r="E654" s="131"/>
      <c r="F654" s="131"/>
    </row>
    <row r="655">
      <c r="A655" s="131"/>
      <c r="B655" s="131"/>
      <c r="C655" s="131"/>
      <c r="D655" s="131"/>
      <c r="E655" s="131"/>
      <c r="F655" s="131"/>
    </row>
    <row r="656">
      <c r="A656" s="131"/>
      <c r="B656" s="131"/>
      <c r="C656" s="131"/>
      <c r="D656" s="131"/>
      <c r="E656" s="131"/>
      <c r="F656" s="131"/>
    </row>
    <row r="657">
      <c r="A657" s="131"/>
      <c r="B657" s="131"/>
      <c r="C657" s="131"/>
      <c r="D657" s="131"/>
      <c r="E657" s="131"/>
      <c r="F657" s="131"/>
    </row>
    <row r="658">
      <c r="A658" s="131"/>
      <c r="B658" s="131"/>
      <c r="C658" s="131"/>
      <c r="D658" s="131"/>
      <c r="E658" s="131"/>
      <c r="F658" s="131"/>
    </row>
    <row r="659">
      <c r="A659" s="131"/>
      <c r="B659" s="131"/>
      <c r="C659" s="131"/>
      <c r="D659" s="131"/>
      <c r="E659" s="131"/>
      <c r="F659" s="131"/>
    </row>
    <row r="660">
      <c r="A660" s="131"/>
      <c r="B660" s="131"/>
      <c r="C660" s="131"/>
      <c r="D660" s="131"/>
      <c r="E660" s="131"/>
      <c r="F660" s="131"/>
    </row>
    <row r="661">
      <c r="A661" s="131"/>
      <c r="B661" s="131"/>
      <c r="C661" s="131"/>
      <c r="D661" s="131"/>
      <c r="E661" s="131"/>
      <c r="F661" s="131"/>
    </row>
    <row r="662">
      <c r="A662" s="131"/>
      <c r="B662" s="131"/>
      <c r="C662" s="131"/>
      <c r="D662" s="131"/>
      <c r="E662" s="131"/>
      <c r="F662" s="131"/>
    </row>
    <row r="663">
      <c r="A663" s="131"/>
      <c r="B663" s="131"/>
      <c r="C663" s="131"/>
      <c r="D663" s="131"/>
      <c r="E663" s="131"/>
      <c r="F663" s="131"/>
    </row>
    <row r="664">
      <c r="A664" s="131"/>
      <c r="B664" s="131"/>
      <c r="C664" s="131"/>
      <c r="D664" s="131"/>
      <c r="E664" s="131"/>
      <c r="F664" s="131"/>
    </row>
    <row r="665">
      <c r="A665" s="131"/>
      <c r="B665" s="131"/>
      <c r="C665" s="131"/>
      <c r="D665" s="131"/>
      <c r="E665" s="131"/>
      <c r="F665" s="131"/>
    </row>
    <row r="666">
      <c r="A666" s="131"/>
      <c r="B666" s="131"/>
      <c r="C666" s="131"/>
      <c r="D666" s="131"/>
      <c r="E666" s="131"/>
      <c r="F666" s="131"/>
    </row>
    <row r="667">
      <c r="A667" s="131"/>
      <c r="B667" s="131"/>
      <c r="C667" s="131"/>
      <c r="D667" s="131"/>
      <c r="E667" s="131"/>
      <c r="F667" s="131"/>
    </row>
    <row r="668">
      <c r="A668" s="131"/>
      <c r="B668" s="131"/>
      <c r="C668" s="131"/>
      <c r="D668" s="131"/>
      <c r="E668" s="131"/>
      <c r="F668" s="131"/>
    </row>
    <row r="669">
      <c r="A669" s="131"/>
      <c r="B669" s="131"/>
      <c r="C669" s="131"/>
      <c r="D669" s="131"/>
      <c r="E669" s="131"/>
      <c r="F669" s="131"/>
    </row>
    <row r="670">
      <c r="A670" s="131"/>
      <c r="B670" s="131"/>
      <c r="C670" s="131"/>
      <c r="D670" s="131"/>
      <c r="E670" s="131"/>
      <c r="F670" s="131"/>
    </row>
    <row r="671">
      <c r="A671" s="131"/>
      <c r="B671" s="131"/>
      <c r="C671" s="131"/>
      <c r="D671" s="131"/>
      <c r="E671" s="131"/>
      <c r="F671" s="131"/>
    </row>
    <row r="672">
      <c r="A672" s="131"/>
      <c r="B672" s="131"/>
      <c r="C672" s="131"/>
      <c r="D672" s="131"/>
      <c r="E672" s="131"/>
      <c r="F672" s="131"/>
    </row>
    <row r="673">
      <c r="A673" s="131"/>
      <c r="B673" s="131"/>
      <c r="C673" s="131"/>
      <c r="D673" s="131"/>
      <c r="E673" s="131"/>
      <c r="F673" s="131"/>
    </row>
    <row r="674">
      <c r="A674" s="131"/>
      <c r="B674" s="131"/>
      <c r="C674" s="131"/>
      <c r="D674" s="131"/>
      <c r="E674" s="131"/>
      <c r="F674" s="131"/>
    </row>
    <row r="675">
      <c r="A675" s="131"/>
      <c r="B675" s="131"/>
      <c r="C675" s="131"/>
      <c r="D675" s="131"/>
      <c r="E675" s="131"/>
      <c r="F675" s="131"/>
    </row>
    <row r="676">
      <c r="A676" s="131"/>
      <c r="B676" s="131"/>
      <c r="C676" s="131"/>
      <c r="D676" s="131"/>
      <c r="E676" s="131"/>
      <c r="F676" s="131"/>
    </row>
    <row r="677">
      <c r="A677" s="131"/>
      <c r="B677" s="131"/>
      <c r="C677" s="131"/>
      <c r="D677" s="131"/>
      <c r="E677" s="131"/>
      <c r="F677" s="131"/>
    </row>
    <row r="678">
      <c r="A678" s="131"/>
      <c r="B678" s="131"/>
      <c r="C678" s="131"/>
      <c r="D678" s="131"/>
      <c r="E678" s="131"/>
      <c r="F678" s="131"/>
    </row>
    <row r="679">
      <c r="A679" s="131"/>
      <c r="B679" s="131"/>
      <c r="C679" s="131"/>
      <c r="D679" s="131"/>
      <c r="E679" s="131"/>
      <c r="F679" s="131"/>
    </row>
    <row r="680">
      <c r="A680" s="131"/>
      <c r="B680" s="131"/>
      <c r="C680" s="131"/>
      <c r="D680" s="131"/>
      <c r="E680" s="131"/>
      <c r="F680" s="131"/>
    </row>
    <row r="681">
      <c r="A681" s="131"/>
      <c r="B681" s="131"/>
      <c r="C681" s="131"/>
      <c r="D681" s="131"/>
      <c r="E681" s="131"/>
      <c r="F681" s="131"/>
    </row>
    <row r="682">
      <c r="A682" s="131"/>
      <c r="B682" s="131"/>
      <c r="C682" s="131"/>
      <c r="D682" s="131"/>
      <c r="E682" s="131"/>
      <c r="F682" s="131"/>
    </row>
    <row r="683">
      <c r="A683" s="131"/>
      <c r="B683" s="131"/>
      <c r="C683" s="131"/>
      <c r="D683" s="131"/>
      <c r="E683" s="131"/>
      <c r="F683" s="131"/>
    </row>
    <row r="684">
      <c r="A684" s="131"/>
      <c r="B684" s="131"/>
      <c r="C684" s="131"/>
      <c r="D684" s="131"/>
      <c r="E684" s="131"/>
      <c r="F684" s="131"/>
    </row>
    <row r="685">
      <c r="A685" s="131"/>
      <c r="B685" s="131"/>
      <c r="C685" s="131"/>
      <c r="D685" s="131"/>
      <c r="E685" s="131"/>
      <c r="F685" s="131"/>
    </row>
    <row r="686">
      <c r="A686" s="131"/>
      <c r="B686" s="131"/>
      <c r="C686" s="131"/>
      <c r="D686" s="131"/>
      <c r="E686" s="131"/>
      <c r="F686" s="131"/>
    </row>
    <row r="687">
      <c r="A687" s="131"/>
      <c r="B687" s="131"/>
      <c r="C687" s="131"/>
      <c r="D687" s="131"/>
      <c r="E687" s="131"/>
      <c r="F687" s="131"/>
    </row>
    <row r="688">
      <c r="A688" s="131"/>
      <c r="B688" s="131"/>
      <c r="C688" s="131"/>
      <c r="D688" s="131"/>
      <c r="E688" s="131"/>
      <c r="F688" s="131"/>
    </row>
    <row r="689">
      <c r="A689" s="131"/>
      <c r="B689" s="131"/>
      <c r="C689" s="131"/>
      <c r="D689" s="131"/>
      <c r="E689" s="131"/>
      <c r="F689" s="131"/>
    </row>
    <row r="690">
      <c r="A690" s="131"/>
      <c r="B690" s="131"/>
      <c r="C690" s="131"/>
      <c r="D690" s="131"/>
      <c r="E690" s="131"/>
      <c r="F690" s="131"/>
    </row>
    <row r="691">
      <c r="A691" s="131"/>
      <c r="B691" s="131"/>
      <c r="C691" s="131"/>
      <c r="D691" s="131"/>
      <c r="E691" s="131"/>
      <c r="F691" s="131"/>
    </row>
    <row r="692">
      <c r="A692" s="131"/>
      <c r="B692" s="131"/>
      <c r="C692" s="131"/>
      <c r="D692" s="131"/>
      <c r="E692" s="131"/>
      <c r="F692" s="131"/>
    </row>
    <row r="693">
      <c r="A693" s="131"/>
      <c r="B693" s="131"/>
      <c r="C693" s="131"/>
      <c r="D693" s="131"/>
      <c r="E693" s="131"/>
      <c r="F693" s="131"/>
    </row>
    <row r="694">
      <c r="A694" s="131"/>
      <c r="B694" s="131"/>
      <c r="C694" s="131"/>
      <c r="D694" s="131"/>
      <c r="E694" s="131"/>
      <c r="F694" s="131"/>
    </row>
    <row r="695">
      <c r="A695" s="131"/>
      <c r="B695" s="131"/>
      <c r="C695" s="131"/>
      <c r="D695" s="131"/>
      <c r="E695" s="131"/>
      <c r="F695" s="131"/>
    </row>
    <row r="696">
      <c r="A696" s="131"/>
      <c r="B696" s="131"/>
      <c r="C696" s="131"/>
      <c r="D696" s="131"/>
      <c r="E696" s="131"/>
      <c r="F696" s="131"/>
    </row>
    <row r="697">
      <c r="A697" s="131"/>
      <c r="B697" s="131"/>
      <c r="C697" s="131"/>
      <c r="D697" s="131"/>
      <c r="E697" s="131"/>
      <c r="F697" s="131"/>
    </row>
    <row r="698">
      <c r="A698" s="131"/>
      <c r="B698" s="131"/>
      <c r="C698" s="131"/>
      <c r="D698" s="131"/>
      <c r="E698" s="131"/>
      <c r="F698" s="131"/>
    </row>
    <row r="699">
      <c r="A699" s="131"/>
      <c r="B699" s="131"/>
      <c r="C699" s="131"/>
      <c r="D699" s="131"/>
      <c r="E699" s="131"/>
      <c r="F699" s="131"/>
    </row>
    <row r="700">
      <c r="A700" s="131"/>
      <c r="B700" s="131"/>
      <c r="C700" s="131"/>
      <c r="D700" s="131"/>
      <c r="E700" s="131"/>
      <c r="F700" s="131"/>
    </row>
    <row r="701">
      <c r="A701" s="131"/>
      <c r="B701" s="131"/>
      <c r="C701" s="131"/>
      <c r="D701" s="131"/>
      <c r="E701" s="131"/>
      <c r="F701" s="131"/>
    </row>
    <row r="702">
      <c r="A702" s="131"/>
      <c r="B702" s="131"/>
      <c r="C702" s="131"/>
      <c r="D702" s="131"/>
      <c r="E702" s="131"/>
      <c r="F702" s="131"/>
    </row>
    <row r="703">
      <c r="A703" s="131"/>
      <c r="B703" s="131"/>
      <c r="C703" s="131"/>
      <c r="D703" s="131"/>
      <c r="E703" s="131"/>
      <c r="F703" s="131"/>
    </row>
    <row r="704">
      <c r="A704" s="131"/>
      <c r="B704" s="131"/>
      <c r="C704" s="131"/>
      <c r="D704" s="131"/>
      <c r="E704" s="131"/>
      <c r="F704" s="131"/>
    </row>
    <row r="705">
      <c r="A705" s="131"/>
      <c r="B705" s="131"/>
      <c r="C705" s="131"/>
      <c r="D705" s="131"/>
      <c r="E705" s="131"/>
      <c r="F705" s="131"/>
    </row>
    <row r="706">
      <c r="A706" s="131"/>
      <c r="B706" s="131"/>
      <c r="C706" s="131"/>
      <c r="D706" s="131"/>
      <c r="E706" s="131"/>
      <c r="F706" s="131"/>
    </row>
    <row r="707">
      <c r="A707" s="131"/>
      <c r="B707" s="131"/>
      <c r="C707" s="131"/>
      <c r="D707" s="131"/>
      <c r="E707" s="131"/>
      <c r="F707" s="131"/>
    </row>
    <row r="708">
      <c r="A708" s="131"/>
      <c r="B708" s="131"/>
      <c r="C708" s="131"/>
      <c r="D708" s="131"/>
      <c r="E708" s="131"/>
      <c r="F708" s="131"/>
    </row>
    <row r="709">
      <c r="A709" s="131"/>
      <c r="B709" s="131"/>
      <c r="C709" s="131"/>
      <c r="D709" s="131"/>
      <c r="E709" s="131"/>
      <c r="F709" s="131"/>
    </row>
    <row r="710">
      <c r="A710" s="131"/>
      <c r="B710" s="131"/>
      <c r="C710" s="131"/>
      <c r="D710" s="131"/>
      <c r="E710" s="131"/>
      <c r="F710" s="131"/>
    </row>
    <row r="711">
      <c r="A711" s="131"/>
      <c r="B711" s="131"/>
      <c r="C711" s="131"/>
      <c r="D711" s="131"/>
      <c r="E711" s="131"/>
      <c r="F711" s="131"/>
    </row>
    <row r="712">
      <c r="A712" s="131"/>
      <c r="B712" s="131"/>
      <c r="C712" s="131"/>
      <c r="D712" s="131"/>
      <c r="E712" s="131"/>
      <c r="F712" s="131"/>
    </row>
    <row r="713">
      <c r="A713" s="131"/>
      <c r="B713" s="131"/>
      <c r="C713" s="131"/>
      <c r="D713" s="131"/>
      <c r="E713" s="131"/>
      <c r="F713" s="131"/>
    </row>
    <row r="714">
      <c r="A714" s="131"/>
      <c r="B714" s="131"/>
      <c r="C714" s="131"/>
      <c r="D714" s="131"/>
      <c r="E714" s="131"/>
      <c r="F714" s="131"/>
    </row>
    <row r="715">
      <c r="A715" s="131"/>
      <c r="B715" s="131"/>
      <c r="C715" s="131"/>
      <c r="D715" s="131"/>
      <c r="E715" s="131"/>
      <c r="F715" s="131"/>
    </row>
    <row r="716">
      <c r="A716" s="131"/>
      <c r="B716" s="131"/>
      <c r="C716" s="131"/>
      <c r="D716" s="131"/>
      <c r="E716" s="131"/>
      <c r="F716" s="131"/>
    </row>
    <row r="717">
      <c r="A717" s="131"/>
      <c r="B717" s="131"/>
      <c r="C717" s="131"/>
      <c r="D717" s="131"/>
      <c r="E717" s="131"/>
      <c r="F717" s="131"/>
    </row>
    <row r="718">
      <c r="A718" s="131"/>
      <c r="B718" s="131"/>
      <c r="C718" s="131"/>
      <c r="D718" s="131"/>
      <c r="E718" s="131"/>
      <c r="F718" s="131"/>
    </row>
    <row r="719">
      <c r="A719" s="131"/>
      <c r="B719" s="131"/>
      <c r="C719" s="131"/>
      <c r="D719" s="131"/>
      <c r="E719" s="131"/>
      <c r="F719" s="131"/>
    </row>
    <row r="720">
      <c r="A720" s="131"/>
      <c r="B720" s="131"/>
      <c r="C720" s="131"/>
      <c r="D720" s="131"/>
      <c r="E720" s="131"/>
      <c r="F720" s="131"/>
    </row>
    <row r="721">
      <c r="A721" s="131"/>
      <c r="B721" s="131"/>
      <c r="C721" s="131"/>
      <c r="D721" s="131"/>
      <c r="E721" s="131"/>
      <c r="F721" s="131"/>
    </row>
    <row r="722">
      <c r="A722" s="131"/>
      <c r="B722" s="131"/>
      <c r="C722" s="131"/>
      <c r="D722" s="131"/>
      <c r="E722" s="131"/>
      <c r="F722" s="131"/>
    </row>
    <row r="723">
      <c r="A723" s="131"/>
      <c r="B723" s="131"/>
      <c r="C723" s="131"/>
      <c r="D723" s="131"/>
      <c r="E723" s="131"/>
      <c r="F723" s="131"/>
    </row>
    <row r="724">
      <c r="A724" s="131"/>
      <c r="B724" s="131"/>
      <c r="C724" s="131"/>
      <c r="D724" s="131"/>
      <c r="E724" s="131"/>
      <c r="F724" s="131"/>
    </row>
    <row r="725">
      <c r="A725" s="131"/>
      <c r="B725" s="131"/>
      <c r="C725" s="131"/>
      <c r="D725" s="131"/>
      <c r="E725" s="131"/>
      <c r="F725" s="131"/>
    </row>
    <row r="726">
      <c r="A726" s="131"/>
      <c r="B726" s="131"/>
      <c r="C726" s="131"/>
      <c r="D726" s="131"/>
      <c r="E726" s="131"/>
      <c r="F726" s="131"/>
    </row>
    <row r="727">
      <c r="A727" s="131"/>
      <c r="B727" s="131"/>
      <c r="C727" s="131"/>
      <c r="D727" s="131"/>
      <c r="E727" s="131"/>
      <c r="F727" s="131"/>
    </row>
    <row r="728">
      <c r="A728" s="131"/>
      <c r="B728" s="131"/>
      <c r="C728" s="131"/>
      <c r="D728" s="131"/>
      <c r="E728" s="131"/>
      <c r="F728" s="131"/>
    </row>
    <row r="729">
      <c r="A729" s="131"/>
      <c r="B729" s="131"/>
      <c r="C729" s="131"/>
      <c r="D729" s="131"/>
      <c r="E729" s="131"/>
      <c r="F729" s="131"/>
    </row>
    <row r="730">
      <c r="A730" s="131"/>
      <c r="B730" s="131"/>
      <c r="C730" s="131"/>
      <c r="D730" s="131"/>
      <c r="E730" s="131"/>
      <c r="F730" s="131"/>
    </row>
    <row r="731">
      <c r="A731" s="131"/>
      <c r="B731" s="131"/>
      <c r="C731" s="131"/>
      <c r="D731" s="131"/>
      <c r="E731" s="131"/>
      <c r="F731" s="131"/>
    </row>
    <row r="732">
      <c r="A732" s="131"/>
      <c r="B732" s="131"/>
      <c r="C732" s="131"/>
      <c r="D732" s="131"/>
      <c r="E732" s="131"/>
      <c r="F732" s="131"/>
    </row>
    <row r="733">
      <c r="A733" s="131"/>
      <c r="B733" s="131"/>
      <c r="C733" s="131"/>
      <c r="D733" s="131"/>
      <c r="E733" s="131"/>
      <c r="F733" s="131"/>
    </row>
    <row r="734">
      <c r="A734" s="131"/>
      <c r="B734" s="131"/>
      <c r="C734" s="131"/>
      <c r="D734" s="131"/>
      <c r="E734" s="131"/>
      <c r="F734" s="131"/>
    </row>
    <row r="735">
      <c r="A735" s="131"/>
      <c r="B735" s="131"/>
      <c r="C735" s="131"/>
      <c r="D735" s="131"/>
      <c r="E735" s="131"/>
      <c r="F735" s="131"/>
    </row>
    <row r="736">
      <c r="A736" s="131"/>
      <c r="B736" s="131"/>
      <c r="C736" s="131"/>
      <c r="D736" s="131"/>
      <c r="E736" s="131"/>
      <c r="F736" s="131"/>
    </row>
    <row r="737">
      <c r="A737" s="131"/>
      <c r="B737" s="131"/>
      <c r="C737" s="131"/>
      <c r="D737" s="131"/>
      <c r="E737" s="131"/>
      <c r="F737" s="131"/>
    </row>
    <row r="738">
      <c r="A738" s="131"/>
      <c r="B738" s="131"/>
      <c r="C738" s="131"/>
      <c r="D738" s="131"/>
      <c r="E738" s="131"/>
      <c r="F738" s="131"/>
    </row>
    <row r="739">
      <c r="A739" s="131"/>
      <c r="B739" s="131"/>
      <c r="C739" s="131"/>
      <c r="D739" s="131"/>
      <c r="E739" s="131"/>
      <c r="F739" s="131"/>
    </row>
    <row r="740">
      <c r="A740" s="131"/>
      <c r="B740" s="131"/>
      <c r="C740" s="131"/>
      <c r="D740" s="131"/>
      <c r="E740" s="131"/>
      <c r="F740" s="131"/>
    </row>
    <row r="741">
      <c r="A741" s="131"/>
      <c r="B741" s="131"/>
      <c r="C741" s="131"/>
      <c r="D741" s="131"/>
      <c r="E741" s="131"/>
      <c r="F741" s="131"/>
    </row>
    <row r="742">
      <c r="A742" s="131"/>
      <c r="B742" s="131"/>
      <c r="C742" s="131"/>
      <c r="D742" s="131"/>
      <c r="E742" s="131"/>
      <c r="F742" s="131"/>
    </row>
    <row r="743">
      <c r="A743" s="131"/>
      <c r="B743" s="131"/>
      <c r="C743" s="131"/>
      <c r="D743" s="131"/>
      <c r="E743" s="131"/>
      <c r="F743" s="131"/>
    </row>
    <row r="744">
      <c r="A744" s="131"/>
      <c r="B744" s="131"/>
      <c r="C744" s="131"/>
      <c r="D744" s="131"/>
      <c r="E744" s="131"/>
      <c r="F744" s="131"/>
    </row>
    <row r="745">
      <c r="A745" s="131"/>
      <c r="B745" s="131"/>
      <c r="C745" s="131"/>
      <c r="D745" s="131"/>
      <c r="E745" s="131"/>
      <c r="F745" s="131"/>
    </row>
    <row r="746">
      <c r="A746" s="131"/>
      <c r="B746" s="131"/>
      <c r="C746" s="131"/>
      <c r="D746" s="131"/>
      <c r="E746" s="131"/>
      <c r="F746" s="131"/>
    </row>
    <row r="747">
      <c r="A747" s="131"/>
      <c r="B747" s="131"/>
      <c r="C747" s="131"/>
      <c r="D747" s="131"/>
      <c r="E747" s="131"/>
      <c r="F747" s="131"/>
    </row>
    <row r="748">
      <c r="A748" s="131"/>
      <c r="B748" s="131"/>
      <c r="C748" s="131"/>
      <c r="D748" s="131"/>
      <c r="E748" s="131"/>
      <c r="F748" s="131"/>
    </row>
    <row r="749">
      <c r="A749" s="131"/>
      <c r="B749" s="131"/>
      <c r="C749" s="131"/>
      <c r="D749" s="131"/>
      <c r="E749" s="131"/>
      <c r="F749" s="131"/>
    </row>
    <row r="750">
      <c r="A750" s="131"/>
      <c r="B750" s="131"/>
      <c r="C750" s="131"/>
      <c r="D750" s="131"/>
      <c r="E750" s="131"/>
      <c r="F750" s="131"/>
    </row>
    <row r="751">
      <c r="A751" s="131"/>
      <c r="B751" s="131"/>
      <c r="C751" s="131"/>
      <c r="D751" s="131"/>
      <c r="E751" s="131"/>
      <c r="F751" s="131"/>
    </row>
    <row r="752">
      <c r="A752" s="131"/>
      <c r="B752" s="131"/>
      <c r="C752" s="131"/>
      <c r="D752" s="131"/>
      <c r="E752" s="131"/>
      <c r="F752" s="131"/>
    </row>
    <row r="753">
      <c r="A753" s="131"/>
      <c r="B753" s="131"/>
      <c r="C753" s="131"/>
      <c r="D753" s="131"/>
      <c r="E753" s="131"/>
      <c r="F753" s="131"/>
    </row>
    <row r="754">
      <c r="A754" s="131"/>
      <c r="B754" s="131"/>
      <c r="C754" s="131"/>
      <c r="D754" s="131"/>
      <c r="E754" s="131"/>
      <c r="F754" s="131"/>
    </row>
    <row r="755">
      <c r="A755" s="131"/>
      <c r="B755" s="131"/>
      <c r="C755" s="131"/>
      <c r="D755" s="131"/>
      <c r="E755" s="131"/>
      <c r="F755" s="131"/>
    </row>
    <row r="756">
      <c r="A756" s="131"/>
      <c r="B756" s="131"/>
      <c r="C756" s="131"/>
      <c r="D756" s="131"/>
      <c r="E756" s="131"/>
      <c r="F756" s="131"/>
    </row>
    <row r="757">
      <c r="A757" s="131"/>
      <c r="B757" s="131"/>
      <c r="C757" s="131"/>
      <c r="D757" s="131"/>
      <c r="E757" s="131"/>
      <c r="F757" s="131"/>
    </row>
    <row r="758">
      <c r="A758" s="131"/>
      <c r="B758" s="131"/>
      <c r="C758" s="131"/>
      <c r="D758" s="131"/>
      <c r="E758" s="131"/>
      <c r="F758" s="131"/>
    </row>
    <row r="759">
      <c r="A759" s="131"/>
      <c r="B759" s="131"/>
      <c r="C759" s="131"/>
      <c r="D759" s="131"/>
      <c r="E759" s="131"/>
      <c r="F759" s="131"/>
    </row>
    <row r="760">
      <c r="A760" s="131"/>
      <c r="B760" s="131"/>
      <c r="C760" s="131"/>
      <c r="D760" s="131"/>
      <c r="E760" s="131"/>
      <c r="F760" s="131"/>
    </row>
    <row r="761">
      <c r="A761" s="131"/>
      <c r="B761" s="131"/>
      <c r="C761" s="131"/>
      <c r="D761" s="131"/>
      <c r="E761" s="131"/>
      <c r="F761" s="131"/>
    </row>
    <row r="762">
      <c r="A762" s="131"/>
      <c r="B762" s="131"/>
      <c r="C762" s="131"/>
      <c r="D762" s="131"/>
      <c r="E762" s="131"/>
      <c r="F762" s="131"/>
    </row>
    <row r="763">
      <c r="A763" s="131"/>
      <c r="B763" s="131"/>
      <c r="C763" s="131"/>
      <c r="D763" s="131"/>
      <c r="E763" s="131"/>
      <c r="F763" s="131"/>
    </row>
    <row r="764">
      <c r="A764" s="131"/>
      <c r="B764" s="131"/>
      <c r="C764" s="131"/>
      <c r="D764" s="131"/>
      <c r="E764" s="131"/>
      <c r="F764" s="131"/>
    </row>
    <row r="765">
      <c r="A765" s="131"/>
      <c r="B765" s="131"/>
      <c r="C765" s="131"/>
      <c r="D765" s="131"/>
      <c r="E765" s="131"/>
      <c r="F765" s="131"/>
    </row>
    <row r="766">
      <c r="A766" s="131"/>
      <c r="B766" s="131"/>
      <c r="C766" s="131"/>
      <c r="D766" s="131"/>
      <c r="E766" s="131"/>
      <c r="F766" s="131"/>
    </row>
    <row r="767">
      <c r="A767" s="131"/>
      <c r="B767" s="131"/>
      <c r="C767" s="131"/>
      <c r="D767" s="131"/>
      <c r="E767" s="131"/>
      <c r="F767" s="131"/>
    </row>
    <row r="768">
      <c r="A768" s="131"/>
      <c r="B768" s="131"/>
      <c r="C768" s="131"/>
      <c r="D768" s="131"/>
      <c r="E768" s="131"/>
      <c r="F768" s="131"/>
    </row>
    <row r="769">
      <c r="A769" s="131"/>
      <c r="B769" s="131"/>
      <c r="C769" s="131"/>
      <c r="D769" s="131"/>
      <c r="E769" s="131"/>
      <c r="F769" s="131"/>
    </row>
    <row r="770">
      <c r="A770" s="131"/>
      <c r="B770" s="131"/>
      <c r="C770" s="131"/>
      <c r="D770" s="131"/>
      <c r="E770" s="131"/>
      <c r="F770" s="131"/>
    </row>
    <row r="771">
      <c r="A771" s="131"/>
      <c r="B771" s="131"/>
      <c r="C771" s="131"/>
      <c r="D771" s="131"/>
      <c r="E771" s="131"/>
      <c r="F771" s="131"/>
    </row>
    <row r="772">
      <c r="A772" s="131"/>
      <c r="B772" s="131"/>
      <c r="C772" s="131"/>
      <c r="D772" s="131"/>
      <c r="E772" s="131"/>
      <c r="F772" s="131"/>
    </row>
    <row r="773">
      <c r="A773" s="131"/>
      <c r="B773" s="131"/>
      <c r="C773" s="131"/>
      <c r="D773" s="131"/>
      <c r="E773" s="131"/>
      <c r="F773" s="131"/>
    </row>
    <row r="774">
      <c r="A774" s="131"/>
      <c r="B774" s="131"/>
      <c r="C774" s="131"/>
      <c r="D774" s="131"/>
      <c r="E774" s="131"/>
      <c r="F774" s="131"/>
    </row>
    <row r="775">
      <c r="A775" s="131"/>
      <c r="B775" s="131"/>
      <c r="C775" s="131"/>
      <c r="D775" s="131"/>
      <c r="E775" s="131"/>
      <c r="F775" s="131"/>
    </row>
    <row r="776">
      <c r="A776" s="131"/>
      <c r="B776" s="131"/>
      <c r="C776" s="131"/>
      <c r="D776" s="131"/>
      <c r="E776" s="131"/>
      <c r="F776" s="131"/>
    </row>
    <row r="777">
      <c r="A777" s="131"/>
      <c r="B777" s="131"/>
      <c r="C777" s="131"/>
      <c r="D777" s="131"/>
      <c r="E777" s="131"/>
      <c r="F777" s="131"/>
    </row>
    <row r="778">
      <c r="A778" s="131"/>
      <c r="B778" s="131"/>
      <c r="C778" s="131"/>
      <c r="D778" s="131"/>
      <c r="E778" s="131"/>
      <c r="F778" s="131"/>
    </row>
    <row r="779">
      <c r="A779" s="131"/>
      <c r="B779" s="131"/>
      <c r="C779" s="131"/>
      <c r="D779" s="131"/>
      <c r="E779" s="131"/>
      <c r="F779" s="131"/>
    </row>
    <row r="780">
      <c r="A780" s="131"/>
      <c r="B780" s="131"/>
      <c r="C780" s="131"/>
      <c r="D780" s="131"/>
      <c r="E780" s="131"/>
      <c r="F780" s="131"/>
    </row>
    <row r="781">
      <c r="A781" s="131"/>
      <c r="B781" s="131"/>
      <c r="C781" s="131"/>
      <c r="D781" s="131"/>
      <c r="E781" s="131"/>
      <c r="F781" s="131"/>
    </row>
    <row r="782">
      <c r="A782" s="131"/>
      <c r="B782" s="131"/>
      <c r="C782" s="131"/>
      <c r="D782" s="131"/>
      <c r="E782" s="131"/>
      <c r="F782" s="131"/>
    </row>
    <row r="783">
      <c r="A783" s="131"/>
      <c r="B783" s="131"/>
      <c r="C783" s="131"/>
      <c r="D783" s="131"/>
      <c r="E783" s="131"/>
      <c r="F783" s="131"/>
    </row>
    <row r="784">
      <c r="A784" s="131"/>
      <c r="B784" s="131"/>
      <c r="C784" s="131"/>
      <c r="D784" s="131"/>
      <c r="E784" s="131"/>
      <c r="F784" s="131"/>
    </row>
    <row r="785">
      <c r="A785" s="131"/>
      <c r="B785" s="131"/>
      <c r="C785" s="131"/>
      <c r="D785" s="131"/>
      <c r="E785" s="131"/>
      <c r="F785" s="131"/>
    </row>
    <row r="786">
      <c r="A786" s="131"/>
      <c r="B786" s="131"/>
      <c r="C786" s="131"/>
      <c r="D786" s="131"/>
      <c r="E786" s="131"/>
      <c r="F786" s="131"/>
    </row>
    <row r="787">
      <c r="A787" s="131"/>
      <c r="B787" s="131"/>
      <c r="C787" s="131"/>
      <c r="D787" s="131"/>
      <c r="E787" s="131"/>
      <c r="F787" s="131"/>
    </row>
    <row r="788">
      <c r="A788" s="131"/>
      <c r="B788" s="131"/>
      <c r="C788" s="131"/>
      <c r="D788" s="131"/>
      <c r="E788" s="131"/>
      <c r="F788" s="131"/>
    </row>
    <row r="789">
      <c r="A789" s="131"/>
      <c r="B789" s="131"/>
      <c r="C789" s="131"/>
      <c r="D789" s="131"/>
      <c r="E789" s="131"/>
      <c r="F789" s="131"/>
    </row>
    <row r="790">
      <c r="A790" s="131"/>
      <c r="B790" s="131"/>
      <c r="C790" s="131"/>
      <c r="D790" s="131"/>
      <c r="E790" s="131"/>
      <c r="F790" s="131"/>
    </row>
    <row r="791">
      <c r="A791" s="131"/>
      <c r="B791" s="131"/>
      <c r="C791" s="131"/>
      <c r="D791" s="131"/>
      <c r="E791" s="131"/>
      <c r="F791" s="131"/>
    </row>
    <row r="792">
      <c r="A792" s="131"/>
      <c r="B792" s="131"/>
      <c r="C792" s="131"/>
      <c r="D792" s="131"/>
      <c r="E792" s="131"/>
      <c r="F792" s="131"/>
    </row>
    <row r="793">
      <c r="A793" s="131"/>
      <c r="B793" s="131"/>
      <c r="C793" s="131"/>
      <c r="D793" s="131"/>
      <c r="E793" s="131"/>
      <c r="F793" s="131"/>
    </row>
    <row r="794">
      <c r="A794" s="131"/>
      <c r="B794" s="131"/>
      <c r="C794" s="131"/>
      <c r="D794" s="131"/>
      <c r="E794" s="131"/>
      <c r="F794" s="131"/>
    </row>
    <row r="795">
      <c r="A795" s="131"/>
      <c r="B795" s="131"/>
      <c r="C795" s="131"/>
      <c r="D795" s="131"/>
      <c r="E795" s="131"/>
      <c r="F795" s="131"/>
    </row>
    <row r="796">
      <c r="A796" s="131"/>
      <c r="B796" s="131"/>
      <c r="C796" s="131"/>
      <c r="D796" s="131"/>
      <c r="E796" s="131"/>
      <c r="F796" s="131"/>
    </row>
    <row r="797">
      <c r="A797" s="131"/>
      <c r="B797" s="131"/>
      <c r="C797" s="131"/>
      <c r="D797" s="131"/>
      <c r="E797" s="131"/>
      <c r="F797" s="131"/>
    </row>
    <row r="798">
      <c r="A798" s="131"/>
      <c r="B798" s="131"/>
      <c r="C798" s="131"/>
      <c r="D798" s="131"/>
      <c r="E798" s="131"/>
      <c r="F798" s="131"/>
    </row>
    <row r="799">
      <c r="A799" s="131"/>
      <c r="B799" s="131"/>
      <c r="C799" s="131"/>
      <c r="D799" s="131"/>
      <c r="E799" s="131"/>
      <c r="F799" s="131"/>
    </row>
    <row r="800">
      <c r="A800" s="131"/>
      <c r="B800" s="131"/>
      <c r="C800" s="131"/>
      <c r="D800" s="131"/>
      <c r="E800" s="131"/>
      <c r="F800" s="131"/>
    </row>
    <row r="801">
      <c r="A801" s="131"/>
      <c r="B801" s="131"/>
      <c r="C801" s="131"/>
      <c r="D801" s="131"/>
      <c r="E801" s="131"/>
      <c r="F801" s="131"/>
    </row>
    <row r="802">
      <c r="A802" s="131"/>
      <c r="B802" s="131"/>
      <c r="C802" s="131"/>
      <c r="D802" s="131"/>
      <c r="E802" s="131"/>
      <c r="F802" s="131"/>
    </row>
    <row r="803">
      <c r="A803" s="131"/>
      <c r="B803" s="131"/>
      <c r="C803" s="131"/>
      <c r="D803" s="131"/>
      <c r="E803" s="131"/>
      <c r="F803" s="131"/>
    </row>
    <row r="804">
      <c r="A804" s="131"/>
      <c r="B804" s="131"/>
      <c r="C804" s="131"/>
      <c r="D804" s="131"/>
      <c r="E804" s="131"/>
      <c r="F804" s="131"/>
    </row>
    <row r="805">
      <c r="A805" s="131"/>
      <c r="B805" s="131"/>
      <c r="C805" s="131"/>
      <c r="D805" s="131"/>
      <c r="E805" s="131"/>
      <c r="F805" s="131"/>
    </row>
    <row r="806">
      <c r="A806" s="131"/>
      <c r="B806" s="131"/>
      <c r="C806" s="131"/>
      <c r="D806" s="131"/>
      <c r="E806" s="131"/>
      <c r="F806" s="131"/>
    </row>
    <row r="807">
      <c r="A807" s="131"/>
      <c r="B807" s="131"/>
      <c r="C807" s="131"/>
      <c r="D807" s="131"/>
      <c r="E807" s="131"/>
      <c r="F807" s="131"/>
    </row>
    <row r="808">
      <c r="A808" s="131"/>
      <c r="B808" s="131"/>
      <c r="C808" s="131"/>
      <c r="D808" s="131"/>
      <c r="E808" s="131"/>
      <c r="F808" s="131"/>
    </row>
    <row r="809">
      <c r="A809" s="131"/>
      <c r="B809" s="131"/>
      <c r="C809" s="131"/>
      <c r="D809" s="131"/>
      <c r="E809" s="131"/>
      <c r="F809" s="131"/>
    </row>
    <row r="810">
      <c r="A810" s="131"/>
      <c r="B810" s="131"/>
      <c r="C810" s="131"/>
      <c r="D810" s="131"/>
      <c r="E810" s="131"/>
      <c r="F810" s="131"/>
    </row>
    <row r="811">
      <c r="A811" s="131"/>
      <c r="B811" s="131"/>
      <c r="C811" s="131"/>
      <c r="D811" s="131"/>
      <c r="E811" s="131"/>
      <c r="F811" s="131"/>
    </row>
    <row r="812">
      <c r="A812" s="131"/>
      <c r="B812" s="131"/>
      <c r="C812" s="131"/>
      <c r="D812" s="131"/>
      <c r="E812" s="131"/>
      <c r="F812" s="131"/>
    </row>
    <row r="813">
      <c r="A813" s="131"/>
      <c r="B813" s="131"/>
      <c r="C813" s="131"/>
      <c r="D813" s="131"/>
      <c r="E813" s="131"/>
      <c r="F813" s="131"/>
    </row>
    <row r="814">
      <c r="A814" s="131"/>
      <c r="B814" s="131"/>
      <c r="C814" s="131"/>
      <c r="D814" s="131"/>
      <c r="E814" s="131"/>
      <c r="F814" s="131"/>
    </row>
    <row r="815">
      <c r="A815" s="131"/>
      <c r="B815" s="131"/>
      <c r="C815" s="131"/>
      <c r="D815" s="131"/>
      <c r="E815" s="131"/>
      <c r="F815" s="131"/>
    </row>
    <row r="816">
      <c r="A816" s="131"/>
      <c r="B816" s="131"/>
      <c r="C816" s="131"/>
      <c r="D816" s="131"/>
      <c r="E816" s="131"/>
      <c r="F816" s="131"/>
    </row>
    <row r="817">
      <c r="A817" s="131"/>
      <c r="B817" s="131"/>
      <c r="C817" s="131"/>
      <c r="D817" s="131"/>
      <c r="E817" s="131"/>
      <c r="F817" s="131"/>
    </row>
    <row r="818">
      <c r="A818" s="131"/>
      <c r="B818" s="131"/>
      <c r="C818" s="131"/>
      <c r="D818" s="131"/>
      <c r="E818" s="131"/>
      <c r="F818" s="131"/>
    </row>
    <row r="819">
      <c r="A819" s="131"/>
      <c r="B819" s="131"/>
      <c r="C819" s="131"/>
      <c r="D819" s="131"/>
      <c r="E819" s="131"/>
      <c r="F819" s="131"/>
    </row>
    <row r="820">
      <c r="A820" s="131"/>
      <c r="B820" s="131"/>
      <c r="C820" s="131"/>
      <c r="D820" s="131"/>
      <c r="E820" s="131"/>
      <c r="F820" s="131"/>
    </row>
    <row r="821">
      <c r="A821" s="131"/>
      <c r="B821" s="131"/>
      <c r="C821" s="131"/>
      <c r="D821" s="131"/>
      <c r="E821" s="131"/>
      <c r="F821" s="131"/>
    </row>
    <row r="822">
      <c r="A822" s="131"/>
      <c r="B822" s="131"/>
      <c r="C822" s="131"/>
      <c r="D822" s="131"/>
      <c r="E822" s="131"/>
      <c r="F822" s="131"/>
    </row>
    <row r="823">
      <c r="A823" s="131"/>
      <c r="B823" s="131"/>
      <c r="C823" s="131"/>
      <c r="D823" s="131"/>
      <c r="E823" s="131"/>
      <c r="F823" s="131"/>
    </row>
    <row r="824">
      <c r="A824" s="131"/>
      <c r="B824" s="131"/>
      <c r="C824" s="131"/>
      <c r="D824" s="131"/>
      <c r="E824" s="131"/>
      <c r="F824" s="131"/>
    </row>
    <row r="825">
      <c r="A825" s="131"/>
      <c r="B825" s="131"/>
      <c r="C825" s="131"/>
      <c r="D825" s="131"/>
      <c r="E825" s="131"/>
      <c r="F825" s="131"/>
    </row>
    <row r="826">
      <c r="A826" s="131"/>
      <c r="B826" s="131"/>
      <c r="C826" s="131"/>
      <c r="D826" s="131"/>
      <c r="E826" s="131"/>
      <c r="F826" s="131"/>
    </row>
    <row r="827">
      <c r="A827" s="131"/>
      <c r="B827" s="131"/>
      <c r="C827" s="131"/>
      <c r="D827" s="131"/>
      <c r="E827" s="131"/>
      <c r="F827" s="131"/>
    </row>
    <row r="828">
      <c r="A828" s="131"/>
      <c r="B828" s="131"/>
      <c r="C828" s="131"/>
      <c r="D828" s="131"/>
      <c r="E828" s="131"/>
      <c r="F828" s="131"/>
    </row>
    <row r="829">
      <c r="A829" s="131"/>
      <c r="B829" s="131"/>
      <c r="C829" s="131"/>
      <c r="D829" s="131"/>
      <c r="E829" s="131"/>
      <c r="F829" s="131"/>
    </row>
    <row r="830">
      <c r="A830" s="131"/>
      <c r="B830" s="131"/>
      <c r="C830" s="131"/>
      <c r="D830" s="131"/>
      <c r="E830" s="131"/>
      <c r="F830" s="131"/>
    </row>
    <row r="831">
      <c r="A831" s="131"/>
      <c r="B831" s="131"/>
      <c r="C831" s="131"/>
      <c r="D831" s="131"/>
      <c r="E831" s="131"/>
      <c r="F831" s="131"/>
    </row>
    <row r="832">
      <c r="A832" s="131"/>
      <c r="B832" s="131"/>
      <c r="C832" s="131"/>
      <c r="D832" s="131"/>
      <c r="E832" s="131"/>
      <c r="F832" s="131"/>
    </row>
    <row r="833">
      <c r="A833" s="131"/>
      <c r="B833" s="131"/>
      <c r="C833" s="131"/>
      <c r="D833" s="131"/>
      <c r="E833" s="131"/>
      <c r="F833" s="131"/>
    </row>
    <row r="834">
      <c r="A834" s="131"/>
      <c r="B834" s="131"/>
      <c r="C834" s="131"/>
      <c r="D834" s="131"/>
      <c r="E834" s="131"/>
      <c r="F834" s="131"/>
    </row>
    <row r="835">
      <c r="A835" s="131"/>
      <c r="B835" s="131"/>
      <c r="C835" s="131"/>
      <c r="D835" s="131"/>
      <c r="E835" s="131"/>
      <c r="F835" s="131"/>
    </row>
    <row r="836">
      <c r="A836" s="131"/>
      <c r="B836" s="131"/>
      <c r="C836" s="131"/>
      <c r="D836" s="131"/>
      <c r="E836" s="131"/>
      <c r="F836" s="131"/>
    </row>
    <row r="837">
      <c r="A837" s="131"/>
      <c r="B837" s="131"/>
      <c r="C837" s="131"/>
      <c r="D837" s="131"/>
      <c r="E837" s="131"/>
      <c r="F837" s="131"/>
    </row>
    <row r="838">
      <c r="A838" s="131"/>
      <c r="B838" s="131"/>
      <c r="C838" s="131"/>
      <c r="D838" s="131"/>
      <c r="E838" s="131"/>
      <c r="F838" s="131"/>
    </row>
    <row r="839">
      <c r="A839" s="131"/>
      <c r="B839" s="131"/>
      <c r="C839" s="131"/>
      <c r="D839" s="131"/>
      <c r="E839" s="131"/>
      <c r="F839" s="131"/>
    </row>
    <row r="840">
      <c r="A840" s="131"/>
      <c r="B840" s="131"/>
      <c r="C840" s="131"/>
      <c r="D840" s="131"/>
      <c r="E840" s="131"/>
      <c r="F840" s="131"/>
    </row>
    <row r="841">
      <c r="A841" s="131"/>
      <c r="B841" s="131"/>
      <c r="C841" s="131"/>
      <c r="D841" s="131"/>
      <c r="E841" s="131"/>
      <c r="F841" s="131"/>
    </row>
    <row r="842">
      <c r="A842" s="131"/>
      <c r="B842" s="131"/>
      <c r="C842" s="131"/>
      <c r="D842" s="131"/>
      <c r="E842" s="131"/>
      <c r="F842" s="131"/>
    </row>
    <row r="843">
      <c r="A843" s="131"/>
      <c r="B843" s="131"/>
      <c r="C843" s="131"/>
      <c r="D843" s="131"/>
      <c r="E843" s="131"/>
      <c r="F843" s="131"/>
    </row>
    <row r="844">
      <c r="A844" s="131"/>
      <c r="B844" s="131"/>
      <c r="C844" s="131"/>
      <c r="D844" s="131"/>
      <c r="E844" s="131"/>
      <c r="F844" s="131"/>
    </row>
    <row r="845">
      <c r="A845" s="131"/>
      <c r="B845" s="131"/>
      <c r="C845" s="131"/>
      <c r="D845" s="131"/>
      <c r="E845" s="131"/>
      <c r="F845" s="131"/>
    </row>
    <row r="846">
      <c r="A846" s="131"/>
      <c r="B846" s="131"/>
      <c r="C846" s="131"/>
      <c r="D846" s="131"/>
      <c r="E846" s="131"/>
      <c r="F846" s="131"/>
    </row>
    <row r="847">
      <c r="A847" s="131"/>
      <c r="B847" s="131"/>
      <c r="C847" s="131"/>
      <c r="D847" s="131"/>
      <c r="E847" s="131"/>
      <c r="F847" s="131"/>
    </row>
    <row r="848">
      <c r="A848" s="131"/>
      <c r="B848" s="131"/>
      <c r="C848" s="131"/>
      <c r="D848" s="131"/>
      <c r="E848" s="131"/>
      <c r="F848" s="131"/>
    </row>
    <row r="849">
      <c r="A849" s="131"/>
      <c r="B849" s="131"/>
      <c r="C849" s="131"/>
      <c r="D849" s="131"/>
      <c r="E849" s="131"/>
      <c r="F849" s="131"/>
    </row>
    <row r="850">
      <c r="A850" s="131"/>
      <c r="B850" s="131"/>
      <c r="C850" s="131"/>
      <c r="D850" s="131"/>
      <c r="E850" s="131"/>
      <c r="F850" s="131"/>
    </row>
    <row r="851">
      <c r="A851" s="131"/>
      <c r="B851" s="131"/>
      <c r="C851" s="131"/>
      <c r="D851" s="131"/>
      <c r="E851" s="131"/>
      <c r="F851" s="131"/>
    </row>
    <row r="852">
      <c r="A852" s="131"/>
      <c r="B852" s="131"/>
      <c r="C852" s="131"/>
      <c r="D852" s="131"/>
      <c r="E852" s="131"/>
      <c r="F852" s="131"/>
    </row>
    <row r="853">
      <c r="A853" s="131"/>
      <c r="B853" s="131"/>
      <c r="C853" s="131"/>
      <c r="D853" s="131"/>
      <c r="E853" s="131"/>
      <c r="F853" s="131"/>
    </row>
    <row r="854">
      <c r="A854" s="131"/>
      <c r="B854" s="131"/>
      <c r="C854" s="131"/>
      <c r="D854" s="131"/>
      <c r="E854" s="131"/>
      <c r="F854" s="131"/>
    </row>
    <row r="855">
      <c r="A855" s="131"/>
      <c r="B855" s="131"/>
      <c r="C855" s="131"/>
      <c r="D855" s="131"/>
      <c r="E855" s="131"/>
      <c r="F855" s="131"/>
    </row>
    <row r="856">
      <c r="A856" s="131"/>
      <c r="B856" s="131"/>
      <c r="C856" s="131"/>
      <c r="D856" s="131"/>
      <c r="E856" s="131"/>
      <c r="F856" s="131"/>
    </row>
    <row r="857">
      <c r="A857" s="131"/>
      <c r="B857" s="131"/>
      <c r="C857" s="131"/>
      <c r="D857" s="131"/>
      <c r="E857" s="131"/>
      <c r="F857" s="131"/>
    </row>
    <row r="858">
      <c r="A858" s="131"/>
      <c r="B858" s="131"/>
      <c r="C858" s="131"/>
      <c r="D858" s="131"/>
      <c r="E858" s="131"/>
      <c r="F858" s="131"/>
    </row>
    <row r="859">
      <c r="A859" s="131"/>
      <c r="B859" s="131"/>
      <c r="C859" s="131"/>
      <c r="D859" s="131"/>
      <c r="E859" s="131"/>
      <c r="F859" s="131"/>
    </row>
    <row r="860">
      <c r="A860" s="131"/>
      <c r="B860" s="131"/>
      <c r="C860" s="131"/>
      <c r="D860" s="131"/>
      <c r="E860" s="131"/>
      <c r="F860" s="131"/>
    </row>
    <row r="861">
      <c r="A861" s="131"/>
      <c r="B861" s="131"/>
      <c r="C861" s="131"/>
      <c r="D861" s="131"/>
      <c r="E861" s="131"/>
      <c r="F861" s="131"/>
    </row>
    <row r="862">
      <c r="A862" s="131"/>
      <c r="B862" s="131"/>
      <c r="C862" s="131"/>
      <c r="D862" s="131"/>
      <c r="E862" s="131"/>
      <c r="F862" s="131"/>
    </row>
    <row r="863">
      <c r="A863" s="131"/>
      <c r="B863" s="131"/>
      <c r="C863" s="131"/>
      <c r="D863" s="131"/>
      <c r="E863" s="131"/>
      <c r="F863" s="131"/>
    </row>
    <row r="864">
      <c r="A864" s="131"/>
      <c r="B864" s="131"/>
      <c r="C864" s="131"/>
      <c r="D864" s="131"/>
      <c r="E864" s="131"/>
      <c r="F864" s="131"/>
    </row>
    <row r="865">
      <c r="A865" s="131"/>
      <c r="B865" s="131"/>
      <c r="C865" s="131"/>
      <c r="D865" s="131"/>
      <c r="E865" s="131"/>
      <c r="F865" s="131"/>
    </row>
    <row r="866">
      <c r="A866" s="131"/>
      <c r="B866" s="131"/>
      <c r="C866" s="131"/>
      <c r="D866" s="131"/>
      <c r="E866" s="131"/>
      <c r="F866" s="131"/>
    </row>
    <row r="867">
      <c r="A867" s="131"/>
      <c r="B867" s="131"/>
      <c r="C867" s="131"/>
      <c r="D867" s="131"/>
      <c r="E867" s="131"/>
      <c r="F867" s="131"/>
    </row>
    <row r="868">
      <c r="A868" s="131"/>
      <c r="B868" s="131"/>
      <c r="C868" s="131"/>
      <c r="D868" s="131"/>
      <c r="E868" s="131"/>
      <c r="F868" s="131"/>
    </row>
    <row r="869">
      <c r="A869" s="131"/>
      <c r="B869" s="131"/>
      <c r="C869" s="131"/>
      <c r="D869" s="131"/>
      <c r="E869" s="131"/>
      <c r="F869" s="131"/>
    </row>
    <row r="870">
      <c r="A870" s="131"/>
      <c r="B870" s="131"/>
      <c r="C870" s="131"/>
      <c r="D870" s="131"/>
      <c r="E870" s="131"/>
      <c r="F870" s="131"/>
    </row>
    <row r="871">
      <c r="A871" s="131"/>
      <c r="B871" s="131"/>
      <c r="C871" s="131"/>
      <c r="D871" s="131"/>
      <c r="E871" s="131"/>
      <c r="F871" s="131"/>
    </row>
    <row r="872">
      <c r="A872" s="131"/>
      <c r="B872" s="131"/>
      <c r="C872" s="131"/>
      <c r="D872" s="131"/>
      <c r="E872" s="131"/>
      <c r="F872" s="131"/>
    </row>
    <row r="873">
      <c r="A873" s="131"/>
      <c r="B873" s="131"/>
      <c r="C873" s="131"/>
      <c r="D873" s="131"/>
      <c r="E873" s="131"/>
      <c r="F873" s="131"/>
    </row>
    <row r="874">
      <c r="A874" s="131"/>
      <c r="B874" s="131"/>
      <c r="C874" s="131"/>
      <c r="D874" s="131"/>
      <c r="E874" s="131"/>
      <c r="F874" s="131"/>
    </row>
    <row r="875">
      <c r="A875" s="131"/>
      <c r="B875" s="131"/>
      <c r="C875" s="131"/>
      <c r="D875" s="131"/>
      <c r="E875" s="131"/>
      <c r="F875" s="131"/>
    </row>
    <row r="876">
      <c r="A876" s="131"/>
      <c r="B876" s="131"/>
      <c r="C876" s="131"/>
      <c r="D876" s="131"/>
      <c r="E876" s="131"/>
      <c r="F876" s="131"/>
    </row>
    <row r="877">
      <c r="A877" s="131"/>
      <c r="B877" s="131"/>
      <c r="C877" s="131"/>
      <c r="D877" s="131"/>
      <c r="E877" s="131"/>
      <c r="F877" s="131"/>
    </row>
    <row r="878">
      <c r="A878" s="131"/>
      <c r="B878" s="131"/>
      <c r="C878" s="131"/>
      <c r="D878" s="131"/>
      <c r="E878" s="131"/>
      <c r="F878" s="131"/>
    </row>
    <row r="879">
      <c r="A879" s="131"/>
      <c r="B879" s="131"/>
      <c r="C879" s="131"/>
      <c r="D879" s="131"/>
      <c r="E879" s="131"/>
      <c r="F879" s="131"/>
    </row>
    <row r="880">
      <c r="A880" s="131"/>
      <c r="B880" s="131"/>
      <c r="C880" s="131"/>
      <c r="D880" s="131"/>
      <c r="E880" s="131"/>
      <c r="F880" s="131"/>
    </row>
    <row r="881">
      <c r="A881" s="131"/>
      <c r="B881" s="131"/>
      <c r="C881" s="131"/>
      <c r="D881" s="131"/>
      <c r="E881" s="131"/>
      <c r="F881" s="131"/>
    </row>
    <row r="882">
      <c r="A882" s="131"/>
      <c r="B882" s="131"/>
      <c r="C882" s="131"/>
      <c r="D882" s="131"/>
      <c r="E882" s="131"/>
      <c r="F882" s="131"/>
    </row>
    <row r="883">
      <c r="A883" s="131"/>
      <c r="B883" s="131"/>
      <c r="C883" s="131"/>
      <c r="D883" s="131"/>
      <c r="E883" s="131"/>
      <c r="F883" s="131"/>
    </row>
    <row r="884">
      <c r="A884" s="131"/>
      <c r="B884" s="131"/>
      <c r="C884" s="131"/>
      <c r="D884" s="131"/>
      <c r="E884" s="131"/>
      <c r="F884" s="131"/>
    </row>
    <row r="885">
      <c r="A885" s="131"/>
      <c r="B885" s="131"/>
      <c r="C885" s="131"/>
      <c r="D885" s="131"/>
      <c r="E885" s="131"/>
      <c r="F885" s="131"/>
    </row>
    <row r="886">
      <c r="A886" s="131"/>
      <c r="B886" s="131"/>
      <c r="C886" s="131"/>
      <c r="D886" s="131"/>
      <c r="E886" s="131"/>
      <c r="F886" s="131"/>
    </row>
    <row r="887">
      <c r="A887" s="131"/>
      <c r="B887" s="131"/>
      <c r="C887" s="131"/>
      <c r="D887" s="131"/>
      <c r="E887" s="131"/>
      <c r="F887" s="131"/>
    </row>
    <row r="888">
      <c r="A888" s="131"/>
      <c r="B888" s="131"/>
      <c r="C888" s="131"/>
      <c r="D888" s="131"/>
      <c r="E888" s="131"/>
      <c r="F888" s="131"/>
    </row>
    <row r="889">
      <c r="A889" s="131"/>
      <c r="B889" s="131"/>
      <c r="C889" s="131"/>
      <c r="D889" s="131"/>
      <c r="E889" s="131"/>
      <c r="F889" s="131"/>
    </row>
    <row r="890">
      <c r="A890" s="131"/>
      <c r="B890" s="131"/>
      <c r="C890" s="131"/>
      <c r="D890" s="131"/>
      <c r="E890" s="131"/>
      <c r="F890" s="131"/>
    </row>
    <row r="891">
      <c r="A891" s="131"/>
      <c r="B891" s="131"/>
      <c r="C891" s="131"/>
      <c r="D891" s="131"/>
      <c r="E891" s="131"/>
      <c r="F891" s="131"/>
    </row>
    <row r="892">
      <c r="A892" s="131"/>
      <c r="B892" s="131"/>
      <c r="C892" s="131"/>
      <c r="D892" s="131"/>
      <c r="E892" s="131"/>
      <c r="F892" s="131"/>
    </row>
    <row r="893">
      <c r="A893" s="131"/>
      <c r="B893" s="131"/>
      <c r="C893" s="131"/>
      <c r="D893" s="131"/>
      <c r="E893" s="131"/>
      <c r="F893" s="131"/>
    </row>
    <row r="894">
      <c r="A894" s="131"/>
      <c r="B894" s="131"/>
      <c r="C894" s="131"/>
      <c r="D894" s="131"/>
      <c r="E894" s="131"/>
      <c r="F894" s="131"/>
    </row>
    <row r="895">
      <c r="A895" s="131"/>
      <c r="B895" s="131"/>
      <c r="C895" s="131"/>
      <c r="D895" s="131"/>
      <c r="E895" s="131"/>
      <c r="F895" s="131"/>
    </row>
    <row r="896">
      <c r="A896" s="131"/>
      <c r="B896" s="131"/>
      <c r="C896" s="131"/>
      <c r="D896" s="131"/>
      <c r="E896" s="131"/>
      <c r="F896" s="131"/>
    </row>
    <row r="897">
      <c r="A897" s="131"/>
      <c r="B897" s="131"/>
      <c r="C897" s="131"/>
      <c r="D897" s="131"/>
      <c r="E897" s="131"/>
      <c r="F897" s="131"/>
    </row>
    <row r="898">
      <c r="A898" s="131"/>
      <c r="B898" s="131"/>
      <c r="C898" s="131"/>
      <c r="D898" s="131"/>
      <c r="E898" s="131"/>
      <c r="F898" s="131"/>
    </row>
    <row r="899">
      <c r="A899" s="131"/>
      <c r="B899" s="131"/>
      <c r="C899" s="131"/>
      <c r="D899" s="131"/>
      <c r="E899" s="131"/>
      <c r="F899" s="131"/>
    </row>
    <row r="900">
      <c r="A900" s="131"/>
      <c r="B900" s="131"/>
      <c r="C900" s="131"/>
      <c r="D900" s="131"/>
      <c r="E900" s="131"/>
      <c r="F900" s="131"/>
    </row>
    <row r="901">
      <c r="A901" s="131"/>
      <c r="B901" s="131"/>
      <c r="C901" s="131"/>
      <c r="D901" s="131"/>
      <c r="E901" s="131"/>
      <c r="F901" s="131"/>
    </row>
    <row r="902">
      <c r="A902" s="131"/>
      <c r="B902" s="131"/>
      <c r="C902" s="131"/>
      <c r="D902" s="131"/>
      <c r="E902" s="131"/>
      <c r="F902" s="131"/>
    </row>
    <row r="903">
      <c r="A903" s="131"/>
      <c r="B903" s="131"/>
      <c r="C903" s="131"/>
      <c r="D903" s="131"/>
      <c r="E903" s="131"/>
      <c r="F903" s="131"/>
    </row>
    <row r="904">
      <c r="A904" s="131"/>
      <c r="B904" s="131"/>
      <c r="C904" s="131"/>
      <c r="D904" s="131"/>
      <c r="E904" s="131"/>
      <c r="F904" s="131"/>
    </row>
    <row r="905">
      <c r="A905" s="131"/>
      <c r="B905" s="131"/>
      <c r="C905" s="131"/>
      <c r="D905" s="131"/>
      <c r="E905" s="131"/>
      <c r="F905" s="131"/>
    </row>
    <row r="906">
      <c r="A906" s="131"/>
      <c r="B906" s="131"/>
      <c r="C906" s="131"/>
      <c r="D906" s="131"/>
      <c r="E906" s="131"/>
      <c r="F906" s="131"/>
    </row>
    <row r="907">
      <c r="A907" s="131"/>
      <c r="B907" s="131"/>
      <c r="C907" s="131"/>
      <c r="D907" s="131"/>
      <c r="E907" s="131"/>
      <c r="F907" s="131"/>
    </row>
    <row r="908">
      <c r="A908" s="131"/>
      <c r="B908" s="131"/>
      <c r="C908" s="131"/>
      <c r="D908" s="131"/>
      <c r="E908" s="131"/>
      <c r="F908" s="131"/>
    </row>
    <row r="909">
      <c r="A909" s="131"/>
      <c r="B909" s="131"/>
      <c r="C909" s="131"/>
      <c r="D909" s="131"/>
      <c r="E909" s="131"/>
      <c r="F909" s="131"/>
    </row>
    <row r="910">
      <c r="A910" s="131"/>
      <c r="B910" s="131"/>
      <c r="C910" s="131"/>
      <c r="D910" s="131"/>
      <c r="E910" s="131"/>
      <c r="F910" s="131"/>
    </row>
    <row r="911">
      <c r="A911" s="131"/>
      <c r="B911" s="131"/>
      <c r="C911" s="131"/>
      <c r="D911" s="131"/>
      <c r="E911" s="131"/>
      <c r="F911" s="131"/>
    </row>
    <row r="912">
      <c r="A912" s="131"/>
      <c r="B912" s="131"/>
      <c r="C912" s="131"/>
      <c r="D912" s="131"/>
      <c r="E912" s="131"/>
      <c r="F912" s="131"/>
    </row>
    <row r="913">
      <c r="A913" s="131"/>
      <c r="B913" s="131"/>
      <c r="C913" s="131"/>
      <c r="D913" s="131"/>
      <c r="E913" s="131"/>
      <c r="F913" s="131"/>
    </row>
    <row r="914">
      <c r="A914" s="131"/>
      <c r="B914" s="131"/>
      <c r="C914" s="131"/>
      <c r="D914" s="131"/>
      <c r="E914" s="131"/>
      <c r="F914" s="131"/>
    </row>
    <row r="915">
      <c r="A915" s="131"/>
      <c r="B915" s="131"/>
      <c r="C915" s="131"/>
      <c r="D915" s="131"/>
      <c r="E915" s="131"/>
      <c r="F915" s="131"/>
    </row>
    <row r="916">
      <c r="A916" s="131"/>
      <c r="B916" s="131"/>
      <c r="C916" s="131"/>
      <c r="D916" s="131"/>
      <c r="E916" s="131"/>
      <c r="F916" s="131"/>
    </row>
    <row r="917">
      <c r="A917" s="131"/>
      <c r="B917" s="131"/>
      <c r="C917" s="131"/>
      <c r="D917" s="131"/>
      <c r="E917" s="131"/>
      <c r="F917" s="131"/>
    </row>
    <row r="918">
      <c r="A918" s="131"/>
      <c r="B918" s="131"/>
      <c r="C918" s="131"/>
      <c r="D918" s="131"/>
      <c r="E918" s="131"/>
      <c r="F918" s="131"/>
    </row>
    <row r="919">
      <c r="A919" s="131"/>
      <c r="B919" s="131"/>
      <c r="C919" s="131"/>
      <c r="D919" s="131"/>
      <c r="E919" s="131"/>
      <c r="F919" s="131"/>
    </row>
    <row r="920">
      <c r="A920" s="131"/>
      <c r="B920" s="131"/>
      <c r="C920" s="131"/>
      <c r="D920" s="131"/>
      <c r="E920" s="131"/>
      <c r="F920" s="131"/>
    </row>
    <row r="921">
      <c r="A921" s="131"/>
      <c r="B921" s="131"/>
      <c r="C921" s="131"/>
      <c r="D921" s="131"/>
      <c r="E921" s="131"/>
      <c r="F921" s="131"/>
    </row>
    <row r="922">
      <c r="A922" s="131"/>
      <c r="B922" s="131"/>
      <c r="C922" s="131"/>
      <c r="D922" s="131"/>
      <c r="E922" s="131"/>
      <c r="F922" s="131"/>
    </row>
    <row r="923">
      <c r="A923" s="131"/>
      <c r="B923" s="131"/>
      <c r="C923" s="131"/>
      <c r="D923" s="131"/>
      <c r="E923" s="131"/>
      <c r="F923" s="131"/>
    </row>
    <row r="924">
      <c r="A924" s="131"/>
      <c r="B924" s="131"/>
      <c r="C924" s="131"/>
      <c r="D924" s="131"/>
      <c r="E924" s="131"/>
      <c r="F924" s="131"/>
    </row>
    <row r="925">
      <c r="A925" s="131"/>
      <c r="B925" s="131"/>
      <c r="C925" s="131"/>
      <c r="D925" s="131"/>
      <c r="E925" s="131"/>
      <c r="F925" s="131"/>
    </row>
    <row r="926">
      <c r="A926" s="131"/>
      <c r="B926" s="131"/>
      <c r="C926" s="131"/>
      <c r="D926" s="131"/>
      <c r="E926" s="131"/>
      <c r="F926" s="131"/>
    </row>
    <row r="927">
      <c r="A927" s="131"/>
      <c r="B927" s="131"/>
      <c r="C927" s="131"/>
      <c r="D927" s="131"/>
      <c r="E927" s="131"/>
      <c r="F927" s="131"/>
    </row>
    <row r="928">
      <c r="A928" s="131"/>
      <c r="B928" s="131"/>
      <c r="C928" s="131"/>
      <c r="D928" s="131"/>
      <c r="E928" s="131"/>
      <c r="F928" s="131"/>
    </row>
    <row r="929">
      <c r="A929" s="131"/>
      <c r="B929" s="131"/>
      <c r="C929" s="131"/>
      <c r="D929" s="131"/>
      <c r="E929" s="131"/>
      <c r="F929" s="131"/>
    </row>
    <row r="930">
      <c r="A930" s="131"/>
      <c r="B930" s="131"/>
      <c r="C930" s="131"/>
      <c r="D930" s="131"/>
      <c r="E930" s="131"/>
      <c r="F930" s="131"/>
    </row>
    <row r="931">
      <c r="A931" s="131"/>
      <c r="B931" s="131"/>
      <c r="C931" s="131"/>
      <c r="D931" s="131"/>
      <c r="E931" s="131"/>
      <c r="F931" s="131"/>
    </row>
    <row r="932">
      <c r="A932" s="131"/>
      <c r="B932" s="131"/>
      <c r="C932" s="131"/>
      <c r="D932" s="131"/>
      <c r="E932" s="131"/>
      <c r="F932" s="131"/>
    </row>
    <row r="933">
      <c r="A933" s="131"/>
      <c r="B933" s="131"/>
      <c r="C933" s="131"/>
      <c r="D933" s="131"/>
      <c r="E933" s="131"/>
      <c r="F933" s="131"/>
    </row>
    <row r="934">
      <c r="A934" s="131"/>
      <c r="B934" s="131"/>
      <c r="C934" s="131"/>
      <c r="D934" s="131"/>
      <c r="E934" s="131"/>
      <c r="F934" s="131"/>
    </row>
    <row r="935">
      <c r="A935" s="131"/>
      <c r="B935" s="131"/>
      <c r="C935" s="131"/>
      <c r="D935" s="131"/>
      <c r="E935" s="131"/>
      <c r="F935" s="131"/>
    </row>
    <row r="936">
      <c r="A936" s="131"/>
      <c r="B936" s="131"/>
      <c r="C936" s="131"/>
      <c r="D936" s="131"/>
      <c r="E936" s="131"/>
      <c r="F936" s="131"/>
    </row>
    <row r="937">
      <c r="A937" s="131"/>
      <c r="B937" s="131"/>
      <c r="C937" s="131"/>
      <c r="D937" s="131"/>
      <c r="E937" s="131"/>
      <c r="F937" s="131"/>
    </row>
    <row r="938">
      <c r="A938" s="131"/>
      <c r="B938" s="131"/>
      <c r="C938" s="131"/>
      <c r="D938" s="131"/>
      <c r="E938" s="131"/>
      <c r="F938" s="131"/>
    </row>
    <row r="939">
      <c r="A939" s="131"/>
      <c r="B939" s="131"/>
      <c r="C939" s="131"/>
      <c r="D939" s="131"/>
      <c r="E939" s="131"/>
      <c r="F939" s="131"/>
    </row>
    <row r="940">
      <c r="A940" s="131"/>
      <c r="B940" s="131"/>
      <c r="C940" s="131"/>
      <c r="D940" s="131"/>
      <c r="E940" s="131"/>
      <c r="F940" s="131"/>
    </row>
    <row r="941">
      <c r="A941" s="131"/>
      <c r="B941" s="131"/>
      <c r="C941" s="131"/>
      <c r="D941" s="131"/>
      <c r="E941" s="131"/>
      <c r="F941" s="131"/>
    </row>
    <row r="942">
      <c r="A942" s="131"/>
      <c r="B942" s="131"/>
      <c r="C942" s="131"/>
      <c r="D942" s="131"/>
      <c r="E942" s="131"/>
      <c r="F942" s="131"/>
    </row>
    <row r="943">
      <c r="A943" s="131"/>
      <c r="B943" s="131"/>
      <c r="C943" s="131"/>
      <c r="D943" s="131"/>
      <c r="E943" s="131"/>
      <c r="F943" s="131"/>
    </row>
    <row r="944">
      <c r="A944" s="131"/>
      <c r="B944" s="131"/>
      <c r="C944" s="131"/>
      <c r="D944" s="131"/>
      <c r="E944" s="131"/>
      <c r="F944" s="131"/>
    </row>
    <row r="945">
      <c r="A945" s="131"/>
      <c r="B945" s="131"/>
      <c r="C945" s="131"/>
      <c r="D945" s="131"/>
      <c r="E945" s="131"/>
      <c r="F945" s="131"/>
    </row>
    <row r="946">
      <c r="A946" s="131"/>
      <c r="B946" s="131"/>
      <c r="C946" s="131"/>
      <c r="D946" s="131"/>
      <c r="E946" s="131"/>
      <c r="F946" s="131"/>
    </row>
    <row r="947">
      <c r="A947" s="131"/>
      <c r="B947" s="131"/>
      <c r="C947" s="131"/>
      <c r="D947" s="131"/>
      <c r="E947" s="131"/>
      <c r="F947" s="131"/>
    </row>
    <row r="948">
      <c r="A948" s="131"/>
      <c r="B948" s="131"/>
      <c r="C948" s="131"/>
      <c r="D948" s="131"/>
      <c r="E948" s="131"/>
      <c r="F948" s="131"/>
    </row>
    <row r="949">
      <c r="A949" s="131"/>
      <c r="B949" s="131"/>
      <c r="C949" s="131"/>
      <c r="D949" s="131"/>
      <c r="E949" s="131"/>
      <c r="F949" s="131"/>
    </row>
    <row r="950">
      <c r="A950" s="131"/>
      <c r="B950" s="131"/>
      <c r="C950" s="131"/>
      <c r="D950" s="131"/>
      <c r="E950" s="131"/>
      <c r="F950" s="131"/>
    </row>
    <row r="951">
      <c r="A951" s="131"/>
      <c r="B951" s="131"/>
      <c r="C951" s="131"/>
      <c r="D951" s="131"/>
      <c r="E951" s="131"/>
      <c r="F951" s="131"/>
    </row>
    <row r="952">
      <c r="A952" s="131"/>
      <c r="B952" s="131"/>
      <c r="C952" s="131"/>
      <c r="D952" s="131"/>
      <c r="E952" s="131"/>
      <c r="F952" s="131"/>
    </row>
    <row r="953">
      <c r="A953" s="131"/>
      <c r="B953" s="131"/>
      <c r="C953" s="131"/>
      <c r="D953" s="131"/>
      <c r="E953" s="131"/>
      <c r="F953" s="131"/>
    </row>
    <row r="954">
      <c r="A954" s="131"/>
      <c r="B954" s="131"/>
      <c r="C954" s="131"/>
      <c r="D954" s="131"/>
      <c r="E954" s="131"/>
      <c r="F954" s="131"/>
    </row>
    <row r="955">
      <c r="A955" s="131"/>
      <c r="B955" s="131"/>
      <c r="C955" s="131"/>
      <c r="D955" s="131"/>
      <c r="E955" s="131"/>
      <c r="F955" s="131"/>
    </row>
    <row r="956">
      <c r="A956" s="131"/>
      <c r="B956" s="131"/>
      <c r="C956" s="131"/>
      <c r="D956" s="131"/>
      <c r="E956" s="131"/>
      <c r="F956" s="131"/>
    </row>
    <row r="957">
      <c r="A957" s="131"/>
      <c r="B957" s="131"/>
      <c r="C957" s="131"/>
      <c r="D957" s="131"/>
      <c r="E957" s="131"/>
      <c r="F957" s="131"/>
    </row>
    <row r="958">
      <c r="A958" s="131"/>
      <c r="B958" s="131"/>
      <c r="C958" s="131"/>
      <c r="D958" s="131"/>
      <c r="E958" s="131"/>
      <c r="F958" s="131"/>
    </row>
    <row r="959">
      <c r="A959" s="131"/>
      <c r="B959" s="131"/>
      <c r="C959" s="131"/>
      <c r="D959" s="131"/>
      <c r="E959" s="131"/>
      <c r="F959" s="131"/>
    </row>
    <row r="960">
      <c r="A960" s="131"/>
      <c r="B960" s="131"/>
      <c r="C960" s="131"/>
      <c r="D960" s="131"/>
      <c r="E960" s="131"/>
      <c r="F960" s="131"/>
    </row>
    <row r="961">
      <c r="A961" s="131"/>
      <c r="B961" s="131"/>
      <c r="C961" s="131"/>
      <c r="D961" s="131"/>
      <c r="E961" s="131"/>
      <c r="F961" s="131"/>
    </row>
    <row r="962">
      <c r="A962" s="131"/>
      <c r="B962" s="131"/>
      <c r="C962" s="131"/>
      <c r="D962" s="131"/>
      <c r="E962" s="131"/>
      <c r="F962" s="131"/>
    </row>
    <row r="963">
      <c r="A963" s="131"/>
      <c r="B963" s="131"/>
      <c r="C963" s="131"/>
      <c r="D963" s="131"/>
      <c r="E963" s="131"/>
      <c r="F963" s="131"/>
    </row>
    <row r="964">
      <c r="A964" s="131"/>
      <c r="B964" s="131"/>
      <c r="C964" s="131"/>
      <c r="D964" s="131"/>
      <c r="E964" s="131"/>
      <c r="F964" s="131"/>
    </row>
    <row r="965">
      <c r="A965" s="131"/>
      <c r="B965" s="131"/>
      <c r="C965" s="131"/>
      <c r="D965" s="131"/>
      <c r="E965" s="131"/>
      <c r="F965" s="131"/>
    </row>
    <row r="966">
      <c r="A966" s="131"/>
      <c r="B966" s="131"/>
      <c r="C966" s="131"/>
      <c r="D966" s="131"/>
      <c r="E966" s="131"/>
      <c r="F966" s="131"/>
    </row>
    <row r="967">
      <c r="A967" s="131"/>
      <c r="B967" s="131"/>
      <c r="C967" s="131"/>
      <c r="D967" s="131"/>
      <c r="E967" s="131"/>
      <c r="F967" s="131"/>
    </row>
    <row r="968">
      <c r="A968" s="131"/>
      <c r="B968" s="131"/>
      <c r="C968" s="131"/>
      <c r="D968" s="131"/>
      <c r="E968" s="131"/>
      <c r="F968" s="131"/>
    </row>
    <row r="969">
      <c r="A969" s="131"/>
      <c r="B969" s="131"/>
      <c r="C969" s="131"/>
      <c r="D969" s="131"/>
      <c r="E969" s="131"/>
      <c r="F969" s="131"/>
    </row>
    <row r="970">
      <c r="A970" s="131"/>
      <c r="B970" s="131"/>
      <c r="C970" s="131"/>
      <c r="D970" s="131"/>
      <c r="E970" s="131"/>
      <c r="F970" s="131"/>
    </row>
    <row r="971">
      <c r="A971" s="131"/>
      <c r="B971" s="131"/>
      <c r="C971" s="131"/>
      <c r="D971" s="131"/>
      <c r="E971" s="131"/>
      <c r="F971" s="131"/>
    </row>
    <row r="972">
      <c r="A972" s="131"/>
      <c r="B972" s="131"/>
      <c r="C972" s="131"/>
      <c r="D972" s="131"/>
      <c r="E972" s="131"/>
      <c r="F972" s="131"/>
    </row>
    <row r="973">
      <c r="A973" s="131"/>
      <c r="B973" s="131"/>
      <c r="C973" s="131"/>
      <c r="D973" s="131"/>
      <c r="E973" s="131"/>
      <c r="F973" s="131"/>
    </row>
    <row r="974">
      <c r="A974" s="131"/>
      <c r="B974" s="131"/>
      <c r="C974" s="131"/>
      <c r="D974" s="131"/>
      <c r="E974" s="131"/>
      <c r="F974" s="131"/>
    </row>
    <row r="975">
      <c r="A975" s="131"/>
      <c r="B975" s="131"/>
      <c r="C975" s="131"/>
      <c r="D975" s="131"/>
      <c r="E975" s="131"/>
      <c r="F975" s="131"/>
    </row>
    <row r="976">
      <c r="A976" s="131"/>
      <c r="B976" s="131"/>
      <c r="C976" s="131"/>
      <c r="D976" s="131"/>
      <c r="E976" s="131"/>
      <c r="F976" s="131"/>
    </row>
    <row r="977">
      <c r="A977" s="131"/>
      <c r="B977" s="131"/>
      <c r="C977" s="131"/>
      <c r="D977" s="131"/>
      <c r="E977" s="131"/>
      <c r="F977" s="131"/>
    </row>
    <row r="978">
      <c r="A978" s="131"/>
      <c r="B978" s="131"/>
      <c r="C978" s="131"/>
      <c r="D978" s="131"/>
      <c r="E978" s="131"/>
      <c r="F978" s="131"/>
    </row>
    <row r="979">
      <c r="A979" s="131"/>
      <c r="B979" s="131"/>
      <c r="C979" s="131"/>
      <c r="D979" s="131"/>
      <c r="E979" s="131"/>
      <c r="F979" s="131"/>
    </row>
    <row r="980">
      <c r="A980" s="131"/>
      <c r="B980" s="131"/>
      <c r="C980" s="131"/>
      <c r="D980" s="131"/>
      <c r="E980" s="131"/>
      <c r="F980" s="131"/>
    </row>
    <row r="981">
      <c r="A981" s="131"/>
      <c r="B981" s="131"/>
      <c r="C981" s="131"/>
      <c r="D981" s="131"/>
      <c r="E981" s="131"/>
      <c r="F981" s="131"/>
    </row>
    <row r="982">
      <c r="A982" s="131"/>
      <c r="B982" s="131"/>
      <c r="C982" s="131"/>
      <c r="D982" s="131"/>
      <c r="E982" s="131"/>
      <c r="F982" s="131"/>
    </row>
    <row r="983">
      <c r="A983" s="131"/>
      <c r="B983" s="131"/>
      <c r="C983" s="131"/>
      <c r="D983" s="131"/>
      <c r="E983" s="131"/>
      <c r="F983" s="131"/>
    </row>
    <row r="984">
      <c r="A984" s="131"/>
      <c r="B984" s="131"/>
      <c r="C984" s="131"/>
      <c r="D984" s="131"/>
      <c r="E984" s="131"/>
      <c r="F984" s="131"/>
    </row>
    <row r="985">
      <c r="A985" s="131"/>
      <c r="B985" s="131"/>
      <c r="C985" s="131"/>
      <c r="D985" s="131"/>
      <c r="E985" s="131"/>
      <c r="F985" s="131"/>
    </row>
    <row r="986">
      <c r="A986" s="131"/>
      <c r="B986" s="131"/>
      <c r="C986" s="131"/>
      <c r="D986" s="131"/>
      <c r="E986" s="131"/>
      <c r="F986" s="131"/>
    </row>
    <row r="987">
      <c r="A987" s="131"/>
      <c r="B987" s="131"/>
      <c r="C987" s="131"/>
      <c r="D987" s="131"/>
      <c r="E987" s="131"/>
      <c r="F987" s="131"/>
    </row>
    <row r="988">
      <c r="A988" s="131"/>
      <c r="B988" s="131"/>
      <c r="C988" s="131"/>
      <c r="D988" s="131"/>
      <c r="E988" s="131"/>
      <c r="F988" s="131"/>
    </row>
    <row r="989">
      <c r="A989" s="131"/>
      <c r="B989" s="131"/>
      <c r="C989" s="131"/>
      <c r="D989" s="131"/>
      <c r="E989" s="131"/>
      <c r="F989" s="131"/>
    </row>
    <row r="990">
      <c r="A990" s="131"/>
      <c r="B990" s="131"/>
      <c r="C990" s="131"/>
      <c r="D990" s="131"/>
      <c r="E990" s="131"/>
      <c r="F990" s="131"/>
    </row>
    <row r="991">
      <c r="A991" s="131"/>
      <c r="B991" s="131"/>
      <c r="C991" s="131"/>
      <c r="D991" s="131"/>
      <c r="E991" s="131"/>
      <c r="F991" s="131"/>
    </row>
    <row r="992">
      <c r="A992" s="131"/>
      <c r="B992" s="131"/>
      <c r="C992" s="131"/>
      <c r="D992" s="131"/>
      <c r="E992" s="131"/>
      <c r="F992" s="131"/>
    </row>
    <row r="993">
      <c r="A993" s="131"/>
      <c r="B993" s="131"/>
      <c r="C993" s="131"/>
      <c r="D993" s="131"/>
      <c r="E993" s="131"/>
      <c r="F993" s="131"/>
    </row>
    <row r="994">
      <c r="A994" s="131"/>
      <c r="B994" s="131"/>
      <c r="C994" s="131"/>
      <c r="D994" s="131"/>
      <c r="E994" s="131"/>
      <c r="F994" s="131"/>
    </row>
  </sheetData>
  <mergeCells count="3">
    <mergeCell ref="G1:K1"/>
    <mergeCell ref="L1:P1"/>
    <mergeCell ref="Q1:W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2" max="22" width="16.29"/>
    <col customWidth="1" min="23" max="23" width="16.14"/>
  </cols>
  <sheetData>
    <row r="1">
      <c r="A1" s="86" t="s">
        <v>554</v>
      </c>
      <c r="B1" s="87" t="s">
        <v>24</v>
      </c>
      <c r="G1" s="121" t="s">
        <v>555</v>
      </c>
      <c r="H1" s="13"/>
      <c r="I1" s="13"/>
      <c r="J1" s="13"/>
      <c r="K1" s="14"/>
      <c r="L1" s="121" t="s">
        <v>556</v>
      </c>
      <c r="M1" s="13"/>
      <c r="N1" s="13"/>
      <c r="O1" s="13"/>
      <c r="P1" s="14"/>
      <c r="Q1" s="122" t="s">
        <v>33</v>
      </c>
      <c r="R1" s="13"/>
      <c r="S1" s="13"/>
      <c r="T1" s="13"/>
      <c r="U1" s="13"/>
      <c r="V1" s="13"/>
      <c r="W1" s="14"/>
    </row>
    <row r="2">
      <c r="A2" s="90" t="s">
        <v>41</v>
      </c>
      <c r="B2" s="90" t="s">
        <v>42</v>
      </c>
      <c r="C2" s="90" t="s">
        <v>43</v>
      </c>
      <c r="D2" s="90" t="s">
        <v>44</v>
      </c>
      <c r="E2" s="90" t="s">
        <v>45</v>
      </c>
      <c r="F2" s="90" t="s">
        <v>46</v>
      </c>
      <c r="G2" s="123" t="s">
        <v>557</v>
      </c>
      <c r="H2" s="124" t="s">
        <v>558</v>
      </c>
      <c r="I2" s="124" t="s">
        <v>559</v>
      </c>
      <c r="J2" s="125" t="s">
        <v>560</v>
      </c>
      <c r="K2" s="125" t="s">
        <v>574</v>
      </c>
      <c r="L2" s="126" t="s">
        <v>562</v>
      </c>
      <c r="M2" s="125" t="s">
        <v>563</v>
      </c>
      <c r="N2" s="125" t="s">
        <v>564</v>
      </c>
      <c r="O2" s="125" t="s">
        <v>565</v>
      </c>
      <c r="P2" s="127" t="s">
        <v>575</v>
      </c>
      <c r="Q2" s="128" t="s">
        <v>567</v>
      </c>
      <c r="R2" s="129" t="s">
        <v>568</v>
      </c>
      <c r="S2" s="129" t="s">
        <v>569</v>
      </c>
      <c r="T2" s="129" t="s">
        <v>570</v>
      </c>
      <c r="U2" s="129" t="s">
        <v>571</v>
      </c>
      <c r="V2" s="129" t="s">
        <v>572</v>
      </c>
      <c r="W2" s="130" t="s">
        <v>573</v>
      </c>
    </row>
    <row r="3">
      <c r="A3" s="131">
        <f>IFERROR(__xludf.DUMMYFUNCTION("QUERY(MASTERLIST!A3:F996, ""SELECT *"", 0)"),1.0)</f>
        <v>1</v>
      </c>
      <c r="B3" s="131"/>
      <c r="C3" s="131">
        <f>IFERROR(__xludf.DUMMYFUNCTION("""COMPUTED_VALUE"""),1.0)</f>
        <v>1</v>
      </c>
      <c r="D3" s="131" t="b">
        <f>IFERROR(__xludf.DUMMYFUNCTION("""COMPUTED_VALUE"""),TRUE)</f>
        <v>1</v>
      </c>
      <c r="E3" s="94" t="str">
        <f>IFERROR(__xludf.DUMMYFUNCTION("""COMPUTED_VALUE"""),"ARANDA")</f>
        <v>ARANDA</v>
      </c>
      <c r="F3" s="94" t="str">
        <f>IFERROR(__xludf.DUMMYFUNCTION("""COMPUTED_VALUE"""),"KAI")</f>
        <v>KAI</v>
      </c>
    </row>
    <row r="4">
      <c r="A4" s="131">
        <f>IFERROR(__xludf.DUMMYFUNCTION("""COMPUTED_VALUE"""),2.0)</f>
        <v>2</v>
      </c>
      <c r="B4" s="131"/>
      <c r="C4" s="131">
        <f>IFERROR(__xludf.DUMMYFUNCTION("""COMPUTED_VALUE"""),1.0)</f>
        <v>1</v>
      </c>
      <c r="D4" s="131" t="b">
        <f>IFERROR(__xludf.DUMMYFUNCTION("""COMPUTED_VALUE"""),FALSE)</f>
        <v>0</v>
      </c>
      <c r="E4" s="95" t="str">
        <f>IFERROR(__xludf.DUMMYFUNCTION("""COMPUTED_VALUE"""),"ARCILLA")</f>
        <v>ARCILLA</v>
      </c>
      <c r="F4" s="96" t="str">
        <f>IFERROR(__xludf.DUMMYFUNCTION("""COMPUTED_VALUE"""),"DANIELA")</f>
        <v>DANIELA</v>
      </c>
    </row>
    <row r="5">
      <c r="A5" s="131">
        <f>IFERROR(__xludf.DUMMYFUNCTION("""COMPUTED_VALUE"""),3.0)</f>
        <v>3</v>
      </c>
      <c r="B5" s="131"/>
      <c r="C5" s="131">
        <f>IFERROR(__xludf.DUMMYFUNCTION("""COMPUTED_VALUE"""),1.0)</f>
        <v>1</v>
      </c>
      <c r="D5" s="131" t="b">
        <f>IFERROR(__xludf.DUMMYFUNCTION("""COMPUTED_VALUE"""),FALSE)</f>
        <v>0</v>
      </c>
      <c r="E5" s="96" t="str">
        <f>IFERROR(__xludf.DUMMYFUNCTION("""COMPUTED_VALUE"""),"ANDRE")</f>
        <v>ANDRE</v>
      </c>
      <c r="F5" s="96" t="str">
        <f>IFERROR(__xludf.DUMMYFUNCTION("""COMPUTED_VALUE"""),"CARLA")</f>
        <v>CARLA</v>
      </c>
    </row>
    <row r="6">
      <c r="A6" s="131">
        <f>IFERROR(__xludf.DUMMYFUNCTION("""COMPUTED_VALUE"""),4.0)</f>
        <v>4</v>
      </c>
      <c r="B6" s="131"/>
      <c r="C6" s="131">
        <f>IFERROR(__xludf.DUMMYFUNCTION("""COMPUTED_VALUE"""),1.0)</f>
        <v>1</v>
      </c>
      <c r="D6" s="131" t="b">
        <f>IFERROR(__xludf.DUMMYFUNCTION("""COMPUTED_VALUE"""),FALSE)</f>
        <v>0</v>
      </c>
      <c r="E6" s="96" t="str">
        <f>IFERROR(__xludf.DUMMYFUNCTION("""COMPUTED_VALUE"""),"BALDELOVAR")</f>
        <v>BALDELOVAR</v>
      </c>
      <c r="F6" s="96" t="str">
        <f>IFERROR(__xludf.DUMMYFUNCTION("""COMPUTED_VALUE"""),"LEANNE")</f>
        <v>LEANNE</v>
      </c>
    </row>
    <row r="7">
      <c r="A7" s="131">
        <f>IFERROR(__xludf.DUMMYFUNCTION("""COMPUTED_VALUE"""),5.0)</f>
        <v>5</v>
      </c>
      <c r="B7" s="131"/>
      <c r="C7" s="131">
        <f>IFERROR(__xludf.DUMMYFUNCTION("""COMPUTED_VALUE"""),1.0)</f>
        <v>1</v>
      </c>
      <c r="D7" s="131" t="b">
        <f>IFERROR(__xludf.DUMMYFUNCTION("""COMPUTED_VALUE"""),FALSE)</f>
        <v>0</v>
      </c>
      <c r="E7" s="96" t="str">
        <f>IFERROR(__xludf.DUMMYFUNCTION("""COMPUTED_VALUE"""),"BANTAYAN")</f>
        <v>BANTAYAN</v>
      </c>
      <c r="F7" s="96" t="str">
        <f>IFERROR(__xludf.DUMMYFUNCTION("""COMPUTED_VALUE"""),"EURASIA")</f>
        <v>EURASIA</v>
      </c>
    </row>
    <row r="8">
      <c r="A8" s="131">
        <f>IFERROR(__xludf.DUMMYFUNCTION("""COMPUTED_VALUE"""),6.0)</f>
        <v>6</v>
      </c>
      <c r="B8" s="131"/>
      <c r="C8" s="131">
        <f>IFERROR(__xludf.DUMMYFUNCTION("""COMPUTED_VALUE"""),1.0)</f>
        <v>1</v>
      </c>
      <c r="D8" s="131" t="b">
        <f>IFERROR(__xludf.DUMMYFUNCTION("""COMPUTED_VALUE"""),FALSE)</f>
        <v>0</v>
      </c>
      <c r="E8" s="96" t="str">
        <f>IFERROR(__xludf.DUMMYFUNCTION("""COMPUTED_VALUE"""),"BUCTOT")</f>
        <v>BUCTOT</v>
      </c>
      <c r="F8" s="96" t="str">
        <f>IFERROR(__xludf.DUMMYFUNCTION("""COMPUTED_VALUE"""),"JEZEBEL")</f>
        <v>JEZEBEL</v>
      </c>
    </row>
    <row r="9">
      <c r="A9" s="131">
        <f>IFERROR(__xludf.DUMMYFUNCTION("""COMPUTED_VALUE"""),7.0)</f>
        <v>7</v>
      </c>
      <c r="B9" s="131"/>
      <c r="C9" s="131">
        <f>IFERROR(__xludf.DUMMYFUNCTION("""COMPUTED_VALUE"""),1.0)</f>
        <v>1</v>
      </c>
      <c r="D9" s="131" t="b">
        <f>IFERROR(__xludf.DUMMYFUNCTION("""COMPUTED_VALUE"""),FALSE)</f>
        <v>0</v>
      </c>
      <c r="E9" s="96" t="str">
        <f>IFERROR(__xludf.DUMMYFUNCTION("""COMPUTED_VALUE"""),"ENCARNACION")</f>
        <v>ENCARNACION</v>
      </c>
      <c r="F9" s="96" t="str">
        <f>IFERROR(__xludf.DUMMYFUNCTION("""COMPUTED_VALUE"""),"KRISTEL")</f>
        <v>KRISTEL</v>
      </c>
    </row>
    <row r="10">
      <c r="A10" s="131">
        <f>IFERROR(__xludf.DUMMYFUNCTION("""COMPUTED_VALUE"""),8.0)</f>
        <v>8</v>
      </c>
      <c r="B10" s="131"/>
      <c r="C10" s="131">
        <f>IFERROR(__xludf.DUMMYFUNCTION("""COMPUTED_VALUE"""),1.0)</f>
        <v>1</v>
      </c>
      <c r="D10" s="131" t="b">
        <f>IFERROR(__xludf.DUMMYFUNCTION("""COMPUTED_VALUE"""),FALSE)</f>
        <v>0</v>
      </c>
      <c r="E10" s="96" t="str">
        <f>IFERROR(__xludf.DUMMYFUNCTION("""COMPUTED_VALUE"""),"GUTIERREZ")</f>
        <v>GUTIERREZ</v>
      </c>
      <c r="F10" s="96" t="str">
        <f>IFERROR(__xludf.DUMMYFUNCTION("""COMPUTED_VALUE"""),"PAOLA")</f>
        <v>PAOLA</v>
      </c>
    </row>
    <row r="11">
      <c r="A11" s="131">
        <f>IFERROR(__xludf.DUMMYFUNCTION("""COMPUTED_VALUE"""),9.0)</f>
        <v>9</v>
      </c>
      <c r="B11" s="131"/>
      <c r="C11" s="131">
        <f>IFERROR(__xludf.DUMMYFUNCTION("""COMPUTED_VALUE"""),1.0)</f>
        <v>1</v>
      </c>
      <c r="D11" s="131" t="b">
        <f>IFERROR(__xludf.DUMMYFUNCTION("""COMPUTED_VALUE"""),FALSE)</f>
        <v>0</v>
      </c>
      <c r="E11" s="96" t="str">
        <f>IFERROR(__xludf.DUMMYFUNCTION("""COMPUTED_VALUE"""),"HISPANO")</f>
        <v>HISPANO</v>
      </c>
      <c r="F11" s="96" t="str">
        <f>IFERROR(__xludf.DUMMYFUNCTION("""COMPUTED_VALUE"""),"HANNA")</f>
        <v>HANNA</v>
      </c>
    </row>
    <row r="12">
      <c r="A12" s="131">
        <f>IFERROR(__xludf.DUMMYFUNCTION("""COMPUTED_VALUE"""),10.0)</f>
        <v>10</v>
      </c>
      <c r="B12" s="131"/>
      <c r="C12" s="131">
        <f>IFERROR(__xludf.DUMMYFUNCTION("""COMPUTED_VALUE"""),1.0)</f>
        <v>1</v>
      </c>
      <c r="D12" s="131" t="b">
        <f>IFERROR(__xludf.DUMMYFUNCTION("""COMPUTED_VALUE"""),FALSE)</f>
        <v>0</v>
      </c>
      <c r="E12" s="96" t="str">
        <f>IFERROR(__xludf.DUMMYFUNCTION("""COMPUTED_VALUE"""),"MALOLOY-ON")</f>
        <v>MALOLOY-ON</v>
      </c>
      <c r="F12" s="96" t="str">
        <f>IFERROR(__xludf.DUMMYFUNCTION("""COMPUTED_VALUE"""),"MARIANA")</f>
        <v>MARIANA</v>
      </c>
    </row>
    <row r="13">
      <c r="A13" s="131">
        <f>IFERROR(__xludf.DUMMYFUNCTION("""COMPUTED_VALUE"""),11.0)</f>
        <v>11</v>
      </c>
      <c r="B13" s="131"/>
      <c r="C13" s="131">
        <f>IFERROR(__xludf.DUMMYFUNCTION("""COMPUTED_VALUE"""),1.0)</f>
        <v>1</v>
      </c>
      <c r="D13" s="131" t="b">
        <f>IFERROR(__xludf.DUMMYFUNCTION("""COMPUTED_VALUE"""),FALSE)</f>
        <v>0</v>
      </c>
      <c r="E13" s="96" t="str">
        <f>IFERROR(__xludf.DUMMYFUNCTION("""COMPUTED_VALUE"""),"MALOLOY-ON")</f>
        <v>MALOLOY-ON</v>
      </c>
      <c r="F13" s="96" t="str">
        <f>IFERROR(__xludf.DUMMYFUNCTION("""COMPUTED_VALUE"""),"JOISEALAY")</f>
        <v>JOISEALAY</v>
      </c>
    </row>
    <row r="14">
      <c r="A14" s="131">
        <f>IFERROR(__xludf.DUMMYFUNCTION("""COMPUTED_VALUE"""),12.0)</f>
        <v>12</v>
      </c>
      <c r="B14" s="131"/>
      <c r="C14" s="131">
        <f>IFERROR(__xludf.DUMMYFUNCTION("""COMPUTED_VALUE"""),1.0)</f>
        <v>1</v>
      </c>
      <c r="D14" s="131" t="b">
        <f>IFERROR(__xludf.DUMMYFUNCTION("""COMPUTED_VALUE"""),FALSE)</f>
        <v>0</v>
      </c>
      <c r="E14" s="96" t="str">
        <f>IFERROR(__xludf.DUMMYFUNCTION("""COMPUTED_VALUE"""),"ORQUIA")</f>
        <v>ORQUIA</v>
      </c>
      <c r="F14" s="96" t="str">
        <f>IFERROR(__xludf.DUMMYFUNCTION("""COMPUTED_VALUE"""),"KAYLA")</f>
        <v>KAYLA</v>
      </c>
    </row>
    <row r="15">
      <c r="A15" s="131">
        <f>IFERROR(__xludf.DUMMYFUNCTION("""COMPUTED_VALUE"""),13.0)</f>
        <v>13</v>
      </c>
      <c r="B15" s="131"/>
      <c r="C15" s="131">
        <f>IFERROR(__xludf.DUMMYFUNCTION("""COMPUTED_VALUE"""),1.0)</f>
        <v>1</v>
      </c>
      <c r="D15" s="131" t="b">
        <f>IFERROR(__xludf.DUMMYFUNCTION("""COMPUTED_VALUE"""),FALSE)</f>
        <v>0</v>
      </c>
      <c r="E15" s="96" t="str">
        <f>IFERROR(__xludf.DUMMYFUNCTION("""COMPUTED_VALUE"""),"PIGAO")</f>
        <v>PIGAO</v>
      </c>
      <c r="F15" s="96" t="str">
        <f>IFERROR(__xludf.DUMMYFUNCTION("""COMPUTED_VALUE"""),"HANNAH")</f>
        <v>HANNAH</v>
      </c>
    </row>
    <row r="16">
      <c r="A16" s="131">
        <f>IFERROR(__xludf.DUMMYFUNCTION("""COMPUTED_VALUE"""),14.0)</f>
        <v>14</v>
      </c>
      <c r="B16" s="131"/>
      <c r="C16" s="131">
        <f>IFERROR(__xludf.DUMMYFUNCTION("""COMPUTED_VALUE"""),1.0)</f>
        <v>1</v>
      </c>
      <c r="D16" s="131" t="b">
        <f>IFERROR(__xludf.DUMMYFUNCTION("""COMPUTED_VALUE"""),FALSE)</f>
        <v>0</v>
      </c>
      <c r="E16" s="96" t="str">
        <f>IFERROR(__xludf.DUMMYFUNCTION("""COMPUTED_VALUE"""),"RELEVO")</f>
        <v>RELEVO</v>
      </c>
      <c r="F16" s="96" t="str">
        <f>IFERROR(__xludf.DUMMYFUNCTION("""COMPUTED_VALUE"""),"RICA")</f>
        <v>RICA</v>
      </c>
    </row>
    <row r="17">
      <c r="A17" s="131">
        <f>IFERROR(__xludf.DUMMYFUNCTION("""COMPUTED_VALUE"""),15.0)</f>
        <v>15</v>
      </c>
      <c r="B17" s="131"/>
      <c r="C17" s="131">
        <f>IFERROR(__xludf.DUMMYFUNCTION("""COMPUTED_VALUE"""),1.0)</f>
        <v>1</v>
      </c>
      <c r="D17" s="131" t="b">
        <f>IFERROR(__xludf.DUMMYFUNCTION("""COMPUTED_VALUE"""),FALSE)</f>
        <v>0</v>
      </c>
      <c r="E17" s="97" t="str">
        <f>IFERROR(__xludf.DUMMYFUNCTION("""COMPUTED_VALUE"""),"REYES")</f>
        <v>REYES</v>
      </c>
      <c r="F17" s="97" t="str">
        <f>IFERROR(__xludf.DUMMYFUNCTION("""COMPUTED_VALUE"""),"ARIANNE")</f>
        <v>ARIANNE</v>
      </c>
    </row>
    <row r="18">
      <c r="A18" s="131">
        <f>IFERROR(__xludf.DUMMYFUNCTION("""COMPUTED_VALUE"""),16.0)</f>
        <v>16</v>
      </c>
      <c r="B18" s="131"/>
      <c r="C18" s="131">
        <f>IFERROR(__xludf.DUMMYFUNCTION("""COMPUTED_VALUE"""),1.0)</f>
        <v>1</v>
      </c>
      <c r="D18" s="131" t="b">
        <f>IFERROR(__xludf.DUMMYFUNCTION("""COMPUTED_VALUE"""),FALSE)</f>
        <v>0</v>
      </c>
      <c r="E18" s="96" t="str">
        <f>IFERROR(__xludf.DUMMYFUNCTION("""COMPUTED_VALUE"""),"ROMANO")</f>
        <v>ROMANO</v>
      </c>
      <c r="F18" s="96" t="str">
        <f>IFERROR(__xludf.DUMMYFUNCTION("""COMPUTED_VALUE"""),"ROZANE")</f>
        <v>ROZANE</v>
      </c>
    </row>
    <row r="19">
      <c r="A19" s="131">
        <f>IFERROR(__xludf.DUMMYFUNCTION("""COMPUTED_VALUE"""),17.0)</f>
        <v>17</v>
      </c>
      <c r="B19" s="131"/>
      <c r="C19" s="131">
        <f>IFERROR(__xludf.DUMMYFUNCTION("""COMPUTED_VALUE"""),1.0)</f>
        <v>1</v>
      </c>
      <c r="D19" s="131" t="b">
        <f>IFERROR(__xludf.DUMMYFUNCTION("""COMPUTED_VALUE"""),FALSE)</f>
        <v>0</v>
      </c>
      <c r="E19" s="96" t="str">
        <f>IFERROR(__xludf.DUMMYFUNCTION("""COMPUTED_VALUE"""),"SEBASTIAN")</f>
        <v>SEBASTIAN</v>
      </c>
      <c r="F19" s="96" t="str">
        <f>IFERROR(__xludf.DUMMYFUNCTION("""COMPUTED_VALUE"""),"JENNIFER")</f>
        <v>JENNIFER</v>
      </c>
    </row>
    <row r="20">
      <c r="A20" s="131">
        <f>IFERROR(__xludf.DUMMYFUNCTION("""COMPUTED_VALUE"""),18.0)</f>
        <v>18</v>
      </c>
      <c r="B20" s="131"/>
      <c r="C20" s="131">
        <f>IFERROR(__xludf.DUMMYFUNCTION("""COMPUTED_VALUE"""),1.0)</f>
        <v>1</v>
      </c>
      <c r="D20" s="131" t="b">
        <f>IFERROR(__xludf.DUMMYFUNCTION("""COMPUTED_VALUE"""),FALSE)</f>
        <v>0</v>
      </c>
      <c r="E20" s="96" t="str">
        <f>IFERROR(__xludf.DUMMYFUNCTION("""COMPUTED_VALUE"""),"SIMON")</f>
        <v>SIMON</v>
      </c>
      <c r="F20" s="96" t="str">
        <f>IFERROR(__xludf.DUMMYFUNCTION("""COMPUTED_VALUE"""),"SHERRIE")</f>
        <v>SHERRIE</v>
      </c>
    </row>
    <row r="21">
      <c r="A21" s="131">
        <f>IFERROR(__xludf.DUMMYFUNCTION("""COMPUTED_VALUE"""),19.0)</f>
        <v>19</v>
      </c>
      <c r="B21" s="131">
        <f>IFERROR(__xludf.DUMMYFUNCTION("""COMPUTED_VALUE"""),15.0)</f>
        <v>15</v>
      </c>
      <c r="C21" s="131">
        <f>IFERROR(__xludf.DUMMYFUNCTION("""COMPUTED_VALUE"""),1.0)</f>
        <v>1</v>
      </c>
      <c r="D21" s="131" t="b">
        <f>IFERROR(__xludf.DUMMYFUNCTION("""COMPUTED_VALUE"""),FALSE)</f>
        <v>0</v>
      </c>
      <c r="E21" s="96" t="str">
        <f>IFERROR(__xludf.DUMMYFUNCTION("""COMPUTED_VALUE"""),"TAMIDLES")</f>
        <v>TAMIDLES</v>
      </c>
      <c r="F21" s="96" t="str">
        <f>IFERROR(__xludf.DUMMYFUNCTION("""COMPUTED_VALUE"""),"CZARINA")</f>
        <v>CZARINA</v>
      </c>
    </row>
    <row r="22">
      <c r="A22" s="131">
        <f>IFERROR(__xludf.DUMMYFUNCTION("""COMPUTED_VALUE"""),20.0)</f>
        <v>20</v>
      </c>
      <c r="B22" s="131">
        <f>IFERROR(__xludf.DUMMYFUNCTION("""COMPUTED_VALUE"""),15.0)</f>
        <v>15</v>
      </c>
      <c r="C22" s="131">
        <f>IFERROR(__xludf.DUMMYFUNCTION("""COMPUTED_VALUE"""),1.0)</f>
        <v>1</v>
      </c>
      <c r="D22" s="131" t="b">
        <f>IFERROR(__xludf.DUMMYFUNCTION("""COMPUTED_VALUE"""),FALSE)</f>
        <v>0</v>
      </c>
      <c r="E22" s="96" t="str">
        <f>IFERROR(__xludf.DUMMYFUNCTION("""COMPUTED_VALUE"""),"ULAN")</f>
        <v>ULAN</v>
      </c>
      <c r="F22" s="96" t="str">
        <f>IFERROR(__xludf.DUMMYFUNCTION("""COMPUTED_VALUE"""),"MCWAYNE")</f>
        <v>MCWAYNE</v>
      </c>
    </row>
    <row r="23">
      <c r="A23" s="131">
        <f>IFERROR(__xludf.DUMMYFUNCTION("""COMPUTED_VALUE"""),21.0)</f>
        <v>21</v>
      </c>
      <c r="B23" s="131"/>
      <c r="C23" s="131">
        <f>IFERROR(__xludf.DUMMYFUNCTION("""COMPUTED_VALUE"""),1.0)</f>
        <v>1</v>
      </c>
      <c r="D23" s="131" t="b">
        <f>IFERROR(__xludf.DUMMYFUNCTION("""COMPUTED_VALUE"""),FALSE)</f>
        <v>0</v>
      </c>
      <c r="E23" s="96" t="str">
        <f>IFERROR(__xludf.DUMMYFUNCTION("""COMPUTED_VALUE"""),"VILLARTA")</f>
        <v>VILLARTA</v>
      </c>
      <c r="F23" s="96" t="str">
        <f>IFERROR(__xludf.DUMMYFUNCTION("""COMPUTED_VALUE"""),"JERICKA")</f>
        <v>JERICKA</v>
      </c>
    </row>
    <row r="24">
      <c r="A24" s="131">
        <f>IFERROR(__xludf.DUMMYFUNCTION("""COMPUTED_VALUE"""),22.0)</f>
        <v>22</v>
      </c>
      <c r="B24" s="131"/>
      <c r="C24" s="131"/>
      <c r="D24" s="131" t="b">
        <f>IFERROR(__xludf.DUMMYFUNCTION("""COMPUTED_VALUE"""),FALSE)</f>
        <v>0</v>
      </c>
      <c r="E24" s="98"/>
      <c r="F24" s="96" t="str">
        <f>IFERROR(__xludf.DUMMYFUNCTION("""COMPUTED_VALUE"""),"ANGEL")</f>
        <v>ANGEL</v>
      </c>
    </row>
    <row r="25">
      <c r="A25" s="131">
        <f>IFERROR(__xludf.DUMMYFUNCTION("""COMPUTED_VALUE"""),23.0)</f>
        <v>23</v>
      </c>
      <c r="B25" s="131"/>
      <c r="C25" s="131">
        <f>IFERROR(__xludf.DUMMYFUNCTION("""COMPUTED_VALUE"""),23.0)</f>
        <v>23</v>
      </c>
      <c r="D25" s="131" t="b">
        <f>IFERROR(__xludf.DUMMYFUNCTION("""COMPUTED_VALUE"""),TRUE)</f>
        <v>1</v>
      </c>
      <c r="E25" s="99" t="str">
        <f>IFERROR(__xludf.DUMMYFUNCTION("""COMPUTED_VALUE"""),"AVANCENA")</f>
        <v>AVANCENA</v>
      </c>
      <c r="F25" s="99" t="str">
        <f>IFERROR(__xludf.DUMMYFUNCTION("""COMPUTED_VALUE"""),"AIMEE")</f>
        <v>AIMEE</v>
      </c>
    </row>
    <row r="26">
      <c r="A26" s="131">
        <f>IFERROR(__xludf.DUMMYFUNCTION("""COMPUTED_VALUE"""),24.0)</f>
        <v>24</v>
      </c>
      <c r="B26" s="131"/>
      <c r="C26" s="131">
        <f>IFERROR(__xludf.DUMMYFUNCTION("""COMPUTED_VALUE"""),23.0)</f>
        <v>23</v>
      </c>
      <c r="D26" s="131" t="b">
        <f>IFERROR(__xludf.DUMMYFUNCTION("""COMPUTED_VALUE"""),FALSE)</f>
        <v>0</v>
      </c>
      <c r="E26" s="100" t="str">
        <f>IFERROR(__xludf.DUMMYFUNCTION("""COMPUTED_VALUE"""),"CABO")</f>
        <v>CABO</v>
      </c>
      <c r="F26" s="100" t="str">
        <f>IFERROR(__xludf.DUMMYFUNCTION("""COMPUTED_VALUE"""),"MELANIE")</f>
        <v>MELANIE</v>
      </c>
    </row>
    <row r="27">
      <c r="A27" s="131">
        <f>IFERROR(__xludf.DUMMYFUNCTION("""COMPUTED_VALUE"""),25.0)</f>
        <v>25</v>
      </c>
      <c r="B27" s="131">
        <f>IFERROR(__xludf.DUMMYFUNCTION("""COMPUTED_VALUE"""),24.0)</f>
        <v>24</v>
      </c>
      <c r="C27" s="131">
        <f>IFERROR(__xludf.DUMMYFUNCTION("""COMPUTED_VALUE"""),23.0)</f>
        <v>23</v>
      </c>
      <c r="D27" s="131" t="b">
        <f>IFERROR(__xludf.DUMMYFUNCTION("""COMPUTED_VALUE"""),FALSE)</f>
        <v>0</v>
      </c>
      <c r="E27" s="100" t="str">
        <f>IFERROR(__xludf.DUMMYFUNCTION("""COMPUTED_VALUE"""),"CARLOS")</f>
        <v>CARLOS</v>
      </c>
      <c r="F27" s="100" t="str">
        <f>IFERROR(__xludf.DUMMYFUNCTION("""COMPUTED_VALUE"""),"FRANCINE")</f>
        <v>FRANCINE</v>
      </c>
    </row>
    <row r="28">
      <c r="A28" s="131">
        <f>IFERROR(__xludf.DUMMYFUNCTION("""COMPUTED_VALUE"""),26.0)</f>
        <v>26</v>
      </c>
      <c r="B28" s="131"/>
      <c r="C28" s="131">
        <f>IFERROR(__xludf.DUMMYFUNCTION("""COMPUTED_VALUE"""),23.0)</f>
        <v>23</v>
      </c>
      <c r="D28" s="131" t="b">
        <f>IFERROR(__xludf.DUMMYFUNCTION("""COMPUTED_VALUE"""),FALSE)</f>
        <v>0</v>
      </c>
      <c r="E28" s="100" t="str">
        <f>IFERROR(__xludf.DUMMYFUNCTION("""COMPUTED_VALUE"""),"DALIOAN")</f>
        <v>DALIOAN</v>
      </c>
      <c r="F28" s="100" t="str">
        <f>IFERROR(__xludf.DUMMYFUNCTION("""COMPUTED_VALUE"""),"MONIQUE")</f>
        <v>MONIQUE</v>
      </c>
    </row>
    <row r="29">
      <c r="A29" s="131">
        <f>IFERROR(__xludf.DUMMYFUNCTION("""COMPUTED_VALUE"""),27.0)</f>
        <v>27</v>
      </c>
      <c r="B29" s="131"/>
      <c r="C29" s="131">
        <f>IFERROR(__xludf.DUMMYFUNCTION("""COMPUTED_VALUE"""),23.0)</f>
        <v>23</v>
      </c>
      <c r="D29" s="131" t="b">
        <f>IFERROR(__xludf.DUMMYFUNCTION("""COMPUTED_VALUE"""),FALSE)</f>
        <v>0</v>
      </c>
      <c r="E29" s="100" t="str">
        <f>IFERROR(__xludf.DUMMYFUNCTION("""COMPUTED_VALUE"""),"GELICAME")</f>
        <v>GELICAME</v>
      </c>
      <c r="F29" s="100" t="str">
        <f>IFERROR(__xludf.DUMMYFUNCTION("""COMPUTED_VALUE"""),"ARYHANA")</f>
        <v>ARYHANA</v>
      </c>
    </row>
    <row r="30">
      <c r="A30" s="131">
        <f>IFERROR(__xludf.DUMMYFUNCTION("""COMPUTED_VALUE"""),28.0)</f>
        <v>28</v>
      </c>
      <c r="B30" s="131"/>
      <c r="C30" s="131">
        <f>IFERROR(__xludf.DUMMYFUNCTION("""COMPUTED_VALUE"""),23.0)</f>
        <v>23</v>
      </c>
      <c r="D30" s="131" t="b">
        <f>IFERROR(__xludf.DUMMYFUNCTION("""COMPUTED_VALUE"""),FALSE)</f>
        <v>0</v>
      </c>
      <c r="E30" s="100" t="str">
        <f>IFERROR(__xludf.DUMMYFUNCTION("""COMPUTED_VALUE"""),"GUIMONG")</f>
        <v>GUIMONG</v>
      </c>
      <c r="F30" s="100" t="str">
        <f>IFERROR(__xludf.DUMMYFUNCTION("""COMPUTED_VALUE"""),"FAITH")</f>
        <v>FAITH</v>
      </c>
    </row>
    <row r="31">
      <c r="A31" s="131">
        <f>IFERROR(__xludf.DUMMYFUNCTION("""COMPUTED_VALUE"""),29.0)</f>
        <v>29</v>
      </c>
      <c r="B31" s="131"/>
      <c r="C31" s="131">
        <f>IFERROR(__xludf.DUMMYFUNCTION("""COMPUTED_VALUE"""),23.0)</f>
        <v>23</v>
      </c>
      <c r="D31" s="131" t="b">
        <f>IFERROR(__xludf.DUMMYFUNCTION("""COMPUTED_VALUE"""),FALSE)</f>
        <v>0</v>
      </c>
      <c r="E31" s="100" t="str">
        <f>IFERROR(__xludf.DUMMYFUNCTION("""COMPUTED_VALUE"""),"MANALOTO")</f>
        <v>MANALOTO</v>
      </c>
      <c r="F31" s="100" t="str">
        <f>IFERROR(__xludf.DUMMYFUNCTION("""COMPUTED_VALUE"""),"YOSHA")</f>
        <v>YOSHA</v>
      </c>
    </row>
    <row r="32">
      <c r="A32" s="131">
        <f>IFERROR(__xludf.DUMMYFUNCTION("""COMPUTED_VALUE"""),30.0)</f>
        <v>30</v>
      </c>
      <c r="B32" s="131"/>
      <c r="C32" s="131">
        <f>IFERROR(__xludf.DUMMYFUNCTION("""COMPUTED_VALUE"""),23.0)</f>
        <v>23</v>
      </c>
      <c r="D32" s="131" t="b">
        <f>IFERROR(__xludf.DUMMYFUNCTION("""COMPUTED_VALUE"""),FALSE)</f>
        <v>0</v>
      </c>
      <c r="E32" s="100" t="str">
        <f>IFERROR(__xludf.DUMMYFUNCTION("""COMPUTED_VALUE"""),"MARINAS")</f>
        <v>MARINAS</v>
      </c>
      <c r="F32" s="100" t="str">
        <f>IFERROR(__xludf.DUMMYFUNCTION("""COMPUTED_VALUE"""),"CHERRY")</f>
        <v>CHERRY</v>
      </c>
    </row>
    <row r="33">
      <c r="A33" s="131">
        <f>IFERROR(__xludf.DUMMYFUNCTION("""COMPUTED_VALUE"""),31.0)</f>
        <v>31</v>
      </c>
      <c r="B33" s="131"/>
      <c r="C33" s="131">
        <f>IFERROR(__xludf.DUMMYFUNCTION("""COMPUTED_VALUE"""),23.0)</f>
        <v>23</v>
      </c>
      <c r="D33" s="131" t="b">
        <f>IFERROR(__xludf.DUMMYFUNCTION("""COMPUTED_VALUE"""),FALSE)</f>
        <v>0</v>
      </c>
      <c r="E33" s="101" t="str">
        <f>IFERROR(__xludf.DUMMYFUNCTION("""COMPUTED_VALUE"""),"JIMENEZ")</f>
        <v>JIMENEZ</v>
      </c>
      <c r="F33" s="101" t="str">
        <f>IFERROR(__xludf.DUMMYFUNCTION("""COMPUTED_VALUE"""),"RUTH JHAMELA")</f>
        <v>RUTH JHAMELA</v>
      </c>
    </row>
    <row r="34">
      <c r="A34" s="131">
        <f>IFERROR(__xludf.DUMMYFUNCTION("""COMPUTED_VALUE"""),32.0)</f>
        <v>32</v>
      </c>
      <c r="B34" s="131"/>
      <c r="C34" s="131">
        <f>IFERROR(__xludf.DUMMYFUNCTION("""COMPUTED_VALUE"""),23.0)</f>
        <v>23</v>
      </c>
      <c r="D34" s="131" t="b">
        <f>IFERROR(__xludf.DUMMYFUNCTION("""COMPUTED_VALUE"""),FALSE)</f>
        <v>0</v>
      </c>
      <c r="E34" s="100" t="str">
        <f>IFERROR(__xludf.DUMMYFUNCTION("""COMPUTED_VALUE"""),"GUILLERMO")</f>
        <v>GUILLERMO</v>
      </c>
      <c r="F34" s="100" t="str">
        <f>IFERROR(__xludf.DUMMYFUNCTION("""COMPUTED_VALUE"""),"STAR")</f>
        <v>STAR</v>
      </c>
    </row>
    <row r="35">
      <c r="A35" s="131">
        <f>IFERROR(__xludf.DUMMYFUNCTION("""COMPUTED_VALUE"""),33.0)</f>
        <v>33</v>
      </c>
      <c r="B35" s="131"/>
      <c r="C35" s="131">
        <f>IFERROR(__xludf.DUMMYFUNCTION("""COMPUTED_VALUE"""),23.0)</f>
        <v>23</v>
      </c>
      <c r="D35" s="131" t="b">
        <f>IFERROR(__xludf.DUMMYFUNCTION("""COMPUTED_VALUE"""),FALSE)</f>
        <v>0</v>
      </c>
      <c r="E35" s="100" t="str">
        <f>IFERROR(__xludf.DUMMYFUNCTION("""COMPUTED_VALUE"""),"CATENZA")</f>
        <v>CATENZA</v>
      </c>
      <c r="F35" s="100" t="str">
        <f>IFERROR(__xludf.DUMMYFUNCTION("""COMPUTED_VALUE"""),"PRINCESS")</f>
        <v>PRINCESS</v>
      </c>
    </row>
    <row r="36">
      <c r="A36" s="131">
        <f>IFERROR(__xludf.DUMMYFUNCTION("""COMPUTED_VALUE"""),34.0)</f>
        <v>34</v>
      </c>
      <c r="B36" s="131"/>
      <c r="C36" s="131">
        <f>IFERROR(__xludf.DUMMYFUNCTION("""COMPUTED_VALUE"""),23.0)</f>
        <v>23</v>
      </c>
      <c r="D36" s="131" t="b">
        <f>IFERROR(__xludf.DUMMYFUNCTION("""COMPUTED_VALUE"""),FALSE)</f>
        <v>0</v>
      </c>
      <c r="E36" s="102" t="str">
        <f>IFERROR(__xludf.DUMMYFUNCTION("""COMPUTED_VALUE"""),"GORDON")</f>
        <v>GORDON</v>
      </c>
      <c r="F36" s="102" t="str">
        <f>IFERROR(__xludf.DUMMYFUNCTION("""COMPUTED_VALUE"""),"HARRY")</f>
        <v>HARRY</v>
      </c>
    </row>
    <row r="37">
      <c r="A37" s="131">
        <f>IFERROR(__xludf.DUMMYFUNCTION("""COMPUTED_VALUE"""),35.0)</f>
        <v>35</v>
      </c>
      <c r="B37" s="131"/>
      <c r="C37" s="131">
        <f>IFERROR(__xludf.DUMMYFUNCTION("""COMPUTED_VALUE"""),23.0)</f>
        <v>23</v>
      </c>
      <c r="D37" s="131" t="b">
        <f>IFERROR(__xludf.DUMMYFUNCTION("""COMPUTED_VALUE"""),FALSE)</f>
        <v>0</v>
      </c>
      <c r="E37" s="103" t="str">
        <f>IFERROR(__xludf.DUMMYFUNCTION("""COMPUTED_VALUE"""),"AVILLANO")</f>
        <v>AVILLANO</v>
      </c>
      <c r="F37" s="103" t="str">
        <f>IFERROR(__xludf.DUMMYFUNCTION("""COMPUTED_VALUE"""),"ANGEL DIANNE")</f>
        <v>ANGEL DIANNE</v>
      </c>
    </row>
    <row r="38">
      <c r="A38" s="131">
        <f>IFERROR(__xludf.DUMMYFUNCTION("""COMPUTED_VALUE"""),36.0)</f>
        <v>36</v>
      </c>
      <c r="B38" s="131"/>
      <c r="C38" s="131">
        <f>IFERROR(__xludf.DUMMYFUNCTION("""COMPUTED_VALUE"""),23.0)</f>
        <v>23</v>
      </c>
      <c r="D38" s="131" t="b">
        <f>IFERROR(__xludf.DUMMYFUNCTION("""COMPUTED_VALUE"""),FALSE)</f>
        <v>0</v>
      </c>
      <c r="E38" s="103" t="str">
        <f>IFERROR(__xludf.DUMMYFUNCTION("""COMPUTED_VALUE"""),"BALTAZAR")</f>
        <v>BALTAZAR</v>
      </c>
      <c r="F38" s="103" t="str">
        <f>IFERROR(__xludf.DUMMYFUNCTION("""COMPUTED_VALUE"""),"ARSTON")</f>
        <v>ARSTON</v>
      </c>
    </row>
    <row r="39">
      <c r="A39" s="131">
        <f>IFERROR(__xludf.DUMMYFUNCTION("""COMPUTED_VALUE"""),37.0)</f>
        <v>37</v>
      </c>
      <c r="B39" s="131"/>
      <c r="C39" s="131">
        <f>IFERROR(__xludf.DUMMYFUNCTION("""COMPUTED_VALUE"""),23.0)</f>
        <v>23</v>
      </c>
      <c r="D39" s="131" t="b">
        <f>IFERROR(__xludf.DUMMYFUNCTION("""COMPUTED_VALUE"""),FALSE)</f>
        <v>0</v>
      </c>
      <c r="E39" s="102" t="str">
        <f>IFERROR(__xludf.DUMMYFUNCTION("""COMPUTED_VALUE"""),"SISON")</f>
        <v>SISON</v>
      </c>
      <c r="F39" s="103" t="str">
        <f>IFERROR(__xludf.DUMMYFUNCTION("""COMPUTED_VALUE"""),"KRISTA MAE")</f>
        <v>KRISTA MAE</v>
      </c>
    </row>
    <row r="40">
      <c r="A40" s="131">
        <f>IFERROR(__xludf.DUMMYFUNCTION("""COMPUTED_VALUE"""),38.0)</f>
        <v>38</v>
      </c>
      <c r="B40" s="131"/>
      <c r="C40" s="131">
        <f>IFERROR(__xludf.DUMMYFUNCTION("""COMPUTED_VALUE"""),23.0)</f>
        <v>23</v>
      </c>
      <c r="D40" s="131" t="b">
        <f>IFERROR(__xludf.DUMMYFUNCTION("""COMPUTED_VALUE"""),FALSE)</f>
        <v>0</v>
      </c>
      <c r="E40" s="103" t="str">
        <f>IFERROR(__xludf.DUMMYFUNCTION("""COMPUTED_VALUE"""),"GARCIA")</f>
        <v>GARCIA</v>
      </c>
      <c r="F40" s="103" t="str">
        <f>IFERROR(__xludf.DUMMYFUNCTION("""COMPUTED_VALUE"""),"SELTHIEL")</f>
        <v>SELTHIEL</v>
      </c>
    </row>
    <row r="41">
      <c r="A41" s="131">
        <f>IFERROR(__xludf.DUMMYFUNCTION("""COMPUTED_VALUE"""),39.0)</f>
        <v>39</v>
      </c>
      <c r="B41" s="131"/>
      <c r="C41" s="131">
        <f>IFERROR(__xludf.DUMMYFUNCTION("""COMPUTED_VALUE"""),23.0)</f>
        <v>23</v>
      </c>
      <c r="D41" s="131" t="b">
        <f>IFERROR(__xludf.DUMMYFUNCTION("""COMPUTED_VALUE"""),FALSE)</f>
        <v>0</v>
      </c>
      <c r="E41" s="103" t="str">
        <f>IFERROR(__xludf.DUMMYFUNCTION("""COMPUTED_VALUE"""),"HIJARA")</f>
        <v>HIJARA</v>
      </c>
      <c r="F41" s="103" t="str">
        <f>IFERROR(__xludf.DUMMYFUNCTION("""COMPUTED_VALUE"""),"JAIHMIER VIELLE")</f>
        <v>JAIHMIER VIELLE</v>
      </c>
    </row>
    <row r="42">
      <c r="A42" s="131">
        <f>IFERROR(__xludf.DUMMYFUNCTION("""COMPUTED_VALUE"""),40.0)</f>
        <v>40</v>
      </c>
      <c r="B42" s="131"/>
      <c r="C42" s="131">
        <f>IFERROR(__xludf.DUMMYFUNCTION("""COMPUTED_VALUE"""),23.0)</f>
        <v>23</v>
      </c>
      <c r="D42" s="131" t="b">
        <f>IFERROR(__xludf.DUMMYFUNCTION("""COMPUTED_VALUE"""),FALSE)</f>
        <v>0</v>
      </c>
      <c r="E42" s="103" t="str">
        <f>IFERROR(__xludf.DUMMYFUNCTION("""COMPUTED_VALUE"""),"MAGBANUA")</f>
        <v>MAGBANUA</v>
      </c>
      <c r="F42" s="103" t="str">
        <f>IFERROR(__xludf.DUMMYFUNCTION("""COMPUTED_VALUE"""),"MANUEL HARVEY")</f>
        <v>MANUEL HARVEY</v>
      </c>
    </row>
    <row r="43">
      <c r="A43" s="131">
        <f>IFERROR(__xludf.DUMMYFUNCTION("""COMPUTED_VALUE"""),41.0)</f>
        <v>41</v>
      </c>
      <c r="B43" s="131"/>
      <c r="C43" s="131">
        <f>IFERROR(__xludf.DUMMYFUNCTION("""COMPUTED_VALUE"""),23.0)</f>
        <v>23</v>
      </c>
      <c r="D43" s="131" t="b">
        <f>IFERROR(__xludf.DUMMYFUNCTION("""COMPUTED_VALUE"""),FALSE)</f>
        <v>0</v>
      </c>
      <c r="E43" s="103" t="str">
        <f>IFERROR(__xludf.DUMMYFUNCTION("""COMPUTED_VALUE"""),"TABOY")</f>
        <v>TABOY</v>
      </c>
      <c r="F43" s="103" t="str">
        <f>IFERROR(__xludf.DUMMYFUNCTION("""COMPUTED_VALUE"""),"PRIMO KLYDE")</f>
        <v>PRIMO KLYDE</v>
      </c>
    </row>
    <row r="44">
      <c r="A44" s="131">
        <f>IFERROR(__xludf.DUMMYFUNCTION("""COMPUTED_VALUE"""),42.0)</f>
        <v>42</v>
      </c>
      <c r="B44" s="131"/>
      <c r="C44" s="131"/>
      <c r="D44" s="131" t="b">
        <f>IFERROR(__xludf.DUMMYFUNCTION("""COMPUTED_VALUE"""),FALSE)</f>
        <v>0</v>
      </c>
      <c r="E44" s="103"/>
      <c r="F44" s="103"/>
    </row>
    <row r="45">
      <c r="A45" s="131">
        <f>IFERROR(__xludf.DUMMYFUNCTION("""COMPUTED_VALUE"""),43.0)</f>
        <v>43</v>
      </c>
      <c r="B45" s="131"/>
      <c r="C45" s="131">
        <f>IFERROR(__xludf.DUMMYFUNCTION("""COMPUTED_VALUE"""),23.0)</f>
        <v>23</v>
      </c>
      <c r="D45" s="131" t="b">
        <f>IFERROR(__xludf.DUMMYFUNCTION("""COMPUTED_VALUE"""),FALSE)</f>
        <v>0</v>
      </c>
      <c r="E45" s="103" t="str">
        <f>IFERROR(__xludf.DUMMYFUNCTION("""COMPUTED_VALUE"""),"SABEJON")</f>
        <v>SABEJON</v>
      </c>
      <c r="F45" s="103" t="str">
        <f>IFERROR(__xludf.DUMMYFUNCTION("""COMPUTED_VALUE"""),"KENNETH")</f>
        <v>KENNETH</v>
      </c>
    </row>
    <row r="46">
      <c r="A46" s="131">
        <f>IFERROR(__xludf.DUMMYFUNCTION("""COMPUTED_VALUE"""),44.0)</f>
        <v>44</v>
      </c>
      <c r="B46" s="131"/>
      <c r="C46" s="131">
        <f>IFERROR(__xludf.DUMMYFUNCTION("""COMPUTED_VALUE"""),23.0)</f>
        <v>23</v>
      </c>
      <c r="D46" s="131" t="b">
        <f>IFERROR(__xludf.DUMMYFUNCTION("""COMPUTED_VALUE"""),FALSE)</f>
        <v>0</v>
      </c>
      <c r="E46" s="103" t="str">
        <f>IFERROR(__xludf.DUMMYFUNCTION("""COMPUTED_VALUE"""),"LIRRAG")</f>
        <v>LIRRAG</v>
      </c>
      <c r="F46" s="103" t="str">
        <f>IFERROR(__xludf.DUMMYFUNCTION("""COMPUTED_VALUE"""),"DAN EDRIK")</f>
        <v>DAN EDRIK</v>
      </c>
    </row>
    <row r="47">
      <c r="A47" s="131">
        <f>IFERROR(__xludf.DUMMYFUNCTION("""COMPUTED_VALUE"""),45.0)</f>
        <v>45</v>
      </c>
      <c r="B47" s="131"/>
      <c r="C47" s="131">
        <f>IFERROR(__xludf.DUMMYFUNCTION("""COMPUTED_VALUE"""),23.0)</f>
        <v>23</v>
      </c>
      <c r="D47" s="131" t="b">
        <f>IFERROR(__xludf.DUMMYFUNCTION("""COMPUTED_VALUE"""),FALSE)</f>
        <v>0</v>
      </c>
      <c r="E47" s="103" t="str">
        <f>IFERROR(__xludf.DUMMYFUNCTION("""COMPUTED_VALUE"""),"DELA ROSA")</f>
        <v>DELA ROSA</v>
      </c>
      <c r="F47" s="103" t="str">
        <f>IFERROR(__xludf.DUMMYFUNCTION("""COMPUTED_VALUE"""),"JOREVE")</f>
        <v>JOREVE</v>
      </c>
    </row>
    <row r="48">
      <c r="A48" s="131">
        <f>IFERROR(__xludf.DUMMYFUNCTION("""COMPUTED_VALUE"""),46.0)</f>
        <v>46</v>
      </c>
      <c r="B48" s="131"/>
      <c r="C48" s="131">
        <f>IFERROR(__xludf.DUMMYFUNCTION("""COMPUTED_VALUE"""),23.0)</f>
        <v>23</v>
      </c>
      <c r="D48" s="131" t="b">
        <f>IFERROR(__xludf.DUMMYFUNCTION("""COMPUTED_VALUE"""),FALSE)</f>
        <v>0</v>
      </c>
      <c r="E48" s="103" t="str">
        <f>IFERROR(__xludf.DUMMYFUNCTION("""COMPUTED_VALUE"""),"KOI")</f>
        <v>KOI</v>
      </c>
      <c r="F48" s="103" t="str">
        <f>IFERROR(__xludf.DUMMYFUNCTION("""COMPUTED_VALUE"""),"HERMYLYN")</f>
        <v>HERMYLYN</v>
      </c>
    </row>
    <row r="49">
      <c r="A49" s="131">
        <f>IFERROR(__xludf.DUMMYFUNCTION("""COMPUTED_VALUE"""),47.0)</f>
        <v>47</v>
      </c>
      <c r="B49" s="131"/>
      <c r="C49" s="131">
        <f>IFERROR(__xludf.DUMMYFUNCTION("""COMPUTED_VALUE"""),23.0)</f>
        <v>23</v>
      </c>
      <c r="D49" s="131" t="b">
        <f>IFERROR(__xludf.DUMMYFUNCTION("""COMPUTED_VALUE"""),FALSE)</f>
        <v>0</v>
      </c>
      <c r="E49" s="103" t="str">
        <f>IFERROR(__xludf.DUMMYFUNCTION("""COMPUTED_VALUE"""),"SILVANO")</f>
        <v>SILVANO</v>
      </c>
      <c r="F49" s="103" t="str">
        <f>IFERROR(__xludf.DUMMYFUNCTION("""COMPUTED_VALUE"""),"CRISJARED")</f>
        <v>CRISJARED</v>
      </c>
    </row>
    <row r="50">
      <c r="A50" s="131">
        <f>IFERROR(__xludf.DUMMYFUNCTION("""COMPUTED_VALUE"""),48.0)</f>
        <v>48</v>
      </c>
      <c r="B50" s="131"/>
      <c r="C50" s="131">
        <f>IFERROR(__xludf.DUMMYFUNCTION("""COMPUTED_VALUE"""),23.0)</f>
        <v>23</v>
      </c>
      <c r="D50" s="131" t="b">
        <f>IFERROR(__xludf.DUMMYFUNCTION("""COMPUTED_VALUE"""),FALSE)</f>
        <v>0</v>
      </c>
      <c r="E50" s="103" t="str">
        <f>IFERROR(__xludf.DUMMYFUNCTION("""COMPUTED_VALUE"""),"CORONEL")</f>
        <v>CORONEL</v>
      </c>
      <c r="F50" s="103" t="str">
        <f>IFERROR(__xludf.DUMMYFUNCTION("""COMPUTED_VALUE"""),"CARL CEDRICK")</f>
        <v>CARL CEDRICK</v>
      </c>
    </row>
    <row r="51">
      <c r="A51" s="131">
        <f>IFERROR(__xludf.DUMMYFUNCTION("""COMPUTED_VALUE"""),49.0)</f>
        <v>49</v>
      </c>
      <c r="B51" s="131"/>
      <c r="C51" s="131">
        <f>IFERROR(__xludf.DUMMYFUNCTION("""COMPUTED_VALUE"""),23.0)</f>
        <v>23</v>
      </c>
      <c r="D51" s="131" t="b">
        <f>IFERROR(__xludf.DUMMYFUNCTION("""COMPUTED_VALUE"""),FALSE)</f>
        <v>0</v>
      </c>
      <c r="E51" s="103" t="str">
        <f>IFERROR(__xludf.DUMMYFUNCTION("""COMPUTED_VALUE"""),"ORTALEZA")</f>
        <v>ORTALEZA</v>
      </c>
      <c r="F51" s="103" t="str">
        <f>IFERROR(__xludf.DUMMYFUNCTION("""COMPUTED_VALUE"""),"FROI FANCIS")</f>
        <v>FROI FANCIS</v>
      </c>
    </row>
    <row r="52">
      <c r="A52" s="131">
        <f>IFERROR(__xludf.DUMMYFUNCTION("""COMPUTED_VALUE"""),50.0)</f>
        <v>50</v>
      </c>
      <c r="B52" s="131"/>
      <c r="C52" s="131">
        <f>IFERROR(__xludf.DUMMYFUNCTION("""COMPUTED_VALUE"""),23.0)</f>
        <v>23</v>
      </c>
      <c r="D52" s="131" t="b">
        <f>IFERROR(__xludf.DUMMYFUNCTION("""COMPUTED_VALUE"""),FALSE)</f>
        <v>0</v>
      </c>
      <c r="E52" s="103" t="str">
        <f>IFERROR(__xludf.DUMMYFUNCTION("""COMPUTED_VALUE"""),"ESPOZO")</f>
        <v>ESPOZO</v>
      </c>
      <c r="F52" s="103" t="str">
        <f>IFERROR(__xludf.DUMMYFUNCTION("""COMPUTED_VALUE"""),"MAICA ELLA")</f>
        <v>MAICA ELLA</v>
      </c>
    </row>
    <row r="53">
      <c r="A53" s="131">
        <f>IFERROR(__xludf.DUMMYFUNCTION("""COMPUTED_VALUE"""),51.0)</f>
        <v>51</v>
      </c>
      <c r="B53" s="131"/>
      <c r="C53" s="131">
        <f>IFERROR(__xludf.DUMMYFUNCTION("""COMPUTED_VALUE"""),23.0)</f>
        <v>23</v>
      </c>
      <c r="D53" s="131" t="b">
        <f>IFERROR(__xludf.DUMMYFUNCTION("""COMPUTED_VALUE"""),FALSE)</f>
        <v>0</v>
      </c>
      <c r="E53" s="103" t="str">
        <f>IFERROR(__xludf.DUMMYFUNCTION("""COMPUTED_VALUE"""),"SOBERANO")</f>
        <v>SOBERANO</v>
      </c>
      <c r="F53" s="103" t="str">
        <f>IFERROR(__xludf.DUMMYFUNCTION("""COMPUTED_VALUE"""),"ZAIRUS")</f>
        <v>ZAIRUS</v>
      </c>
    </row>
    <row r="54">
      <c r="A54" s="131">
        <f>IFERROR(__xludf.DUMMYFUNCTION("""COMPUTED_VALUE"""),52.0)</f>
        <v>52</v>
      </c>
      <c r="B54" s="131"/>
      <c r="C54" s="131">
        <f>IFERROR(__xludf.DUMMYFUNCTION("""COMPUTED_VALUE"""),23.0)</f>
        <v>23</v>
      </c>
      <c r="D54" s="131" t="b">
        <f>IFERROR(__xludf.DUMMYFUNCTION("""COMPUTED_VALUE"""),FALSE)</f>
        <v>0</v>
      </c>
      <c r="E54" s="99" t="str">
        <f>IFERROR(__xludf.DUMMYFUNCTION("""COMPUTED_VALUE"""),"ERA")</f>
        <v>ERA</v>
      </c>
      <c r="F54" s="99" t="str">
        <f>IFERROR(__xludf.DUMMYFUNCTION("""COMPUTED_VALUE"""),"ANALEZA")</f>
        <v>ANALEZA</v>
      </c>
    </row>
    <row r="55">
      <c r="A55" s="131">
        <f>IFERROR(__xludf.DUMMYFUNCTION("""COMPUTED_VALUE"""),53.0)</f>
        <v>53</v>
      </c>
      <c r="B55" s="131"/>
      <c r="C55" s="131">
        <f>IFERROR(__xludf.DUMMYFUNCTION("""COMPUTED_VALUE"""),23.0)</f>
        <v>23</v>
      </c>
      <c r="D55" s="131" t="b">
        <f>IFERROR(__xludf.DUMMYFUNCTION("""COMPUTED_VALUE"""),FALSE)</f>
        <v>0</v>
      </c>
      <c r="E55" s="100" t="str">
        <f>IFERROR(__xludf.DUMMYFUNCTION("""COMPUTED_VALUE"""),"ARANA")</f>
        <v>ARANA</v>
      </c>
      <c r="F55" s="100" t="str">
        <f>IFERROR(__xludf.DUMMYFUNCTION("""COMPUTED_VALUE"""),"RHEANA")</f>
        <v>RHEANA</v>
      </c>
    </row>
    <row r="56">
      <c r="A56" s="131">
        <f>IFERROR(__xludf.DUMMYFUNCTION("""COMPUTED_VALUE"""),54.0)</f>
        <v>54</v>
      </c>
      <c r="B56" s="131"/>
      <c r="C56" s="131">
        <f>IFERROR(__xludf.DUMMYFUNCTION("""COMPUTED_VALUE"""),23.0)</f>
        <v>23</v>
      </c>
      <c r="D56" s="131" t="b">
        <f>IFERROR(__xludf.DUMMYFUNCTION("""COMPUTED_VALUE"""),FALSE)</f>
        <v>0</v>
      </c>
      <c r="E56" s="100" t="str">
        <f>IFERROR(__xludf.DUMMYFUNCTION("""COMPUTED_VALUE"""),"BANDE")</f>
        <v>BANDE</v>
      </c>
      <c r="F56" s="100" t="str">
        <f>IFERROR(__xludf.DUMMYFUNCTION("""COMPUTED_VALUE"""),"ERICA")</f>
        <v>ERICA</v>
      </c>
    </row>
    <row r="57">
      <c r="A57" s="131">
        <f>IFERROR(__xludf.DUMMYFUNCTION("""COMPUTED_VALUE"""),55.0)</f>
        <v>55</v>
      </c>
      <c r="B57" s="131"/>
      <c r="C57" s="131">
        <f>IFERROR(__xludf.DUMMYFUNCTION("""COMPUTED_VALUE"""),23.0)</f>
        <v>23</v>
      </c>
      <c r="D57" s="131" t="b">
        <f>IFERROR(__xludf.DUMMYFUNCTION("""COMPUTED_VALUE"""),FALSE)</f>
        <v>0</v>
      </c>
      <c r="E57" s="100" t="str">
        <f>IFERROR(__xludf.DUMMYFUNCTION("""COMPUTED_VALUE"""),"DEL ROSARIO")</f>
        <v>DEL ROSARIO</v>
      </c>
      <c r="F57" s="100" t="str">
        <f>IFERROR(__xludf.DUMMYFUNCTION("""COMPUTED_VALUE"""),"JOY")</f>
        <v>JOY</v>
      </c>
    </row>
    <row r="58">
      <c r="A58" s="131">
        <f>IFERROR(__xludf.DUMMYFUNCTION("""COMPUTED_VALUE"""),56.0)</f>
        <v>56</v>
      </c>
      <c r="B58" s="131"/>
      <c r="C58" s="131">
        <f>IFERROR(__xludf.DUMMYFUNCTION("""COMPUTED_VALUE"""),23.0)</f>
        <v>23</v>
      </c>
      <c r="D58" s="131" t="b">
        <f>IFERROR(__xludf.DUMMYFUNCTION("""COMPUTED_VALUE"""),FALSE)</f>
        <v>0</v>
      </c>
      <c r="E58" s="100" t="str">
        <f>IFERROR(__xludf.DUMMYFUNCTION("""COMPUTED_VALUE"""),"GUETA")</f>
        <v>GUETA</v>
      </c>
      <c r="F58" s="100" t="str">
        <f>IFERROR(__xludf.DUMMYFUNCTION("""COMPUTED_VALUE"""),"SEYVEL")</f>
        <v>SEYVEL</v>
      </c>
    </row>
    <row r="59">
      <c r="A59" s="131">
        <f>IFERROR(__xludf.DUMMYFUNCTION("""COMPUTED_VALUE"""),57.0)</f>
        <v>57</v>
      </c>
      <c r="B59" s="131"/>
      <c r="C59" s="131">
        <f>IFERROR(__xludf.DUMMYFUNCTION("""COMPUTED_VALUE"""),23.0)</f>
        <v>23</v>
      </c>
      <c r="D59" s="131" t="b">
        <f>IFERROR(__xludf.DUMMYFUNCTION("""COMPUTED_VALUE"""),FALSE)</f>
        <v>0</v>
      </c>
      <c r="E59" s="100" t="str">
        <f>IFERROR(__xludf.DUMMYFUNCTION("""COMPUTED_VALUE"""),"MALIPOT")</f>
        <v>MALIPOT</v>
      </c>
      <c r="F59" s="100" t="str">
        <f>IFERROR(__xludf.DUMMYFUNCTION("""COMPUTED_VALUE"""),"JUSTINE")</f>
        <v>JUSTINE</v>
      </c>
    </row>
    <row r="60">
      <c r="A60" s="131">
        <f>IFERROR(__xludf.DUMMYFUNCTION("""COMPUTED_VALUE"""),58.0)</f>
        <v>58</v>
      </c>
      <c r="B60" s="131"/>
      <c r="C60" s="131">
        <f>IFERROR(__xludf.DUMMYFUNCTION("""COMPUTED_VALUE"""),23.0)</f>
        <v>23</v>
      </c>
      <c r="D60" s="131" t="b">
        <f>IFERROR(__xludf.DUMMYFUNCTION("""COMPUTED_VALUE"""),FALSE)</f>
        <v>0</v>
      </c>
      <c r="E60" s="100" t="str">
        <f>IFERROR(__xludf.DUMMYFUNCTION("""COMPUTED_VALUE"""),"PATRICIO")</f>
        <v>PATRICIO</v>
      </c>
      <c r="F60" s="100" t="str">
        <f>IFERROR(__xludf.DUMMYFUNCTION("""COMPUTED_VALUE"""),"VANESSA")</f>
        <v>VANESSA</v>
      </c>
    </row>
    <row r="61">
      <c r="A61" s="131">
        <f>IFERROR(__xludf.DUMMYFUNCTION("""COMPUTED_VALUE"""),59.0)</f>
        <v>59</v>
      </c>
      <c r="B61" s="131"/>
      <c r="C61" s="131">
        <f>IFERROR(__xludf.DUMMYFUNCTION("""COMPUTED_VALUE"""),23.0)</f>
        <v>23</v>
      </c>
      <c r="D61" s="131" t="b">
        <f>IFERROR(__xludf.DUMMYFUNCTION("""COMPUTED_VALUE"""),FALSE)</f>
        <v>0</v>
      </c>
      <c r="E61" s="100" t="str">
        <f>IFERROR(__xludf.DUMMYFUNCTION("""COMPUTED_VALUE"""),"PONCE")</f>
        <v>PONCE</v>
      </c>
      <c r="F61" s="100" t="str">
        <f>IFERROR(__xludf.DUMMYFUNCTION("""COMPUTED_VALUE"""),"SHEENA")</f>
        <v>SHEENA</v>
      </c>
    </row>
    <row r="62">
      <c r="A62" s="131">
        <f>IFERROR(__xludf.DUMMYFUNCTION("""COMPUTED_VALUE"""),60.0)</f>
        <v>60</v>
      </c>
      <c r="B62" s="131"/>
      <c r="C62" s="131">
        <f>IFERROR(__xludf.DUMMYFUNCTION("""COMPUTED_VALUE"""),23.0)</f>
        <v>23</v>
      </c>
      <c r="D62" s="131" t="b">
        <f>IFERROR(__xludf.DUMMYFUNCTION("""COMPUTED_VALUE"""),FALSE)</f>
        <v>0</v>
      </c>
      <c r="E62" s="100" t="str">
        <f>IFERROR(__xludf.DUMMYFUNCTION("""COMPUTED_VALUE"""),"RAMOS")</f>
        <v>RAMOS</v>
      </c>
      <c r="F62" s="100" t="str">
        <f>IFERROR(__xludf.DUMMYFUNCTION("""COMPUTED_VALUE"""),"AA")</f>
        <v>AA</v>
      </c>
    </row>
    <row r="63">
      <c r="A63" s="131">
        <f>IFERROR(__xludf.DUMMYFUNCTION("""COMPUTED_VALUE"""),61.0)</f>
        <v>61</v>
      </c>
      <c r="B63" s="131"/>
      <c r="C63" s="131">
        <f>IFERROR(__xludf.DUMMYFUNCTION("""COMPUTED_VALUE"""),23.0)</f>
        <v>23</v>
      </c>
      <c r="D63" s="131" t="b">
        <f>IFERROR(__xludf.DUMMYFUNCTION("""COMPUTED_VALUE"""),FALSE)</f>
        <v>0</v>
      </c>
      <c r="E63" s="100" t="str">
        <f>IFERROR(__xludf.DUMMYFUNCTION("""COMPUTED_VALUE"""),"REPUBLO")</f>
        <v>REPUBLO</v>
      </c>
      <c r="F63" s="100" t="str">
        <f>IFERROR(__xludf.DUMMYFUNCTION("""COMPUTED_VALUE"""),"CLARISSA")</f>
        <v>CLARISSA</v>
      </c>
    </row>
    <row r="64">
      <c r="A64" s="131">
        <f>IFERROR(__xludf.DUMMYFUNCTION("""COMPUTED_VALUE"""),62.0)</f>
        <v>62</v>
      </c>
      <c r="B64" s="131"/>
      <c r="C64" s="131">
        <f>IFERROR(__xludf.DUMMYFUNCTION("""COMPUTED_VALUE"""),23.0)</f>
        <v>23</v>
      </c>
      <c r="D64" s="131" t="b">
        <f>IFERROR(__xludf.DUMMYFUNCTION("""COMPUTED_VALUE"""),FALSE)</f>
        <v>0</v>
      </c>
      <c r="E64" s="100"/>
      <c r="F64" s="100" t="str">
        <f>IFERROR(__xludf.DUMMYFUNCTION("""COMPUTED_VALUE"""),"JENNY")</f>
        <v>JENNY</v>
      </c>
    </row>
    <row r="65">
      <c r="A65" s="131">
        <f>IFERROR(__xludf.DUMMYFUNCTION("""COMPUTED_VALUE"""),63.0)</f>
        <v>63</v>
      </c>
      <c r="B65" s="131"/>
      <c r="C65" s="131">
        <f>IFERROR(__xludf.DUMMYFUNCTION("""COMPUTED_VALUE"""),23.0)</f>
        <v>23</v>
      </c>
      <c r="D65" s="131" t="b">
        <f>IFERROR(__xludf.DUMMYFUNCTION("""COMPUTED_VALUE"""),FALSE)</f>
        <v>0</v>
      </c>
      <c r="E65" s="99" t="str">
        <f>IFERROR(__xludf.DUMMYFUNCTION("""COMPUTED_VALUE"""),"MAGISTRADO")</f>
        <v>MAGISTRADO</v>
      </c>
      <c r="F65" s="99" t="str">
        <f>IFERROR(__xludf.DUMMYFUNCTION("""COMPUTED_VALUE"""),"ERICA")</f>
        <v>ERICA</v>
      </c>
    </row>
    <row r="66">
      <c r="A66" s="131">
        <f>IFERROR(__xludf.DUMMYFUNCTION("""COMPUTED_VALUE"""),64.0)</f>
        <v>64</v>
      </c>
      <c r="B66" s="131"/>
      <c r="C66" s="131">
        <f>IFERROR(__xludf.DUMMYFUNCTION("""COMPUTED_VALUE"""),23.0)</f>
        <v>23</v>
      </c>
      <c r="D66" s="131" t="b">
        <f>IFERROR(__xludf.DUMMYFUNCTION("""COMPUTED_VALUE"""),FALSE)</f>
        <v>0</v>
      </c>
      <c r="E66" s="100" t="str">
        <f>IFERROR(__xludf.DUMMYFUNCTION("""COMPUTED_VALUE"""),"CARANGUIAN")</f>
        <v>CARANGUIAN</v>
      </c>
      <c r="F66" s="100" t="str">
        <f>IFERROR(__xludf.DUMMYFUNCTION("""COMPUTED_VALUE"""),"DIVINA GRACE")</f>
        <v>DIVINA GRACE</v>
      </c>
    </row>
    <row r="67">
      <c r="A67" s="131">
        <f>IFERROR(__xludf.DUMMYFUNCTION("""COMPUTED_VALUE"""),65.0)</f>
        <v>65</v>
      </c>
      <c r="B67" s="131"/>
      <c r="C67" s="131">
        <f>IFERROR(__xludf.DUMMYFUNCTION("""COMPUTED_VALUE"""),23.0)</f>
        <v>23</v>
      </c>
      <c r="D67" s="131" t="b">
        <f>IFERROR(__xludf.DUMMYFUNCTION("""COMPUTED_VALUE"""),FALSE)</f>
        <v>0</v>
      </c>
      <c r="E67" s="100" t="str">
        <f>IFERROR(__xludf.DUMMYFUNCTION("""COMPUTED_VALUE"""),"ERA")</f>
        <v>ERA</v>
      </c>
      <c r="F67" s="100" t="str">
        <f>IFERROR(__xludf.DUMMYFUNCTION("""COMPUTED_VALUE"""),"CHRISTINA")</f>
        <v>CHRISTINA</v>
      </c>
    </row>
    <row r="68">
      <c r="A68" s="131">
        <f>IFERROR(__xludf.DUMMYFUNCTION("""COMPUTED_VALUE"""),66.0)</f>
        <v>66</v>
      </c>
      <c r="B68" s="131"/>
      <c r="C68" s="131">
        <f>IFERROR(__xludf.DUMMYFUNCTION("""COMPUTED_VALUE"""),23.0)</f>
        <v>23</v>
      </c>
      <c r="D68" s="131" t="b">
        <f>IFERROR(__xludf.DUMMYFUNCTION("""COMPUTED_VALUE"""),FALSE)</f>
        <v>0</v>
      </c>
      <c r="E68" s="100" t="str">
        <f>IFERROR(__xludf.DUMMYFUNCTION("""COMPUTED_VALUE"""),"MAGISTRADO")</f>
        <v>MAGISTRADO</v>
      </c>
      <c r="F68" s="100" t="str">
        <f>IFERROR(__xludf.DUMMYFUNCTION("""COMPUTED_VALUE"""),"LOVELY")</f>
        <v>LOVELY</v>
      </c>
    </row>
    <row r="69">
      <c r="A69" s="131">
        <f>IFERROR(__xludf.DUMMYFUNCTION("""COMPUTED_VALUE"""),67.0)</f>
        <v>67</v>
      </c>
      <c r="B69" s="131"/>
      <c r="C69" s="131">
        <f>IFERROR(__xludf.DUMMYFUNCTION("""COMPUTED_VALUE"""),23.0)</f>
        <v>23</v>
      </c>
      <c r="D69" s="131" t="b">
        <f>IFERROR(__xludf.DUMMYFUNCTION("""COMPUTED_VALUE"""),FALSE)</f>
        <v>0</v>
      </c>
      <c r="E69" s="100" t="str">
        <f>IFERROR(__xludf.DUMMYFUNCTION("""COMPUTED_VALUE"""),"PACLITA")</f>
        <v>PACLITA</v>
      </c>
      <c r="F69" s="100" t="str">
        <f>IFERROR(__xludf.DUMMYFUNCTION("""COMPUTED_VALUE"""),"CHERRY ANN")</f>
        <v>CHERRY ANN</v>
      </c>
    </row>
    <row r="70">
      <c r="A70" s="131">
        <f>IFERROR(__xludf.DUMMYFUNCTION("""COMPUTED_VALUE"""),68.0)</f>
        <v>68</v>
      </c>
      <c r="B70" s="131"/>
      <c r="C70" s="131">
        <f>IFERROR(__xludf.DUMMYFUNCTION("""COMPUTED_VALUE"""),23.0)</f>
        <v>23</v>
      </c>
      <c r="D70" s="131" t="b">
        <f>IFERROR(__xludf.DUMMYFUNCTION("""COMPUTED_VALUE"""),FALSE)</f>
        <v>0</v>
      </c>
      <c r="E70" s="100" t="str">
        <f>IFERROR(__xludf.DUMMYFUNCTION("""COMPUTED_VALUE"""),"PALOMA")</f>
        <v>PALOMA</v>
      </c>
      <c r="F70" s="100" t="str">
        <f>IFERROR(__xludf.DUMMYFUNCTION("""COMPUTED_VALUE"""),"ALEAH")</f>
        <v>ALEAH</v>
      </c>
    </row>
    <row r="71">
      <c r="A71" s="131">
        <f>IFERROR(__xludf.DUMMYFUNCTION("""COMPUTED_VALUE"""),69.0)</f>
        <v>69</v>
      </c>
      <c r="B71" s="131"/>
      <c r="C71" s="131">
        <f>IFERROR(__xludf.DUMMYFUNCTION("""COMPUTED_VALUE"""),23.0)</f>
        <v>23</v>
      </c>
      <c r="D71" s="131" t="b">
        <f>IFERROR(__xludf.DUMMYFUNCTION("""COMPUTED_VALUE"""),FALSE)</f>
        <v>0</v>
      </c>
      <c r="E71" s="100" t="str">
        <f>IFERROR(__xludf.DUMMYFUNCTION("""COMPUTED_VALUE"""),"SATURINAS")</f>
        <v>SATURINAS</v>
      </c>
      <c r="F71" s="100" t="str">
        <f>IFERROR(__xludf.DUMMYFUNCTION("""COMPUTED_VALUE"""),"ALEXANDRA GRACE")</f>
        <v>ALEXANDRA GRACE</v>
      </c>
    </row>
    <row r="72">
      <c r="A72" s="131">
        <f>IFERROR(__xludf.DUMMYFUNCTION("""COMPUTED_VALUE"""),70.0)</f>
        <v>70</v>
      </c>
      <c r="B72" s="131"/>
      <c r="C72" s="131">
        <f>IFERROR(__xludf.DUMMYFUNCTION("""COMPUTED_VALUE"""),23.0)</f>
        <v>23</v>
      </c>
      <c r="D72" s="131" t="b">
        <f>IFERROR(__xludf.DUMMYFUNCTION("""COMPUTED_VALUE"""),FALSE)</f>
        <v>0</v>
      </c>
      <c r="E72" s="101" t="str">
        <f>IFERROR(__xludf.DUMMYFUNCTION("""COMPUTED_VALUE"""),"RONQUILLO")</f>
        <v>RONQUILLO</v>
      </c>
      <c r="F72" s="101" t="str">
        <f>IFERROR(__xludf.DUMMYFUNCTION("""COMPUTED_VALUE"""),"SHANE")</f>
        <v>SHANE</v>
      </c>
    </row>
    <row r="73">
      <c r="A73" s="131">
        <f>IFERROR(__xludf.DUMMYFUNCTION("""COMPUTED_VALUE"""),71.0)</f>
        <v>71</v>
      </c>
      <c r="B73" s="131"/>
      <c r="C73" s="131">
        <f>IFERROR(__xludf.DUMMYFUNCTION("""COMPUTED_VALUE"""),23.0)</f>
        <v>23</v>
      </c>
      <c r="D73" s="131" t="b">
        <f>IFERROR(__xludf.DUMMYFUNCTION("""COMPUTED_VALUE"""),FALSE)</f>
        <v>0</v>
      </c>
      <c r="E73" s="101" t="str">
        <f>IFERROR(__xludf.DUMMYFUNCTION("""COMPUTED_VALUE"""),"MARFIL")</f>
        <v>MARFIL</v>
      </c>
      <c r="F73" s="101" t="str">
        <f>IFERROR(__xludf.DUMMYFUNCTION("""COMPUTED_VALUE"""),"ADELAIZA")</f>
        <v>ADELAIZA</v>
      </c>
    </row>
    <row r="74">
      <c r="A74" s="131">
        <f>IFERROR(__xludf.DUMMYFUNCTION("""COMPUTED_VALUE"""),72.0)</f>
        <v>72</v>
      </c>
      <c r="B74" s="131"/>
      <c r="C74" s="131">
        <f>IFERROR(__xludf.DUMMYFUNCTION("""COMPUTED_VALUE"""),23.0)</f>
        <v>23</v>
      </c>
      <c r="D74" s="131" t="b">
        <f>IFERROR(__xludf.DUMMYFUNCTION("""COMPUTED_VALUE"""),FALSE)</f>
        <v>0</v>
      </c>
      <c r="E74" s="101" t="str">
        <f>IFERROR(__xludf.DUMMYFUNCTION("""COMPUTED_VALUE"""),"PERALTA")</f>
        <v>PERALTA</v>
      </c>
      <c r="F74" s="101" t="str">
        <f>IFERROR(__xludf.DUMMYFUNCTION("""COMPUTED_VALUE"""),"ALAICA")</f>
        <v>ALAICA</v>
      </c>
    </row>
    <row r="75">
      <c r="A75" s="131">
        <f>IFERROR(__xludf.DUMMYFUNCTION("""COMPUTED_VALUE"""),73.0)</f>
        <v>73</v>
      </c>
      <c r="B75" s="131"/>
      <c r="C75" s="131">
        <f>IFERROR(__xludf.DUMMYFUNCTION("""COMPUTED_VALUE"""),23.0)</f>
        <v>23</v>
      </c>
      <c r="D75" s="131" t="b">
        <f>IFERROR(__xludf.DUMMYFUNCTION("""COMPUTED_VALUE"""),FALSE)</f>
        <v>0</v>
      </c>
      <c r="E75" s="101"/>
      <c r="F75" s="101" t="str">
        <f>IFERROR(__xludf.DUMMYFUNCTION("""COMPUTED_VALUE"""),"ALISA")</f>
        <v>ALISA</v>
      </c>
    </row>
    <row r="76">
      <c r="A76" s="131">
        <f>IFERROR(__xludf.DUMMYFUNCTION("""COMPUTED_VALUE"""),74.0)</f>
        <v>74</v>
      </c>
      <c r="B76" s="131"/>
      <c r="C76" s="131">
        <f>IFERROR(__xludf.DUMMYFUNCTION("""COMPUTED_VALUE"""),23.0)</f>
        <v>23</v>
      </c>
      <c r="D76" s="131" t="b">
        <f>IFERROR(__xludf.DUMMYFUNCTION("""COMPUTED_VALUE"""),FALSE)</f>
        <v>0</v>
      </c>
      <c r="E76" s="101" t="str">
        <f>IFERROR(__xludf.DUMMYFUNCTION("""COMPUTED_VALUE"""),"VILLANUEVA")</f>
        <v>VILLANUEVA</v>
      </c>
      <c r="F76" s="101" t="str">
        <f>IFERROR(__xludf.DUMMYFUNCTION("""COMPUTED_VALUE"""),"SOFIA")</f>
        <v>SOFIA</v>
      </c>
    </row>
    <row r="77">
      <c r="A77" s="131">
        <f>IFERROR(__xludf.DUMMYFUNCTION("""COMPUTED_VALUE"""),75.0)</f>
        <v>75</v>
      </c>
      <c r="B77" s="131"/>
      <c r="C77" s="131">
        <f>IFERROR(__xludf.DUMMYFUNCTION("""COMPUTED_VALUE"""),23.0)</f>
        <v>23</v>
      </c>
      <c r="D77" s="131" t="b">
        <f>IFERROR(__xludf.DUMMYFUNCTION("""COMPUTED_VALUE"""),FALSE)</f>
        <v>0</v>
      </c>
      <c r="E77" s="101" t="str">
        <f>IFERROR(__xludf.DUMMYFUNCTION("""COMPUTED_VALUE"""),"TAKEYAMA")</f>
        <v>TAKEYAMA</v>
      </c>
      <c r="F77" s="101" t="str">
        <f>IFERROR(__xludf.DUMMYFUNCTION("""COMPUTED_VALUE"""),"YUKA")</f>
        <v>YUKA</v>
      </c>
    </row>
    <row r="78">
      <c r="A78" s="131">
        <f>IFERROR(__xludf.DUMMYFUNCTION("""COMPUTED_VALUE"""),76.0)</f>
        <v>76</v>
      </c>
      <c r="B78" s="131"/>
      <c r="C78" s="131">
        <f>IFERROR(__xludf.DUMMYFUNCTION("""COMPUTED_VALUE"""),76.0)</f>
        <v>76</v>
      </c>
      <c r="D78" s="131" t="b">
        <f>IFERROR(__xludf.DUMMYFUNCTION("""COMPUTED_VALUE"""),TRUE)</f>
        <v>1</v>
      </c>
      <c r="E78" s="105" t="str">
        <f>IFERROR(__xludf.DUMMYFUNCTION("""COMPUTED_VALUE"""),"ANTONIO")</f>
        <v>ANTONIO</v>
      </c>
      <c r="F78" s="105" t="str">
        <f>IFERROR(__xludf.DUMMYFUNCTION("""COMPUTED_VALUE"""),"CHOLO MIGUEL")</f>
        <v>CHOLO MIGUEL</v>
      </c>
    </row>
    <row r="79">
      <c r="A79" s="131">
        <f>IFERROR(__xludf.DUMMYFUNCTION("""COMPUTED_VALUE"""),77.0)</f>
        <v>77</v>
      </c>
      <c r="B79" s="131"/>
      <c r="C79" s="131">
        <f>IFERROR(__xludf.DUMMYFUNCTION("""COMPUTED_VALUE"""),76.0)</f>
        <v>76</v>
      </c>
      <c r="D79" s="131" t="b">
        <f>IFERROR(__xludf.DUMMYFUNCTION("""COMPUTED_VALUE"""),FALSE)</f>
        <v>0</v>
      </c>
      <c r="E79" s="106" t="str">
        <f>IFERROR(__xludf.DUMMYFUNCTION("""COMPUTED_VALUE"""),"ELCANA")</f>
        <v>ELCANA</v>
      </c>
      <c r="F79" s="106" t="str">
        <f>IFERROR(__xludf.DUMMYFUNCTION("""COMPUTED_VALUE"""),"JOAQUIN")</f>
        <v>JOAQUIN</v>
      </c>
    </row>
    <row r="80">
      <c r="A80" s="131">
        <f>IFERROR(__xludf.DUMMYFUNCTION("""COMPUTED_VALUE"""),78.0)</f>
        <v>78</v>
      </c>
      <c r="B80" s="131"/>
      <c r="C80" s="131">
        <f>IFERROR(__xludf.DUMMYFUNCTION("""COMPUTED_VALUE"""),76.0)</f>
        <v>76</v>
      </c>
      <c r="D80" s="131" t="b">
        <f>IFERROR(__xludf.DUMMYFUNCTION("""COMPUTED_VALUE"""),FALSE)</f>
        <v>0</v>
      </c>
      <c r="E80" s="107" t="str">
        <f>IFERROR(__xludf.DUMMYFUNCTION("""COMPUTED_VALUE"""),"VILLARTA")</f>
        <v>VILLARTA</v>
      </c>
      <c r="F80" s="107" t="str">
        <f>IFERROR(__xludf.DUMMYFUNCTION("""COMPUTED_VALUE"""),"JEXTER")</f>
        <v>JEXTER</v>
      </c>
    </row>
    <row r="81">
      <c r="A81" s="131">
        <f>IFERROR(__xludf.DUMMYFUNCTION("""COMPUTED_VALUE"""),79.0)</f>
        <v>79</v>
      </c>
      <c r="B81" s="131"/>
      <c r="C81" s="131">
        <f>IFERROR(__xludf.DUMMYFUNCTION("""COMPUTED_VALUE"""),76.0)</f>
        <v>76</v>
      </c>
      <c r="D81" s="131" t="b">
        <f>IFERROR(__xludf.DUMMYFUNCTION("""COMPUTED_VALUE"""),FALSE)</f>
        <v>0</v>
      </c>
      <c r="E81" s="107" t="str">
        <f>IFERROR(__xludf.DUMMYFUNCTION("""COMPUTED_VALUE"""),"MANUYAG")</f>
        <v>MANUYAG</v>
      </c>
      <c r="F81" s="107" t="str">
        <f>IFERROR(__xludf.DUMMYFUNCTION("""COMPUTED_VALUE"""),"RAYVER")</f>
        <v>RAYVER</v>
      </c>
    </row>
    <row r="82">
      <c r="A82" s="131">
        <f>IFERROR(__xludf.DUMMYFUNCTION("""COMPUTED_VALUE"""),80.0)</f>
        <v>80</v>
      </c>
      <c r="B82" s="131"/>
      <c r="C82" s="131">
        <f>IFERROR(__xludf.DUMMYFUNCTION("""COMPUTED_VALUE"""),76.0)</f>
        <v>76</v>
      </c>
      <c r="D82" s="131" t="b">
        <f>IFERROR(__xludf.DUMMYFUNCTION("""COMPUTED_VALUE"""),FALSE)</f>
        <v>0</v>
      </c>
      <c r="E82" s="108" t="str">
        <f>IFERROR(__xludf.DUMMYFUNCTION("""COMPUTED_VALUE"""),"RAAGAS")</f>
        <v>RAAGAS</v>
      </c>
      <c r="F82" s="108" t="str">
        <f>IFERROR(__xludf.DUMMYFUNCTION("""COMPUTED_VALUE"""),"PRINCE JHAMIR (YOHAN)")</f>
        <v>PRINCE JHAMIR (YOHAN)</v>
      </c>
    </row>
    <row r="83">
      <c r="A83" s="131">
        <f>IFERROR(__xludf.DUMMYFUNCTION("""COMPUTED_VALUE"""),81.0)</f>
        <v>81</v>
      </c>
      <c r="B83" s="131"/>
      <c r="C83" s="131">
        <f>IFERROR(__xludf.DUMMYFUNCTION("""COMPUTED_VALUE"""),76.0)</f>
        <v>76</v>
      </c>
      <c r="D83" s="131" t="b">
        <f>IFERROR(__xludf.DUMMYFUNCTION("""COMPUTED_VALUE"""),FALSE)</f>
        <v>0</v>
      </c>
      <c r="E83" s="107" t="str">
        <f>IFERROR(__xludf.DUMMYFUNCTION("""COMPUTED_VALUE"""),"MALOLOY-ON")</f>
        <v>MALOLOY-ON</v>
      </c>
      <c r="F83" s="107" t="str">
        <f>IFERROR(__xludf.DUMMYFUNCTION("""COMPUTED_VALUE"""),"HARLEY")</f>
        <v>HARLEY</v>
      </c>
    </row>
    <row r="84">
      <c r="A84" s="131">
        <f>IFERROR(__xludf.DUMMYFUNCTION("""COMPUTED_VALUE"""),82.0)</f>
        <v>82</v>
      </c>
      <c r="B84" s="131"/>
      <c r="C84" s="131">
        <f>IFERROR(__xludf.DUMMYFUNCTION("""COMPUTED_VALUE"""),76.0)</f>
        <v>76</v>
      </c>
      <c r="D84" s="131" t="b">
        <f>IFERROR(__xludf.DUMMYFUNCTION("""COMPUTED_VALUE"""),FALSE)</f>
        <v>0</v>
      </c>
      <c r="E84" s="106" t="str">
        <f>IFERROR(__xludf.DUMMYFUNCTION("""COMPUTED_VALUE"""),"MEDINA")</f>
        <v>MEDINA</v>
      </c>
      <c r="F84" s="106" t="str">
        <f>IFERROR(__xludf.DUMMYFUNCTION("""COMPUTED_VALUE"""),"JOHN PAUL")</f>
        <v>JOHN PAUL</v>
      </c>
    </row>
    <row r="85">
      <c r="A85" s="131">
        <f>IFERROR(__xludf.DUMMYFUNCTION("""COMPUTED_VALUE"""),83.0)</f>
        <v>83</v>
      </c>
      <c r="B85" s="131"/>
      <c r="C85" s="131">
        <f>IFERROR(__xludf.DUMMYFUNCTION("""COMPUTED_VALUE"""),76.0)</f>
        <v>76</v>
      </c>
      <c r="D85" s="131" t="b">
        <f>IFERROR(__xludf.DUMMYFUNCTION("""COMPUTED_VALUE"""),FALSE)</f>
        <v>0</v>
      </c>
      <c r="E85" s="107" t="str">
        <f>IFERROR(__xludf.DUMMYFUNCTION("""COMPUTED_VALUE"""),"SALTA")</f>
        <v>SALTA</v>
      </c>
      <c r="F85" s="107" t="str">
        <f>IFERROR(__xludf.DUMMYFUNCTION("""COMPUTED_VALUE"""),"KARL")</f>
        <v>KARL</v>
      </c>
    </row>
    <row r="86">
      <c r="A86" s="131">
        <f>IFERROR(__xludf.DUMMYFUNCTION("""COMPUTED_VALUE"""),84.0)</f>
        <v>84</v>
      </c>
      <c r="B86" s="131"/>
      <c r="C86" s="131">
        <f>IFERROR(__xludf.DUMMYFUNCTION("""COMPUTED_VALUE"""),76.0)</f>
        <v>76</v>
      </c>
      <c r="D86" s="131" t="b">
        <f>IFERROR(__xludf.DUMMYFUNCTION("""COMPUTED_VALUE"""),FALSE)</f>
        <v>0</v>
      </c>
      <c r="E86" s="107" t="str">
        <f>IFERROR(__xludf.DUMMYFUNCTION("""COMPUTED_VALUE"""),"ROBLOS")</f>
        <v>ROBLOS</v>
      </c>
      <c r="F86" s="107" t="str">
        <f>IFERROR(__xludf.DUMMYFUNCTION("""COMPUTED_VALUE"""),"CEDRIC")</f>
        <v>CEDRIC</v>
      </c>
    </row>
    <row r="87">
      <c r="A87" s="131">
        <f>IFERROR(__xludf.DUMMYFUNCTION("""COMPUTED_VALUE"""),85.0)</f>
        <v>85</v>
      </c>
      <c r="B87" s="131"/>
      <c r="C87" s="131">
        <f>IFERROR(__xludf.DUMMYFUNCTION("""COMPUTED_VALUE"""),76.0)</f>
        <v>76</v>
      </c>
      <c r="D87" s="131" t="b">
        <f>IFERROR(__xludf.DUMMYFUNCTION("""COMPUTED_VALUE"""),FALSE)</f>
        <v>0</v>
      </c>
      <c r="E87" s="107" t="str">
        <f>IFERROR(__xludf.DUMMYFUNCTION("""COMPUTED_VALUE"""),"RIVAS")</f>
        <v>RIVAS</v>
      </c>
      <c r="F87" s="107" t="str">
        <f>IFERROR(__xludf.DUMMYFUNCTION("""COMPUTED_VALUE"""),"RAY ALLEN")</f>
        <v>RAY ALLEN</v>
      </c>
    </row>
    <row r="88">
      <c r="A88" s="131">
        <f>IFERROR(__xludf.DUMMYFUNCTION("""COMPUTED_VALUE"""),86.0)</f>
        <v>86</v>
      </c>
      <c r="B88" s="131"/>
      <c r="C88" s="131">
        <f>IFERROR(__xludf.DUMMYFUNCTION("""COMPUTED_VALUE"""),76.0)</f>
        <v>76</v>
      </c>
      <c r="D88" s="131" t="b">
        <f>IFERROR(__xludf.DUMMYFUNCTION("""COMPUTED_VALUE"""),FALSE)</f>
        <v>0</v>
      </c>
      <c r="E88" s="107" t="str">
        <f>IFERROR(__xludf.DUMMYFUNCTION("""COMPUTED_VALUE"""),"MAGDANGAN")</f>
        <v>MAGDANGAN</v>
      </c>
      <c r="F88" s="107" t="str">
        <f>IFERROR(__xludf.DUMMYFUNCTION("""COMPUTED_VALUE"""),"DENMARK")</f>
        <v>DENMARK</v>
      </c>
    </row>
    <row r="89">
      <c r="A89" s="131">
        <f>IFERROR(__xludf.DUMMYFUNCTION("""COMPUTED_VALUE"""),87.0)</f>
        <v>87</v>
      </c>
      <c r="B89" s="131"/>
      <c r="C89" s="131">
        <f>IFERROR(__xludf.DUMMYFUNCTION("""COMPUTED_VALUE"""),76.0)</f>
        <v>76</v>
      </c>
      <c r="D89" s="131" t="b">
        <f>IFERROR(__xludf.DUMMYFUNCTION("""COMPUTED_VALUE"""),FALSE)</f>
        <v>0</v>
      </c>
      <c r="E89" s="106" t="str">
        <f>IFERROR(__xludf.DUMMYFUNCTION("""COMPUTED_VALUE"""),"SABONG")</f>
        <v>SABONG</v>
      </c>
      <c r="F89" s="106" t="str">
        <f>IFERROR(__xludf.DUMMYFUNCTION("""COMPUTED_VALUE"""),"VINCE")</f>
        <v>VINCE</v>
      </c>
    </row>
    <row r="90">
      <c r="A90" s="131">
        <f>IFERROR(__xludf.DUMMYFUNCTION("""COMPUTED_VALUE"""),88.0)</f>
        <v>88</v>
      </c>
      <c r="B90" s="131"/>
      <c r="C90" s="131">
        <f>IFERROR(__xludf.DUMMYFUNCTION("""COMPUTED_VALUE"""),76.0)</f>
        <v>76</v>
      </c>
      <c r="D90" s="131" t="b">
        <f>IFERROR(__xludf.DUMMYFUNCTION("""COMPUTED_VALUE"""),FALSE)</f>
        <v>0</v>
      </c>
      <c r="E90" s="107" t="str">
        <f>IFERROR(__xludf.DUMMYFUNCTION("""COMPUTED_VALUE"""),"AQUINO")</f>
        <v>AQUINO</v>
      </c>
      <c r="F90" s="107" t="str">
        <f>IFERROR(__xludf.DUMMYFUNCTION("""COMPUTED_VALUE"""),"MARVIN")</f>
        <v>MARVIN</v>
      </c>
    </row>
    <row r="91">
      <c r="A91" s="131">
        <f>IFERROR(__xludf.DUMMYFUNCTION("""COMPUTED_VALUE"""),89.0)</f>
        <v>89</v>
      </c>
      <c r="B91" s="131"/>
      <c r="C91" s="131">
        <f>IFERROR(__xludf.DUMMYFUNCTION("""COMPUTED_VALUE"""),76.0)</f>
        <v>76</v>
      </c>
      <c r="D91" s="131" t="b">
        <f>IFERROR(__xludf.DUMMYFUNCTION("""COMPUTED_VALUE"""),FALSE)</f>
        <v>0</v>
      </c>
      <c r="E91" s="109" t="str">
        <f>IFERROR(__xludf.DUMMYFUNCTION("""COMPUTED_VALUE"""),"LANOZO")</f>
        <v>LANOZO</v>
      </c>
      <c r="F91" s="109" t="str">
        <f>IFERROR(__xludf.DUMMYFUNCTION("""COMPUTED_VALUE"""),"REGGIENALD")</f>
        <v>REGGIENALD</v>
      </c>
    </row>
    <row r="92">
      <c r="A92" s="131">
        <f>IFERROR(__xludf.DUMMYFUNCTION("""COMPUTED_VALUE"""),90.0)</f>
        <v>90</v>
      </c>
      <c r="B92" s="131"/>
      <c r="C92" s="131">
        <f>IFERROR(__xludf.DUMMYFUNCTION("""COMPUTED_VALUE"""),76.0)</f>
        <v>76</v>
      </c>
      <c r="D92" s="131" t="b">
        <f>IFERROR(__xludf.DUMMYFUNCTION("""COMPUTED_VALUE"""),FALSE)</f>
        <v>0</v>
      </c>
      <c r="E92" s="110" t="str">
        <f>IFERROR(__xludf.DUMMYFUNCTION("""COMPUTED_VALUE"""),"QUIRONA")</f>
        <v>QUIRONA</v>
      </c>
      <c r="F92" s="110" t="str">
        <f>IFERROR(__xludf.DUMMYFUNCTION("""COMPUTED_VALUE"""),"IAN CHRISTOPHER")</f>
        <v>IAN CHRISTOPHER</v>
      </c>
    </row>
    <row r="93">
      <c r="A93" s="131">
        <f>IFERROR(__xludf.DUMMYFUNCTION("""COMPUTED_VALUE"""),91.0)</f>
        <v>91</v>
      </c>
      <c r="B93" s="131"/>
      <c r="C93" s="131">
        <f>IFERROR(__xludf.DUMMYFUNCTION("""COMPUTED_VALUE"""),76.0)</f>
        <v>76</v>
      </c>
      <c r="D93" s="131" t="b">
        <f>IFERROR(__xludf.DUMMYFUNCTION("""COMPUTED_VALUE"""),FALSE)</f>
        <v>0</v>
      </c>
      <c r="E93" s="110" t="str">
        <f>IFERROR(__xludf.DUMMYFUNCTION("""COMPUTED_VALUE"""),"BAUYON")</f>
        <v>BAUYON</v>
      </c>
      <c r="F93" s="110" t="str">
        <f>IFERROR(__xludf.DUMMYFUNCTION("""COMPUTED_VALUE"""),"JOHN CARLO")</f>
        <v>JOHN CARLO</v>
      </c>
    </row>
    <row r="94">
      <c r="A94" s="131">
        <f>IFERROR(__xludf.DUMMYFUNCTION("""COMPUTED_VALUE"""),92.0)</f>
        <v>92</v>
      </c>
      <c r="B94" s="131"/>
      <c r="C94" s="131">
        <f>IFERROR(__xludf.DUMMYFUNCTION("""COMPUTED_VALUE"""),76.0)</f>
        <v>76</v>
      </c>
      <c r="D94" s="131" t="b">
        <f>IFERROR(__xludf.DUMMYFUNCTION("""COMPUTED_VALUE"""),FALSE)</f>
        <v>0</v>
      </c>
      <c r="E94" s="111" t="str">
        <f>IFERROR(__xludf.DUMMYFUNCTION("""COMPUTED_VALUE"""),"FIGUEROA")</f>
        <v>FIGUEROA</v>
      </c>
      <c r="F94" s="111" t="str">
        <f>IFERROR(__xludf.DUMMYFUNCTION("""COMPUTED_VALUE"""),"RONALD")</f>
        <v>RONALD</v>
      </c>
    </row>
    <row r="95">
      <c r="A95" s="131"/>
      <c r="B95" s="131"/>
      <c r="C95" s="131"/>
      <c r="D95" s="131"/>
      <c r="E95" s="112"/>
      <c r="F95" s="112"/>
    </row>
    <row r="96">
      <c r="A96" s="131"/>
      <c r="B96" s="131"/>
      <c r="C96" s="131"/>
      <c r="D96" s="131"/>
      <c r="E96" s="112"/>
      <c r="F96" s="112"/>
    </row>
    <row r="97">
      <c r="A97" s="131"/>
      <c r="B97" s="131"/>
      <c r="C97" s="131"/>
      <c r="D97" s="131"/>
      <c r="E97" s="112"/>
      <c r="F97" s="112"/>
    </row>
    <row r="98">
      <c r="A98" s="131"/>
      <c r="B98" s="131"/>
      <c r="C98" s="131"/>
      <c r="D98" s="131"/>
      <c r="E98" s="112"/>
      <c r="F98" s="112"/>
    </row>
    <row r="99">
      <c r="A99" s="131"/>
      <c r="B99" s="131"/>
      <c r="C99" s="131">
        <f>IFERROR(__xludf.DUMMYFUNCTION("""COMPUTED_VALUE"""),76.0)</f>
        <v>76</v>
      </c>
      <c r="D99" s="131" t="b">
        <f>IFERROR(__xludf.DUMMYFUNCTION("""COMPUTED_VALUE"""),FALSE)</f>
        <v>0</v>
      </c>
      <c r="E99" s="112" t="str">
        <f>IFERROR(__xludf.DUMMYFUNCTION("""COMPUTED_VALUE"""),"INACTIVE")</f>
        <v>INACTIVE</v>
      </c>
      <c r="F99" s="112"/>
    </row>
    <row r="100">
      <c r="A100" s="131">
        <f>IFERROR(__xludf.DUMMYFUNCTION("""COMPUTED_VALUE"""),99.0)</f>
        <v>99</v>
      </c>
      <c r="B100" s="131"/>
      <c r="C100" s="131">
        <f>IFERROR(__xludf.DUMMYFUNCTION("""COMPUTED_VALUE"""),76.0)</f>
        <v>76</v>
      </c>
      <c r="D100" s="131" t="b">
        <f>IFERROR(__xludf.DUMMYFUNCTION("""COMPUTED_VALUE"""),FALSE)</f>
        <v>0</v>
      </c>
      <c r="E100" s="113" t="str">
        <f>IFERROR(__xludf.DUMMYFUNCTION("""COMPUTED_VALUE"""),"BONIFACIO")</f>
        <v>BONIFACIO</v>
      </c>
      <c r="F100" s="110" t="str">
        <f>IFERROR(__xludf.DUMMYFUNCTION("""COMPUTED_VALUE"""),"JUNIOR")</f>
        <v>JUNIOR</v>
      </c>
    </row>
    <row r="101">
      <c r="A101" s="131">
        <f>IFERROR(__xludf.DUMMYFUNCTION("""COMPUTED_VALUE"""),100.0)</f>
        <v>100</v>
      </c>
      <c r="B101" s="131"/>
      <c r="C101" s="131">
        <f>IFERROR(__xludf.DUMMYFUNCTION("""COMPUTED_VALUE"""),76.0)</f>
        <v>76</v>
      </c>
      <c r="D101" s="131" t="b">
        <f>IFERROR(__xludf.DUMMYFUNCTION("""COMPUTED_VALUE"""),FALSE)</f>
        <v>0</v>
      </c>
      <c r="E101" s="114" t="str">
        <f>IFERROR(__xludf.DUMMYFUNCTION("""COMPUTED_VALUE"""),"CASTILLO")</f>
        <v>CASTILLO</v>
      </c>
      <c r="F101" s="114" t="str">
        <f>IFERROR(__xludf.DUMMYFUNCTION("""COMPUTED_VALUE"""),"JOHNREY")</f>
        <v>JOHNREY</v>
      </c>
    </row>
    <row r="102">
      <c r="A102" s="131">
        <f>IFERROR(__xludf.DUMMYFUNCTION("""COMPUTED_VALUE"""),101.0)</f>
        <v>101</v>
      </c>
      <c r="B102" s="131"/>
      <c r="C102" s="131">
        <f>IFERROR(__xludf.DUMMYFUNCTION("""COMPUTED_VALUE"""),76.0)</f>
        <v>76</v>
      </c>
      <c r="D102" s="131" t="b">
        <f>IFERROR(__xludf.DUMMYFUNCTION("""COMPUTED_VALUE"""),FALSE)</f>
        <v>0</v>
      </c>
      <c r="E102" s="114" t="str">
        <f>IFERROR(__xludf.DUMMYFUNCTION("""COMPUTED_VALUE"""),"MENDOZA")</f>
        <v>MENDOZA</v>
      </c>
      <c r="F102" s="114" t="str">
        <f>IFERROR(__xludf.DUMMYFUNCTION("""COMPUTED_VALUE"""),"JUSTINE IAN")</f>
        <v>JUSTINE IAN</v>
      </c>
    </row>
    <row r="103">
      <c r="A103" s="131">
        <f>IFERROR(__xludf.DUMMYFUNCTION("""COMPUTED_VALUE"""),102.0)</f>
        <v>102</v>
      </c>
      <c r="B103" s="131"/>
      <c r="C103" s="131">
        <f>IFERROR(__xludf.DUMMYFUNCTION("""COMPUTED_VALUE"""),76.0)</f>
        <v>76</v>
      </c>
      <c r="D103" s="131" t="b">
        <f>IFERROR(__xludf.DUMMYFUNCTION("""COMPUTED_VALUE"""),FALSE)</f>
        <v>0</v>
      </c>
      <c r="E103" s="114" t="str">
        <f>IFERROR(__xludf.DUMMYFUNCTION("""COMPUTED_VALUE"""),"FERMIN")</f>
        <v>FERMIN</v>
      </c>
      <c r="F103" s="114" t="str">
        <f>IFERROR(__xludf.DUMMYFUNCTION("""COMPUTED_VALUE"""),"HARIMAR")</f>
        <v>HARIMAR</v>
      </c>
    </row>
    <row r="104">
      <c r="A104" s="131">
        <f>IFERROR(__xludf.DUMMYFUNCTION("""COMPUTED_VALUE"""),103.0)</f>
        <v>103</v>
      </c>
      <c r="B104" s="131"/>
      <c r="C104" s="131">
        <f>IFERROR(__xludf.DUMMYFUNCTION("""COMPUTED_VALUE"""),76.0)</f>
        <v>76</v>
      </c>
      <c r="D104" s="131" t="b">
        <f>IFERROR(__xludf.DUMMYFUNCTION("""COMPUTED_VALUE"""),FALSE)</f>
        <v>0</v>
      </c>
      <c r="E104" s="114" t="str">
        <f>IFERROR(__xludf.DUMMYFUNCTION("""COMPUTED_VALUE"""),"ADEME")</f>
        <v>ADEME</v>
      </c>
      <c r="F104" s="114" t="str">
        <f>IFERROR(__xludf.DUMMYFUNCTION("""COMPUTED_VALUE"""),"JOHN EVO")</f>
        <v>JOHN EVO</v>
      </c>
    </row>
    <row r="105">
      <c r="A105" s="131">
        <f>IFERROR(__xludf.DUMMYFUNCTION("""COMPUTED_VALUE"""),104.0)</f>
        <v>104</v>
      </c>
      <c r="B105" s="131"/>
      <c r="C105" s="131">
        <f>IFERROR(__xludf.DUMMYFUNCTION("""COMPUTED_VALUE"""),76.0)</f>
        <v>76</v>
      </c>
      <c r="D105" s="131" t="b">
        <f>IFERROR(__xludf.DUMMYFUNCTION("""COMPUTED_VALUE"""),FALSE)</f>
        <v>0</v>
      </c>
      <c r="E105" s="114" t="str">
        <f>IFERROR(__xludf.DUMMYFUNCTION("""COMPUTED_VALUE"""),"FLAGNE")</f>
        <v>FLAGNE</v>
      </c>
      <c r="F105" s="114" t="str">
        <f>IFERROR(__xludf.DUMMYFUNCTION("""COMPUTED_VALUE"""),"JHANDY")</f>
        <v>JHANDY</v>
      </c>
    </row>
    <row r="106">
      <c r="A106" s="131">
        <f>IFERROR(__xludf.DUMMYFUNCTION("""COMPUTED_VALUE"""),105.0)</f>
        <v>105</v>
      </c>
      <c r="B106" s="131"/>
      <c r="C106" s="131">
        <f>IFERROR(__xludf.DUMMYFUNCTION("""COMPUTED_VALUE"""),76.0)</f>
        <v>76</v>
      </c>
      <c r="D106" s="131" t="b">
        <f>IFERROR(__xludf.DUMMYFUNCTION("""COMPUTED_VALUE"""),FALSE)</f>
        <v>0</v>
      </c>
      <c r="E106" s="114" t="str">
        <f>IFERROR(__xludf.DUMMYFUNCTION("""COMPUTED_VALUE"""),"GURION")</f>
        <v>GURION</v>
      </c>
      <c r="F106" s="114" t="str">
        <f>IFERROR(__xludf.DUMMYFUNCTION("""COMPUTED_VALUE"""),"ARJIE")</f>
        <v>ARJIE</v>
      </c>
    </row>
    <row r="107">
      <c r="A107" s="131">
        <f>IFERROR(__xludf.DUMMYFUNCTION("""COMPUTED_VALUE"""),106.0)</f>
        <v>106</v>
      </c>
      <c r="B107" s="131"/>
      <c r="C107" s="131">
        <f>IFERROR(__xludf.DUMMYFUNCTION("""COMPUTED_VALUE"""),76.0)</f>
        <v>76</v>
      </c>
      <c r="D107" s="131" t="b">
        <f>IFERROR(__xludf.DUMMYFUNCTION("""COMPUTED_VALUE"""),FALSE)</f>
        <v>0</v>
      </c>
      <c r="E107" s="114" t="str">
        <f>IFERROR(__xludf.DUMMYFUNCTION("""COMPUTED_VALUE"""),"INAJE")</f>
        <v>INAJE</v>
      </c>
      <c r="F107" s="114" t="str">
        <f>IFERROR(__xludf.DUMMYFUNCTION("""COMPUTED_VALUE"""),"JAYSON")</f>
        <v>JAYSON</v>
      </c>
    </row>
    <row r="108">
      <c r="A108" s="131">
        <f>IFERROR(__xludf.DUMMYFUNCTION("""COMPUTED_VALUE"""),107.0)</f>
        <v>107</v>
      </c>
      <c r="B108" s="131"/>
      <c r="C108" s="131">
        <f>IFERROR(__xludf.DUMMYFUNCTION("""COMPUTED_VALUE"""),76.0)</f>
        <v>76</v>
      </c>
      <c r="D108" s="131" t="b">
        <f>IFERROR(__xludf.DUMMYFUNCTION("""COMPUTED_VALUE"""),FALSE)</f>
        <v>0</v>
      </c>
      <c r="E108" s="114" t="str">
        <f>IFERROR(__xludf.DUMMYFUNCTION("""COMPUTED_VALUE"""),"LUANGCO")</f>
        <v>LUANGCO</v>
      </c>
      <c r="F108" s="114" t="str">
        <f>IFERROR(__xludf.DUMMYFUNCTION("""COMPUTED_VALUE"""),"MARKHIEL")</f>
        <v>MARKHIEL</v>
      </c>
    </row>
    <row r="109">
      <c r="A109" s="131">
        <f>IFERROR(__xludf.DUMMYFUNCTION("""COMPUTED_VALUE"""),108.0)</f>
        <v>108</v>
      </c>
      <c r="B109" s="131"/>
      <c r="C109" s="131">
        <f>IFERROR(__xludf.DUMMYFUNCTION("""COMPUTED_VALUE"""),76.0)</f>
        <v>76</v>
      </c>
      <c r="D109" s="131" t="b">
        <f>IFERROR(__xludf.DUMMYFUNCTION("""COMPUTED_VALUE"""),FALSE)</f>
        <v>0</v>
      </c>
      <c r="E109" s="114" t="str">
        <f>IFERROR(__xludf.DUMMYFUNCTION("""COMPUTED_VALUE"""),"NAPARATO")</f>
        <v>NAPARATO</v>
      </c>
      <c r="F109" s="114" t="str">
        <f>IFERROR(__xludf.DUMMYFUNCTION("""COMPUTED_VALUE"""),"JONEL")</f>
        <v>JONEL</v>
      </c>
    </row>
    <row r="110">
      <c r="A110" s="131">
        <f>IFERROR(__xludf.DUMMYFUNCTION("""COMPUTED_VALUE"""),109.0)</f>
        <v>109</v>
      </c>
      <c r="B110" s="131"/>
      <c r="C110" s="131">
        <f>IFERROR(__xludf.DUMMYFUNCTION("""COMPUTED_VALUE"""),76.0)</f>
        <v>76</v>
      </c>
      <c r="D110" s="131" t="b">
        <f>IFERROR(__xludf.DUMMYFUNCTION("""COMPUTED_VALUE"""),FALSE)</f>
        <v>0</v>
      </c>
      <c r="E110" s="114" t="str">
        <f>IFERROR(__xludf.DUMMYFUNCTION("""COMPUTED_VALUE"""),"NAPARATO")</f>
        <v>NAPARATO</v>
      </c>
      <c r="F110" s="114" t="str">
        <f>IFERROR(__xludf.DUMMYFUNCTION("""COMPUTED_VALUE"""),"JEFF")</f>
        <v>JEFF</v>
      </c>
    </row>
    <row r="111">
      <c r="A111" s="131">
        <f>IFERROR(__xludf.DUMMYFUNCTION("""COMPUTED_VALUE"""),110.0)</f>
        <v>110</v>
      </c>
      <c r="B111" s="131"/>
      <c r="C111" s="131">
        <f>IFERROR(__xludf.DUMMYFUNCTION("""COMPUTED_VALUE"""),76.0)</f>
        <v>76</v>
      </c>
      <c r="D111" s="131" t="b">
        <f>IFERROR(__xludf.DUMMYFUNCTION("""COMPUTED_VALUE"""),FALSE)</f>
        <v>0</v>
      </c>
      <c r="E111" s="114" t="str">
        <f>IFERROR(__xludf.DUMMYFUNCTION("""COMPUTED_VALUE"""),"PABILLO")</f>
        <v>PABILLO</v>
      </c>
      <c r="F111" s="114" t="str">
        <f>IFERROR(__xludf.DUMMYFUNCTION("""COMPUTED_VALUE"""),"PRINCE ALECK")</f>
        <v>PRINCE ALECK</v>
      </c>
    </row>
    <row r="112">
      <c r="A112" s="131">
        <f>IFERROR(__xludf.DUMMYFUNCTION("""COMPUTED_VALUE"""),111.0)</f>
        <v>111</v>
      </c>
      <c r="B112" s="131"/>
      <c r="C112" s="131">
        <f>IFERROR(__xludf.DUMMYFUNCTION("""COMPUTED_VALUE"""),76.0)</f>
        <v>76</v>
      </c>
      <c r="D112" s="131" t="b">
        <f>IFERROR(__xludf.DUMMYFUNCTION("""COMPUTED_VALUE"""),FALSE)</f>
        <v>0</v>
      </c>
      <c r="E112" s="114" t="str">
        <f>IFERROR(__xludf.DUMMYFUNCTION("""COMPUTED_VALUE"""),"PRINCESA")</f>
        <v>PRINCESA</v>
      </c>
      <c r="F112" s="114" t="str">
        <f>IFERROR(__xludf.DUMMYFUNCTION("""COMPUTED_VALUE"""),"ADRIAN CARL")</f>
        <v>ADRIAN CARL</v>
      </c>
    </row>
    <row r="113">
      <c r="A113" s="131">
        <f>IFERROR(__xludf.DUMMYFUNCTION("""COMPUTED_VALUE"""),112.0)</f>
        <v>112</v>
      </c>
      <c r="B113" s="131"/>
      <c r="C113" s="131">
        <f>IFERROR(__xludf.DUMMYFUNCTION("""COMPUTED_VALUE"""),76.0)</f>
        <v>76</v>
      </c>
      <c r="D113" s="131" t="b">
        <f>IFERROR(__xludf.DUMMYFUNCTION("""COMPUTED_VALUE"""),FALSE)</f>
        <v>0</v>
      </c>
      <c r="E113" s="114" t="str">
        <f>IFERROR(__xludf.DUMMYFUNCTION("""COMPUTED_VALUE"""),"RAMOS")</f>
        <v>RAMOS</v>
      </c>
      <c r="F113" s="114" t="str">
        <f>IFERROR(__xludf.DUMMYFUNCTION("""COMPUTED_VALUE"""),"JEREMIAH")</f>
        <v>JEREMIAH</v>
      </c>
    </row>
    <row r="114">
      <c r="A114" s="131">
        <f>IFERROR(__xludf.DUMMYFUNCTION("""COMPUTED_VALUE"""),113.0)</f>
        <v>113</v>
      </c>
      <c r="B114" s="131"/>
      <c r="C114" s="131">
        <f>IFERROR(__xludf.DUMMYFUNCTION("""COMPUTED_VALUE"""),76.0)</f>
        <v>76</v>
      </c>
      <c r="D114" s="131" t="b">
        <f>IFERROR(__xludf.DUMMYFUNCTION("""COMPUTED_VALUE"""),FALSE)</f>
        <v>0</v>
      </c>
      <c r="E114" s="114" t="str">
        <f>IFERROR(__xludf.DUMMYFUNCTION("""COMPUTED_VALUE"""),"RAMOS")</f>
        <v>RAMOS</v>
      </c>
      <c r="F114" s="114" t="str">
        <f>IFERROR(__xludf.DUMMYFUNCTION("""COMPUTED_VALUE"""),"MATTHEW")</f>
        <v>MATTHEW</v>
      </c>
    </row>
    <row r="115">
      <c r="A115" s="131">
        <f>IFERROR(__xludf.DUMMYFUNCTION("""COMPUTED_VALUE"""),114.0)</f>
        <v>114</v>
      </c>
      <c r="B115" s="131"/>
      <c r="C115" s="131">
        <f>IFERROR(__xludf.DUMMYFUNCTION("""COMPUTED_VALUE"""),76.0)</f>
        <v>76</v>
      </c>
      <c r="D115" s="131" t="b">
        <f>IFERROR(__xludf.DUMMYFUNCTION("""COMPUTED_VALUE"""),FALSE)</f>
        <v>0</v>
      </c>
      <c r="E115" s="114" t="str">
        <f>IFERROR(__xludf.DUMMYFUNCTION("""COMPUTED_VALUE"""),"RAMOS")</f>
        <v>RAMOS</v>
      </c>
      <c r="F115" s="114" t="str">
        <f>IFERROR(__xludf.DUMMYFUNCTION("""COMPUTED_VALUE"""),"JONAS")</f>
        <v>JONAS</v>
      </c>
    </row>
    <row r="116">
      <c r="A116" s="131">
        <f>IFERROR(__xludf.DUMMYFUNCTION("""COMPUTED_VALUE"""),115.0)</f>
        <v>115</v>
      </c>
      <c r="B116" s="131"/>
      <c r="C116" s="131">
        <f>IFERROR(__xludf.DUMMYFUNCTION("""COMPUTED_VALUE"""),76.0)</f>
        <v>76</v>
      </c>
      <c r="D116" s="131" t="b">
        <f>IFERROR(__xludf.DUMMYFUNCTION("""COMPUTED_VALUE"""),FALSE)</f>
        <v>0</v>
      </c>
      <c r="E116" s="114" t="str">
        <f>IFERROR(__xludf.DUMMYFUNCTION("""COMPUTED_VALUE"""),"ROMANO")</f>
        <v>ROMANO</v>
      </c>
      <c r="F116" s="114" t="str">
        <f>IFERROR(__xludf.DUMMYFUNCTION("""COMPUTED_VALUE"""),"XIANREY")</f>
        <v>XIANREY</v>
      </c>
    </row>
    <row r="117">
      <c r="A117" s="131">
        <f>IFERROR(__xludf.DUMMYFUNCTION("""COMPUTED_VALUE"""),116.0)</f>
        <v>116</v>
      </c>
      <c r="B117" s="131"/>
      <c r="C117" s="131">
        <f>IFERROR(__xludf.DUMMYFUNCTION("""COMPUTED_VALUE"""),76.0)</f>
        <v>76</v>
      </c>
      <c r="D117" s="131" t="b">
        <f>IFERROR(__xludf.DUMMYFUNCTION("""COMPUTED_VALUE"""),FALSE)</f>
        <v>0</v>
      </c>
      <c r="E117" s="114" t="str">
        <f>IFERROR(__xludf.DUMMYFUNCTION("""COMPUTED_VALUE"""),"AMBROCIO")</f>
        <v>AMBROCIO</v>
      </c>
      <c r="F117" s="114" t="str">
        <f>IFERROR(__xludf.DUMMYFUNCTION("""COMPUTED_VALUE"""),"JAMES")</f>
        <v>JAMES</v>
      </c>
    </row>
    <row r="118">
      <c r="A118" s="131">
        <f>IFERROR(__xludf.DUMMYFUNCTION("""COMPUTED_VALUE"""),117.0)</f>
        <v>117</v>
      </c>
      <c r="B118" s="131"/>
      <c r="C118" s="131">
        <f>IFERROR(__xludf.DUMMYFUNCTION("""COMPUTED_VALUE"""),76.0)</f>
        <v>76</v>
      </c>
      <c r="D118" s="131" t="b">
        <f>IFERROR(__xludf.DUMMYFUNCTION("""COMPUTED_VALUE"""),FALSE)</f>
        <v>0</v>
      </c>
      <c r="E118" s="114" t="str">
        <f>IFERROR(__xludf.DUMMYFUNCTION("""COMPUTED_VALUE"""),"PANADO")</f>
        <v>PANADO</v>
      </c>
      <c r="F118" s="114" t="str">
        <f>IFERROR(__xludf.DUMMYFUNCTION("""COMPUTED_VALUE"""),"JAMES")</f>
        <v>JAMES</v>
      </c>
    </row>
    <row r="119">
      <c r="A119" s="131">
        <f>IFERROR(__xludf.DUMMYFUNCTION("""COMPUTED_VALUE"""),118.0)</f>
        <v>118</v>
      </c>
      <c r="B119" s="131"/>
      <c r="C119" s="131">
        <f>IFERROR(__xludf.DUMMYFUNCTION("""COMPUTED_VALUE"""),76.0)</f>
        <v>76</v>
      </c>
      <c r="D119" s="131" t="b">
        <f>IFERROR(__xludf.DUMMYFUNCTION("""COMPUTED_VALUE"""),FALSE)</f>
        <v>0</v>
      </c>
      <c r="E119" s="114" t="str">
        <f>IFERROR(__xludf.DUMMYFUNCTION("""COMPUTED_VALUE"""),"MALLARI")</f>
        <v>MALLARI</v>
      </c>
      <c r="F119" s="114" t="str">
        <f>IFERROR(__xludf.DUMMYFUNCTION("""COMPUTED_VALUE"""),"JAY IAN")</f>
        <v>JAY IAN</v>
      </c>
    </row>
    <row r="120">
      <c r="A120" s="131"/>
      <c r="B120" s="131"/>
      <c r="C120" s="131"/>
      <c r="D120" s="131"/>
      <c r="E120" s="114"/>
      <c r="F120" s="114"/>
    </row>
    <row r="121">
      <c r="A121" s="131">
        <f>IFERROR(__xludf.DUMMYFUNCTION("""COMPUTED_VALUE"""),120.0)</f>
        <v>120</v>
      </c>
      <c r="B121" s="131"/>
      <c r="C121" s="131">
        <f>IFERROR(__xludf.DUMMYFUNCTION("""COMPUTED_VALUE"""),120.0)</f>
        <v>120</v>
      </c>
      <c r="D121" s="131" t="b">
        <f>IFERROR(__xludf.DUMMYFUNCTION("""COMPUTED_VALUE"""),TRUE)</f>
        <v>1</v>
      </c>
      <c r="E121" s="131" t="str">
        <f>IFERROR(__xludf.DUMMYFUNCTION("""COMPUTED_VALUE"""),"MACASA")</f>
        <v>MACASA</v>
      </c>
      <c r="F121" s="131" t="str">
        <f>IFERROR(__xludf.DUMMYFUNCTION("""COMPUTED_VALUE"""),"POLO")</f>
        <v>POLO</v>
      </c>
    </row>
    <row r="122">
      <c r="A122" s="131">
        <f>IFERROR(__xludf.DUMMYFUNCTION("""COMPUTED_VALUE"""),121.0)</f>
        <v>121</v>
      </c>
      <c r="B122" s="131"/>
      <c r="C122" s="131">
        <f>IFERROR(__xludf.DUMMYFUNCTION("""COMPUTED_VALUE"""),120.0)</f>
        <v>120</v>
      </c>
      <c r="D122" s="131" t="b">
        <f>IFERROR(__xludf.DUMMYFUNCTION("""COMPUTED_VALUE"""),FALSE)</f>
        <v>0</v>
      </c>
      <c r="E122" s="105" t="str">
        <f>IFERROR(__xludf.DUMMYFUNCTION("""COMPUTED_VALUE"""),"ALCANTARA")</f>
        <v>ALCANTARA</v>
      </c>
      <c r="F122" s="105" t="str">
        <f>IFERROR(__xludf.DUMMYFUNCTION("""COMPUTED_VALUE"""),"GERALD")</f>
        <v>GERALD</v>
      </c>
    </row>
    <row r="123">
      <c r="A123" s="131">
        <f>IFERROR(__xludf.DUMMYFUNCTION("""COMPUTED_VALUE"""),122.0)</f>
        <v>122</v>
      </c>
      <c r="B123" s="131"/>
      <c r="C123" s="131">
        <f>IFERROR(__xludf.DUMMYFUNCTION("""COMPUTED_VALUE"""),120.0)</f>
        <v>120</v>
      </c>
      <c r="D123" s="131" t="b">
        <f>IFERROR(__xludf.DUMMYFUNCTION("""COMPUTED_VALUE"""),FALSE)</f>
        <v>0</v>
      </c>
      <c r="E123" s="107" t="str">
        <f>IFERROR(__xludf.DUMMYFUNCTION("""COMPUTED_VALUE"""),"ALVIAR")</f>
        <v>ALVIAR</v>
      </c>
      <c r="F123" s="107" t="str">
        <f>IFERROR(__xludf.DUMMYFUNCTION("""COMPUTED_VALUE"""),"PETER")</f>
        <v>PETER</v>
      </c>
    </row>
    <row r="124">
      <c r="A124" s="131">
        <f>IFERROR(__xludf.DUMMYFUNCTION("""COMPUTED_VALUE"""),123.0)</f>
        <v>123</v>
      </c>
      <c r="B124" s="131"/>
      <c r="C124" s="131">
        <f>IFERROR(__xludf.DUMMYFUNCTION("""COMPUTED_VALUE"""),120.0)</f>
        <v>120</v>
      </c>
      <c r="D124" s="131" t="b">
        <f>IFERROR(__xludf.DUMMYFUNCTION("""COMPUTED_VALUE"""),FALSE)</f>
        <v>0</v>
      </c>
      <c r="E124" s="107" t="str">
        <f>IFERROR(__xludf.DUMMYFUNCTION("""COMPUTED_VALUE"""),"BUCTOT")</f>
        <v>BUCTOT</v>
      </c>
      <c r="F124" s="107" t="str">
        <f>IFERROR(__xludf.DUMMYFUNCTION("""COMPUTED_VALUE"""),"JEFFREY")</f>
        <v>JEFFREY</v>
      </c>
    </row>
    <row r="125">
      <c r="A125" s="131">
        <f>IFERROR(__xludf.DUMMYFUNCTION("""COMPUTED_VALUE"""),124.0)</f>
        <v>124</v>
      </c>
      <c r="B125" s="131"/>
      <c r="C125" s="131">
        <f>IFERROR(__xludf.DUMMYFUNCTION("""COMPUTED_VALUE"""),120.0)</f>
        <v>120</v>
      </c>
      <c r="D125" s="131" t="b">
        <f>IFERROR(__xludf.DUMMYFUNCTION("""COMPUTED_VALUE"""),FALSE)</f>
        <v>0</v>
      </c>
      <c r="E125" s="116" t="str">
        <f>IFERROR(__xludf.DUMMYFUNCTION("""COMPUTED_VALUE"""),"CABRERA")</f>
        <v>CABRERA</v>
      </c>
      <c r="F125" s="107" t="str">
        <f>IFERROR(__xludf.DUMMYFUNCTION("""COMPUTED_VALUE"""),"LANCE")</f>
        <v>LANCE</v>
      </c>
    </row>
    <row r="126">
      <c r="A126" s="131">
        <f>IFERROR(__xludf.DUMMYFUNCTION("""COMPUTED_VALUE"""),125.0)</f>
        <v>125</v>
      </c>
      <c r="B126" s="131"/>
      <c r="C126" s="131">
        <f>IFERROR(__xludf.DUMMYFUNCTION("""COMPUTED_VALUE"""),120.0)</f>
        <v>120</v>
      </c>
      <c r="D126" s="131" t="b">
        <f>IFERROR(__xludf.DUMMYFUNCTION("""COMPUTED_VALUE"""),FALSE)</f>
        <v>0</v>
      </c>
      <c r="E126" s="107" t="str">
        <f>IFERROR(__xludf.DUMMYFUNCTION("""COMPUTED_VALUE"""),"CANDIDO")</f>
        <v>CANDIDO</v>
      </c>
      <c r="F126" s="107" t="str">
        <f>IFERROR(__xludf.DUMMYFUNCTION("""COMPUTED_VALUE"""),"PRINCE")</f>
        <v>PRINCE</v>
      </c>
    </row>
    <row r="127">
      <c r="A127" s="131">
        <f>IFERROR(__xludf.DUMMYFUNCTION("""COMPUTED_VALUE"""),126.0)</f>
        <v>126</v>
      </c>
      <c r="B127" s="131"/>
      <c r="C127" s="131">
        <f>IFERROR(__xludf.DUMMYFUNCTION("""COMPUTED_VALUE"""),120.0)</f>
        <v>120</v>
      </c>
      <c r="D127" s="131" t="b">
        <f>IFERROR(__xludf.DUMMYFUNCTION("""COMPUTED_VALUE"""),FALSE)</f>
        <v>0</v>
      </c>
      <c r="E127" s="107" t="str">
        <f>IFERROR(__xludf.DUMMYFUNCTION("""COMPUTED_VALUE"""),"LOUIE")</f>
        <v>LOUIE</v>
      </c>
      <c r="F127" s="107" t="str">
        <f>IFERROR(__xludf.DUMMYFUNCTION("""COMPUTED_VALUE"""),"JAMES")</f>
        <v>JAMES</v>
      </c>
    </row>
    <row r="128">
      <c r="A128" s="131">
        <f>IFERROR(__xludf.DUMMYFUNCTION("""COMPUTED_VALUE"""),127.0)</f>
        <v>127</v>
      </c>
      <c r="B128" s="131"/>
      <c r="C128" s="131">
        <f>IFERROR(__xludf.DUMMYFUNCTION("""COMPUTED_VALUE"""),120.0)</f>
        <v>120</v>
      </c>
      <c r="D128" s="131" t="b">
        <f>IFERROR(__xludf.DUMMYFUNCTION("""COMPUTED_VALUE"""),FALSE)</f>
        <v>0</v>
      </c>
      <c r="E128" s="107" t="str">
        <f>IFERROR(__xludf.DUMMYFUNCTION("""COMPUTED_VALUE"""),"MALIGTAS")</f>
        <v>MALIGTAS</v>
      </c>
      <c r="F128" s="107" t="str">
        <f>IFERROR(__xludf.DUMMYFUNCTION("""COMPUTED_VALUE"""),"SKYE")</f>
        <v>SKYE</v>
      </c>
    </row>
    <row r="129">
      <c r="A129" s="131">
        <f>IFERROR(__xludf.DUMMYFUNCTION("""COMPUTED_VALUE"""),128.0)</f>
        <v>128</v>
      </c>
      <c r="B129" s="131"/>
      <c r="C129" s="131">
        <f>IFERROR(__xludf.DUMMYFUNCTION("""COMPUTED_VALUE"""),120.0)</f>
        <v>120</v>
      </c>
      <c r="D129" s="131" t="b">
        <f>IFERROR(__xludf.DUMMYFUNCTION("""COMPUTED_VALUE"""),FALSE)</f>
        <v>0</v>
      </c>
      <c r="E129" s="107" t="str">
        <f>IFERROR(__xludf.DUMMYFUNCTION("""COMPUTED_VALUE"""),"NEHEMIAH")</f>
        <v>NEHEMIAH</v>
      </c>
      <c r="F129" s="107" t="str">
        <f>IFERROR(__xludf.DUMMYFUNCTION("""COMPUTED_VALUE"""),"ARKHEL")</f>
        <v>ARKHEL</v>
      </c>
    </row>
    <row r="130">
      <c r="A130" s="131">
        <f>IFERROR(__xludf.DUMMYFUNCTION("""COMPUTED_VALUE"""),129.0)</f>
        <v>129</v>
      </c>
      <c r="B130" s="131"/>
      <c r="C130" s="131">
        <f>IFERROR(__xludf.DUMMYFUNCTION("""COMPUTED_VALUE"""),120.0)</f>
        <v>120</v>
      </c>
      <c r="D130" s="131" t="b">
        <f>IFERROR(__xludf.DUMMYFUNCTION("""COMPUTED_VALUE"""),FALSE)</f>
        <v>0</v>
      </c>
      <c r="E130" s="107" t="str">
        <f>IFERROR(__xludf.DUMMYFUNCTION("""COMPUTED_VALUE"""),"OLASO")</f>
        <v>OLASO</v>
      </c>
      <c r="F130" s="107" t="str">
        <f>IFERROR(__xludf.DUMMYFUNCTION("""COMPUTED_VALUE"""),"CHARLES")</f>
        <v>CHARLES</v>
      </c>
    </row>
    <row r="131">
      <c r="A131" s="131">
        <f>IFERROR(__xludf.DUMMYFUNCTION("""COMPUTED_VALUE"""),130.0)</f>
        <v>130</v>
      </c>
      <c r="B131" s="131"/>
      <c r="C131" s="131">
        <f>IFERROR(__xludf.DUMMYFUNCTION("""COMPUTED_VALUE"""),120.0)</f>
        <v>120</v>
      </c>
      <c r="D131" s="131" t="b">
        <f>IFERROR(__xludf.DUMMYFUNCTION("""COMPUTED_VALUE"""),FALSE)</f>
        <v>0</v>
      </c>
      <c r="E131" s="107" t="str">
        <f>IFERROR(__xludf.DUMMYFUNCTION("""COMPUTED_VALUE"""),"PASCUA")</f>
        <v>PASCUA</v>
      </c>
      <c r="F131" s="107" t="str">
        <f>IFERROR(__xludf.DUMMYFUNCTION("""COMPUTED_VALUE"""),"JOHN MICHAEL")</f>
        <v>JOHN MICHAEL</v>
      </c>
    </row>
    <row r="132">
      <c r="A132" s="131">
        <f>IFERROR(__xludf.DUMMYFUNCTION("""COMPUTED_VALUE"""),131.0)</f>
        <v>131</v>
      </c>
      <c r="B132" s="131"/>
      <c r="C132" s="131">
        <f>IFERROR(__xludf.DUMMYFUNCTION("""COMPUTED_VALUE"""),120.0)</f>
        <v>120</v>
      </c>
      <c r="D132" s="131" t="b">
        <f>IFERROR(__xludf.DUMMYFUNCTION("""COMPUTED_VALUE"""),FALSE)</f>
        <v>0</v>
      </c>
      <c r="E132" s="107" t="str">
        <f>IFERROR(__xludf.DUMMYFUNCTION("""COMPUTED_VALUE"""),"PERALTA")</f>
        <v>PERALTA</v>
      </c>
      <c r="F132" s="107" t="str">
        <f>IFERROR(__xludf.DUMMYFUNCTION("""COMPUTED_VALUE"""),"MARLON")</f>
        <v>MARLON</v>
      </c>
    </row>
    <row r="133">
      <c r="A133" s="131">
        <f>IFERROR(__xludf.DUMMYFUNCTION("""COMPUTED_VALUE"""),132.0)</f>
        <v>132</v>
      </c>
      <c r="B133" s="131"/>
      <c r="C133" s="131">
        <f>IFERROR(__xludf.DUMMYFUNCTION("""COMPUTED_VALUE"""),120.0)</f>
        <v>120</v>
      </c>
      <c r="D133" s="131" t="b">
        <f>IFERROR(__xludf.DUMMYFUNCTION("""COMPUTED_VALUE"""),FALSE)</f>
        <v>0</v>
      </c>
      <c r="E133" s="107" t="str">
        <f>IFERROR(__xludf.DUMMYFUNCTION("""COMPUTED_VALUE"""),"PESAYCO")</f>
        <v>PESAYCO</v>
      </c>
      <c r="F133" s="107" t="str">
        <f>IFERROR(__xludf.DUMMYFUNCTION("""COMPUTED_VALUE"""),"KEITH")</f>
        <v>KEITH</v>
      </c>
    </row>
    <row r="134">
      <c r="A134" s="131">
        <f>IFERROR(__xludf.DUMMYFUNCTION("""COMPUTED_VALUE"""),133.0)</f>
        <v>133</v>
      </c>
      <c r="B134" s="131"/>
      <c r="C134" s="131">
        <f>IFERROR(__xludf.DUMMYFUNCTION("""COMPUTED_VALUE"""),120.0)</f>
        <v>120</v>
      </c>
      <c r="D134" s="131" t="b">
        <f>IFERROR(__xludf.DUMMYFUNCTION("""COMPUTED_VALUE"""),FALSE)</f>
        <v>0</v>
      </c>
      <c r="E134" s="107" t="str">
        <f>IFERROR(__xludf.DUMMYFUNCTION("""COMPUTED_VALUE"""),"RAZON")</f>
        <v>RAZON</v>
      </c>
      <c r="F134" s="107" t="str">
        <f>IFERROR(__xludf.DUMMYFUNCTION("""COMPUTED_VALUE"""),"JOSHUA")</f>
        <v>JOSHUA</v>
      </c>
    </row>
    <row r="135">
      <c r="A135" s="131">
        <f>IFERROR(__xludf.DUMMYFUNCTION("""COMPUTED_VALUE"""),134.0)</f>
        <v>134</v>
      </c>
      <c r="B135" s="131"/>
      <c r="C135" s="131">
        <f>IFERROR(__xludf.DUMMYFUNCTION("""COMPUTED_VALUE"""),120.0)</f>
        <v>120</v>
      </c>
      <c r="D135" s="131" t="b">
        <f>IFERROR(__xludf.DUMMYFUNCTION("""COMPUTED_VALUE"""),FALSE)</f>
        <v>0</v>
      </c>
      <c r="E135" s="107" t="str">
        <f>IFERROR(__xludf.DUMMYFUNCTION("""COMPUTED_VALUE"""),"ROCCO")</f>
        <v>ROCCO</v>
      </c>
      <c r="F135" s="107" t="str">
        <f>IFERROR(__xludf.DUMMYFUNCTION("""COMPUTED_VALUE"""),"MARK")</f>
        <v>MARK</v>
      </c>
    </row>
    <row r="136">
      <c r="A136" s="131">
        <f>IFERROR(__xludf.DUMMYFUNCTION("""COMPUTED_VALUE"""),135.0)</f>
        <v>135</v>
      </c>
      <c r="B136" s="131"/>
      <c r="C136" s="131">
        <f>IFERROR(__xludf.DUMMYFUNCTION("""COMPUTED_VALUE"""),120.0)</f>
        <v>120</v>
      </c>
      <c r="D136" s="131" t="b">
        <f>IFERROR(__xludf.DUMMYFUNCTION("""COMPUTED_VALUE"""),FALSE)</f>
        <v>0</v>
      </c>
      <c r="E136" s="107" t="str">
        <f>IFERROR(__xludf.DUMMYFUNCTION("""COMPUTED_VALUE"""),"ROME")</f>
        <v>ROME</v>
      </c>
      <c r="F136" s="107" t="str">
        <f>IFERROR(__xludf.DUMMYFUNCTION("""COMPUTED_VALUE"""),"ZAYIN")</f>
        <v>ZAYIN</v>
      </c>
    </row>
    <row r="137">
      <c r="A137" s="131">
        <f>IFERROR(__xludf.DUMMYFUNCTION("""COMPUTED_VALUE"""),136.0)</f>
        <v>136</v>
      </c>
      <c r="B137" s="131"/>
      <c r="C137" s="131">
        <f>IFERROR(__xludf.DUMMYFUNCTION("""COMPUTED_VALUE"""),120.0)</f>
        <v>120</v>
      </c>
      <c r="D137" s="131" t="b">
        <f>IFERROR(__xludf.DUMMYFUNCTION("""COMPUTED_VALUE"""),FALSE)</f>
        <v>0</v>
      </c>
      <c r="E137" s="107" t="str">
        <f>IFERROR(__xludf.DUMMYFUNCTION("""COMPUTED_VALUE"""),"ROME")</f>
        <v>ROME</v>
      </c>
      <c r="F137" s="107" t="str">
        <f>IFERROR(__xludf.DUMMYFUNCTION("""COMPUTED_VALUE"""),"ZACH")</f>
        <v>ZACH</v>
      </c>
    </row>
    <row r="138">
      <c r="A138" s="131">
        <f>IFERROR(__xludf.DUMMYFUNCTION("""COMPUTED_VALUE"""),137.0)</f>
        <v>137</v>
      </c>
      <c r="B138" s="131"/>
      <c r="C138" s="131">
        <f>IFERROR(__xludf.DUMMYFUNCTION("""COMPUTED_VALUE"""),120.0)</f>
        <v>120</v>
      </c>
      <c r="D138" s="131" t="b">
        <f>IFERROR(__xludf.DUMMYFUNCTION("""COMPUTED_VALUE"""),FALSE)</f>
        <v>0</v>
      </c>
      <c r="E138" s="107" t="str">
        <f>IFERROR(__xludf.DUMMYFUNCTION("""COMPUTED_VALUE"""),"SERRANO")</f>
        <v>SERRANO</v>
      </c>
      <c r="F138" s="107" t="str">
        <f>IFERROR(__xludf.DUMMYFUNCTION("""COMPUTED_VALUE"""),"MICO")</f>
        <v>MICO</v>
      </c>
    </row>
    <row r="139">
      <c r="A139" s="131">
        <f>IFERROR(__xludf.DUMMYFUNCTION("""COMPUTED_VALUE"""),138.0)</f>
        <v>138</v>
      </c>
      <c r="B139" s="131"/>
      <c r="C139" s="131">
        <f>IFERROR(__xludf.DUMMYFUNCTION("""COMPUTED_VALUE"""),120.0)</f>
        <v>120</v>
      </c>
      <c r="D139" s="131" t="b">
        <f>IFERROR(__xludf.DUMMYFUNCTION("""COMPUTED_VALUE"""),FALSE)</f>
        <v>0</v>
      </c>
      <c r="E139" s="107"/>
      <c r="F139" s="107" t="str">
        <f>IFERROR(__xludf.DUMMYFUNCTION("""COMPUTED_VALUE"""),"PAUL")</f>
        <v>PAUL</v>
      </c>
    </row>
    <row r="140">
      <c r="A140" s="131"/>
      <c r="B140" s="131"/>
      <c r="C140" s="131"/>
      <c r="D140" s="131"/>
      <c r="E140" s="98"/>
      <c r="F140" s="107"/>
    </row>
    <row r="141">
      <c r="A141" s="131">
        <f>IFERROR(__xludf.DUMMYFUNCTION("""COMPUTED_VALUE"""),140.0)</f>
        <v>140</v>
      </c>
      <c r="B141" s="131"/>
      <c r="C141" s="131">
        <f>IFERROR(__xludf.DUMMYFUNCTION("""COMPUTED_VALUE"""),140.0)</f>
        <v>140</v>
      </c>
      <c r="D141" s="131" t="b">
        <f>IFERROR(__xludf.DUMMYFUNCTION("""COMPUTED_VALUE"""),TRUE)</f>
        <v>1</v>
      </c>
      <c r="E141" s="105" t="str">
        <f>IFERROR(__xludf.DUMMYFUNCTION("""COMPUTED_VALUE"""),"ARANDA")</f>
        <v>ARANDA</v>
      </c>
      <c r="F141" s="105" t="str">
        <f>IFERROR(__xludf.DUMMYFUNCTION("""COMPUTED_VALUE"""),"IYA")</f>
        <v>IYA</v>
      </c>
    </row>
    <row r="142">
      <c r="A142" s="131">
        <f>IFERROR(__xludf.DUMMYFUNCTION("""COMPUTED_VALUE"""),141.0)</f>
        <v>141</v>
      </c>
      <c r="B142" s="131"/>
      <c r="C142" s="131">
        <f>IFERROR(__xludf.DUMMYFUNCTION("""COMPUTED_VALUE"""),140.0)</f>
        <v>140</v>
      </c>
      <c r="D142" s="131" t="b">
        <f>IFERROR(__xludf.DUMMYFUNCTION("""COMPUTED_VALUE"""),FALSE)</f>
        <v>0</v>
      </c>
      <c r="E142" s="109" t="str">
        <f>IFERROR(__xludf.DUMMYFUNCTION("""COMPUTED_VALUE"""),"ALIANZA")</f>
        <v>ALIANZA</v>
      </c>
      <c r="F142" s="109" t="str">
        <f>IFERROR(__xludf.DUMMYFUNCTION("""COMPUTED_VALUE"""),"JESEMIL")</f>
        <v>JESEMIL</v>
      </c>
    </row>
    <row r="143">
      <c r="A143" s="131">
        <f>IFERROR(__xludf.DUMMYFUNCTION("""COMPUTED_VALUE"""),142.0)</f>
        <v>142</v>
      </c>
      <c r="B143" s="131"/>
      <c r="C143" s="131">
        <f>IFERROR(__xludf.DUMMYFUNCTION("""COMPUTED_VALUE"""),140.0)</f>
        <v>140</v>
      </c>
      <c r="D143" s="131" t="b">
        <f>IFERROR(__xludf.DUMMYFUNCTION("""COMPUTED_VALUE"""),FALSE)</f>
        <v>0</v>
      </c>
      <c r="E143" s="109" t="str">
        <f>IFERROR(__xludf.DUMMYFUNCTION("""COMPUTED_VALUE"""),"ANTONIO")</f>
        <v>ANTONIO</v>
      </c>
      <c r="F143" s="109" t="str">
        <f>IFERROR(__xludf.DUMMYFUNCTION("""COMPUTED_VALUE"""),"CHAM")</f>
        <v>CHAM</v>
      </c>
    </row>
    <row r="144">
      <c r="A144" s="131">
        <f>IFERROR(__xludf.DUMMYFUNCTION("""COMPUTED_VALUE"""),143.0)</f>
        <v>143</v>
      </c>
      <c r="B144" s="131"/>
      <c r="C144" s="131">
        <f>IFERROR(__xludf.DUMMYFUNCTION("""COMPUTED_VALUE"""),140.0)</f>
        <v>140</v>
      </c>
      <c r="D144" s="131" t="b">
        <f>IFERROR(__xludf.DUMMYFUNCTION("""COMPUTED_VALUE"""),FALSE)</f>
        <v>0</v>
      </c>
      <c r="E144" s="109" t="str">
        <f>IFERROR(__xludf.DUMMYFUNCTION("""COMPUTED_VALUE"""),"AQUINO")</f>
        <v>AQUINO</v>
      </c>
      <c r="F144" s="109" t="str">
        <f>IFERROR(__xludf.DUMMYFUNCTION("""COMPUTED_VALUE"""),"JOANNA")</f>
        <v>JOANNA</v>
      </c>
    </row>
    <row r="145">
      <c r="A145" s="131">
        <f>IFERROR(__xludf.DUMMYFUNCTION("""COMPUTED_VALUE"""),144.0)</f>
        <v>144</v>
      </c>
      <c r="B145" s="131"/>
      <c r="C145" s="131">
        <f>IFERROR(__xludf.DUMMYFUNCTION("""COMPUTED_VALUE"""),140.0)</f>
        <v>140</v>
      </c>
      <c r="D145" s="131" t="b">
        <f>IFERROR(__xludf.DUMMYFUNCTION("""COMPUTED_VALUE"""),FALSE)</f>
        <v>0</v>
      </c>
      <c r="E145" s="109" t="str">
        <f>IFERROR(__xludf.DUMMYFUNCTION("""COMPUTED_VALUE"""),"ARANDA")</f>
        <v>ARANDA</v>
      </c>
      <c r="F145" s="109" t="str">
        <f>IFERROR(__xludf.DUMMYFUNCTION("""COMPUTED_VALUE"""),"ALEXANDRA")</f>
        <v>ALEXANDRA</v>
      </c>
    </row>
    <row r="146">
      <c r="A146" s="131">
        <f>IFERROR(__xludf.DUMMYFUNCTION("""COMPUTED_VALUE"""),145.0)</f>
        <v>145</v>
      </c>
      <c r="B146" s="131"/>
      <c r="C146" s="131">
        <f>IFERROR(__xludf.DUMMYFUNCTION("""COMPUTED_VALUE"""),140.0)</f>
        <v>140</v>
      </c>
      <c r="D146" s="131" t="b">
        <f>IFERROR(__xludf.DUMMYFUNCTION("""COMPUTED_VALUE"""),FALSE)</f>
        <v>0</v>
      </c>
      <c r="E146" s="109" t="str">
        <f>IFERROR(__xludf.DUMMYFUNCTION("""COMPUTED_VALUE"""),"CARAAN")</f>
        <v>CARAAN</v>
      </c>
      <c r="F146" s="109" t="str">
        <f>IFERROR(__xludf.DUMMYFUNCTION("""COMPUTED_VALUE"""),"CATHLINE")</f>
        <v>CATHLINE</v>
      </c>
    </row>
    <row r="147">
      <c r="A147" s="131">
        <f>IFERROR(__xludf.DUMMYFUNCTION("""COMPUTED_VALUE"""),146.0)</f>
        <v>146</v>
      </c>
      <c r="B147" s="131"/>
      <c r="C147" s="131">
        <f>IFERROR(__xludf.DUMMYFUNCTION("""COMPUTED_VALUE"""),140.0)</f>
        <v>140</v>
      </c>
      <c r="D147" s="131" t="b">
        <f>IFERROR(__xludf.DUMMYFUNCTION("""COMPUTED_VALUE"""),FALSE)</f>
        <v>0</v>
      </c>
      <c r="E147" s="109" t="str">
        <f>IFERROR(__xludf.DUMMYFUNCTION("""COMPUTED_VALUE"""),"CASTILLO")</f>
        <v>CASTILLO</v>
      </c>
      <c r="F147" s="109" t="str">
        <f>IFERROR(__xludf.DUMMYFUNCTION("""COMPUTED_VALUE"""),"JASIEL")</f>
        <v>JASIEL</v>
      </c>
    </row>
    <row r="148">
      <c r="A148" s="131">
        <f>IFERROR(__xludf.DUMMYFUNCTION("""COMPUTED_VALUE"""),147.0)</f>
        <v>147</v>
      </c>
      <c r="B148" s="131"/>
      <c r="C148" s="131">
        <f>IFERROR(__xludf.DUMMYFUNCTION("""COMPUTED_VALUE"""),140.0)</f>
        <v>140</v>
      </c>
      <c r="D148" s="131" t="b">
        <f>IFERROR(__xludf.DUMMYFUNCTION("""COMPUTED_VALUE"""),FALSE)</f>
        <v>0</v>
      </c>
      <c r="E148" s="109" t="str">
        <f>IFERROR(__xludf.DUMMYFUNCTION("""COMPUTED_VALUE"""),"CEA")</f>
        <v>CEA</v>
      </c>
      <c r="F148" s="109" t="str">
        <f>IFERROR(__xludf.DUMMYFUNCTION("""COMPUTED_VALUE"""),"DIANA")</f>
        <v>DIANA</v>
      </c>
    </row>
    <row r="149">
      <c r="A149" s="131">
        <f>IFERROR(__xludf.DUMMYFUNCTION("""COMPUTED_VALUE"""),148.0)</f>
        <v>148</v>
      </c>
      <c r="B149" s="131"/>
      <c r="C149" s="131">
        <f>IFERROR(__xludf.DUMMYFUNCTION("""COMPUTED_VALUE"""),140.0)</f>
        <v>140</v>
      </c>
      <c r="D149" s="131" t="b">
        <f>IFERROR(__xludf.DUMMYFUNCTION("""COMPUTED_VALUE"""),FALSE)</f>
        <v>0</v>
      </c>
      <c r="E149" s="109" t="str">
        <f>IFERROR(__xludf.DUMMYFUNCTION("""COMPUTED_VALUE"""),"CHUA")</f>
        <v>CHUA</v>
      </c>
      <c r="F149" s="109" t="str">
        <f>IFERROR(__xludf.DUMMYFUNCTION("""COMPUTED_VALUE"""),"PJ")</f>
        <v>PJ</v>
      </c>
    </row>
    <row r="150">
      <c r="A150" s="131">
        <f>IFERROR(__xludf.DUMMYFUNCTION("""COMPUTED_VALUE"""),149.0)</f>
        <v>149</v>
      </c>
      <c r="B150" s="131"/>
      <c r="C150" s="131">
        <f>IFERROR(__xludf.DUMMYFUNCTION("""COMPUTED_VALUE"""),140.0)</f>
        <v>140</v>
      </c>
      <c r="D150" s="131" t="b">
        <f>IFERROR(__xludf.DUMMYFUNCTION("""COMPUTED_VALUE"""),FALSE)</f>
        <v>0</v>
      </c>
      <c r="E150" s="109" t="str">
        <f>IFERROR(__xludf.DUMMYFUNCTION("""COMPUTED_VALUE"""),"DIZON")</f>
        <v>DIZON</v>
      </c>
      <c r="F150" s="109" t="str">
        <f>IFERROR(__xludf.DUMMYFUNCTION("""COMPUTED_VALUE"""),"ARRA")</f>
        <v>ARRA</v>
      </c>
    </row>
    <row r="151">
      <c r="A151" s="131">
        <f>IFERROR(__xludf.DUMMYFUNCTION("""COMPUTED_VALUE"""),150.0)</f>
        <v>150</v>
      </c>
      <c r="B151" s="131"/>
      <c r="C151" s="131">
        <f>IFERROR(__xludf.DUMMYFUNCTION("""COMPUTED_VALUE"""),140.0)</f>
        <v>140</v>
      </c>
      <c r="D151" s="131" t="b">
        <f>IFERROR(__xludf.DUMMYFUNCTION("""COMPUTED_VALUE"""),FALSE)</f>
        <v>0</v>
      </c>
      <c r="E151" s="109" t="str">
        <f>IFERROR(__xludf.DUMMYFUNCTION("""COMPUTED_VALUE"""),"ECLEVIA")</f>
        <v>ECLEVIA</v>
      </c>
      <c r="F151" s="109" t="str">
        <f>IFERROR(__xludf.DUMMYFUNCTION("""COMPUTED_VALUE"""),"ANGELICA")</f>
        <v>ANGELICA</v>
      </c>
    </row>
    <row r="152">
      <c r="A152" s="131">
        <f>IFERROR(__xludf.DUMMYFUNCTION("""COMPUTED_VALUE"""),151.0)</f>
        <v>151</v>
      </c>
      <c r="B152" s="131"/>
      <c r="C152" s="131">
        <f>IFERROR(__xludf.DUMMYFUNCTION("""COMPUTED_VALUE"""),140.0)</f>
        <v>140</v>
      </c>
      <c r="D152" s="131" t="b">
        <f>IFERROR(__xludf.DUMMYFUNCTION("""COMPUTED_VALUE"""),FALSE)</f>
        <v>0</v>
      </c>
      <c r="E152" s="109" t="str">
        <f>IFERROR(__xludf.DUMMYFUNCTION("""COMPUTED_VALUE"""),"FELIPE")</f>
        <v>FELIPE</v>
      </c>
      <c r="F152" s="109" t="str">
        <f>IFERROR(__xludf.DUMMYFUNCTION("""COMPUTED_VALUE"""),"JAIMIE")</f>
        <v>JAIMIE</v>
      </c>
    </row>
    <row r="153">
      <c r="A153" s="131">
        <f>IFERROR(__xludf.DUMMYFUNCTION("""COMPUTED_VALUE"""),152.0)</f>
        <v>152</v>
      </c>
      <c r="B153" s="131"/>
      <c r="C153" s="131">
        <f>IFERROR(__xludf.DUMMYFUNCTION("""COMPUTED_VALUE"""),140.0)</f>
        <v>140</v>
      </c>
      <c r="D153" s="131" t="b">
        <f>IFERROR(__xludf.DUMMYFUNCTION("""COMPUTED_VALUE"""),FALSE)</f>
        <v>0</v>
      </c>
      <c r="E153" s="109" t="str">
        <f>IFERROR(__xludf.DUMMYFUNCTION("""COMPUTED_VALUE"""),"FERNANDEZ")</f>
        <v>FERNANDEZ</v>
      </c>
      <c r="F153" s="109" t="str">
        <f>IFERROR(__xludf.DUMMYFUNCTION("""COMPUTED_VALUE"""),"SHARMAINE")</f>
        <v>SHARMAINE</v>
      </c>
    </row>
    <row r="154">
      <c r="A154" s="131">
        <f>IFERROR(__xludf.DUMMYFUNCTION("""COMPUTED_VALUE"""),153.0)</f>
        <v>153</v>
      </c>
      <c r="B154" s="131"/>
      <c r="C154" s="131">
        <f>IFERROR(__xludf.DUMMYFUNCTION("""COMPUTED_VALUE"""),140.0)</f>
        <v>140</v>
      </c>
      <c r="D154" s="131" t="b">
        <f>IFERROR(__xludf.DUMMYFUNCTION("""COMPUTED_VALUE"""),FALSE)</f>
        <v>0</v>
      </c>
      <c r="E154" s="109" t="str">
        <f>IFERROR(__xludf.DUMMYFUNCTION("""COMPUTED_VALUE"""),"FILIO")</f>
        <v>FILIO</v>
      </c>
      <c r="F154" s="109" t="str">
        <f>IFERROR(__xludf.DUMMYFUNCTION("""COMPUTED_VALUE"""),"DAISY")</f>
        <v>DAISY</v>
      </c>
    </row>
    <row r="155">
      <c r="A155" s="131">
        <f>IFERROR(__xludf.DUMMYFUNCTION("""COMPUTED_VALUE"""),154.0)</f>
        <v>154</v>
      </c>
      <c r="B155" s="131"/>
      <c r="C155" s="131">
        <f>IFERROR(__xludf.DUMMYFUNCTION("""COMPUTED_VALUE"""),140.0)</f>
        <v>140</v>
      </c>
      <c r="D155" s="131" t="b">
        <f>IFERROR(__xludf.DUMMYFUNCTION("""COMPUTED_VALUE"""),FALSE)</f>
        <v>0</v>
      </c>
      <c r="E155" s="109" t="str">
        <f>IFERROR(__xludf.DUMMYFUNCTION("""COMPUTED_VALUE"""),"FILIO")</f>
        <v>FILIO</v>
      </c>
      <c r="F155" s="109" t="str">
        <f>IFERROR(__xludf.DUMMYFUNCTION("""COMPUTED_VALUE"""),"JENNY")</f>
        <v>JENNY</v>
      </c>
    </row>
    <row r="156">
      <c r="A156" s="131">
        <f>IFERROR(__xludf.DUMMYFUNCTION("""COMPUTED_VALUE"""),155.0)</f>
        <v>155</v>
      </c>
      <c r="B156" s="131"/>
      <c r="C156" s="131">
        <f>IFERROR(__xludf.DUMMYFUNCTION("""COMPUTED_VALUE"""),140.0)</f>
        <v>140</v>
      </c>
      <c r="D156" s="131" t="b">
        <f>IFERROR(__xludf.DUMMYFUNCTION("""COMPUTED_VALUE"""),FALSE)</f>
        <v>0</v>
      </c>
      <c r="E156" s="109" t="str">
        <f>IFERROR(__xludf.DUMMYFUNCTION("""COMPUTED_VALUE"""),"FLORO")</f>
        <v>FLORO</v>
      </c>
      <c r="F156" s="109" t="str">
        <f>IFERROR(__xludf.DUMMYFUNCTION("""COMPUTED_VALUE"""),"JUSTINE")</f>
        <v>JUSTINE</v>
      </c>
    </row>
    <row r="157">
      <c r="A157" s="131">
        <f>IFERROR(__xludf.DUMMYFUNCTION("""COMPUTED_VALUE"""),156.0)</f>
        <v>156</v>
      </c>
      <c r="B157" s="131"/>
      <c r="C157" s="131">
        <f>IFERROR(__xludf.DUMMYFUNCTION("""COMPUTED_VALUE"""),140.0)</f>
        <v>140</v>
      </c>
      <c r="D157" s="131" t="b">
        <f>IFERROR(__xludf.DUMMYFUNCTION("""COMPUTED_VALUE"""),FALSE)</f>
        <v>0</v>
      </c>
      <c r="E157" s="109" t="str">
        <f>IFERROR(__xludf.DUMMYFUNCTION("""COMPUTED_VALUE"""),"FLORO")</f>
        <v>FLORO</v>
      </c>
      <c r="F157" s="109" t="str">
        <f>IFERROR(__xludf.DUMMYFUNCTION("""COMPUTED_VALUE"""),"MICA")</f>
        <v>MICA</v>
      </c>
    </row>
    <row r="158">
      <c r="A158" s="131">
        <f>IFERROR(__xludf.DUMMYFUNCTION("""COMPUTED_VALUE"""),157.0)</f>
        <v>157</v>
      </c>
      <c r="B158" s="131"/>
      <c r="C158" s="131">
        <f>IFERROR(__xludf.DUMMYFUNCTION("""COMPUTED_VALUE"""),140.0)</f>
        <v>140</v>
      </c>
      <c r="D158" s="131" t="b">
        <f>IFERROR(__xludf.DUMMYFUNCTION("""COMPUTED_VALUE"""),FALSE)</f>
        <v>0</v>
      </c>
      <c r="E158" s="109" t="str">
        <f>IFERROR(__xludf.DUMMYFUNCTION("""COMPUTED_VALUE"""),"FRANCISCO")</f>
        <v>FRANCISCO</v>
      </c>
      <c r="F158" s="109" t="str">
        <f>IFERROR(__xludf.DUMMYFUNCTION("""COMPUTED_VALUE"""),"RAMILYN")</f>
        <v>RAMILYN</v>
      </c>
    </row>
    <row r="159">
      <c r="A159" s="131">
        <f>IFERROR(__xludf.DUMMYFUNCTION("""COMPUTED_VALUE"""),158.0)</f>
        <v>158</v>
      </c>
      <c r="B159" s="131"/>
      <c r="C159" s="131">
        <f>IFERROR(__xludf.DUMMYFUNCTION("""COMPUTED_VALUE"""),140.0)</f>
        <v>140</v>
      </c>
      <c r="D159" s="131" t="b">
        <f>IFERROR(__xludf.DUMMYFUNCTION("""COMPUTED_VALUE"""),FALSE)</f>
        <v>0</v>
      </c>
      <c r="E159" s="109" t="str">
        <f>IFERROR(__xludf.DUMMYFUNCTION("""COMPUTED_VALUE"""),"GEMOTO")</f>
        <v>GEMOTO</v>
      </c>
      <c r="F159" s="109" t="str">
        <f>IFERROR(__xludf.DUMMYFUNCTION("""COMPUTED_VALUE"""),"JASMINE")</f>
        <v>JASMINE</v>
      </c>
    </row>
    <row r="160">
      <c r="A160" s="131">
        <f>IFERROR(__xludf.DUMMYFUNCTION("""COMPUTED_VALUE"""),159.0)</f>
        <v>159</v>
      </c>
      <c r="B160" s="131"/>
      <c r="C160" s="131">
        <f>IFERROR(__xludf.DUMMYFUNCTION("""COMPUTED_VALUE"""),140.0)</f>
        <v>140</v>
      </c>
      <c r="D160" s="131" t="b">
        <f>IFERROR(__xludf.DUMMYFUNCTION("""COMPUTED_VALUE"""),FALSE)</f>
        <v>0</v>
      </c>
      <c r="E160" s="109" t="str">
        <f>IFERROR(__xludf.DUMMYFUNCTION("""COMPUTED_VALUE"""),"LABAYNE")</f>
        <v>LABAYNE</v>
      </c>
      <c r="F160" s="109" t="str">
        <f>IFERROR(__xludf.DUMMYFUNCTION("""COMPUTED_VALUE"""),"GRACE")</f>
        <v>GRACE</v>
      </c>
    </row>
    <row r="161">
      <c r="A161" s="131">
        <f>IFERROR(__xludf.DUMMYFUNCTION("""COMPUTED_VALUE"""),160.0)</f>
        <v>160</v>
      </c>
      <c r="B161" s="131"/>
      <c r="C161" s="131">
        <f>IFERROR(__xludf.DUMMYFUNCTION("""COMPUTED_VALUE"""),140.0)</f>
        <v>140</v>
      </c>
      <c r="D161" s="131" t="b">
        <f>IFERROR(__xludf.DUMMYFUNCTION("""COMPUTED_VALUE"""),FALSE)</f>
        <v>0</v>
      </c>
      <c r="E161" s="109" t="str">
        <f>IFERROR(__xludf.DUMMYFUNCTION("""COMPUTED_VALUE"""),"OCEMAN")</f>
        <v>OCEMAN</v>
      </c>
      <c r="F161" s="109" t="str">
        <f>IFERROR(__xludf.DUMMYFUNCTION("""COMPUTED_VALUE"""),"RAI-RAI")</f>
        <v>RAI-RAI</v>
      </c>
    </row>
    <row r="162">
      <c r="A162" s="131">
        <f>IFERROR(__xludf.DUMMYFUNCTION("""COMPUTED_VALUE"""),161.0)</f>
        <v>161</v>
      </c>
      <c r="B162" s="131"/>
      <c r="C162" s="131">
        <f>IFERROR(__xludf.DUMMYFUNCTION("""COMPUTED_VALUE"""),140.0)</f>
        <v>140</v>
      </c>
      <c r="D162" s="131" t="b">
        <f>IFERROR(__xludf.DUMMYFUNCTION("""COMPUTED_VALUE"""),FALSE)</f>
        <v>0</v>
      </c>
      <c r="E162" s="109" t="str">
        <f>IFERROR(__xludf.DUMMYFUNCTION("""COMPUTED_VALUE"""),"ORQUIA")</f>
        <v>ORQUIA</v>
      </c>
      <c r="F162" s="109" t="str">
        <f>IFERROR(__xludf.DUMMYFUNCTION("""COMPUTED_VALUE"""),"KEZA")</f>
        <v>KEZA</v>
      </c>
    </row>
    <row r="163">
      <c r="A163" s="131">
        <f>IFERROR(__xludf.DUMMYFUNCTION("""COMPUTED_VALUE"""),162.0)</f>
        <v>162</v>
      </c>
      <c r="B163" s="131"/>
      <c r="C163" s="131">
        <f>IFERROR(__xludf.DUMMYFUNCTION("""COMPUTED_VALUE"""),140.0)</f>
        <v>140</v>
      </c>
      <c r="D163" s="131" t="b">
        <f>IFERROR(__xludf.DUMMYFUNCTION("""COMPUTED_VALUE"""),FALSE)</f>
        <v>0</v>
      </c>
      <c r="E163" s="109" t="str">
        <f>IFERROR(__xludf.DUMMYFUNCTION("""COMPUTED_VALUE"""),"PERALTA")</f>
        <v>PERALTA</v>
      </c>
      <c r="F163" s="109" t="str">
        <f>IFERROR(__xludf.DUMMYFUNCTION("""COMPUTED_VALUE"""),"YEN")</f>
        <v>YEN</v>
      </c>
    </row>
    <row r="164">
      <c r="A164" s="131">
        <f>IFERROR(__xludf.DUMMYFUNCTION("""COMPUTED_VALUE"""),163.0)</f>
        <v>163</v>
      </c>
      <c r="B164" s="131"/>
      <c r="C164" s="131">
        <f>IFERROR(__xludf.DUMMYFUNCTION("""COMPUTED_VALUE"""),140.0)</f>
        <v>140</v>
      </c>
      <c r="D164" s="131" t="b">
        <f>IFERROR(__xludf.DUMMYFUNCTION("""COMPUTED_VALUE"""),FALSE)</f>
        <v>0</v>
      </c>
      <c r="E164" s="109" t="str">
        <f>IFERROR(__xludf.DUMMYFUNCTION("""COMPUTED_VALUE"""),"TAN SANCHEZ")</f>
        <v>TAN SANCHEZ</v>
      </c>
      <c r="F164" s="109" t="str">
        <f>IFERROR(__xludf.DUMMYFUNCTION("""COMPUTED_VALUE"""),"MARY KHAYE")</f>
        <v>MARY KHAYE</v>
      </c>
    </row>
    <row r="165">
      <c r="A165" s="131">
        <f>IFERROR(__xludf.DUMMYFUNCTION("""COMPUTED_VALUE"""),164.0)</f>
        <v>164</v>
      </c>
      <c r="B165" s="131"/>
      <c r="C165" s="131">
        <f>IFERROR(__xludf.DUMMYFUNCTION("""COMPUTED_VALUE"""),140.0)</f>
        <v>140</v>
      </c>
      <c r="D165" s="131" t="b">
        <f>IFERROR(__xludf.DUMMYFUNCTION("""COMPUTED_VALUE"""),FALSE)</f>
        <v>0</v>
      </c>
      <c r="E165" s="109" t="str">
        <f>IFERROR(__xludf.DUMMYFUNCTION("""COMPUTED_VALUE"""),"TANDUL")</f>
        <v>TANDUL</v>
      </c>
      <c r="F165" s="109" t="str">
        <f>IFERROR(__xludf.DUMMYFUNCTION("""COMPUTED_VALUE"""),"ELAIJAH")</f>
        <v>ELAIJAH</v>
      </c>
    </row>
    <row r="166">
      <c r="A166" s="131">
        <f>IFERROR(__xludf.DUMMYFUNCTION("""COMPUTED_VALUE"""),165.0)</f>
        <v>165</v>
      </c>
      <c r="B166" s="131"/>
      <c r="C166" s="131">
        <f>IFERROR(__xludf.DUMMYFUNCTION("""COMPUTED_VALUE"""),140.0)</f>
        <v>140</v>
      </c>
      <c r="D166" s="131" t="b">
        <f>IFERROR(__xludf.DUMMYFUNCTION("""COMPUTED_VALUE"""),FALSE)</f>
        <v>0</v>
      </c>
      <c r="E166" s="109" t="str">
        <f>IFERROR(__xludf.DUMMYFUNCTION("""COMPUTED_VALUE"""),"VILLONES")</f>
        <v>VILLONES</v>
      </c>
      <c r="F166" s="109" t="str">
        <f>IFERROR(__xludf.DUMMYFUNCTION("""COMPUTED_VALUE"""),"RHEA")</f>
        <v>RHEA</v>
      </c>
    </row>
    <row r="167">
      <c r="A167" s="131">
        <f>IFERROR(__xludf.DUMMYFUNCTION("""COMPUTED_VALUE"""),166.0)</f>
        <v>166</v>
      </c>
      <c r="B167" s="131"/>
      <c r="C167" s="131"/>
      <c r="D167" s="131" t="b">
        <f>IFERROR(__xludf.DUMMYFUNCTION("""COMPUTED_VALUE"""),FALSE)</f>
        <v>0</v>
      </c>
      <c r="E167" s="131"/>
      <c r="F167" s="131"/>
    </row>
    <row r="168">
      <c r="A168" s="131">
        <f>IFERROR(__xludf.DUMMYFUNCTION("""COMPUTED_VALUE"""),167.0)</f>
        <v>167</v>
      </c>
      <c r="B168" s="131"/>
      <c r="C168" s="131">
        <f>IFERROR(__xludf.DUMMYFUNCTION("""COMPUTED_VALUE"""),167.0)</f>
        <v>167</v>
      </c>
      <c r="D168" s="131" t="b">
        <f>IFERROR(__xludf.DUMMYFUNCTION("""COMPUTED_VALUE"""),TRUE)</f>
        <v>1</v>
      </c>
      <c r="E168" s="105" t="str">
        <f>IFERROR(__xludf.DUMMYFUNCTION("""COMPUTED_VALUE"""),"DE-DIOS")</f>
        <v>DE-DIOS</v>
      </c>
      <c r="F168" s="105" t="str">
        <f>IFERROR(__xludf.DUMMYFUNCTION("""COMPUTED_VALUE"""),"JAY-EL")</f>
        <v>JAY-EL</v>
      </c>
    </row>
    <row r="169">
      <c r="A169" s="131">
        <f>IFERROR(__xludf.DUMMYFUNCTION("""COMPUTED_VALUE"""),168.0)</f>
        <v>168</v>
      </c>
      <c r="B169" s="131"/>
      <c r="C169" s="131">
        <f>IFERROR(__xludf.DUMMYFUNCTION("""COMPUTED_VALUE"""),167.0)</f>
        <v>167</v>
      </c>
      <c r="D169" s="131" t="b">
        <f>IFERROR(__xludf.DUMMYFUNCTION("""COMPUTED_VALUE"""),FALSE)</f>
        <v>0</v>
      </c>
      <c r="E169" s="107" t="str">
        <f>IFERROR(__xludf.DUMMYFUNCTION("""COMPUTED_VALUE"""),"BARONGGO")</f>
        <v>BARONGGO</v>
      </c>
      <c r="F169" s="107" t="str">
        <f>IFERROR(__xludf.DUMMYFUNCTION("""COMPUTED_VALUE"""),"FRANK")</f>
        <v>FRANK</v>
      </c>
    </row>
    <row r="170">
      <c r="A170" s="131">
        <f>IFERROR(__xludf.DUMMYFUNCTION("""COMPUTED_VALUE"""),169.0)</f>
        <v>169</v>
      </c>
      <c r="B170" s="131"/>
      <c r="C170" s="131">
        <f>IFERROR(__xludf.DUMMYFUNCTION("""COMPUTED_VALUE"""),167.0)</f>
        <v>167</v>
      </c>
      <c r="D170" s="131" t="b">
        <f>IFERROR(__xludf.DUMMYFUNCTION("""COMPUTED_VALUE"""),FALSE)</f>
        <v>0</v>
      </c>
      <c r="E170" s="107" t="str">
        <f>IFERROR(__xludf.DUMMYFUNCTION("""COMPUTED_VALUE"""),"ABENOJAR")</f>
        <v>ABENOJAR</v>
      </c>
      <c r="F170" s="107" t="str">
        <f>IFERROR(__xludf.DUMMYFUNCTION("""COMPUTED_VALUE"""),"CLIFFORD")</f>
        <v>CLIFFORD</v>
      </c>
    </row>
    <row r="171">
      <c r="A171" s="131">
        <f>IFERROR(__xludf.DUMMYFUNCTION("""COMPUTED_VALUE"""),170.0)</f>
        <v>170</v>
      </c>
      <c r="B171" s="131"/>
      <c r="C171" s="131">
        <f>IFERROR(__xludf.DUMMYFUNCTION("""COMPUTED_VALUE"""),167.0)</f>
        <v>167</v>
      </c>
      <c r="D171" s="131" t="b">
        <f>IFERROR(__xludf.DUMMYFUNCTION("""COMPUTED_VALUE"""),FALSE)</f>
        <v>0</v>
      </c>
      <c r="E171" s="107" t="str">
        <f>IFERROR(__xludf.DUMMYFUNCTION("""COMPUTED_VALUE"""),"ABUS")</f>
        <v>ABUS</v>
      </c>
      <c r="F171" s="107" t="str">
        <f>IFERROR(__xludf.DUMMYFUNCTION("""COMPUTED_VALUE"""),"RV PETER")</f>
        <v>RV PETER</v>
      </c>
    </row>
    <row r="172">
      <c r="A172" s="131">
        <f>IFERROR(__xludf.DUMMYFUNCTION("""COMPUTED_VALUE"""),171.0)</f>
        <v>171</v>
      </c>
      <c r="B172" s="131"/>
      <c r="C172" s="131">
        <f>IFERROR(__xludf.DUMMYFUNCTION("""COMPUTED_VALUE"""),167.0)</f>
        <v>167</v>
      </c>
      <c r="D172" s="131" t="b">
        <f>IFERROR(__xludf.DUMMYFUNCTION("""COMPUTED_VALUE"""),FALSE)</f>
        <v>0</v>
      </c>
      <c r="E172" s="107" t="str">
        <f>IFERROR(__xludf.DUMMYFUNCTION("""COMPUTED_VALUE"""),"ANTONIO")</f>
        <v>ANTONIO</v>
      </c>
      <c r="F172" s="107" t="str">
        <f>IFERROR(__xludf.DUMMYFUNCTION("""COMPUTED_VALUE"""),"DON")</f>
        <v>DON</v>
      </c>
    </row>
    <row r="173">
      <c r="A173" s="131">
        <f>IFERROR(__xludf.DUMMYFUNCTION("""COMPUTED_VALUE"""),172.0)</f>
        <v>172</v>
      </c>
      <c r="B173" s="131"/>
      <c r="C173" s="131">
        <f>IFERROR(__xludf.DUMMYFUNCTION("""COMPUTED_VALUE"""),167.0)</f>
        <v>167</v>
      </c>
      <c r="D173" s="131" t="b">
        <f>IFERROR(__xludf.DUMMYFUNCTION("""COMPUTED_VALUE"""),FALSE)</f>
        <v>0</v>
      </c>
      <c r="E173" s="107" t="str">
        <f>IFERROR(__xludf.DUMMYFUNCTION("""COMPUTED_VALUE"""),"BERDIN")</f>
        <v>BERDIN</v>
      </c>
      <c r="F173" s="107" t="str">
        <f>IFERROR(__xludf.DUMMYFUNCTION("""COMPUTED_VALUE"""),"KURT")</f>
        <v>KURT</v>
      </c>
    </row>
    <row r="174">
      <c r="A174" s="131">
        <f>IFERROR(__xludf.DUMMYFUNCTION("""COMPUTED_VALUE"""),173.0)</f>
        <v>173</v>
      </c>
      <c r="B174" s="131"/>
      <c r="C174" s="131">
        <f>IFERROR(__xludf.DUMMYFUNCTION("""COMPUTED_VALUE"""),167.0)</f>
        <v>167</v>
      </c>
      <c r="D174" s="131" t="b">
        <f>IFERROR(__xludf.DUMMYFUNCTION("""COMPUTED_VALUE"""),FALSE)</f>
        <v>0</v>
      </c>
      <c r="E174" s="107" t="str">
        <f>IFERROR(__xludf.DUMMYFUNCTION("""COMPUTED_VALUE"""),"CALUBIRAN")</f>
        <v>CALUBIRAN</v>
      </c>
      <c r="F174" s="107" t="str">
        <f>IFERROR(__xludf.DUMMYFUNCTION("""COMPUTED_VALUE"""),"JOEL")</f>
        <v>JOEL</v>
      </c>
    </row>
    <row r="175">
      <c r="A175" s="131">
        <f>IFERROR(__xludf.DUMMYFUNCTION("""COMPUTED_VALUE"""),174.0)</f>
        <v>174</v>
      </c>
      <c r="B175" s="131"/>
      <c r="C175" s="131">
        <f>IFERROR(__xludf.DUMMYFUNCTION("""COMPUTED_VALUE"""),167.0)</f>
        <v>167</v>
      </c>
      <c r="D175" s="131" t="b">
        <f>IFERROR(__xludf.DUMMYFUNCTION("""COMPUTED_VALUE"""),FALSE)</f>
        <v>0</v>
      </c>
      <c r="E175" s="107" t="str">
        <f>IFERROR(__xludf.DUMMYFUNCTION("""COMPUTED_VALUE"""),"CARANGAN")</f>
        <v>CARANGAN</v>
      </c>
      <c r="F175" s="107" t="str">
        <f>IFERROR(__xludf.DUMMYFUNCTION("""COMPUTED_VALUE"""),"LANCE")</f>
        <v>LANCE</v>
      </c>
    </row>
    <row r="176">
      <c r="A176" s="131">
        <f>IFERROR(__xludf.DUMMYFUNCTION("""COMPUTED_VALUE"""),175.0)</f>
        <v>175</v>
      </c>
      <c r="B176" s="131"/>
      <c r="C176" s="131">
        <f>IFERROR(__xludf.DUMMYFUNCTION("""COMPUTED_VALUE"""),167.0)</f>
        <v>167</v>
      </c>
      <c r="D176" s="131" t="b">
        <f>IFERROR(__xludf.DUMMYFUNCTION("""COMPUTED_VALUE"""),FALSE)</f>
        <v>0</v>
      </c>
      <c r="E176" s="107" t="str">
        <f>IFERROR(__xludf.DUMMYFUNCTION("""COMPUTED_VALUE"""),"CASINUSIMAN")</f>
        <v>CASINUSIMAN</v>
      </c>
      <c r="F176" s="107" t="str">
        <f>IFERROR(__xludf.DUMMYFUNCTION("""COMPUTED_VALUE"""),"RAINER")</f>
        <v>RAINER</v>
      </c>
    </row>
    <row r="177">
      <c r="A177" s="131">
        <f>IFERROR(__xludf.DUMMYFUNCTION("""COMPUTED_VALUE"""),176.0)</f>
        <v>176</v>
      </c>
      <c r="B177" s="131"/>
      <c r="C177" s="131">
        <f>IFERROR(__xludf.DUMMYFUNCTION("""COMPUTED_VALUE"""),167.0)</f>
        <v>167</v>
      </c>
      <c r="D177" s="131" t="b">
        <f>IFERROR(__xludf.DUMMYFUNCTION("""COMPUTED_VALUE"""),FALSE)</f>
        <v>0</v>
      </c>
      <c r="E177" s="107" t="str">
        <f>IFERROR(__xludf.DUMMYFUNCTION("""COMPUTED_VALUE"""),"CORVERA")</f>
        <v>CORVERA</v>
      </c>
      <c r="F177" s="107" t="str">
        <f>IFERROR(__xludf.DUMMYFUNCTION("""COMPUTED_VALUE"""),"FLORENCE")</f>
        <v>FLORENCE</v>
      </c>
    </row>
    <row r="178">
      <c r="A178" s="131">
        <f>IFERROR(__xludf.DUMMYFUNCTION("""COMPUTED_VALUE"""),177.0)</f>
        <v>177</v>
      </c>
      <c r="B178" s="131"/>
      <c r="C178" s="131">
        <f>IFERROR(__xludf.DUMMYFUNCTION("""COMPUTED_VALUE"""),167.0)</f>
        <v>167</v>
      </c>
      <c r="D178" s="131" t="b">
        <f>IFERROR(__xludf.DUMMYFUNCTION("""COMPUTED_VALUE"""),FALSE)</f>
        <v>0</v>
      </c>
      <c r="E178" s="107" t="str">
        <f>IFERROR(__xludf.DUMMYFUNCTION("""COMPUTED_VALUE"""),"DABALOS")</f>
        <v>DABALOS</v>
      </c>
      <c r="F178" s="107" t="str">
        <f>IFERROR(__xludf.DUMMYFUNCTION("""COMPUTED_VALUE"""),"MERVIN")</f>
        <v>MERVIN</v>
      </c>
    </row>
    <row r="179">
      <c r="A179" s="131">
        <f>IFERROR(__xludf.DUMMYFUNCTION("""COMPUTED_VALUE"""),178.0)</f>
        <v>178</v>
      </c>
      <c r="B179" s="131"/>
      <c r="C179" s="131">
        <f>IFERROR(__xludf.DUMMYFUNCTION("""COMPUTED_VALUE"""),167.0)</f>
        <v>167</v>
      </c>
      <c r="D179" s="131" t="b">
        <f>IFERROR(__xludf.DUMMYFUNCTION("""COMPUTED_VALUE"""),FALSE)</f>
        <v>0</v>
      </c>
      <c r="E179" s="107" t="str">
        <f>IFERROR(__xludf.DUMMYFUNCTION("""COMPUTED_VALUE"""),"DATO")</f>
        <v>DATO</v>
      </c>
      <c r="F179" s="107" t="str">
        <f>IFERROR(__xludf.DUMMYFUNCTION("""COMPUTED_VALUE"""),"JOHN AL")</f>
        <v>JOHN AL</v>
      </c>
    </row>
    <row r="180">
      <c r="A180" s="131">
        <f>IFERROR(__xludf.DUMMYFUNCTION("""COMPUTED_VALUE"""),179.0)</f>
        <v>179</v>
      </c>
      <c r="B180" s="131"/>
      <c r="C180" s="131">
        <f>IFERROR(__xludf.DUMMYFUNCTION("""COMPUTED_VALUE"""),167.0)</f>
        <v>167</v>
      </c>
      <c r="D180" s="131" t="b">
        <f>IFERROR(__xludf.DUMMYFUNCTION("""COMPUTED_VALUE"""),FALSE)</f>
        <v>0</v>
      </c>
      <c r="E180" s="107" t="str">
        <f>IFERROR(__xludf.DUMMYFUNCTION("""COMPUTED_VALUE"""),"DELA CRUZ")</f>
        <v>DELA CRUZ</v>
      </c>
      <c r="F180" s="107" t="str">
        <f>IFERROR(__xludf.DUMMYFUNCTION("""COMPUTED_VALUE"""),"DYLAN")</f>
        <v>DYLAN</v>
      </c>
    </row>
    <row r="181">
      <c r="A181" s="131">
        <f>IFERROR(__xludf.DUMMYFUNCTION("""COMPUTED_VALUE"""),180.0)</f>
        <v>180</v>
      </c>
      <c r="B181" s="131"/>
      <c r="C181" s="131">
        <f>IFERROR(__xludf.DUMMYFUNCTION("""COMPUTED_VALUE"""),167.0)</f>
        <v>167</v>
      </c>
      <c r="D181" s="131" t="b">
        <f>IFERROR(__xludf.DUMMYFUNCTION("""COMPUTED_VALUE"""),FALSE)</f>
        <v>0</v>
      </c>
      <c r="E181" s="107" t="str">
        <f>IFERROR(__xludf.DUMMYFUNCTION("""COMPUTED_VALUE"""),"DELA PEÑA")</f>
        <v>DELA PEÑA</v>
      </c>
      <c r="F181" s="107" t="str">
        <f>IFERROR(__xludf.DUMMYFUNCTION("""COMPUTED_VALUE"""),"ACEL")</f>
        <v>ACEL</v>
      </c>
    </row>
    <row r="182">
      <c r="A182" s="131">
        <f>IFERROR(__xludf.DUMMYFUNCTION("""COMPUTED_VALUE"""),181.0)</f>
        <v>181</v>
      </c>
      <c r="B182" s="131"/>
      <c r="C182" s="131">
        <f>IFERROR(__xludf.DUMMYFUNCTION("""COMPUTED_VALUE"""),167.0)</f>
        <v>167</v>
      </c>
      <c r="D182" s="131" t="b">
        <f>IFERROR(__xludf.DUMMYFUNCTION("""COMPUTED_VALUE"""),FALSE)</f>
        <v>0</v>
      </c>
      <c r="E182" s="107" t="str">
        <f>IFERROR(__xludf.DUMMYFUNCTION("""COMPUTED_VALUE"""),"DELECTOR")</f>
        <v>DELECTOR</v>
      </c>
      <c r="F182" s="107" t="str">
        <f>IFERROR(__xludf.DUMMYFUNCTION("""COMPUTED_VALUE"""),"FRANCIS CRISTEL")</f>
        <v>FRANCIS CRISTEL</v>
      </c>
    </row>
    <row r="183">
      <c r="A183" s="131">
        <f>IFERROR(__xludf.DUMMYFUNCTION("""COMPUTED_VALUE"""),182.0)</f>
        <v>182</v>
      </c>
      <c r="B183" s="131"/>
      <c r="C183" s="131">
        <f>IFERROR(__xludf.DUMMYFUNCTION("""COMPUTED_VALUE"""),167.0)</f>
        <v>167</v>
      </c>
      <c r="D183" s="131" t="b">
        <f>IFERROR(__xludf.DUMMYFUNCTION("""COMPUTED_VALUE"""),FALSE)</f>
        <v>0</v>
      </c>
      <c r="E183" s="107" t="str">
        <f>IFERROR(__xludf.DUMMYFUNCTION("""COMPUTED_VALUE"""),"DELECTOR")</f>
        <v>DELECTOR</v>
      </c>
      <c r="F183" s="107" t="str">
        <f>IFERROR(__xludf.DUMMYFUNCTION("""COMPUTED_VALUE"""),"FRANZINE CARLO")</f>
        <v>FRANZINE CARLO</v>
      </c>
    </row>
    <row r="184">
      <c r="A184" s="131">
        <f>IFERROR(__xludf.DUMMYFUNCTION("""COMPUTED_VALUE"""),183.0)</f>
        <v>183</v>
      </c>
      <c r="B184" s="131"/>
      <c r="C184" s="131">
        <f>IFERROR(__xludf.DUMMYFUNCTION("""COMPUTED_VALUE"""),167.0)</f>
        <v>167</v>
      </c>
      <c r="D184" s="131" t="b">
        <f>IFERROR(__xludf.DUMMYFUNCTION("""COMPUTED_VALUE"""),FALSE)</f>
        <v>0</v>
      </c>
      <c r="E184" s="107" t="str">
        <f>IFERROR(__xludf.DUMMYFUNCTION("""COMPUTED_VALUE"""),"FRONDA")</f>
        <v>FRONDA</v>
      </c>
      <c r="F184" s="107" t="str">
        <f>IFERROR(__xludf.DUMMYFUNCTION("""COMPUTED_VALUE"""),"ED")</f>
        <v>ED</v>
      </c>
    </row>
    <row r="185">
      <c r="A185" s="131">
        <f>IFERROR(__xludf.DUMMYFUNCTION("""COMPUTED_VALUE"""),184.0)</f>
        <v>184</v>
      </c>
      <c r="B185" s="131"/>
      <c r="C185" s="131">
        <f>IFERROR(__xludf.DUMMYFUNCTION("""COMPUTED_VALUE"""),167.0)</f>
        <v>167</v>
      </c>
      <c r="D185" s="131" t="b">
        <f>IFERROR(__xludf.DUMMYFUNCTION("""COMPUTED_VALUE"""),FALSE)</f>
        <v>0</v>
      </c>
      <c r="E185" s="107" t="str">
        <f>IFERROR(__xludf.DUMMYFUNCTION("""COMPUTED_VALUE"""),"GELICAME")</f>
        <v>GELICAME</v>
      </c>
      <c r="F185" s="107" t="str">
        <f>IFERROR(__xludf.DUMMYFUNCTION("""COMPUTED_VALUE"""),"ALJHUN")</f>
        <v>ALJHUN</v>
      </c>
    </row>
    <row r="186">
      <c r="A186" s="131">
        <f>IFERROR(__xludf.DUMMYFUNCTION("""COMPUTED_VALUE"""),185.0)</f>
        <v>185</v>
      </c>
      <c r="B186" s="131"/>
      <c r="C186" s="131">
        <f>IFERROR(__xludf.DUMMYFUNCTION("""COMPUTED_VALUE"""),167.0)</f>
        <v>167</v>
      </c>
      <c r="D186" s="131" t="b">
        <f>IFERROR(__xludf.DUMMYFUNCTION("""COMPUTED_VALUE"""),FALSE)</f>
        <v>0</v>
      </c>
      <c r="E186" s="107" t="str">
        <f>IFERROR(__xludf.DUMMYFUNCTION("""COMPUTED_VALUE"""),"LABAYNE")</f>
        <v>LABAYNE</v>
      </c>
      <c r="F186" s="107" t="str">
        <f>IFERROR(__xludf.DUMMYFUNCTION("""COMPUTED_VALUE"""),"JOSHUA")</f>
        <v>JOSHUA</v>
      </c>
    </row>
    <row r="187">
      <c r="A187" s="131">
        <f>IFERROR(__xludf.DUMMYFUNCTION("""COMPUTED_VALUE"""),186.0)</f>
        <v>186</v>
      </c>
      <c r="B187" s="131"/>
      <c r="C187" s="131">
        <f>IFERROR(__xludf.DUMMYFUNCTION("""COMPUTED_VALUE"""),167.0)</f>
        <v>167</v>
      </c>
      <c r="D187" s="131" t="b">
        <f>IFERROR(__xludf.DUMMYFUNCTION("""COMPUTED_VALUE"""),FALSE)</f>
        <v>0</v>
      </c>
      <c r="E187" s="107" t="str">
        <f>IFERROR(__xludf.DUMMYFUNCTION("""COMPUTED_VALUE"""),"LABAYNE")</f>
        <v>LABAYNE</v>
      </c>
      <c r="F187" s="107" t="str">
        <f>IFERROR(__xludf.DUMMYFUNCTION("""COMPUTED_VALUE"""),"MARK")</f>
        <v>MARK</v>
      </c>
    </row>
    <row r="188">
      <c r="A188" s="131">
        <f>IFERROR(__xludf.DUMMYFUNCTION("""COMPUTED_VALUE"""),187.0)</f>
        <v>187</v>
      </c>
      <c r="B188" s="131"/>
      <c r="C188" s="131">
        <f>IFERROR(__xludf.DUMMYFUNCTION("""COMPUTED_VALUE"""),167.0)</f>
        <v>167</v>
      </c>
      <c r="D188" s="131" t="b">
        <f>IFERROR(__xludf.DUMMYFUNCTION("""COMPUTED_VALUE"""),FALSE)</f>
        <v>0</v>
      </c>
      <c r="E188" s="107" t="str">
        <f>IFERROR(__xludf.DUMMYFUNCTION("""COMPUTED_VALUE"""),"LABAYNE")</f>
        <v>LABAYNE</v>
      </c>
      <c r="F188" s="107" t="str">
        <f>IFERROR(__xludf.DUMMYFUNCTION("""COMPUTED_VALUE"""),"JAMES")</f>
        <v>JAMES</v>
      </c>
    </row>
    <row r="189">
      <c r="A189" s="131">
        <f>IFERROR(__xludf.DUMMYFUNCTION("""COMPUTED_VALUE"""),188.0)</f>
        <v>188</v>
      </c>
      <c r="B189" s="131"/>
      <c r="C189" s="131">
        <f>IFERROR(__xludf.DUMMYFUNCTION("""COMPUTED_VALUE"""),167.0)</f>
        <v>167</v>
      </c>
      <c r="D189" s="131" t="b">
        <f>IFERROR(__xludf.DUMMYFUNCTION("""COMPUTED_VALUE"""),FALSE)</f>
        <v>0</v>
      </c>
      <c r="E189" s="107" t="str">
        <f>IFERROR(__xludf.DUMMYFUNCTION("""COMPUTED_VALUE"""),"LLORENTE")</f>
        <v>LLORENTE</v>
      </c>
      <c r="F189" s="107" t="str">
        <f>IFERROR(__xludf.DUMMYFUNCTION("""COMPUTED_VALUE"""),"MILLS")</f>
        <v>MILLS</v>
      </c>
    </row>
    <row r="190">
      <c r="A190" s="131">
        <f>IFERROR(__xludf.DUMMYFUNCTION("""COMPUTED_VALUE"""),189.0)</f>
        <v>189</v>
      </c>
      <c r="B190" s="131"/>
      <c r="C190" s="131">
        <f>IFERROR(__xludf.DUMMYFUNCTION("""COMPUTED_VALUE"""),167.0)</f>
        <v>167</v>
      </c>
      <c r="D190" s="131" t="b">
        <f>IFERROR(__xludf.DUMMYFUNCTION("""COMPUTED_VALUE"""),FALSE)</f>
        <v>0</v>
      </c>
      <c r="E190" s="107" t="str">
        <f>IFERROR(__xludf.DUMMYFUNCTION("""COMPUTED_VALUE"""),"MANUEL")</f>
        <v>MANUEL</v>
      </c>
      <c r="F190" s="107" t="str">
        <f>IFERROR(__xludf.DUMMYFUNCTION("""COMPUTED_VALUE"""),"JOHN MARK")</f>
        <v>JOHN MARK</v>
      </c>
    </row>
    <row r="191">
      <c r="A191" s="131">
        <f>IFERROR(__xludf.DUMMYFUNCTION("""COMPUTED_VALUE"""),190.0)</f>
        <v>190</v>
      </c>
      <c r="B191" s="131"/>
      <c r="C191" s="131">
        <f>IFERROR(__xludf.DUMMYFUNCTION("""COMPUTED_VALUE"""),167.0)</f>
        <v>167</v>
      </c>
      <c r="D191" s="131" t="b">
        <f>IFERROR(__xludf.DUMMYFUNCTION("""COMPUTED_VALUE"""),FALSE)</f>
        <v>0</v>
      </c>
      <c r="E191" s="107" t="str">
        <f>IFERROR(__xludf.DUMMYFUNCTION("""COMPUTED_VALUE"""),"MENDOZA")</f>
        <v>MENDOZA</v>
      </c>
      <c r="F191" s="107" t="str">
        <f>IFERROR(__xludf.DUMMYFUNCTION("""COMPUTED_VALUE"""),"JM")</f>
        <v>JM</v>
      </c>
    </row>
    <row r="192">
      <c r="A192" s="131">
        <f>IFERROR(__xludf.DUMMYFUNCTION("""COMPUTED_VALUE"""),191.0)</f>
        <v>191</v>
      </c>
      <c r="B192" s="131"/>
      <c r="C192" s="131">
        <f>IFERROR(__xludf.DUMMYFUNCTION("""COMPUTED_VALUE"""),167.0)</f>
        <v>167</v>
      </c>
      <c r="D192" s="131" t="b">
        <f>IFERROR(__xludf.DUMMYFUNCTION("""COMPUTED_VALUE"""),FALSE)</f>
        <v>0</v>
      </c>
      <c r="E192" s="107" t="str">
        <f>IFERROR(__xludf.DUMMYFUNCTION("""COMPUTED_VALUE"""),"MOLINA")</f>
        <v>MOLINA</v>
      </c>
      <c r="F192" s="107" t="str">
        <f>IFERROR(__xludf.DUMMYFUNCTION("""COMPUTED_VALUE"""),"ADRIAN")</f>
        <v>ADRIAN</v>
      </c>
    </row>
    <row r="193">
      <c r="A193" s="131">
        <f>IFERROR(__xludf.DUMMYFUNCTION("""COMPUTED_VALUE"""),192.0)</f>
        <v>192</v>
      </c>
      <c r="B193" s="131"/>
      <c r="C193" s="131">
        <f>IFERROR(__xludf.DUMMYFUNCTION("""COMPUTED_VALUE"""),167.0)</f>
        <v>167</v>
      </c>
      <c r="D193" s="131" t="b">
        <f>IFERROR(__xludf.DUMMYFUNCTION("""COMPUTED_VALUE"""),FALSE)</f>
        <v>0</v>
      </c>
      <c r="E193" s="107" t="str">
        <f>IFERROR(__xludf.DUMMYFUNCTION("""COMPUTED_VALUE"""),"MONTECER")</f>
        <v>MONTECER</v>
      </c>
      <c r="F193" s="107" t="str">
        <f>IFERROR(__xludf.DUMMYFUNCTION("""COMPUTED_VALUE"""),"RYAN")</f>
        <v>RYAN</v>
      </c>
    </row>
    <row r="194">
      <c r="A194" s="131">
        <f>IFERROR(__xludf.DUMMYFUNCTION("""COMPUTED_VALUE"""),193.0)</f>
        <v>193</v>
      </c>
      <c r="B194" s="131"/>
      <c r="C194" s="131">
        <f>IFERROR(__xludf.DUMMYFUNCTION("""COMPUTED_VALUE"""),167.0)</f>
        <v>167</v>
      </c>
      <c r="D194" s="131" t="b">
        <f>IFERROR(__xludf.DUMMYFUNCTION("""COMPUTED_VALUE"""),FALSE)</f>
        <v>0</v>
      </c>
      <c r="E194" s="107" t="str">
        <f>IFERROR(__xludf.DUMMYFUNCTION("""COMPUTED_VALUE"""),"MOSQUITO")</f>
        <v>MOSQUITO</v>
      </c>
      <c r="F194" s="107" t="str">
        <f>IFERROR(__xludf.DUMMYFUNCTION("""COMPUTED_VALUE"""),"JOHN MARK")</f>
        <v>JOHN MARK</v>
      </c>
    </row>
    <row r="195">
      <c r="A195" s="131">
        <f>IFERROR(__xludf.DUMMYFUNCTION("""COMPUTED_VALUE"""),194.0)</f>
        <v>194</v>
      </c>
      <c r="B195" s="131"/>
      <c r="C195" s="131">
        <f>IFERROR(__xludf.DUMMYFUNCTION("""COMPUTED_VALUE"""),167.0)</f>
        <v>167</v>
      </c>
      <c r="D195" s="131" t="b">
        <f>IFERROR(__xludf.DUMMYFUNCTION("""COMPUTED_VALUE"""),FALSE)</f>
        <v>0</v>
      </c>
      <c r="E195" s="107" t="str">
        <f>IFERROR(__xludf.DUMMYFUNCTION("""COMPUTED_VALUE"""),"PASCUAL")</f>
        <v>PASCUAL</v>
      </c>
      <c r="F195" s="107" t="str">
        <f>IFERROR(__xludf.DUMMYFUNCTION("""COMPUTED_VALUE"""),"KIOSKE")</f>
        <v>KIOSKE</v>
      </c>
    </row>
    <row r="196">
      <c r="A196" s="131">
        <f>IFERROR(__xludf.DUMMYFUNCTION("""COMPUTED_VALUE"""),195.0)</f>
        <v>195</v>
      </c>
      <c r="B196" s="131"/>
      <c r="C196" s="131">
        <f>IFERROR(__xludf.DUMMYFUNCTION("""COMPUTED_VALUE"""),167.0)</f>
        <v>167</v>
      </c>
      <c r="D196" s="131" t="b">
        <f>IFERROR(__xludf.DUMMYFUNCTION("""COMPUTED_VALUE"""),FALSE)</f>
        <v>0</v>
      </c>
      <c r="E196" s="107" t="str">
        <f>IFERROR(__xludf.DUMMYFUNCTION("""COMPUTED_VALUE"""),"PERALTA")</f>
        <v>PERALTA</v>
      </c>
      <c r="F196" s="107" t="str">
        <f>IFERROR(__xludf.DUMMYFUNCTION("""COMPUTED_VALUE"""),"MARION")</f>
        <v>MARION</v>
      </c>
    </row>
    <row r="197">
      <c r="A197" s="131">
        <f>IFERROR(__xludf.DUMMYFUNCTION("""COMPUTED_VALUE"""),196.0)</f>
        <v>196</v>
      </c>
      <c r="B197" s="131"/>
      <c r="C197" s="131">
        <f>IFERROR(__xludf.DUMMYFUNCTION("""COMPUTED_VALUE"""),167.0)</f>
        <v>167</v>
      </c>
      <c r="D197" s="131" t="b">
        <f>IFERROR(__xludf.DUMMYFUNCTION("""COMPUTED_VALUE"""),FALSE)</f>
        <v>0</v>
      </c>
      <c r="E197" s="107" t="str">
        <f>IFERROR(__xludf.DUMMYFUNCTION("""COMPUTED_VALUE"""),"RANOLA")</f>
        <v>RANOLA</v>
      </c>
      <c r="F197" s="107" t="str">
        <f>IFERROR(__xludf.DUMMYFUNCTION("""COMPUTED_VALUE"""),"JOHN GABRIELLE P.")</f>
        <v>JOHN GABRIELLE P.</v>
      </c>
    </row>
    <row r="198">
      <c r="A198" s="131">
        <f>IFERROR(__xludf.DUMMYFUNCTION("""COMPUTED_VALUE"""),197.0)</f>
        <v>197</v>
      </c>
      <c r="B198" s="131"/>
      <c r="C198" s="131">
        <f>IFERROR(__xludf.DUMMYFUNCTION("""COMPUTED_VALUE"""),167.0)</f>
        <v>167</v>
      </c>
      <c r="D198" s="131" t="b">
        <f>IFERROR(__xludf.DUMMYFUNCTION("""COMPUTED_VALUE"""),FALSE)</f>
        <v>0</v>
      </c>
      <c r="E198" s="107" t="str">
        <f>IFERROR(__xludf.DUMMYFUNCTION("""COMPUTED_VALUE"""),"REMOPALOS")</f>
        <v>REMOPALOS</v>
      </c>
      <c r="F198" s="107" t="str">
        <f>IFERROR(__xludf.DUMMYFUNCTION("""COMPUTED_VALUE"""),"ZION")</f>
        <v>ZION</v>
      </c>
    </row>
    <row r="199">
      <c r="A199" s="131">
        <f>IFERROR(__xludf.DUMMYFUNCTION("""COMPUTED_VALUE"""),198.0)</f>
        <v>198</v>
      </c>
      <c r="B199" s="131"/>
      <c r="C199" s="131">
        <f>IFERROR(__xludf.DUMMYFUNCTION("""COMPUTED_VALUE"""),167.0)</f>
        <v>167</v>
      </c>
      <c r="D199" s="131" t="b">
        <f>IFERROR(__xludf.DUMMYFUNCTION("""COMPUTED_VALUE"""),FALSE)</f>
        <v>0</v>
      </c>
      <c r="E199" s="107" t="str">
        <f>IFERROR(__xludf.DUMMYFUNCTION("""COMPUTED_VALUE"""),"ROSAL")</f>
        <v>ROSAL</v>
      </c>
      <c r="F199" s="107" t="str">
        <f>IFERROR(__xludf.DUMMYFUNCTION("""COMPUTED_VALUE"""),"CYRUS JOSEPH")</f>
        <v>CYRUS JOSEPH</v>
      </c>
    </row>
    <row r="200">
      <c r="A200" s="131">
        <f>IFERROR(__xludf.DUMMYFUNCTION("""COMPUTED_VALUE"""),199.0)</f>
        <v>199</v>
      </c>
      <c r="B200" s="131"/>
      <c r="C200" s="131">
        <f>IFERROR(__xludf.DUMMYFUNCTION("""COMPUTED_VALUE"""),167.0)</f>
        <v>167</v>
      </c>
      <c r="D200" s="131" t="b">
        <f>IFERROR(__xludf.DUMMYFUNCTION("""COMPUTED_VALUE"""),FALSE)</f>
        <v>0</v>
      </c>
      <c r="E200" s="107" t="str">
        <f>IFERROR(__xludf.DUMMYFUNCTION("""COMPUTED_VALUE"""),"SAMONTANES")</f>
        <v>SAMONTANES</v>
      </c>
      <c r="F200" s="107" t="str">
        <f>IFERROR(__xludf.DUMMYFUNCTION("""COMPUTED_VALUE"""),"DAVID")</f>
        <v>DAVID</v>
      </c>
    </row>
    <row r="201">
      <c r="A201" s="131">
        <f>IFERROR(__xludf.DUMMYFUNCTION("""COMPUTED_VALUE"""),200.0)</f>
        <v>200</v>
      </c>
      <c r="B201" s="131"/>
      <c r="C201" s="131">
        <f>IFERROR(__xludf.DUMMYFUNCTION("""COMPUTED_VALUE"""),167.0)</f>
        <v>167</v>
      </c>
      <c r="D201" s="131" t="b">
        <f>IFERROR(__xludf.DUMMYFUNCTION("""COMPUTED_VALUE"""),FALSE)</f>
        <v>0</v>
      </c>
      <c r="E201" s="107" t="str">
        <f>IFERROR(__xludf.DUMMYFUNCTION("""COMPUTED_VALUE"""),"SISON")</f>
        <v>SISON</v>
      </c>
      <c r="F201" s="107" t="str">
        <f>IFERROR(__xludf.DUMMYFUNCTION("""COMPUTED_VALUE"""),"RAVEN JAZZ")</f>
        <v>RAVEN JAZZ</v>
      </c>
    </row>
    <row r="202">
      <c r="A202" s="131">
        <f>IFERROR(__xludf.DUMMYFUNCTION("""COMPUTED_VALUE"""),201.0)</f>
        <v>201</v>
      </c>
      <c r="B202" s="131"/>
      <c r="C202" s="131">
        <f>IFERROR(__xludf.DUMMYFUNCTION("""COMPUTED_VALUE"""),167.0)</f>
        <v>167</v>
      </c>
      <c r="D202" s="131" t="b">
        <f>IFERROR(__xludf.DUMMYFUNCTION("""COMPUTED_VALUE"""),FALSE)</f>
        <v>0</v>
      </c>
      <c r="E202" s="107" t="str">
        <f>IFERROR(__xludf.DUMMYFUNCTION("""COMPUTED_VALUE"""),"SOMERA")</f>
        <v>SOMERA</v>
      </c>
      <c r="F202" s="107" t="str">
        <f>IFERROR(__xludf.DUMMYFUNCTION("""COMPUTED_VALUE"""),"MICHAEL")</f>
        <v>MICHAEL</v>
      </c>
    </row>
    <row r="203">
      <c r="A203" s="131">
        <f>IFERROR(__xludf.DUMMYFUNCTION("""COMPUTED_VALUE"""),202.0)</f>
        <v>202</v>
      </c>
      <c r="B203" s="131"/>
      <c r="C203" s="131">
        <f>IFERROR(__xludf.DUMMYFUNCTION("""COMPUTED_VALUE"""),167.0)</f>
        <v>167</v>
      </c>
      <c r="D203" s="131" t="b">
        <f>IFERROR(__xludf.DUMMYFUNCTION("""COMPUTED_VALUE"""),FALSE)</f>
        <v>0</v>
      </c>
      <c r="E203" s="107" t="str">
        <f>IFERROR(__xludf.DUMMYFUNCTION("""COMPUTED_VALUE"""),"TAMIDLES")</f>
        <v>TAMIDLES</v>
      </c>
      <c r="F203" s="107" t="str">
        <f>IFERROR(__xludf.DUMMYFUNCTION("""COMPUTED_VALUE"""),"KARL")</f>
        <v>KARL</v>
      </c>
    </row>
    <row r="204">
      <c r="A204" s="131">
        <f>IFERROR(__xludf.DUMMYFUNCTION("""COMPUTED_VALUE"""),203.0)</f>
        <v>203</v>
      </c>
      <c r="B204" s="131"/>
      <c r="C204" s="131">
        <f>IFERROR(__xludf.DUMMYFUNCTION("""COMPUTED_VALUE"""),167.0)</f>
        <v>167</v>
      </c>
      <c r="D204" s="131" t="b">
        <f>IFERROR(__xludf.DUMMYFUNCTION("""COMPUTED_VALUE"""),FALSE)</f>
        <v>0</v>
      </c>
      <c r="E204" s="107" t="str">
        <f>IFERROR(__xludf.DUMMYFUNCTION("""COMPUTED_VALUE"""),"TAN")</f>
        <v>TAN</v>
      </c>
      <c r="F204" s="107" t="str">
        <f>IFERROR(__xludf.DUMMYFUNCTION("""COMPUTED_VALUE"""),"RAMON")</f>
        <v>RAMON</v>
      </c>
    </row>
    <row r="205">
      <c r="A205" s="131">
        <f>IFERROR(__xludf.DUMMYFUNCTION("""COMPUTED_VALUE"""),204.0)</f>
        <v>204</v>
      </c>
      <c r="B205" s="131"/>
      <c r="C205" s="131">
        <f>IFERROR(__xludf.DUMMYFUNCTION("""COMPUTED_VALUE"""),167.0)</f>
        <v>167</v>
      </c>
      <c r="D205" s="131" t="b">
        <f>IFERROR(__xludf.DUMMYFUNCTION("""COMPUTED_VALUE"""),FALSE)</f>
        <v>0</v>
      </c>
      <c r="E205" s="116" t="str">
        <f>IFERROR(__xludf.DUMMYFUNCTION("""COMPUTED_VALUE"""),"TOLEDO")</f>
        <v>TOLEDO</v>
      </c>
      <c r="F205" s="107" t="str">
        <f>IFERROR(__xludf.DUMMYFUNCTION("""COMPUTED_VALUE"""),"ASZHER")</f>
        <v>ASZHER</v>
      </c>
    </row>
    <row r="206">
      <c r="A206" s="131">
        <f>IFERROR(__xludf.DUMMYFUNCTION("""COMPUTED_VALUE"""),205.0)</f>
        <v>205</v>
      </c>
      <c r="B206" s="131"/>
      <c r="C206" s="131">
        <f>IFERROR(__xludf.DUMMYFUNCTION("""COMPUTED_VALUE"""),167.0)</f>
        <v>167</v>
      </c>
      <c r="D206" s="131" t="b">
        <f>IFERROR(__xludf.DUMMYFUNCTION("""COMPUTED_VALUE"""),FALSE)</f>
        <v>0</v>
      </c>
      <c r="E206" s="107" t="str">
        <f>IFERROR(__xludf.DUMMYFUNCTION("""COMPUTED_VALUE"""),"TAMIDLES")</f>
        <v>TAMIDLES</v>
      </c>
      <c r="F206" s="107" t="str">
        <f>IFERROR(__xludf.DUMMYFUNCTION("""COMPUTED_VALUE"""),"ZHAIRON")</f>
        <v>ZHAIRON</v>
      </c>
    </row>
    <row r="207">
      <c r="A207" s="131">
        <f>IFERROR(__xludf.DUMMYFUNCTION("""COMPUTED_VALUE"""),206.0)</f>
        <v>206</v>
      </c>
      <c r="B207" s="131"/>
      <c r="C207" s="131">
        <f>IFERROR(__xludf.DUMMYFUNCTION("""COMPUTED_VALUE"""),167.0)</f>
        <v>167</v>
      </c>
      <c r="D207" s="131" t="b">
        <f>IFERROR(__xludf.DUMMYFUNCTION("""COMPUTED_VALUE"""),FALSE)</f>
        <v>0</v>
      </c>
      <c r="E207" s="107" t="str">
        <f>IFERROR(__xludf.DUMMYFUNCTION("""COMPUTED_VALUE"""),"VERTUDAZO")</f>
        <v>VERTUDAZO</v>
      </c>
      <c r="F207" s="107" t="str">
        <f>IFERROR(__xludf.DUMMYFUNCTION("""COMPUTED_VALUE"""),"KENNETH")</f>
        <v>KENNETH</v>
      </c>
    </row>
    <row r="208">
      <c r="A208" s="131">
        <f>IFERROR(__xludf.DUMMYFUNCTION("""COMPUTED_VALUE"""),207.0)</f>
        <v>207</v>
      </c>
      <c r="B208" s="131"/>
      <c r="C208" s="131">
        <f>IFERROR(__xludf.DUMMYFUNCTION("""COMPUTED_VALUE"""),167.0)</f>
        <v>167</v>
      </c>
      <c r="D208" s="131" t="b">
        <f>IFERROR(__xludf.DUMMYFUNCTION("""COMPUTED_VALUE"""),FALSE)</f>
        <v>0</v>
      </c>
      <c r="E208" s="107" t="str">
        <f>IFERROR(__xludf.DUMMYFUNCTION("""COMPUTED_VALUE"""),"VILLARUEL")</f>
        <v>VILLARUEL</v>
      </c>
      <c r="F208" s="107" t="str">
        <f>IFERROR(__xludf.DUMMYFUNCTION("""COMPUTED_VALUE"""),"KIAN")</f>
        <v>KIAN</v>
      </c>
    </row>
    <row r="209">
      <c r="A209" s="131">
        <f>IFERROR(__xludf.DUMMYFUNCTION("""COMPUTED_VALUE"""),208.0)</f>
        <v>208</v>
      </c>
      <c r="B209" s="131"/>
      <c r="C209" s="131">
        <f>IFERROR(__xludf.DUMMYFUNCTION("""COMPUTED_VALUE"""),167.0)</f>
        <v>167</v>
      </c>
      <c r="D209" s="131" t="b">
        <f>IFERROR(__xludf.DUMMYFUNCTION("""COMPUTED_VALUE"""),FALSE)</f>
        <v>0</v>
      </c>
      <c r="E209" s="107" t="str">
        <f>IFERROR(__xludf.DUMMYFUNCTION("""COMPUTED_VALUE"""),"VILLARUEL")</f>
        <v>VILLARUEL</v>
      </c>
      <c r="F209" s="107" t="str">
        <f>IFERROR(__xludf.DUMMYFUNCTION("""COMPUTED_VALUE"""),"KYLE")</f>
        <v>KYLE</v>
      </c>
    </row>
    <row r="210">
      <c r="A210" s="131">
        <f>IFERROR(__xludf.DUMMYFUNCTION("""COMPUTED_VALUE"""),209.0)</f>
        <v>209</v>
      </c>
      <c r="B210" s="131"/>
      <c r="C210" s="131">
        <f>IFERROR(__xludf.DUMMYFUNCTION("""COMPUTED_VALUE"""),167.0)</f>
        <v>167</v>
      </c>
      <c r="D210" s="131" t="b">
        <f>IFERROR(__xludf.DUMMYFUNCTION("""COMPUTED_VALUE"""),FALSE)</f>
        <v>0</v>
      </c>
      <c r="E210" s="118" t="str">
        <f>IFERROR(__xludf.DUMMYFUNCTION("""COMPUTED_VALUE"""),"PADLAN")</f>
        <v>PADLAN</v>
      </c>
      <c r="F210" s="107" t="str">
        <f>IFERROR(__xludf.DUMMYFUNCTION("""COMPUTED_VALUE"""),"STEPHEN")</f>
        <v>STEPHEN</v>
      </c>
    </row>
    <row r="211">
      <c r="A211" s="131">
        <f>IFERROR(__xludf.DUMMYFUNCTION("""COMPUTED_VALUE"""),210.0)</f>
        <v>210</v>
      </c>
      <c r="B211" s="131"/>
      <c r="C211" s="131">
        <f>IFERROR(__xludf.DUMMYFUNCTION("""COMPUTED_VALUE"""),167.0)</f>
        <v>167</v>
      </c>
      <c r="D211" s="131" t="b">
        <f>IFERROR(__xludf.DUMMYFUNCTION("""COMPUTED_VALUE"""),FALSE)</f>
        <v>0</v>
      </c>
      <c r="E211" s="118"/>
      <c r="F211" s="107" t="str">
        <f>IFERROR(__xludf.DUMMYFUNCTION("""COMPUTED_VALUE"""),"SIMON")</f>
        <v>SIMON</v>
      </c>
    </row>
    <row r="212">
      <c r="A212" s="131">
        <f>IFERROR(__xludf.DUMMYFUNCTION("""COMPUTED_VALUE"""),211.0)</f>
        <v>211</v>
      </c>
      <c r="B212" s="131"/>
      <c r="C212" s="131">
        <f>IFERROR(__xludf.DUMMYFUNCTION("""COMPUTED_VALUE"""),167.0)</f>
        <v>167</v>
      </c>
      <c r="D212" s="131" t="b">
        <f>IFERROR(__xludf.DUMMYFUNCTION("""COMPUTED_VALUE"""),FALSE)</f>
        <v>0</v>
      </c>
      <c r="E212" s="118"/>
      <c r="F212" s="107" t="str">
        <f>IFERROR(__xludf.DUMMYFUNCTION("""COMPUTED_VALUE"""),"NICO")</f>
        <v>NICO</v>
      </c>
    </row>
    <row r="213">
      <c r="A213" s="131">
        <f>IFERROR(__xludf.DUMMYFUNCTION("""COMPUTED_VALUE"""),212.0)</f>
        <v>212</v>
      </c>
      <c r="B213" s="131"/>
      <c r="C213" s="131">
        <f>IFERROR(__xludf.DUMMYFUNCTION("""COMPUTED_VALUE"""),167.0)</f>
        <v>167</v>
      </c>
      <c r="D213" s="131" t="b">
        <f>IFERROR(__xludf.DUMMYFUNCTION("""COMPUTED_VALUE"""),FALSE)</f>
        <v>0</v>
      </c>
      <c r="E213" s="118"/>
      <c r="F213" s="107" t="str">
        <f>IFERROR(__xludf.DUMMYFUNCTION("""COMPUTED_VALUE"""),"JERVISH")</f>
        <v>JERVISH</v>
      </c>
    </row>
    <row r="214">
      <c r="A214" s="131">
        <f>IFERROR(__xludf.DUMMYFUNCTION("""COMPUTED_VALUE"""),213.0)</f>
        <v>213</v>
      </c>
      <c r="B214" s="131"/>
      <c r="C214" s="131">
        <f>IFERROR(__xludf.DUMMYFUNCTION("""COMPUTED_VALUE"""),23.0)</f>
        <v>23</v>
      </c>
      <c r="D214" s="131" t="b">
        <f>IFERROR(__xludf.DUMMYFUNCTION("""COMPUTED_VALUE"""),TRUE)</f>
        <v>1</v>
      </c>
      <c r="E214" s="105" t="str">
        <f>IFERROR(__xludf.DUMMYFUNCTION("""COMPUTED_VALUE"""),"UDAUNDO")</f>
        <v>UDAUNDO</v>
      </c>
      <c r="F214" s="105" t="str">
        <f>IFERROR(__xludf.DUMMYFUNCTION("""COMPUTED_VALUE"""),"RINOA MAE")</f>
        <v>RINOA MAE</v>
      </c>
    </row>
    <row r="215">
      <c r="A215" s="131">
        <f>IFERROR(__xludf.DUMMYFUNCTION("""COMPUTED_VALUE"""),214.0)</f>
        <v>214</v>
      </c>
      <c r="B215" s="131"/>
      <c r="C215" s="131">
        <f>IFERROR(__xludf.DUMMYFUNCTION("""COMPUTED_VALUE"""),23.0)</f>
        <v>23</v>
      </c>
      <c r="D215" s="131" t="b">
        <f>IFERROR(__xludf.DUMMYFUNCTION("""COMPUTED_VALUE"""),FALSE)</f>
        <v>0</v>
      </c>
      <c r="E215" s="107" t="str">
        <f>IFERROR(__xludf.DUMMYFUNCTION("""COMPUTED_VALUE"""),"CASERO")</f>
        <v>CASERO</v>
      </c>
      <c r="F215" s="107" t="str">
        <f>IFERROR(__xludf.DUMMYFUNCTION("""COMPUTED_VALUE"""),"AALIYAH")</f>
        <v>AALIYAH</v>
      </c>
    </row>
    <row r="216">
      <c r="A216" s="131">
        <f>IFERROR(__xludf.DUMMYFUNCTION("""COMPUTED_VALUE"""),215.0)</f>
        <v>215</v>
      </c>
      <c r="B216" s="131"/>
      <c r="C216" s="131">
        <f>IFERROR(__xludf.DUMMYFUNCTION("""COMPUTED_VALUE"""),23.0)</f>
        <v>23</v>
      </c>
      <c r="D216" s="131" t="b">
        <f>IFERROR(__xludf.DUMMYFUNCTION("""COMPUTED_VALUE"""),FALSE)</f>
        <v>0</v>
      </c>
      <c r="E216" s="107" t="str">
        <f>IFERROR(__xludf.DUMMYFUNCTION("""COMPUTED_VALUE"""),"CELASES")</f>
        <v>CELASES</v>
      </c>
      <c r="F216" s="107" t="str">
        <f>IFERROR(__xludf.DUMMYFUNCTION("""COMPUTED_VALUE"""),"SOFIA")</f>
        <v>SOFIA</v>
      </c>
    </row>
    <row r="217">
      <c r="A217" s="131">
        <f>IFERROR(__xludf.DUMMYFUNCTION("""COMPUTED_VALUE"""),216.0)</f>
        <v>216</v>
      </c>
      <c r="B217" s="131"/>
      <c r="C217" s="131">
        <f>IFERROR(__xludf.DUMMYFUNCTION("""COMPUTED_VALUE"""),23.0)</f>
        <v>23</v>
      </c>
      <c r="D217" s="131" t="b">
        <f>IFERROR(__xludf.DUMMYFUNCTION("""COMPUTED_VALUE"""),FALSE)</f>
        <v>0</v>
      </c>
      <c r="E217" s="107" t="str">
        <f>IFERROR(__xludf.DUMMYFUNCTION("""COMPUTED_VALUE"""),"LACONSAY")</f>
        <v>LACONSAY</v>
      </c>
      <c r="F217" s="107" t="str">
        <f>IFERROR(__xludf.DUMMYFUNCTION("""COMPUTED_VALUE"""),"MAIYA")</f>
        <v>MAIYA</v>
      </c>
    </row>
    <row r="218">
      <c r="A218" s="131">
        <f>IFERROR(__xludf.DUMMYFUNCTION("""COMPUTED_VALUE"""),217.0)</f>
        <v>217</v>
      </c>
      <c r="B218" s="131"/>
      <c r="C218" s="131">
        <f>IFERROR(__xludf.DUMMYFUNCTION("""COMPUTED_VALUE"""),23.0)</f>
        <v>23</v>
      </c>
      <c r="D218" s="131" t="b">
        <f>IFERROR(__xludf.DUMMYFUNCTION("""COMPUTED_VALUE"""),FALSE)</f>
        <v>0</v>
      </c>
      <c r="E218" s="107" t="str">
        <f>IFERROR(__xludf.DUMMYFUNCTION("""COMPUTED_VALUE"""),"MADLANGAWA")</f>
        <v>MADLANGAWA</v>
      </c>
      <c r="F218" s="107" t="str">
        <f>IFERROR(__xludf.DUMMYFUNCTION("""COMPUTED_VALUE"""),"INGRID")</f>
        <v>INGRID</v>
      </c>
    </row>
    <row r="219">
      <c r="A219" s="131">
        <f>IFERROR(__xludf.DUMMYFUNCTION("""COMPUTED_VALUE"""),218.0)</f>
        <v>218</v>
      </c>
      <c r="B219" s="131"/>
      <c r="C219" s="131">
        <f>IFERROR(__xludf.DUMMYFUNCTION("""COMPUTED_VALUE"""),23.0)</f>
        <v>23</v>
      </c>
      <c r="D219" s="131" t="b">
        <f>IFERROR(__xludf.DUMMYFUNCTION("""COMPUTED_VALUE"""),FALSE)</f>
        <v>0</v>
      </c>
      <c r="E219" s="107" t="str">
        <f>IFERROR(__xludf.DUMMYFUNCTION("""COMPUTED_VALUE"""),"MALAGOTNOT")</f>
        <v>MALAGOTNOT</v>
      </c>
      <c r="F219" s="107" t="str">
        <f>IFERROR(__xludf.DUMMYFUNCTION("""COMPUTED_VALUE"""),"PHOEBE")</f>
        <v>PHOEBE</v>
      </c>
    </row>
    <row r="220">
      <c r="A220" s="131">
        <f>IFERROR(__xludf.DUMMYFUNCTION("""COMPUTED_VALUE"""),219.0)</f>
        <v>219</v>
      </c>
      <c r="B220" s="131"/>
      <c r="C220" s="131">
        <f>IFERROR(__xludf.DUMMYFUNCTION("""COMPUTED_VALUE"""),23.0)</f>
        <v>23</v>
      </c>
      <c r="D220" s="131" t="b">
        <f>IFERROR(__xludf.DUMMYFUNCTION("""COMPUTED_VALUE"""),FALSE)</f>
        <v>0</v>
      </c>
      <c r="E220" s="107" t="str">
        <f>IFERROR(__xludf.DUMMYFUNCTION("""COMPUTED_VALUE"""),"MALOLOY-ON")</f>
        <v>MALOLOY-ON</v>
      </c>
      <c r="F220" s="107" t="str">
        <f>IFERROR(__xludf.DUMMYFUNCTION("""COMPUTED_VALUE"""),"EUNICE")</f>
        <v>EUNICE</v>
      </c>
    </row>
    <row r="221">
      <c r="A221" s="131">
        <f>IFERROR(__xludf.DUMMYFUNCTION("""COMPUTED_VALUE"""),220.0)</f>
        <v>220</v>
      </c>
      <c r="B221" s="131"/>
      <c r="C221" s="131">
        <f>IFERROR(__xludf.DUMMYFUNCTION("""COMPUTED_VALUE"""),23.0)</f>
        <v>23</v>
      </c>
      <c r="D221" s="131" t="b">
        <f>IFERROR(__xludf.DUMMYFUNCTION("""COMPUTED_VALUE"""),FALSE)</f>
        <v>0</v>
      </c>
      <c r="E221" s="107" t="str">
        <f>IFERROR(__xludf.DUMMYFUNCTION("""COMPUTED_VALUE"""),"OBASAN")</f>
        <v>OBASAN</v>
      </c>
      <c r="F221" s="107" t="str">
        <f>IFERROR(__xludf.DUMMYFUNCTION("""COMPUTED_VALUE"""),"AUDREY")</f>
        <v>AUDREY</v>
      </c>
    </row>
    <row r="222">
      <c r="A222" s="131">
        <f>IFERROR(__xludf.DUMMYFUNCTION("""COMPUTED_VALUE"""),221.0)</f>
        <v>221</v>
      </c>
      <c r="B222" s="131"/>
      <c r="C222" s="131">
        <f>IFERROR(__xludf.DUMMYFUNCTION("""COMPUTED_VALUE"""),23.0)</f>
        <v>23</v>
      </c>
      <c r="D222" s="131" t="b">
        <f>IFERROR(__xludf.DUMMYFUNCTION("""COMPUTED_VALUE"""),FALSE)</f>
        <v>0</v>
      </c>
      <c r="E222" s="107" t="str">
        <f>IFERROR(__xludf.DUMMYFUNCTION("""COMPUTED_VALUE"""),"OBASAN")</f>
        <v>OBASAN</v>
      </c>
      <c r="F222" s="107" t="str">
        <f>IFERROR(__xludf.DUMMYFUNCTION("""COMPUTED_VALUE"""),"ACEZZY")</f>
        <v>ACEZZY</v>
      </c>
    </row>
    <row r="223">
      <c r="A223" s="131">
        <f>IFERROR(__xludf.DUMMYFUNCTION("""COMPUTED_VALUE"""),222.0)</f>
        <v>222</v>
      </c>
      <c r="B223" s="131"/>
      <c r="C223" s="131">
        <f>IFERROR(__xludf.DUMMYFUNCTION("""COMPUTED_VALUE"""),23.0)</f>
        <v>23</v>
      </c>
      <c r="D223" s="131" t="b">
        <f>IFERROR(__xludf.DUMMYFUNCTION("""COMPUTED_VALUE"""),FALSE)</f>
        <v>0</v>
      </c>
      <c r="E223" s="107" t="str">
        <f>IFERROR(__xludf.DUMMYFUNCTION("""COMPUTED_VALUE"""),"OBASAN")</f>
        <v>OBASAN</v>
      </c>
      <c r="F223" s="107" t="str">
        <f>IFERROR(__xludf.DUMMYFUNCTION("""COMPUTED_VALUE"""),"AYESHA")</f>
        <v>AYESHA</v>
      </c>
    </row>
    <row r="224">
      <c r="A224" s="131">
        <f>IFERROR(__xludf.DUMMYFUNCTION("""COMPUTED_VALUE"""),223.0)</f>
        <v>223</v>
      </c>
      <c r="B224" s="131"/>
      <c r="C224" s="131">
        <f>IFERROR(__xludf.DUMMYFUNCTION("""COMPUTED_VALUE"""),23.0)</f>
        <v>23</v>
      </c>
      <c r="D224" s="131" t="b">
        <f>IFERROR(__xludf.DUMMYFUNCTION("""COMPUTED_VALUE"""),FALSE)</f>
        <v>0</v>
      </c>
      <c r="E224" s="107" t="str">
        <f>IFERROR(__xludf.DUMMYFUNCTION("""COMPUTED_VALUE"""),"PACSON")</f>
        <v>PACSON</v>
      </c>
      <c r="F224" s="107" t="str">
        <f>IFERROR(__xludf.DUMMYFUNCTION("""COMPUTED_VALUE"""),"KAYTE")</f>
        <v>KAYTE</v>
      </c>
    </row>
    <row r="225">
      <c r="A225" s="131">
        <f>IFERROR(__xludf.DUMMYFUNCTION("""COMPUTED_VALUE"""),224.0)</f>
        <v>224</v>
      </c>
      <c r="B225" s="131"/>
      <c r="C225" s="131">
        <f>IFERROR(__xludf.DUMMYFUNCTION("""COMPUTED_VALUE"""),23.0)</f>
        <v>23</v>
      </c>
      <c r="D225" s="131" t="b">
        <f>IFERROR(__xludf.DUMMYFUNCTION("""COMPUTED_VALUE"""),FALSE)</f>
        <v>0</v>
      </c>
      <c r="E225" s="107" t="str">
        <f>IFERROR(__xludf.DUMMYFUNCTION("""COMPUTED_VALUE"""),"PACSON")</f>
        <v>PACSON</v>
      </c>
      <c r="F225" s="107" t="str">
        <f>IFERROR(__xludf.DUMMYFUNCTION("""COMPUTED_VALUE"""),"MICAELLA")</f>
        <v>MICAELLA</v>
      </c>
    </row>
    <row r="226">
      <c r="A226" s="131">
        <f>IFERROR(__xludf.DUMMYFUNCTION("""COMPUTED_VALUE"""),225.0)</f>
        <v>225</v>
      </c>
      <c r="B226" s="131"/>
      <c r="C226" s="131">
        <f>IFERROR(__xludf.DUMMYFUNCTION("""COMPUTED_VALUE"""),23.0)</f>
        <v>23</v>
      </c>
      <c r="D226" s="131" t="b">
        <f>IFERROR(__xludf.DUMMYFUNCTION("""COMPUTED_VALUE"""),FALSE)</f>
        <v>0</v>
      </c>
      <c r="E226" s="107" t="str">
        <f>IFERROR(__xludf.DUMMYFUNCTION("""COMPUTED_VALUE"""),"RETAMAR")</f>
        <v>RETAMAR</v>
      </c>
      <c r="F226" s="107" t="str">
        <f>IFERROR(__xludf.DUMMYFUNCTION("""COMPUTED_VALUE"""),"JASMINE")</f>
        <v>JASMINE</v>
      </c>
    </row>
    <row r="227">
      <c r="A227" s="131">
        <f>IFERROR(__xludf.DUMMYFUNCTION("""COMPUTED_VALUE"""),226.0)</f>
        <v>226</v>
      </c>
      <c r="B227" s="131"/>
      <c r="C227" s="131">
        <f>IFERROR(__xludf.DUMMYFUNCTION("""COMPUTED_VALUE"""),23.0)</f>
        <v>23</v>
      </c>
      <c r="D227" s="131" t="b">
        <f>IFERROR(__xludf.DUMMYFUNCTION("""COMPUTED_VALUE"""),FALSE)</f>
        <v>0</v>
      </c>
      <c r="E227" s="107" t="str">
        <f>IFERROR(__xludf.DUMMYFUNCTION("""COMPUTED_VALUE"""),"ROGACION")</f>
        <v>ROGACION</v>
      </c>
      <c r="F227" s="107" t="str">
        <f>IFERROR(__xludf.DUMMYFUNCTION("""COMPUTED_VALUE"""),"LYKA")</f>
        <v>LYKA</v>
      </c>
    </row>
    <row r="228">
      <c r="A228" s="131">
        <f>IFERROR(__xludf.DUMMYFUNCTION("""COMPUTED_VALUE"""),227.0)</f>
        <v>227</v>
      </c>
      <c r="B228" s="131"/>
      <c r="C228" s="131">
        <f>IFERROR(__xludf.DUMMYFUNCTION("""COMPUTED_VALUE"""),23.0)</f>
        <v>23</v>
      </c>
      <c r="D228" s="131" t="b">
        <f>IFERROR(__xludf.DUMMYFUNCTION("""COMPUTED_VALUE"""),FALSE)</f>
        <v>0</v>
      </c>
      <c r="E228" s="107" t="str">
        <f>IFERROR(__xludf.DUMMYFUNCTION("""COMPUTED_VALUE"""),"TINGSON")</f>
        <v>TINGSON</v>
      </c>
      <c r="F228" s="107" t="str">
        <f>IFERROR(__xludf.DUMMYFUNCTION("""COMPUTED_VALUE"""),"JANELLE")</f>
        <v>JANELLE</v>
      </c>
    </row>
    <row r="229">
      <c r="A229" s="131">
        <f>IFERROR(__xludf.DUMMYFUNCTION("""COMPUTED_VALUE"""),228.0)</f>
        <v>228</v>
      </c>
      <c r="B229" s="131"/>
      <c r="C229" s="131">
        <f>IFERROR(__xludf.DUMMYFUNCTION("""COMPUTED_VALUE"""),23.0)</f>
        <v>23</v>
      </c>
      <c r="D229" s="131" t="b">
        <f>IFERROR(__xludf.DUMMYFUNCTION("""COMPUTED_VALUE"""),FALSE)</f>
        <v>0</v>
      </c>
      <c r="E229" s="107" t="str">
        <f>IFERROR(__xludf.DUMMYFUNCTION("""COMPUTED_VALUE"""),"TOLEDO")</f>
        <v>TOLEDO</v>
      </c>
      <c r="F229" s="107" t="str">
        <f>IFERROR(__xludf.DUMMYFUNCTION("""COMPUTED_VALUE"""),"AKIZSAH")</f>
        <v>AKIZSAH</v>
      </c>
    </row>
    <row r="230">
      <c r="A230" s="131">
        <f>IFERROR(__xludf.DUMMYFUNCTION("""COMPUTED_VALUE"""),229.0)</f>
        <v>229</v>
      </c>
      <c r="B230" s="131"/>
      <c r="C230" s="131">
        <f>IFERROR(__xludf.DUMMYFUNCTION("""COMPUTED_VALUE"""),23.0)</f>
        <v>23</v>
      </c>
      <c r="D230" s="131" t="b">
        <f>IFERROR(__xludf.DUMMYFUNCTION("""COMPUTED_VALUE"""),FALSE)</f>
        <v>0</v>
      </c>
      <c r="E230" s="107" t="str">
        <f>IFERROR(__xludf.DUMMYFUNCTION("""COMPUTED_VALUE"""),"UDAUNDO")</f>
        <v>UDAUNDO</v>
      </c>
      <c r="F230" s="107" t="str">
        <f>IFERROR(__xludf.DUMMYFUNCTION("""COMPUTED_VALUE"""),"ELLA")</f>
        <v>ELLA</v>
      </c>
    </row>
    <row r="231">
      <c r="A231" s="131">
        <f>IFERROR(__xludf.DUMMYFUNCTION("""COMPUTED_VALUE"""),230.0)</f>
        <v>230</v>
      </c>
      <c r="B231" s="131"/>
      <c r="C231" s="131">
        <f>IFERROR(__xludf.DUMMYFUNCTION("""COMPUTED_VALUE"""),1.0)</f>
        <v>1</v>
      </c>
      <c r="D231" s="131" t="b">
        <f>IFERROR(__xludf.DUMMYFUNCTION("""COMPUTED_VALUE"""),FALSE)</f>
        <v>0</v>
      </c>
      <c r="E231" s="131" t="str">
        <f>IFERROR(__xludf.DUMMYFUNCTION("""COMPUTED_VALUE"""),"ROMUALDO")</f>
        <v>ROMUALDO</v>
      </c>
      <c r="F231" s="131" t="str">
        <f>IFERROR(__xludf.DUMMYFUNCTION("""COMPUTED_VALUE"""),"AC")</f>
        <v>AC</v>
      </c>
    </row>
    <row r="232">
      <c r="A232" s="131">
        <f>IFERROR(__xludf.DUMMYFUNCTION("""COMPUTED_VALUE"""),231.0)</f>
        <v>231</v>
      </c>
      <c r="B232" s="131"/>
      <c r="C232" s="131">
        <f>IFERROR(__xludf.DUMMYFUNCTION("""COMPUTED_VALUE"""),1.0)</f>
        <v>1</v>
      </c>
      <c r="D232" s="131" t="b">
        <f>IFERROR(__xludf.DUMMYFUNCTION("""COMPUTED_VALUE"""),FALSE)</f>
        <v>0</v>
      </c>
      <c r="E232" s="131" t="str">
        <f>IFERROR(__xludf.DUMMYFUNCTION("""COMPUTED_VALUE"""),"SEBASTIAN")</f>
        <v>SEBASTIAN</v>
      </c>
      <c r="F232" s="131" t="str">
        <f>IFERROR(__xludf.DUMMYFUNCTION("""COMPUTED_VALUE"""),"NEHEMIAH")</f>
        <v>NEHEMIAH</v>
      </c>
    </row>
    <row r="233">
      <c r="A233" s="131">
        <f>IFERROR(__xludf.DUMMYFUNCTION("""COMPUTED_VALUE"""),232.0)</f>
        <v>232</v>
      </c>
      <c r="B233" s="131"/>
      <c r="C233" s="131">
        <f>IFERROR(__xludf.DUMMYFUNCTION("""COMPUTED_VALUE"""),1.0)</f>
        <v>1</v>
      </c>
      <c r="D233" s="131" t="b">
        <f>IFERROR(__xludf.DUMMYFUNCTION("""COMPUTED_VALUE"""),FALSE)</f>
        <v>0</v>
      </c>
      <c r="E233" s="131" t="str">
        <f>IFERROR(__xludf.DUMMYFUNCTION("""COMPUTED_VALUE"""),"GINONGALA")</f>
        <v>GINONGALA</v>
      </c>
      <c r="F233" s="131" t="str">
        <f>IFERROR(__xludf.DUMMYFUNCTION("""COMPUTED_VALUE"""),"HANNAH MAE")</f>
        <v>HANNAH MAE</v>
      </c>
    </row>
    <row r="234">
      <c r="A234" s="131">
        <f>IFERROR(__xludf.DUMMYFUNCTION("""COMPUTED_VALUE"""),233.0)</f>
        <v>233</v>
      </c>
      <c r="B234" s="131"/>
      <c r="C234" s="131">
        <f>IFERROR(__xludf.DUMMYFUNCTION("""COMPUTED_VALUE"""),76.0)</f>
        <v>76</v>
      </c>
      <c r="D234" s="131" t="b">
        <f>IFERROR(__xludf.DUMMYFUNCTION("""COMPUTED_VALUE"""),FALSE)</f>
        <v>0</v>
      </c>
      <c r="E234" s="131" t="str">
        <f>IFERROR(__xludf.DUMMYFUNCTION("""COMPUTED_VALUE"""),"NIONES")</f>
        <v>NIONES</v>
      </c>
      <c r="F234" s="131" t="str">
        <f>IFERROR(__xludf.DUMMYFUNCTION("""COMPUTED_VALUE"""),"LOUIS")</f>
        <v>LOUIS</v>
      </c>
    </row>
    <row r="235">
      <c r="A235" s="131">
        <f>IFERROR(__xludf.DUMMYFUNCTION("""COMPUTED_VALUE"""),234.0)</f>
        <v>234</v>
      </c>
      <c r="B235" s="131"/>
      <c r="C235" s="131">
        <f>IFERROR(__xludf.DUMMYFUNCTION("""COMPUTED_VALUE"""),76.0)</f>
        <v>76</v>
      </c>
      <c r="D235" s="131" t="b">
        <f>IFERROR(__xludf.DUMMYFUNCTION("""COMPUTED_VALUE"""),FALSE)</f>
        <v>0</v>
      </c>
      <c r="E235" s="131" t="str">
        <f>IFERROR(__xludf.DUMMYFUNCTION("""COMPUTED_VALUE"""),"ACA")</f>
        <v>ACA</v>
      </c>
      <c r="F235" s="131" t="str">
        <f>IFERROR(__xludf.DUMMYFUNCTION("""COMPUTED_VALUE"""),"ELIJAH")</f>
        <v>ELIJAH</v>
      </c>
    </row>
    <row r="236">
      <c r="A236" s="131">
        <f>IFERROR(__xludf.DUMMYFUNCTION("""COMPUTED_VALUE"""),235.0)</f>
        <v>235</v>
      </c>
      <c r="B236" s="131"/>
      <c r="C236" s="131">
        <f>IFERROR(__xludf.DUMMYFUNCTION("""COMPUTED_VALUE"""),120.0)</f>
        <v>120</v>
      </c>
      <c r="D236" s="131" t="b">
        <f>IFERROR(__xludf.DUMMYFUNCTION("""COMPUTED_VALUE"""),FALSE)</f>
        <v>0</v>
      </c>
      <c r="E236" s="131" t="str">
        <f>IFERROR(__xludf.DUMMYFUNCTION("""COMPUTED_VALUE"""),"CERBETO")</f>
        <v>CERBETO</v>
      </c>
      <c r="F236" s="131" t="str">
        <f>IFERROR(__xludf.DUMMYFUNCTION("""COMPUTED_VALUE"""),"AIVANNE")</f>
        <v>AIVANNE</v>
      </c>
    </row>
    <row r="237">
      <c r="A237" s="131">
        <f>IFERROR(__xludf.DUMMYFUNCTION("""COMPUTED_VALUE"""),236.0)</f>
        <v>236</v>
      </c>
      <c r="B237" s="131"/>
      <c r="C237" s="131">
        <f>IFERROR(__xludf.DUMMYFUNCTION("""COMPUTED_VALUE"""),120.0)</f>
        <v>120</v>
      </c>
      <c r="D237" s="131" t="b">
        <f>IFERROR(__xludf.DUMMYFUNCTION("""COMPUTED_VALUE"""),FALSE)</f>
        <v>0</v>
      </c>
      <c r="E237" s="131" t="str">
        <f>IFERROR(__xludf.DUMMYFUNCTION("""COMPUTED_VALUE"""),"PARAZO")</f>
        <v>PARAZO</v>
      </c>
      <c r="F237" s="131" t="str">
        <f>IFERROR(__xludf.DUMMYFUNCTION("""COMPUTED_VALUE"""),"CJ")</f>
        <v>CJ</v>
      </c>
    </row>
    <row r="238">
      <c r="A238" s="131">
        <f>IFERROR(__xludf.DUMMYFUNCTION("""COMPUTED_VALUE"""),237.0)</f>
        <v>237</v>
      </c>
      <c r="B238" s="131"/>
      <c r="C238" s="131">
        <f>IFERROR(__xludf.DUMMYFUNCTION("""COMPUTED_VALUE"""),120.0)</f>
        <v>120</v>
      </c>
      <c r="D238" s="131" t="b">
        <f>IFERROR(__xludf.DUMMYFUNCTION("""COMPUTED_VALUE"""),FALSE)</f>
        <v>0</v>
      </c>
      <c r="E238" s="131" t="str">
        <f>IFERROR(__xludf.DUMMYFUNCTION("""COMPUTED_VALUE"""),"AWA-AW")</f>
        <v>AWA-AW</v>
      </c>
      <c r="F238" s="131" t="str">
        <f>IFERROR(__xludf.DUMMYFUNCTION("""COMPUTED_VALUE"""),"CARL")</f>
        <v>CARL</v>
      </c>
    </row>
    <row r="239">
      <c r="A239" s="131">
        <f>IFERROR(__xludf.DUMMYFUNCTION("""COMPUTED_VALUE"""),238.0)</f>
        <v>238</v>
      </c>
      <c r="B239" s="131"/>
      <c r="C239" s="131">
        <f>IFERROR(__xludf.DUMMYFUNCTION("""COMPUTED_VALUE"""),23.0)</f>
        <v>23</v>
      </c>
      <c r="D239" s="131" t="b">
        <f>IFERROR(__xludf.DUMMYFUNCTION("""COMPUTED_VALUE"""),FALSE)</f>
        <v>0</v>
      </c>
      <c r="E239" s="131" t="str">
        <f>IFERROR(__xludf.DUMMYFUNCTION("""COMPUTED_VALUE"""),"ALAYON")</f>
        <v>ALAYON</v>
      </c>
      <c r="F239" s="131" t="str">
        <f>IFERROR(__xludf.DUMMYFUNCTION("""COMPUTED_VALUE"""),"PATRICIA")</f>
        <v>PATRICIA</v>
      </c>
    </row>
    <row r="240">
      <c r="A240" s="131">
        <f>IFERROR(__xludf.DUMMYFUNCTION("""COMPUTED_VALUE"""),239.0)</f>
        <v>239</v>
      </c>
      <c r="B240" s="131"/>
      <c r="C240" s="131">
        <f>IFERROR(__xludf.DUMMYFUNCTION("""COMPUTED_VALUE"""),23.0)</f>
        <v>23</v>
      </c>
      <c r="D240" s="131" t="b">
        <f>IFERROR(__xludf.DUMMYFUNCTION("""COMPUTED_VALUE"""),FALSE)</f>
        <v>0</v>
      </c>
      <c r="E240" s="131" t="str">
        <f>IFERROR(__xludf.DUMMYFUNCTION("""COMPUTED_VALUE"""),"UDAUNDO")</f>
        <v>UDAUNDO</v>
      </c>
      <c r="F240" s="131" t="str">
        <f>IFERROR(__xludf.DUMMYFUNCTION("""COMPUTED_VALUE"""),"MICA ELLA")</f>
        <v>MICA ELLA</v>
      </c>
    </row>
    <row r="241">
      <c r="A241" s="131">
        <f>IFERROR(__xludf.DUMMYFUNCTION("""COMPUTED_VALUE"""),240.0)</f>
        <v>240</v>
      </c>
      <c r="B241" s="131"/>
      <c r="C241" s="131">
        <f>IFERROR(__xludf.DUMMYFUNCTION("""COMPUTED_VALUE"""),23.0)</f>
        <v>23</v>
      </c>
      <c r="D241" s="131" t="b">
        <f>IFERROR(__xludf.DUMMYFUNCTION("""COMPUTED_VALUE"""),FALSE)</f>
        <v>0</v>
      </c>
      <c r="E241" s="131" t="str">
        <f>IFERROR(__xludf.DUMMYFUNCTION("""COMPUTED_VALUE"""),"CALUBIRAN")</f>
        <v>CALUBIRAN</v>
      </c>
      <c r="F241" s="131" t="str">
        <f>IFERROR(__xludf.DUMMYFUNCTION("""COMPUTED_VALUE"""),"JACKIELYN")</f>
        <v>JACKIELYN</v>
      </c>
    </row>
    <row r="242">
      <c r="A242" s="131">
        <f>IFERROR(__xludf.DUMMYFUNCTION("""COMPUTED_VALUE"""),241.0)</f>
        <v>241</v>
      </c>
      <c r="B242" s="131"/>
      <c r="C242" s="131">
        <f>IFERROR(__xludf.DUMMYFUNCTION("""COMPUTED_VALUE"""),23.0)</f>
        <v>23</v>
      </c>
      <c r="D242" s="131" t="b">
        <f>IFERROR(__xludf.DUMMYFUNCTION("""COMPUTED_VALUE"""),FALSE)</f>
        <v>0</v>
      </c>
      <c r="E242" s="131" t="str">
        <f>IFERROR(__xludf.DUMMYFUNCTION("""COMPUTED_VALUE"""),"MATAMIS")</f>
        <v>MATAMIS</v>
      </c>
      <c r="F242" s="131" t="str">
        <f>IFERROR(__xludf.DUMMYFUNCTION("""COMPUTED_VALUE"""),"JEAH G.")</f>
        <v>JEAH G.</v>
      </c>
    </row>
    <row r="243">
      <c r="A243" s="131">
        <f>IFERROR(__xludf.DUMMYFUNCTION("""COMPUTED_VALUE"""),242.0)</f>
        <v>242</v>
      </c>
      <c r="B243" s="131"/>
      <c r="C243" s="131">
        <f>IFERROR(__xludf.DUMMYFUNCTION("""COMPUTED_VALUE"""),23.0)</f>
        <v>23</v>
      </c>
      <c r="D243" s="131" t="b">
        <f>IFERROR(__xludf.DUMMYFUNCTION("""COMPUTED_VALUE"""),FALSE)</f>
        <v>0</v>
      </c>
      <c r="E243" s="131" t="str">
        <f>IFERROR(__xludf.DUMMYFUNCTION("""COMPUTED_VALUE"""),"MATAMIS")</f>
        <v>MATAMIS</v>
      </c>
      <c r="F243" s="131" t="str">
        <f>IFERROR(__xludf.DUMMYFUNCTION("""COMPUTED_VALUE"""),"JANELA")</f>
        <v>JANELA</v>
      </c>
    </row>
    <row r="244">
      <c r="A244" s="131">
        <f>IFERROR(__xludf.DUMMYFUNCTION("""COMPUTED_VALUE"""),243.0)</f>
        <v>243</v>
      </c>
      <c r="B244" s="131"/>
      <c r="C244" s="131">
        <f>IFERROR(__xludf.DUMMYFUNCTION("""COMPUTED_VALUE"""),23.0)</f>
        <v>23</v>
      </c>
      <c r="D244" s="131" t="b">
        <f>IFERROR(__xludf.DUMMYFUNCTION("""COMPUTED_VALUE"""),FALSE)</f>
        <v>0</v>
      </c>
      <c r="E244" s="131" t="str">
        <f>IFERROR(__xludf.DUMMYFUNCTION("""COMPUTED_VALUE"""),"GALANG")</f>
        <v>GALANG</v>
      </c>
      <c r="F244" s="131" t="str">
        <f>IFERROR(__xludf.DUMMYFUNCTION("""COMPUTED_VALUE"""),"MAGGA")</f>
        <v>MAGGA</v>
      </c>
    </row>
    <row r="245">
      <c r="A245" s="131">
        <f>IFERROR(__xludf.DUMMYFUNCTION("""COMPUTED_VALUE"""),244.0)</f>
        <v>244</v>
      </c>
      <c r="B245" s="131"/>
      <c r="C245" s="131">
        <f>IFERROR(__xludf.DUMMYFUNCTION("""COMPUTED_VALUE"""),244.0)</f>
        <v>244</v>
      </c>
      <c r="D245" s="131" t="b">
        <f>IFERROR(__xludf.DUMMYFUNCTION("""COMPUTED_VALUE"""),TRUE)</f>
        <v>1</v>
      </c>
      <c r="E245" s="131" t="str">
        <f>IFERROR(__xludf.DUMMYFUNCTION("""COMPUTED_VALUE"""),"ORQUIA")</f>
        <v>ORQUIA</v>
      </c>
      <c r="F245" s="131" t="str">
        <f>IFERROR(__xludf.DUMMYFUNCTION("""COMPUTED_VALUE"""),"HANNA ")</f>
        <v>HANNA </v>
      </c>
    </row>
    <row r="246">
      <c r="A246" s="131">
        <f>IFERROR(__xludf.DUMMYFUNCTION("""COMPUTED_VALUE"""),245.0)</f>
        <v>245</v>
      </c>
      <c r="B246" s="131"/>
      <c r="C246" s="131">
        <f>IFERROR(__xludf.DUMMYFUNCTION("""COMPUTED_VALUE"""),244.0)</f>
        <v>244</v>
      </c>
      <c r="D246" s="131" t="b">
        <f>IFERROR(__xludf.DUMMYFUNCTION("""COMPUTED_VALUE"""),FALSE)</f>
        <v>0</v>
      </c>
      <c r="E246" s="131" t="str">
        <f>IFERROR(__xludf.DUMMYFUNCTION("""COMPUTED_VALUE"""),"DEL ROSARIO")</f>
        <v>DEL ROSARIO</v>
      </c>
      <c r="F246" s="131" t="str">
        <f>IFERROR(__xludf.DUMMYFUNCTION("""COMPUTED_VALUE"""),"GRACE")</f>
        <v>GRACE</v>
      </c>
    </row>
    <row r="247">
      <c r="A247" s="131">
        <f>IFERROR(__xludf.DUMMYFUNCTION("""COMPUTED_VALUE"""),246.0)</f>
        <v>246</v>
      </c>
      <c r="B247" s="131"/>
      <c r="C247" s="131">
        <f>IFERROR(__xludf.DUMMYFUNCTION("""COMPUTED_VALUE"""),244.0)</f>
        <v>244</v>
      </c>
      <c r="D247" s="131" t="b">
        <f>IFERROR(__xludf.DUMMYFUNCTION("""COMPUTED_VALUE"""),FALSE)</f>
        <v>0</v>
      </c>
      <c r="E247" s="131" t="str">
        <f>IFERROR(__xludf.DUMMYFUNCTION("""COMPUTED_VALUE"""),"CODILLA")</f>
        <v>CODILLA</v>
      </c>
      <c r="F247" s="131" t="str">
        <f>IFERROR(__xludf.DUMMYFUNCTION("""COMPUTED_VALUE"""),"JANNA")</f>
        <v>JANNA</v>
      </c>
    </row>
    <row r="248">
      <c r="A248" s="131">
        <f>IFERROR(__xludf.DUMMYFUNCTION("""COMPUTED_VALUE"""),247.0)</f>
        <v>247</v>
      </c>
      <c r="B248" s="131"/>
      <c r="C248" s="131">
        <f>IFERROR(__xludf.DUMMYFUNCTION("""COMPUTED_VALUE"""),244.0)</f>
        <v>244</v>
      </c>
      <c r="D248" s="131" t="b">
        <f>IFERROR(__xludf.DUMMYFUNCTION("""COMPUTED_VALUE"""),FALSE)</f>
        <v>0</v>
      </c>
      <c r="E248" s="131" t="str">
        <f>IFERROR(__xludf.DUMMYFUNCTION("""COMPUTED_VALUE"""),"WALATH")</f>
        <v>WALATH</v>
      </c>
      <c r="F248" s="131" t="str">
        <f>IFERROR(__xludf.DUMMYFUNCTION("""COMPUTED_VALUE"""),"AILEEN")</f>
        <v>AILEEN</v>
      </c>
    </row>
    <row r="249">
      <c r="A249" s="131">
        <f>IFERROR(__xludf.DUMMYFUNCTION("""COMPUTED_VALUE"""),248.0)</f>
        <v>248</v>
      </c>
      <c r="B249" s="131"/>
      <c r="C249" s="131">
        <f>IFERROR(__xludf.DUMMYFUNCTION("""COMPUTED_VALUE"""),244.0)</f>
        <v>244</v>
      </c>
      <c r="D249" s="131" t="b">
        <f>IFERROR(__xludf.DUMMYFUNCTION("""COMPUTED_VALUE"""),FALSE)</f>
        <v>0</v>
      </c>
      <c r="E249" s="131" t="str">
        <f>IFERROR(__xludf.DUMMYFUNCTION("""COMPUTED_VALUE"""),"FULLON")</f>
        <v>FULLON</v>
      </c>
      <c r="F249" s="131" t="str">
        <f>IFERROR(__xludf.DUMMYFUNCTION("""COMPUTED_VALUE"""),"SARAH")</f>
        <v>SARAH</v>
      </c>
    </row>
    <row r="250">
      <c r="A250" s="131">
        <f>IFERROR(__xludf.DUMMYFUNCTION("""COMPUTED_VALUE"""),249.0)</f>
        <v>249</v>
      </c>
      <c r="B250" s="131"/>
      <c r="C250" s="131">
        <f>IFERROR(__xludf.DUMMYFUNCTION("""COMPUTED_VALUE"""),244.0)</f>
        <v>244</v>
      </c>
      <c r="D250" s="131" t="b">
        <f>IFERROR(__xludf.DUMMYFUNCTION("""COMPUTED_VALUE"""),FALSE)</f>
        <v>0</v>
      </c>
      <c r="E250" s="131" t="str">
        <f>IFERROR(__xludf.DUMMYFUNCTION("""COMPUTED_VALUE"""),"MONTERDE")</f>
        <v>MONTERDE</v>
      </c>
      <c r="F250" s="131" t="str">
        <f>IFERROR(__xludf.DUMMYFUNCTION("""COMPUTED_VALUE"""),"BELLE")</f>
        <v>BELLE</v>
      </c>
    </row>
    <row r="251">
      <c r="A251" s="131">
        <f>IFERROR(__xludf.DUMMYFUNCTION("""COMPUTED_VALUE"""),250.0)</f>
        <v>250</v>
      </c>
      <c r="B251" s="131"/>
      <c r="C251" s="131">
        <f>IFERROR(__xludf.DUMMYFUNCTION("""COMPUTED_VALUE"""),167.0)</f>
        <v>167</v>
      </c>
      <c r="D251" s="131"/>
      <c r="E251" s="131" t="str">
        <f>IFERROR(__xludf.DUMMYFUNCTION("""COMPUTED_VALUE"""),"RAUSO")</f>
        <v>RAUSO</v>
      </c>
      <c r="F251" s="131" t="str">
        <f>IFERROR(__xludf.DUMMYFUNCTION("""COMPUTED_VALUE"""),"STEVE")</f>
        <v>STEVE</v>
      </c>
    </row>
    <row r="252">
      <c r="A252" s="131">
        <f>IFERROR(__xludf.DUMMYFUNCTION("""COMPUTED_VALUE"""),251.0)</f>
        <v>251</v>
      </c>
      <c r="B252" s="131"/>
      <c r="C252" s="131">
        <f>IFERROR(__xludf.DUMMYFUNCTION("""COMPUTED_VALUE"""),167.0)</f>
        <v>167</v>
      </c>
      <c r="D252" s="131" t="b">
        <f>IFERROR(__xludf.DUMMYFUNCTION("""COMPUTED_VALUE"""),FALSE)</f>
        <v>0</v>
      </c>
      <c r="E252" s="131" t="str">
        <f>IFERROR(__xludf.DUMMYFUNCTION("""COMPUTED_VALUE"""),"LIBRES")</f>
        <v>LIBRES</v>
      </c>
      <c r="F252" s="131" t="str">
        <f>IFERROR(__xludf.DUMMYFUNCTION("""COMPUTED_VALUE"""),"GABRIEL")</f>
        <v>GABRIEL</v>
      </c>
    </row>
    <row r="253">
      <c r="A253" s="131">
        <f>IFERROR(__xludf.DUMMYFUNCTION("""COMPUTED_VALUE"""),252.0)</f>
        <v>252</v>
      </c>
      <c r="B253" s="131"/>
      <c r="C253" s="131">
        <f>IFERROR(__xludf.DUMMYFUNCTION("""COMPUTED_VALUE"""),167.0)</f>
        <v>167</v>
      </c>
      <c r="D253" s="131" t="b">
        <f>IFERROR(__xludf.DUMMYFUNCTION("""COMPUTED_VALUE"""),FALSE)</f>
        <v>0</v>
      </c>
      <c r="E253" s="131" t="str">
        <f>IFERROR(__xludf.DUMMYFUNCTION("""COMPUTED_VALUE"""),"PARONGAN")</f>
        <v>PARONGAN</v>
      </c>
      <c r="F253" s="131" t="str">
        <f>IFERROR(__xludf.DUMMYFUNCTION("""COMPUTED_VALUE"""),"KIAN")</f>
        <v>KIAN</v>
      </c>
    </row>
    <row r="254">
      <c r="A254" s="131">
        <f>IFERROR(__xludf.DUMMYFUNCTION("""COMPUTED_VALUE"""),253.0)</f>
        <v>253</v>
      </c>
      <c r="B254" s="131"/>
      <c r="C254" s="131">
        <f>IFERROR(__xludf.DUMMYFUNCTION("""COMPUTED_VALUE"""),167.0)</f>
        <v>167</v>
      </c>
      <c r="D254" s="131" t="b">
        <f>IFERROR(__xludf.DUMMYFUNCTION("""COMPUTED_VALUE"""),FALSE)</f>
        <v>0</v>
      </c>
      <c r="E254" s="131" t="str">
        <f>IFERROR(__xludf.DUMMYFUNCTION("""COMPUTED_VALUE"""),"RACCA")</f>
        <v>RACCA</v>
      </c>
      <c r="F254" s="131" t="str">
        <f>IFERROR(__xludf.DUMMYFUNCTION("""COMPUTED_VALUE"""),"GRANT EL")</f>
        <v>GRANT EL</v>
      </c>
    </row>
    <row r="255">
      <c r="A255" s="131">
        <f>IFERROR(__xludf.DUMMYFUNCTION("""COMPUTED_VALUE"""),254.0)</f>
        <v>254</v>
      </c>
      <c r="B255" s="131"/>
      <c r="C255" s="131">
        <f>IFERROR(__xludf.DUMMYFUNCTION("""COMPUTED_VALUE"""),23.0)</f>
        <v>23</v>
      </c>
      <c r="D255" s="131" t="b">
        <f>IFERROR(__xludf.DUMMYFUNCTION("""COMPUTED_VALUE"""),FALSE)</f>
        <v>0</v>
      </c>
      <c r="E255" s="131" t="str">
        <f>IFERROR(__xludf.DUMMYFUNCTION("""COMPUTED_VALUE"""),"MATAMIS")</f>
        <v>MATAMIS</v>
      </c>
      <c r="F255" s="131" t="str">
        <f>IFERROR(__xludf.DUMMYFUNCTION("""COMPUTED_VALUE"""),"SEYVEL")</f>
        <v>SEYVEL</v>
      </c>
    </row>
    <row r="256">
      <c r="A256" s="131">
        <f>IFERROR(__xludf.DUMMYFUNCTION("""COMPUTED_VALUE"""),257.0)</f>
        <v>257</v>
      </c>
      <c r="B256" s="131"/>
      <c r="C256" s="131">
        <f>IFERROR(__xludf.DUMMYFUNCTION("""COMPUTED_VALUE"""),23.0)</f>
        <v>23</v>
      </c>
      <c r="D256" s="131" t="b">
        <f>IFERROR(__xludf.DUMMYFUNCTION("""COMPUTED_VALUE"""),FALSE)</f>
        <v>0</v>
      </c>
      <c r="E256" s="131" t="str">
        <f>IFERROR(__xludf.DUMMYFUNCTION("""COMPUTED_VALUE"""),"PARCAREY")</f>
        <v>PARCAREY</v>
      </c>
      <c r="F256" s="131" t="str">
        <f>IFERROR(__xludf.DUMMYFUNCTION("""COMPUTED_VALUE"""),"MARZETTI")</f>
        <v>MARZETTI</v>
      </c>
    </row>
    <row r="257">
      <c r="A257" s="131">
        <f>IFERROR(__xludf.DUMMYFUNCTION("""COMPUTED_VALUE"""),256.0)</f>
        <v>256</v>
      </c>
      <c r="B257" s="131"/>
      <c r="C257" s="131">
        <f>IFERROR(__xludf.DUMMYFUNCTION("""COMPUTED_VALUE"""),23.0)</f>
        <v>23</v>
      </c>
      <c r="D257" s="131" t="b">
        <f>IFERROR(__xludf.DUMMYFUNCTION("""COMPUTED_VALUE"""),FALSE)</f>
        <v>0</v>
      </c>
      <c r="E257" s="131" t="str">
        <f>IFERROR(__xludf.DUMMYFUNCTION("""COMPUTED_VALUE"""),"AGSALUD")</f>
        <v>AGSALUD</v>
      </c>
      <c r="F257" s="131" t="str">
        <f>IFERROR(__xludf.DUMMYFUNCTION("""COMPUTED_VALUE"""),"ROSE MARIE")</f>
        <v>ROSE MARIE</v>
      </c>
    </row>
    <row r="258">
      <c r="A258" s="131">
        <f>IFERROR(__xludf.DUMMYFUNCTION("""COMPUTED_VALUE"""),259.0)</f>
        <v>259</v>
      </c>
      <c r="B258" s="131"/>
      <c r="C258" s="131">
        <f>IFERROR(__xludf.DUMMYFUNCTION("""COMPUTED_VALUE"""),167.0)</f>
        <v>167</v>
      </c>
      <c r="D258" s="131"/>
      <c r="E258" s="131" t="str">
        <f>IFERROR(__xludf.DUMMYFUNCTION("""COMPUTED_VALUE"""),"Gelicame")</f>
        <v>Gelicame</v>
      </c>
      <c r="F258" s="131" t="str">
        <f>IFERROR(__xludf.DUMMYFUNCTION("""COMPUTED_VALUE"""),"Aljun")</f>
        <v>Aljun</v>
      </c>
    </row>
    <row r="259">
      <c r="A259" s="131">
        <f>IFERROR(__xludf.DUMMYFUNCTION("""COMPUTED_VALUE"""),260.0)</f>
        <v>260</v>
      </c>
      <c r="B259" s="131"/>
      <c r="C259" s="131">
        <f>IFERROR(__xludf.DUMMYFUNCTION("""COMPUTED_VALUE"""),167.0)</f>
        <v>167</v>
      </c>
      <c r="D259" s="131"/>
      <c r="E259" s="131" t="str">
        <f>IFERROR(__xludf.DUMMYFUNCTION("""COMPUTED_VALUE"""),"Valera")</f>
        <v>Valera</v>
      </c>
      <c r="F259" s="131" t="str">
        <f>IFERROR(__xludf.DUMMYFUNCTION("""COMPUTED_VALUE"""),"Edward Luis")</f>
        <v>Edward Luis</v>
      </c>
    </row>
    <row r="260">
      <c r="A260" s="131">
        <f>IFERROR(__xludf.DUMMYFUNCTION("""COMPUTED_VALUE"""),261.0)</f>
        <v>261</v>
      </c>
      <c r="B260" s="131"/>
      <c r="C260" s="131">
        <f>IFERROR(__xludf.DUMMYFUNCTION("""COMPUTED_VALUE"""),23.0)</f>
        <v>23</v>
      </c>
      <c r="D260" s="131"/>
      <c r="E260" s="131" t="str">
        <f>IFERROR(__xludf.DUMMYFUNCTION("""COMPUTED_VALUE"""),"CERBETO")</f>
        <v>CERBETO</v>
      </c>
      <c r="F260" s="131" t="str">
        <f>IFERROR(__xludf.DUMMYFUNCTION("""COMPUTED_VALUE"""),"AIFHA")</f>
        <v>AIFHA</v>
      </c>
    </row>
    <row r="261">
      <c r="A261" s="131">
        <f>IFERROR(__xludf.DUMMYFUNCTION("""COMPUTED_VALUE"""),262.0)</f>
        <v>262</v>
      </c>
      <c r="B261" s="131"/>
      <c r="C261" s="131">
        <f>IFERROR(__xludf.DUMMYFUNCTION("""COMPUTED_VALUE"""),23.0)</f>
        <v>23</v>
      </c>
      <c r="D261" s="131"/>
      <c r="E261" s="131" t="str">
        <f>IFERROR(__xludf.DUMMYFUNCTION("""COMPUTED_VALUE"""),"PARCAREY")</f>
        <v>PARCAREY</v>
      </c>
      <c r="F261" s="131" t="str">
        <f>IFERROR(__xludf.DUMMYFUNCTION("""COMPUTED_VALUE"""),"MARZETTI")</f>
        <v>MARZETTI</v>
      </c>
    </row>
    <row r="262">
      <c r="A262" s="131">
        <f>IFERROR(__xludf.DUMMYFUNCTION("""COMPUTED_VALUE"""),263.0)</f>
        <v>263</v>
      </c>
      <c r="B262" s="131"/>
      <c r="C262" s="131">
        <f>IFERROR(__xludf.DUMMYFUNCTION("""COMPUTED_VALUE"""),1.0)</f>
        <v>1</v>
      </c>
      <c r="D262" s="131"/>
      <c r="E262" s="131" t="str">
        <f>IFERROR(__xludf.DUMMYFUNCTION("""COMPUTED_VALUE"""),"MABAO")</f>
        <v>MABAO</v>
      </c>
      <c r="F262" s="131" t="str">
        <f>IFERROR(__xludf.DUMMYFUNCTION("""COMPUTED_VALUE"""),"ROSELYN")</f>
        <v>ROSELYN</v>
      </c>
    </row>
    <row r="263">
      <c r="A263" s="131">
        <f>IFERROR(__xludf.DUMMYFUNCTION("""COMPUTED_VALUE"""),264.0)</f>
        <v>264</v>
      </c>
      <c r="B263" s="131"/>
      <c r="C263" s="131">
        <f>IFERROR(__xludf.DUMMYFUNCTION("""COMPUTED_VALUE"""),167.0)</f>
        <v>167</v>
      </c>
      <c r="D263" s="131"/>
      <c r="E263" s="131" t="str">
        <f>IFERROR(__xludf.DUMMYFUNCTION("""COMPUTED_VALUE"""),"VALERA")</f>
        <v>VALERA</v>
      </c>
      <c r="F263" s="131" t="str">
        <f>IFERROR(__xludf.DUMMYFUNCTION("""COMPUTED_VALUE"""),"ELY")</f>
        <v>ELY</v>
      </c>
    </row>
    <row r="264">
      <c r="A264" s="131">
        <f>IFERROR(__xludf.DUMMYFUNCTION("""COMPUTED_VALUE"""),265.0)</f>
        <v>265</v>
      </c>
      <c r="B264" s="131"/>
      <c r="C264" s="131">
        <f>IFERROR(__xludf.DUMMYFUNCTION("""COMPUTED_VALUE"""),167.0)</f>
        <v>167</v>
      </c>
      <c r="D264" s="131"/>
      <c r="E264" s="131" t="str">
        <f>IFERROR(__xludf.DUMMYFUNCTION("""COMPUTED_VALUE"""),"RAUSO")</f>
        <v>RAUSO</v>
      </c>
      <c r="F264" s="131" t="str">
        <f>IFERROR(__xludf.DUMMYFUNCTION("""COMPUTED_VALUE"""),"GABRIEL")</f>
        <v>GABRIEL</v>
      </c>
    </row>
    <row r="265">
      <c r="A265" s="131"/>
      <c r="B265" s="131"/>
      <c r="C265" s="131"/>
      <c r="D265" s="131"/>
      <c r="E265" s="131"/>
      <c r="F265" s="131"/>
    </row>
    <row r="266">
      <c r="A266" s="131">
        <f>IFERROR(__xludf.DUMMYFUNCTION("""COMPUTED_VALUE"""),1230.0)</f>
        <v>1230</v>
      </c>
      <c r="B266" s="131"/>
      <c r="C266" s="131">
        <f>IFERROR(__xludf.DUMMYFUNCTION("""COMPUTED_VALUE"""),1230.0)</f>
        <v>1230</v>
      </c>
      <c r="D266" s="131" t="b">
        <f>IFERROR(__xludf.DUMMYFUNCTION("""COMPUTED_VALUE"""),TRUE)</f>
        <v>1</v>
      </c>
      <c r="E266" s="131" t="str">
        <f>IFERROR(__xludf.DUMMYFUNCTION("""COMPUTED_VALUE"""),"CALUALHATIAN")</f>
        <v>CALUALHATIAN</v>
      </c>
      <c r="F266" s="131" t="str">
        <f>IFERROR(__xludf.DUMMYFUNCTION("""COMPUTED_VALUE"""),"DANTE")</f>
        <v>DANTE</v>
      </c>
    </row>
    <row r="267">
      <c r="A267" s="131">
        <f>IFERROR(__xludf.DUMMYFUNCTION("""COMPUTED_VALUE"""),1231.0)</f>
        <v>1231</v>
      </c>
      <c r="B267" s="131"/>
      <c r="C267" s="131">
        <f>IFERROR(__xludf.DUMMYFUNCTION("""COMPUTED_VALUE"""),1230.0)</f>
        <v>1230</v>
      </c>
      <c r="D267" s="131"/>
      <c r="E267" s="131" t="str">
        <f>IFERROR(__xludf.DUMMYFUNCTION("""COMPUTED_VALUE"""),"A.")</f>
        <v>A.</v>
      </c>
      <c r="F267" s="131" t="str">
        <f>IFERROR(__xludf.DUMMYFUNCTION("""COMPUTED_VALUE"""),"BONG")</f>
        <v>BONG</v>
      </c>
    </row>
    <row r="268">
      <c r="A268" s="131">
        <f>IFERROR(__xludf.DUMMYFUNCTION("""COMPUTED_VALUE"""),1232.0)</f>
        <v>1232</v>
      </c>
      <c r="B268" s="131"/>
      <c r="C268" s="131">
        <f>IFERROR(__xludf.DUMMYFUNCTION("""COMPUTED_VALUE"""),1230.0)</f>
        <v>1230</v>
      </c>
      <c r="D268" s="131"/>
      <c r="E268" s="131" t="str">
        <f>IFERROR(__xludf.DUMMYFUNCTION("""COMPUTED_VALUE"""),"SALAC")</f>
        <v>SALAC</v>
      </c>
      <c r="F268" s="131" t="str">
        <f>IFERROR(__xludf.DUMMYFUNCTION("""COMPUTED_VALUE"""),"ROMEO")</f>
        <v>ROMEO</v>
      </c>
    </row>
    <row r="269">
      <c r="A269" s="131">
        <f>IFERROR(__xludf.DUMMYFUNCTION("""COMPUTED_VALUE"""),1233.0)</f>
        <v>1233</v>
      </c>
      <c r="B269" s="131"/>
      <c r="C269" s="131">
        <f>IFERROR(__xludf.DUMMYFUNCTION("""COMPUTED_VALUE"""),1230.0)</f>
        <v>1230</v>
      </c>
      <c r="D269" s="131"/>
      <c r="E269" s="131" t="str">
        <f>IFERROR(__xludf.DUMMYFUNCTION("""COMPUTED_VALUE"""),"GREGORIO")</f>
        <v>GREGORIO</v>
      </c>
      <c r="F269" s="131" t="str">
        <f>IFERROR(__xludf.DUMMYFUNCTION("""COMPUTED_VALUE"""),"MARLOU")</f>
        <v>MARLOU</v>
      </c>
    </row>
    <row r="270">
      <c r="A270" s="131">
        <f>IFERROR(__xludf.DUMMYFUNCTION("""COMPUTED_VALUE"""),1234.0)</f>
        <v>1234</v>
      </c>
      <c r="B270" s="131"/>
      <c r="C270" s="131">
        <f>IFERROR(__xludf.DUMMYFUNCTION("""COMPUTED_VALUE"""),1230.0)</f>
        <v>1230</v>
      </c>
      <c r="D270" s="131"/>
      <c r="E270" s="131" t="str">
        <f>IFERROR(__xludf.DUMMYFUNCTION("""COMPUTED_VALUE"""),"SOMERA")</f>
        <v>SOMERA</v>
      </c>
      <c r="F270" s="131" t="str">
        <f>IFERROR(__xludf.DUMMYFUNCTION("""COMPUTED_VALUE"""),"JAY")</f>
        <v>JAY</v>
      </c>
    </row>
    <row r="271">
      <c r="A271" s="131">
        <f>IFERROR(__xludf.DUMMYFUNCTION("""COMPUTED_VALUE"""),1235.0)</f>
        <v>1235</v>
      </c>
      <c r="B271" s="131"/>
      <c r="C271" s="131">
        <f>IFERROR(__xludf.DUMMYFUNCTION("""COMPUTED_VALUE"""),1230.0)</f>
        <v>1230</v>
      </c>
      <c r="D271" s="131"/>
      <c r="E271" s="131" t="str">
        <f>IFERROR(__xludf.DUMMYFUNCTION("""COMPUTED_VALUE"""),"MALIWAT")</f>
        <v>MALIWAT</v>
      </c>
      <c r="F271" s="131" t="str">
        <f>IFERROR(__xludf.DUMMYFUNCTION("""COMPUTED_VALUE"""),"LEO")</f>
        <v>LEO</v>
      </c>
    </row>
    <row r="272">
      <c r="A272" s="131"/>
      <c r="B272" s="131"/>
      <c r="C272" s="131"/>
      <c r="D272" s="131"/>
      <c r="E272" s="131"/>
      <c r="F272" s="131"/>
    </row>
    <row r="273">
      <c r="A273" s="131">
        <f>IFERROR(__xludf.DUMMYFUNCTION("""COMPUTED_VALUE"""),1236.0)</f>
        <v>1236</v>
      </c>
      <c r="B273" s="131"/>
      <c r="C273" s="131">
        <f>IFERROR(__xludf.DUMMYFUNCTION("""COMPUTED_VALUE"""),1236.0)</f>
        <v>1236</v>
      </c>
      <c r="D273" s="131" t="b">
        <f>IFERROR(__xludf.DUMMYFUNCTION("""COMPUTED_VALUE"""),TRUE)</f>
        <v>1</v>
      </c>
      <c r="E273" s="131" t="str">
        <f>IFERROR(__xludf.DUMMYFUNCTION("""COMPUTED_VALUE"""),"RETAMAR")</f>
        <v>RETAMAR</v>
      </c>
      <c r="F273" s="131" t="str">
        <f>IFERROR(__xludf.DUMMYFUNCTION("""COMPUTED_VALUE"""),"ELENA")</f>
        <v>ELENA</v>
      </c>
    </row>
    <row r="274">
      <c r="A274" s="131">
        <f>IFERROR(__xludf.DUMMYFUNCTION("""COMPUTED_VALUE"""),1237.0)</f>
        <v>1237</v>
      </c>
      <c r="B274" s="131"/>
      <c r="C274" s="131">
        <f>IFERROR(__xludf.DUMMYFUNCTION("""COMPUTED_VALUE"""),1236.0)</f>
        <v>1236</v>
      </c>
      <c r="D274" s="131"/>
      <c r="E274" s="131" t="str">
        <f>IFERROR(__xludf.DUMMYFUNCTION("""COMPUTED_VALUE"""),"VILLA")</f>
        <v>VILLA</v>
      </c>
      <c r="F274" s="131" t="str">
        <f>IFERROR(__xludf.DUMMYFUNCTION("""COMPUTED_VALUE"""),"WENG NIONES")</f>
        <v>WENG NIONES</v>
      </c>
    </row>
    <row r="275">
      <c r="A275" s="131">
        <f>IFERROR(__xludf.DUMMYFUNCTION("""COMPUTED_VALUE"""),1238.0)</f>
        <v>1238</v>
      </c>
      <c r="B275" s="131"/>
      <c r="C275" s="131">
        <f>IFERROR(__xludf.DUMMYFUNCTION("""COMPUTED_VALUE"""),1236.0)</f>
        <v>1236</v>
      </c>
      <c r="D275" s="131"/>
      <c r="E275" s="131" t="str">
        <f>IFERROR(__xludf.DUMMYFUNCTION("""COMPUTED_VALUE"""),"V")</f>
        <v>V</v>
      </c>
      <c r="F275" s="131" t="str">
        <f>IFERROR(__xludf.DUMMYFUNCTION("""COMPUTED_VALUE"""),"ROSE")</f>
        <v>ROSE</v>
      </c>
    </row>
    <row r="276">
      <c r="A276" s="131">
        <f>IFERROR(__xludf.DUMMYFUNCTION("""COMPUTED_VALUE"""),1239.0)</f>
        <v>1239</v>
      </c>
      <c r="B276" s="131"/>
      <c r="C276" s="131">
        <f>IFERROR(__xludf.DUMMYFUNCTION("""COMPUTED_VALUE"""),1236.0)</f>
        <v>1236</v>
      </c>
      <c r="D276" s="131"/>
      <c r="E276" s="131" t="str">
        <f>IFERROR(__xludf.DUMMYFUNCTION("""COMPUTED_VALUE"""),"DATO")</f>
        <v>DATO</v>
      </c>
      <c r="F276" s="131" t="str">
        <f>IFERROR(__xludf.DUMMYFUNCTION("""COMPUTED_VALUE"""),"EVELYN")</f>
        <v>EVELYN</v>
      </c>
    </row>
    <row r="277">
      <c r="A277" s="131">
        <f>IFERROR(__xludf.DUMMYFUNCTION("""COMPUTED_VALUE"""),1240.0)</f>
        <v>1240</v>
      </c>
      <c r="B277" s="131"/>
      <c r="C277" s="131">
        <f>IFERROR(__xludf.DUMMYFUNCTION("""COMPUTED_VALUE"""),1236.0)</f>
        <v>1236</v>
      </c>
      <c r="D277" s="131"/>
      <c r="E277" s="131"/>
      <c r="F277" s="131" t="str">
        <f>IFERROR(__xludf.DUMMYFUNCTION("""COMPUTED_VALUE"""),"ELIZABETH")</f>
        <v>ELIZABETH</v>
      </c>
    </row>
    <row r="278">
      <c r="A278" s="131">
        <f>IFERROR(__xludf.DUMMYFUNCTION("""COMPUTED_VALUE"""),1241.0)</f>
        <v>1241</v>
      </c>
      <c r="B278" s="131"/>
      <c r="C278" s="131">
        <f>IFERROR(__xludf.DUMMYFUNCTION("""COMPUTED_VALUE"""),1236.0)</f>
        <v>1236</v>
      </c>
      <c r="D278" s="131"/>
      <c r="E278" s="131"/>
      <c r="F278" s="131" t="str">
        <f>IFERROR(__xludf.DUMMYFUNCTION("""COMPUTED_VALUE"""),"WINNIE")</f>
        <v>WINNIE</v>
      </c>
    </row>
    <row r="279">
      <c r="A279" s="131">
        <f>IFERROR(__xludf.DUMMYFUNCTION("""COMPUTED_VALUE"""),1242.0)</f>
        <v>1242</v>
      </c>
      <c r="B279" s="131"/>
      <c r="C279" s="131">
        <f>IFERROR(__xludf.DUMMYFUNCTION("""COMPUTED_VALUE"""),1236.0)</f>
        <v>1236</v>
      </c>
      <c r="D279" s="131"/>
      <c r="E279" s="131"/>
      <c r="F279" s="131" t="str">
        <f>IFERROR(__xludf.DUMMYFUNCTION("""COMPUTED_VALUE"""),"MALOU")</f>
        <v>MALOU</v>
      </c>
    </row>
    <row r="280">
      <c r="A280" s="131">
        <f>IFERROR(__xludf.DUMMYFUNCTION("""COMPUTED_VALUE"""),1243.0)</f>
        <v>1243</v>
      </c>
      <c r="B280" s="131"/>
      <c r="C280" s="131">
        <f>IFERROR(__xludf.DUMMYFUNCTION("""COMPUTED_VALUE"""),1236.0)</f>
        <v>1236</v>
      </c>
      <c r="D280" s="131"/>
      <c r="E280" s="131" t="str">
        <f>IFERROR(__xludf.DUMMYFUNCTION("""COMPUTED_VALUE"""),"TOLEDO")</f>
        <v>TOLEDO</v>
      </c>
      <c r="F280" s="131" t="str">
        <f>IFERROR(__xludf.DUMMYFUNCTION("""COMPUTED_VALUE"""),"MAYE")</f>
        <v>MAYE</v>
      </c>
    </row>
    <row r="281">
      <c r="A281" s="131">
        <f>IFERROR(__xludf.DUMMYFUNCTION("""COMPUTED_VALUE"""),1244.0)</f>
        <v>1244</v>
      </c>
      <c r="B281" s="131"/>
      <c r="C281" s="131">
        <f>IFERROR(__xludf.DUMMYFUNCTION("""COMPUTED_VALUE"""),1236.0)</f>
        <v>1236</v>
      </c>
      <c r="D281" s="131"/>
      <c r="E281" s="131" t="str">
        <f>IFERROR(__xludf.DUMMYFUNCTION("""COMPUTED_VALUE"""),"LIM")</f>
        <v>LIM</v>
      </c>
      <c r="F281" s="131" t="str">
        <f>IFERROR(__xludf.DUMMYFUNCTION("""COMPUTED_VALUE"""),"GRACE")</f>
        <v>GRACE</v>
      </c>
    </row>
    <row r="282">
      <c r="A282" s="131">
        <f>IFERROR(__xludf.DUMMYFUNCTION("""COMPUTED_VALUE"""),1245.0)</f>
        <v>1245</v>
      </c>
      <c r="B282" s="131"/>
      <c r="C282" s="131">
        <f>IFERROR(__xludf.DUMMYFUNCTION("""COMPUTED_VALUE"""),1236.0)</f>
        <v>1236</v>
      </c>
      <c r="D282" s="131"/>
      <c r="E282" s="131" t="str">
        <f>IFERROR(__xludf.DUMMYFUNCTION("""COMPUTED_VALUE"""),"CALUALHATIAN")</f>
        <v>CALUALHATIAN</v>
      </c>
      <c r="F282" s="131" t="str">
        <f>IFERROR(__xludf.DUMMYFUNCTION("""COMPUTED_VALUE"""),"ADELAIDA")</f>
        <v>ADELAIDA</v>
      </c>
    </row>
    <row r="283">
      <c r="A283" s="131">
        <f>IFERROR(__xludf.DUMMYFUNCTION("""COMPUTED_VALUE"""),1246.0)</f>
        <v>1246</v>
      </c>
      <c r="B283" s="131"/>
      <c r="C283" s="131">
        <f>IFERROR(__xludf.DUMMYFUNCTION("""COMPUTED_VALUE"""),1236.0)</f>
        <v>1236</v>
      </c>
      <c r="D283" s="131"/>
      <c r="E283" s="131" t="str">
        <f>IFERROR(__xludf.DUMMYFUNCTION("""COMPUTED_VALUE"""),"CALUALHATIAN")</f>
        <v>CALUALHATIAN</v>
      </c>
      <c r="F283" s="131" t="str">
        <f>IFERROR(__xludf.DUMMYFUNCTION("""COMPUTED_VALUE"""),"DAHNA")</f>
        <v>DAHNA</v>
      </c>
    </row>
    <row r="284">
      <c r="A284" s="131">
        <f>IFERROR(__xludf.DUMMYFUNCTION("""COMPUTED_VALUE"""),1247.0)</f>
        <v>1247</v>
      </c>
      <c r="B284" s="131"/>
      <c r="C284" s="131">
        <f>IFERROR(__xludf.DUMMYFUNCTION("""COMPUTED_VALUE"""),1236.0)</f>
        <v>1236</v>
      </c>
      <c r="D284" s="131"/>
      <c r="E284" s="131" t="str">
        <f>IFERROR(__xludf.DUMMYFUNCTION("""COMPUTED_VALUE"""),"SEXON")</f>
        <v>SEXON</v>
      </c>
      <c r="F284" s="131" t="str">
        <f>IFERROR(__xludf.DUMMYFUNCTION("""COMPUTED_VALUE"""),"MARILYN")</f>
        <v>MARILYN</v>
      </c>
    </row>
    <row r="285">
      <c r="A285" s="131">
        <f>IFERROR(__xludf.DUMMYFUNCTION("""COMPUTED_VALUE"""),1248.0)</f>
        <v>1248</v>
      </c>
      <c r="B285" s="131"/>
      <c r="C285" s="131">
        <f>IFERROR(__xludf.DUMMYFUNCTION("""COMPUTED_VALUE"""),1236.0)</f>
        <v>1236</v>
      </c>
      <c r="D285" s="131"/>
      <c r="E285" s="131" t="str">
        <f>IFERROR(__xludf.DUMMYFUNCTION("""COMPUTED_VALUE"""),"CALUALHATIAN")</f>
        <v>CALUALHATIAN</v>
      </c>
      <c r="F285" s="131" t="str">
        <f>IFERROR(__xludf.DUMMYFUNCTION("""COMPUTED_VALUE"""),"DANIKKA")</f>
        <v>DANIKKA</v>
      </c>
    </row>
    <row r="286">
      <c r="A286" s="131">
        <f>IFERROR(__xludf.DUMMYFUNCTION("""COMPUTED_VALUE"""),1249.0)</f>
        <v>1249</v>
      </c>
      <c r="B286" s="131"/>
      <c r="C286" s="131">
        <f>IFERROR(__xludf.DUMMYFUNCTION("""COMPUTED_VALUE"""),1236.0)</f>
        <v>1236</v>
      </c>
      <c r="D286" s="131"/>
      <c r="E286" s="131" t="str">
        <f>IFERROR(__xludf.DUMMYFUNCTION("""COMPUTED_VALUE"""),"CODILLA")</f>
        <v>CODILLA</v>
      </c>
      <c r="F286" s="131" t="str">
        <f>IFERROR(__xludf.DUMMYFUNCTION("""COMPUTED_VALUE"""),"CORY")</f>
        <v>CORY</v>
      </c>
    </row>
    <row r="287">
      <c r="A287" s="131">
        <f>IFERROR(__xludf.DUMMYFUNCTION("""COMPUTED_VALUE"""),1250.0)</f>
        <v>1250</v>
      </c>
      <c r="B287" s="131"/>
      <c r="C287" s="131">
        <f>IFERROR(__xludf.DUMMYFUNCTION("""COMPUTED_VALUE"""),1236.0)</f>
        <v>1236</v>
      </c>
      <c r="D287" s="131"/>
      <c r="E287" s="131" t="str">
        <f>IFERROR(__xludf.DUMMYFUNCTION("""COMPUTED_VALUE"""),"LANGITAN")</f>
        <v>LANGITAN</v>
      </c>
      <c r="F287" s="131" t="str">
        <f>IFERROR(__xludf.DUMMYFUNCTION("""COMPUTED_VALUE"""),"SARAH")</f>
        <v>SARAH</v>
      </c>
    </row>
    <row r="288">
      <c r="A288" s="131">
        <f>IFERROR(__xludf.DUMMYFUNCTION("""COMPUTED_VALUE"""),1251.0)</f>
        <v>1251</v>
      </c>
      <c r="B288" s="131"/>
      <c r="C288" s="131">
        <f>IFERROR(__xludf.DUMMYFUNCTION("""COMPUTED_VALUE"""),1236.0)</f>
        <v>1236</v>
      </c>
      <c r="D288" s="131"/>
      <c r="E288" s="131" t="str">
        <f>IFERROR(__xludf.DUMMYFUNCTION("""COMPUTED_VALUE"""),"LACONSAY")</f>
        <v>LACONSAY</v>
      </c>
      <c r="F288" s="131" t="str">
        <f>IFERROR(__xludf.DUMMYFUNCTION("""COMPUTED_VALUE"""),"MA. LOURDES")</f>
        <v>MA. LOURDES</v>
      </c>
    </row>
    <row r="289">
      <c r="A289" s="131">
        <f>IFERROR(__xludf.DUMMYFUNCTION("""COMPUTED_VALUE"""),1252.0)</f>
        <v>1252</v>
      </c>
      <c r="B289" s="131"/>
      <c r="C289" s="131">
        <f>IFERROR(__xludf.DUMMYFUNCTION("""COMPUTED_VALUE"""),1236.0)</f>
        <v>1236</v>
      </c>
      <c r="D289" s="131"/>
      <c r="E289" s="131" t="str">
        <f>IFERROR(__xludf.DUMMYFUNCTION("""COMPUTED_VALUE"""),"LACONSAY")</f>
        <v>LACONSAY</v>
      </c>
      <c r="F289" s="131" t="str">
        <f>IFERROR(__xludf.DUMMYFUNCTION("""COMPUTED_VALUE"""),"MA. ELENA")</f>
        <v>MA. ELENA</v>
      </c>
    </row>
    <row r="290">
      <c r="A290" s="131">
        <f>IFERROR(__xludf.DUMMYFUNCTION("""COMPUTED_VALUE"""),1253.0)</f>
        <v>1253</v>
      </c>
      <c r="B290" s="131"/>
      <c r="C290" s="131">
        <f>IFERROR(__xludf.DUMMYFUNCTION("""COMPUTED_VALUE"""),1236.0)</f>
        <v>1236</v>
      </c>
      <c r="D290" s="131"/>
      <c r="E290" s="131" t="str">
        <f>IFERROR(__xludf.DUMMYFUNCTION("""COMPUTED_VALUE"""),"MENOSO")</f>
        <v>MENOSO</v>
      </c>
      <c r="F290" s="131" t="str">
        <f>IFERROR(__xludf.DUMMYFUNCTION("""COMPUTED_VALUE"""),"DANICA")</f>
        <v>DANICA</v>
      </c>
    </row>
    <row r="291">
      <c r="A291" s="131">
        <f>IFERROR(__xludf.DUMMYFUNCTION("""COMPUTED_VALUE"""),1254.0)</f>
        <v>1254</v>
      </c>
      <c r="B291" s="131"/>
      <c r="C291" s="131">
        <f>IFERROR(__xludf.DUMMYFUNCTION("""COMPUTED_VALUE"""),1236.0)</f>
        <v>1236</v>
      </c>
      <c r="D291" s="131"/>
      <c r="E291" s="131"/>
      <c r="F291" s="131" t="str">
        <f>IFERROR(__xludf.DUMMYFUNCTION("""COMPUTED_VALUE"""),"AGNES")</f>
        <v>AGNES</v>
      </c>
    </row>
    <row r="292">
      <c r="A292" s="131"/>
      <c r="B292" s="131"/>
      <c r="C292" s="131"/>
      <c r="D292" s="131"/>
      <c r="E292" s="131"/>
      <c r="F292" s="131"/>
    </row>
    <row r="293">
      <c r="A293" s="131">
        <f>IFERROR(__xludf.DUMMYFUNCTION("""COMPUTED_VALUE"""),1255.0)</f>
        <v>1255</v>
      </c>
      <c r="B293" s="131"/>
      <c r="C293" s="131">
        <f>IFERROR(__xludf.DUMMYFUNCTION("""COMPUTED_VALUE"""),1255.0)</f>
        <v>1255</v>
      </c>
      <c r="D293" s="131" t="b">
        <f>IFERROR(__xludf.DUMMYFUNCTION("""COMPUTED_VALUE"""),TRUE)</f>
        <v>1</v>
      </c>
      <c r="E293" s="131" t="str">
        <f>IFERROR(__xludf.DUMMYFUNCTION("""COMPUTED_VALUE"""),"VERTODAZO")</f>
        <v>VERTODAZO</v>
      </c>
      <c r="F293" s="131" t="str">
        <f>IFERROR(__xludf.DUMMYFUNCTION("""COMPUTED_VALUE"""),"MONETH")</f>
        <v>MONETH</v>
      </c>
    </row>
    <row r="294">
      <c r="A294" s="131">
        <f>IFERROR(__xludf.DUMMYFUNCTION("""COMPUTED_VALUE"""),1256.0)</f>
        <v>1256</v>
      </c>
      <c r="B294" s="131"/>
      <c r="C294" s="131">
        <f>IFERROR(__xludf.DUMMYFUNCTION("""COMPUTED_VALUE"""),1255.0)</f>
        <v>1255</v>
      </c>
      <c r="D294" s="131"/>
      <c r="E294" s="131" t="str">
        <f>IFERROR(__xludf.DUMMYFUNCTION("""COMPUTED_VALUE"""),"SOMERA")</f>
        <v>SOMERA</v>
      </c>
      <c r="F294" s="131" t="str">
        <f>IFERROR(__xludf.DUMMYFUNCTION("""COMPUTED_VALUE"""),"CHA")</f>
        <v>CHA</v>
      </c>
    </row>
    <row r="295">
      <c r="A295" s="131">
        <f>IFERROR(__xludf.DUMMYFUNCTION("""COMPUTED_VALUE"""),1257.0)</f>
        <v>1257</v>
      </c>
      <c r="B295" s="131"/>
      <c r="C295" s="131">
        <f>IFERROR(__xludf.DUMMYFUNCTION("""COMPUTED_VALUE"""),1255.0)</f>
        <v>1255</v>
      </c>
      <c r="D295" s="131"/>
      <c r="E295" s="131" t="str">
        <f>IFERROR(__xludf.DUMMYFUNCTION("""COMPUTED_VALUE"""),"MAGDUAY")</f>
        <v>MAGDUAY</v>
      </c>
      <c r="F295" s="131" t="str">
        <f>IFERROR(__xludf.DUMMYFUNCTION("""COMPUTED_VALUE"""),"HEIDEE")</f>
        <v>HEIDEE</v>
      </c>
    </row>
    <row r="296">
      <c r="A296" s="131">
        <f>IFERROR(__xludf.DUMMYFUNCTION("""COMPUTED_VALUE"""),1258.0)</f>
        <v>1258</v>
      </c>
      <c r="B296" s="131"/>
      <c r="C296" s="131">
        <f>IFERROR(__xludf.DUMMYFUNCTION("""COMPUTED_VALUE"""),1255.0)</f>
        <v>1255</v>
      </c>
      <c r="D296" s="131"/>
      <c r="E296" s="131" t="str">
        <f>IFERROR(__xludf.DUMMYFUNCTION("""COMPUTED_VALUE"""),"TANDUL")</f>
        <v>TANDUL</v>
      </c>
      <c r="F296" s="131" t="str">
        <f>IFERROR(__xludf.DUMMYFUNCTION("""COMPUTED_VALUE"""),"RAQUEL")</f>
        <v>RAQUEL</v>
      </c>
    </row>
    <row r="297">
      <c r="A297" s="131">
        <f>IFERROR(__xludf.DUMMYFUNCTION("""COMPUTED_VALUE"""),1259.0)</f>
        <v>1259</v>
      </c>
      <c r="B297" s="131"/>
      <c r="C297" s="131">
        <f>IFERROR(__xludf.DUMMYFUNCTION("""COMPUTED_VALUE"""),1255.0)</f>
        <v>1255</v>
      </c>
      <c r="D297" s="131"/>
      <c r="E297" s="131" t="str">
        <f>IFERROR(__xludf.DUMMYFUNCTION("""COMPUTED_VALUE"""),"ARTICULO")</f>
        <v>ARTICULO</v>
      </c>
      <c r="F297" s="131" t="str">
        <f>IFERROR(__xludf.DUMMYFUNCTION("""COMPUTED_VALUE"""),"LEILA M.")</f>
        <v>LEILA M.</v>
      </c>
    </row>
    <row r="298">
      <c r="A298" s="131">
        <f>IFERROR(__xludf.DUMMYFUNCTION("""COMPUTED_VALUE"""),1260.0)</f>
        <v>1260</v>
      </c>
      <c r="B298" s="131"/>
      <c r="C298" s="131">
        <f>IFERROR(__xludf.DUMMYFUNCTION("""COMPUTED_VALUE"""),1255.0)</f>
        <v>1255</v>
      </c>
      <c r="D298" s="131"/>
      <c r="E298" s="131" t="str">
        <f>IFERROR(__xludf.DUMMYFUNCTION("""COMPUTED_VALUE"""),"BALDONADO")</f>
        <v>BALDONADO</v>
      </c>
      <c r="F298" s="131" t="str">
        <f>IFERROR(__xludf.DUMMYFUNCTION("""COMPUTED_VALUE"""),"JULIETA")</f>
        <v>JULIETA</v>
      </c>
    </row>
    <row r="299">
      <c r="A299" s="131">
        <f>IFERROR(__xludf.DUMMYFUNCTION("""COMPUTED_VALUE"""),1261.0)</f>
        <v>1261</v>
      </c>
      <c r="B299" s="131"/>
      <c r="C299" s="131">
        <f>IFERROR(__xludf.DUMMYFUNCTION("""COMPUTED_VALUE"""),1255.0)</f>
        <v>1255</v>
      </c>
      <c r="D299" s="131"/>
      <c r="E299" s="131" t="str">
        <f>IFERROR(__xludf.DUMMYFUNCTION("""COMPUTED_VALUE"""),"CARLOS")</f>
        <v>CARLOS</v>
      </c>
      <c r="F299" s="131" t="str">
        <f>IFERROR(__xludf.DUMMYFUNCTION("""COMPUTED_VALUE"""),"ANTONETTE M.")</f>
        <v>ANTONETTE M.</v>
      </c>
    </row>
    <row r="300">
      <c r="A300" s="131">
        <f>IFERROR(__xludf.DUMMYFUNCTION("""COMPUTED_VALUE"""),1262.0)</f>
        <v>1262</v>
      </c>
      <c r="B300" s="131"/>
      <c r="C300" s="131">
        <f>IFERROR(__xludf.DUMMYFUNCTION("""COMPUTED_VALUE"""),1255.0)</f>
        <v>1255</v>
      </c>
      <c r="D300" s="131"/>
      <c r="E300" s="131" t="str">
        <f>IFERROR(__xludf.DUMMYFUNCTION("""COMPUTED_VALUE"""),"INCARNATION")</f>
        <v>INCARNATION</v>
      </c>
      <c r="F300" s="131" t="str">
        <f>IFERROR(__xludf.DUMMYFUNCTION("""COMPUTED_VALUE"""),"LUCILA")</f>
        <v>LUCILA</v>
      </c>
    </row>
    <row r="301">
      <c r="A301" s="131">
        <f>IFERROR(__xludf.DUMMYFUNCTION("""COMPUTED_VALUE"""),1263.0)</f>
        <v>1263</v>
      </c>
      <c r="B301" s="131"/>
      <c r="C301" s="131">
        <f>IFERROR(__xludf.DUMMYFUNCTION("""COMPUTED_VALUE"""),1255.0)</f>
        <v>1255</v>
      </c>
      <c r="D301" s="131"/>
      <c r="E301" s="131" t="str">
        <f>IFERROR(__xludf.DUMMYFUNCTION("""COMPUTED_VALUE"""),"MAGAT")</f>
        <v>MAGAT</v>
      </c>
      <c r="F301" s="131" t="str">
        <f>IFERROR(__xludf.DUMMYFUNCTION("""COMPUTED_VALUE"""),"SYLVIA")</f>
        <v>SYLVIA</v>
      </c>
    </row>
    <row r="302">
      <c r="A302" s="131">
        <f>IFERROR(__xludf.DUMMYFUNCTION("""COMPUTED_VALUE"""),1264.0)</f>
        <v>1264</v>
      </c>
      <c r="B302" s="131"/>
      <c r="C302" s="131">
        <f>IFERROR(__xludf.DUMMYFUNCTION("""COMPUTED_VALUE"""),1255.0)</f>
        <v>1255</v>
      </c>
      <c r="D302" s="131"/>
      <c r="E302" s="131" t="str">
        <f>IFERROR(__xludf.DUMMYFUNCTION("""COMPUTED_VALUE"""),"MAGAT")</f>
        <v>MAGAT</v>
      </c>
      <c r="F302" s="131" t="str">
        <f>IFERROR(__xludf.DUMMYFUNCTION("""COMPUTED_VALUE"""),"JOSEPHINA")</f>
        <v>JOSEPHINA</v>
      </c>
    </row>
    <row r="303">
      <c r="A303" s="131">
        <f>IFERROR(__xludf.DUMMYFUNCTION("""COMPUTED_VALUE"""),1265.0)</f>
        <v>1265</v>
      </c>
      <c r="B303" s="131"/>
      <c r="C303" s="131">
        <f>IFERROR(__xludf.DUMMYFUNCTION("""COMPUTED_VALUE"""),1255.0)</f>
        <v>1255</v>
      </c>
      <c r="D303" s="131"/>
      <c r="E303" s="131" t="str">
        <f>IFERROR(__xludf.DUMMYFUNCTION("""COMPUTED_VALUE"""),"VILLARTA")</f>
        <v>VILLARTA</v>
      </c>
      <c r="F303" s="131" t="str">
        <f>IFERROR(__xludf.DUMMYFUNCTION("""COMPUTED_VALUE"""),"JESSICA")</f>
        <v>JESSICA</v>
      </c>
    </row>
    <row r="304">
      <c r="A304" s="131">
        <f>IFERROR(__xludf.DUMMYFUNCTION("""COMPUTED_VALUE"""),1266.0)</f>
        <v>1266</v>
      </c>
      <c r="B304" s="131"/>
      <c r="C304" s="131">
        <f>IFERROR(__xludf.DUMMYFUNCTION("""COMPUTED_VALUE"""),1255.0)</f>
        <v>1255</v>
      </c>
      <c r="D304" s="131"/>
      <c r="E304" s="131" t="str">
        <f>IFERROR(__xludf.DUMMYFUNCTION("""COMPUTED_VALUE"""),"MORAL")</f>
        <v>MORAL</v>
      </c>
      <c r="F304" s="131" t="str">
        <f>IFERROR(__xludf.DUMMYFUNCTION("""COMPUTED_VALUE"""),"LUCHELLE")</f>
        <v>LUCHELLE</v>
      </c>
    </row>
    <row r="305">
      <c r="A305" s="131">
        <f>IFERROR(__xludf.DUMMYFUNCTION("""COMPUTED_VALUE"""),1267.0)</f>
        <v>1267</v>
      </c>
      <c r="B305" s="131"/>
      <c r="C305" s="131">
        <f>IFERROR(__xludf.DUMMYFUNCTION("""COMPUTED_VALUE"""),1255.0)</f>
        <v>1255</v>
      </c>
      <c r="D305" s="131"/>
      <c r="E305" s="131" t="str">
        <f>IFERROR(__xludf.DUMMYFUNCTION("""COMPUTED_VALUE"""),"BRUSOLA")</f>
        <v>BRUSOLA</v>
      </c>
      <c r="F305" s="131" t="str">
        <f>IFERROR(__xludf.DUMMYFUNCTION("""COMPUTED_VALUE"""),"MERLY")</f>
        <v>MERLY</v>
      </c>
    </row>
    <row r="306">
      <c r="A306" s="131">
        <f>IFERROR(__xludf.DUMMYFUNCTION("""COMPUTED_VALUE"""),1268.0)</f>
        <v>1268</v>
      </c>
      <c r="B306" s="131"/>
      <c r="C306" s="131">
        <f>IFERROR(__xludf.DUMMYFUNCTION("""COMPUTED_VALUE"""),1255.0)</f>
        <v>1255</v>
      </c>
      <c r="D306" s="131"/>
      <c r="E306" s="131" t="str">
        <f>IFERROR(__xludf.DUMMYFUNCTION("""COMPUTED_VALUE"""),"TARINAY")</f>
        <v>TARINAY</v>
      </c>
      <c r="F306" s="131" t="str">
        <f>IFERROR(__xludf.DUMMYFUNCTION("""COMPUTED_VALUE"""),"MARILYN")</f>
        <v>MARILYN</v>
      </c>
    </row>
    <row r="307">
      <c r="A307" s="131">
        <f>IFERROR(__xludf.DUMMYFUNCTION("""COMPUTED_VALUE"""),1269.0)</f>
        <v>1269</v>
      </c>
      <c r="B307" s="131"/>
      <c r="C307" s="131">
        <f>IFERROR(__xludf.DUMMYFUNCTION("""COMPUTED_VALUE"""),1255.0)</f>
        <v>1255</v>
      </c>
      <c r="D307" s="131"/>
      <c r="E307" s="131" t="str">
        <f>IFERROR(__xludf.DUMMYFUNCTION("""COMPUTED_VALUE"""),"VARGAS")</f>
        <v>VARGAS</v>
      </c>
      <c r="F307" s="131" t="str">
        <f>IFERROR(__xludf.DUMMYFUNCTION("""COMPUTED_VALUE"""),"VILMA")</f>
        <v>VILMA</v>
      </c>
    </row>
    <row r="308">
      <c r="A308" s="131">
        <f>IFERROR(__xludf.DUMMYFUNCTION("""COMPUTED_VALUE"""),1270.0)</f>
        <v>1270</v>
      </c>
      <c r="B308" s="131"/>
      <c r="C308" s="131">
        <f>IFERROR(__xludf.DUMMYFUNCTION("""COMPUTED_VALUE"""),1255.0)</f>
        <v>1255</v>
      </c>
      <c r="D308" s="131"/>
      <c r="E308" s="131" t="str">
        <f>IFERROR(__xludf.DUMMYFUNCTION("""COMPUTED_VALUE"""),"GAPAS")</f>
        <v>GAPAS</v>
      </c>
      <c r="F308" s="131" t="str">
        <f>IFERROR(__xludf.DUMMYFUNCTION("""COMPUTED_VALUE"""),"EDITH")</f>
        <v>EDITH</v>
      </c>
    </row>
    <row r="309">
      <c r="A309" s="131">
        <f>IFERROR(__xludf.DUMMYFUNCTION("""COMPUTED_VALUE"""),1271.0)</f>
        <v>1271</v>
      </c>
      <c r="B309" s="131"/>
      <c r="C309" s="131">
        <f>IFERROR(__xludf.DUMMYFUNCTION("""COMPUTED_VALUE"""),1255.0)</f>
        <v>1255</v>
      </c>
      <c r="D309" s="131"/>
      <c r="E309" s="131" t="str">
        <f>IFERROR(__xludf.DUMMYFUNCTION("""COMPUTED_VALUE"""),"PACHECO")</f>
        <v>PACHECO</v>
      </c>
      <c r="F309" s="131" t="str">
        <f>IFERROR(__xludf.DUMMYFUNCTION("""COMPUTED_VALUE"""),"CAROLINE")</f>
        <v>CAROLINE</v>
      </c>
    </row>
    <row r="310">
      <c r="A310" s="131">
        <f>IFERROR(__xludf.DUMMYFUNCTION("""COMPUTED_VALUE"""),1272.0)</f>
        <v>1272</v>
      </c>
      <c r="B310" s="131"/>
      <c r="C310" s="131">
        <f>IFERROR(__xludf.DUMMYFUNCTION("""COMPUTED_VALUE"""),1255.0)</f>
        <v>1255</v>
      </c>
      <c r="D310" s="131"/>
      <c r="E310" s="131" t="str">
        <f>IFERROR(__xludf.DUMMYFUNCTION("""COMPUTED_VALUE"""),"BACOSA")</f>
        <v>BACOSA</v>
      </c>
      <c r="F310" s="131" t="str">
        <f>IFERROR(__xludf.DUMMYFUNCTION("""COMPUTED_VALUE"""),"MAIDA")</f>
        <v>MAIDA</v>
      </c>
    </row>
    <row r="311">
      <c r="A311" s="131">
        <f>IFERROR(__xludf.DUMMYFUNCTION("""COMPUTED_VALUE"""),1273.0)</f>
        <v>1273</v>
      </c>
      <c r="B311" s="131"/>
      <c r="C311" s="131">
        <f>IFERROR(__xludf.DUMMYFUNCTION("""COMPUTED_VALUE"""),1255.0)</f>
        <v>1255</v>
      </c>
      <c r="D311" s="131"/>
      <c r="E311" s="131" t="str">
        <f>IFERROR(__xludf.DUMMYFUNCTION("""COMPUTED_VALUE"""),"LIM")</f>
        <v>LIM</v>
      </c>
      <c r="F311" s="131" t="str">
        <f>IFERROR(__xludf.DUMMYFUNCTION("""COMPUTED_VALUE"""),"LANIE")</f>
        <v>LANIE</v>
      </c>
    </row>
    <row r="312">
      <c r="A312" s="131">
        <f>IFERROR(__xludf.DUMMYFUNCTION("""COMPUTED_VALUE"""),1274.0)</f>
        <v>1274</v>
      </c>
      <c r="B312" s="131"/>
      <c r="C312" s="131">
        <f>IFERROR(__xludf.DUMMYFUNCTION("""COMPUTED_VALUE"""),1255.0)</f>
        <v>1255</v>
      </c>
      <c r="D312" s="131"/>
      <c r="E312" s="131" t="str">
        <f>IFERROR(__xludf.DUMMYFUNCTION("""COMPUTED_VALUE"""),"DELA VEGA")</f>
        <v>DELA VEGA</v>
      </c>
      <c r="F312" s="131" t="str">
        <f>IFERROR(__xludf.DUMMYFUNCTION("""COMPUTED_VALUE"""),"MAVIC")</f>
        <v>MAVIC</v>
      </c>
    </row>
    <row r="313">
      <c r="A313" s="131">
        <f>IFERROR(__xludf.DUMMYFUNCTION("""COMPUTED_VALUE"""),1275.0)</f>
        <v>1275</v>
      </c>
      <c r="B313" s="131"/>
      <c r="C313" s="131">
        <f>IFERROR(__xludf.DUMMYFUNCTION("""COMPUTED_VALUE"""),1255.0)</f>
        <v>1255</v>
      </c>
      <c r="D313" s="131"/>
      <c r="E313" s="131"/>
      <c r="F313" s="131" t="str">
        <f>IFERROR(__xludf.DUMMYFUNCTION("""COMPUTED_VALUE"""),"MILA M.")</f>
        <v>MILA M.</v>
      </c>
    </row>
    <row r="314">
      <c r="A314" s="131">
        <f>IFERROR(__xludf.DUMMYFUNCTION("""COMPUTED_VALUE"""),1276.0)</f>
        <v>1276</v>
      </c>
      <c r="B314" s="131"/>
      <c r="C314" s="131">
        <f>IFERROR(__xludf.DUMMYFUNCTION("""COMPUTED_VALUE"""),1230.0)</f>
        <v>1230</v>
      </c>
      <c r="D314" s="131"/>
      <c r="E314" s="131" t="str">
        <f>IFERROR(__xludf.DUMMYFUNCTION("""COMPUTED_VALUE"""),"TANDUL")</f>
        <v>TANDUL</v>
      </c>
      <c r="F314" s="131" t="str">
        <f>IFERROR(__xludf.DUMMYFUNCTION("""COMPUTED_VALUE"""),"ED")</f>
        <v>ED</v>
      </c>
    </row>
    <row r="315">
      <c r="A315" s="131">
        <f>IFERROR(__xludf.DUMMYFUNCTION("""COMPUTED_VALUE"""),1277.0)</f>
        <v>1277</v>
      </c>
      <c r="B315" s="131"/>
      <c r="C315" s="131">
        <f>IFERROR(__xludf.DUMMYFUNCTION("""COMPUTED_VALUE"""),1230.0)</f>
        <v>1230</v>
      </c>
      <c r="D315" s="131"/>
      <c r="E315" s="131" t="str">
        <f>IFERROR(__xludf.DUMMYFUNCTION("""COMPUTED_VALUE"""),"VILLA")</f>
        <v>VILLA</v>
      </c>
      <c r="F315" s="131" t="str">
        <f>IFERROR(__xludf.DUMMYFUNCTION("""COMPUTED_VALUE"""),"EDWARD")</f>
        <v>EDWARD</v>
      </c>
    </row>
    <row r="316">
      <c r="A316" s="131">
        <f>IFERROR(__xludf.DUMMYFUNCTION("""COMPUTED_VALUE"""),1278.0)</f>
        <v>1278</v>
      </c>
      <c r="B316" s="131"/>
      <c r="C316" s="131">
        <f>IFERROR(__xludf.DUMMYFUNCTION("""COMPUTED_VALUE"""),1230.0)</f>
        <v>1230</v>
      </c>
      <c r="D316" s="131"/>
      <c r="E316" s="131" t="str">
        <f>IFERROR(__xludf.DUMMYFUNCTION("""COMPUTED_VALUE"""),"RETAMAR")</f>
        <v>RETAMAR</v>
      </c>
      <c r="F316" s="131" t="str">
        <f>IFERROR(__xludf.DUMMYFUNCTION("""COMPUTED_VALUE"""),"GLEN")</f>
        <v>GLEN</v>
      </c>
    </row>
    <row r="317">
      <c r="A317" s="131">
        <f>IFERROR(__xludf.DUMMYFUNCTION("""COMPUTED_VALUE"""),1279.0)</f>
        <v>1279</v>
      </c>
      <c r="B317" s="131"/>
      <c r="C317" s="131">
        <f>IFERROR(__xludf.DUMMYFUNCTION("""COMPUTED_VALUE"""),1230.0)</f>
        <v>1230</v>
      </c>
      <c r="D317" s="131"/>
      <c r="E317" s="131" t="str">
        <f>IFERROR(__xludf.DUMMYFUNCTION("""COMPUTED_VALUE"""),"PASAYLON")</f>
        <v>PASAYLON</v>
      </c>
      <c r="F317" s="131" t="str">
        <f>IFERROR(__xludf.DUMMYFUNCTION("""COMPUTED_VALUE"""),"RAYMOND")</f>
        <v>RAYMOND</v>
      </c>
    </row>
    <row r="318">
      <c r="A318" s="131">
        <f>IFERROR(__xludf.DUMMYFUNCTION("""COMPUTED_VALUE"""),1280.0)</f>
        <v>1280</v>
      </c>
      <c r="B318" s="131"/>
      <c r="C318" s="131">
        <f>IFERROR(__xludf.DUMMYFUNCTION("""COMPUTED_VALUE"""),1230.0)</f>
        <v>1230</v>
      </c>
      <c r="D318" s="131"/>
      <c r="E318" s="131" t="str">
        <f>IFERROR(__xludf.DUMMYFUNCTION("""COMPUTED_VALUE"""),"CODILLA")</f>
        <v>CODILLA</v>
      </c>
      <c r="F318" s="131" t="str">
        <f>IFERROR(__xludf.DUMMYFUNCTION("""COMPUTED_VALUE"""),"JONNEL")</f>
        <v>JONNEL</v>
      </c>
    </row>
    <row r="319">
      <c r="A319" s="131">
        <f>IFERROR(__xludf.DUMMYFUNCTION("""COMPUTED_VALUE"""),1281.0)</f>
        <v>1281</v>
      </c>
      <c r="B319" s="131"/>
      <c r="C319" s="131">
        <f>IFERROR(__xludf.DUMMYFUNCTION("""COMPUTED_VALUE"""),1230.0)</f>
        <v>1230</v>
      </c>
      <c r="D319" s="131"/>
      <c r="E319" s="131" t="str">
        <f>IFERROR(__xludf.DUMMYFUNCTION("""COMPUTED_VALUE"""),"AZUL")</f>
        <v>AZUL</v>
      </c>
      <c r="F319" s="131" t="str">
        <f>IFERROR(__xludf.DUMMYFUNCTION("""COMPUTED_VALUE"""),"BENIE")</f>
        <v>BENIE</v>
      </c>
    </row>
    <row r="320">
      <c r="A320" s="131">
        <f>IFERROR(__xludf.DUMMYFUNCTION("""COMPUTED_VALUE"""),1282.0)</f>
        <v>1282</v>
      </c>
      <c r="B320" s="131"/>
      <c r="C320" s="131">
        <f>IFERROR(__xludf.DUMMYFUNCTION("""COMPUTED_VALUE"""),1230.0)</f>
        <v>1230</v>
      </c>
      <c r="D320" s="131"/>
      <c r="E320" s="131" t="str">
        <f>IFERROR(__xludf.DUMMYFUNCTION("""COMPUTED_VALUE"""),"E.")</f>
        <v>E.</v>
      </c>
      <c r="F320" s="131" t="str">
        <f>IFERROR(__xludf.DUMMYFUNCTION("""COMPUTED_VALUE"""),"MANNY")</f>
        <v>MANNY</v>
      </c>
    </row>
    <row r="321">
      <c r="A321" s="131"/>
      <c r="B321" s="131"/>
      <c r="C321" s="131"/>
      <c r="D321" s="131"/>
      <c r="E321" s="131"/>
      <c r="F321" s="131"/>
    </row>
    <row r="322">
      <c r="A322" s="131">
        <f>IFERROR(__xludf.DUMMYFUNCTION("""COMPUTED_VALUE"""),1283.0)</f>
        <v>1283</v>
      </c>
      <c r="B322" s="131"/>
      <c r="C322" s="131">
        <f>IFERROR(__xludf.DUMMYFUNCTION("""COMPUTED_VALUE"""),1283.0)</f>
        <v>1283</v>
      </c>
      <c r="D322" s="131" t="b">
        <f>IFERROR(__xludf.DUMMYFUNCTION("""COMPUTED_VALUE"""),TRUE)</f>
        <v>1</v>
      </c>
      <c r="E322" s="131" t="str">
        <f>IFERROR(__xludf.DUMMYFUNCTION("""COMPUTED_VALUE"""),"LIM")</f>
        <v>LIM</v>
      </c>
      <c r="F322" s="131" t="str">
        <f>IFERROR(__xludf.DUMMYFUNCTION("""COMPUTED_VALUE"""),"MARLINA")</f>
        <v>MARLINA</v>
      </c>
    </row>
    <row r="323">
      <c r="A323" s="131"/>
      <c r="B323" s="131"/>
      <c r="C323" s="131"/>
      <c r="D323" s="131"/>
      <c r="E323" s="131"/>
      <c r="F323" s="131"/>
    </row>
    <row r="324">
      <c r="A324" s="131"/>
      <c r="B324" s="131"/>
      <c r="C324" s="131"/>
      <c r="D324" s="131"/>
      <c r="E324" s="131"/>
      <c r="F324" s="131"/>
    </row>
    <row r="325">
      <c r="A325" s="131"/>
      <c r="B325" s="131"/>
      <c r="C325" s="131"/>
      <c r="D325" s="131"/>
      <c r="E325" s="131"/>
      <c r="F325" s="131"/>
    </row>
    <row r="326">
      <c r="A326" s="131"/>
      <c r="B326" s="131"/>
      <c r="C326" s="131"/>
      <c r="D326" s="131"/>
      <c r="E326" s="131"/>
      <c r="F326" s="131"/>
    </row>
    <row r="327">
      <c r="A327" s="131"/>
      <c r="B327" s="131"/>
      <c r="C327" s="131"/>
      <c r="D327" s="131"/>
      <c r="E327" s="131"/>
      <c r="F327" s="131"/>
    </row>
    <row r="328">
      <c r="A328" s="131"/>
      <c r="B328" s="131"/>
      <c r="C328" s="131"/>
      <c r="D328" s="131"/>
      <c r="E328" s="131"/>
      <c r="F328" s="131"/>
    </row>
    <row r="329">
      <c r="A329" s="131"/>
      <c r="B329" s="131"/>
      <c r="C329" s="131"/>
      <c r="D329" s="131"/>
      <c r="E329" s="131"/>
      <c r="F329" s="131"/>
    </row>
    <row r="330">
      <c r="A330" s="131"/>
      <c r="B330" s="131"/>
      <c r="C330" s="131"/>
      <c r="D330" s="131"/>
      <c r="E330" s="131"/>
      <c r="F330" s="131"/>
    </row>
    <row r="331">
      <c r="A331" s="131"/>
      <c r="B331" s="131"/>
      <c r="C331" s="131"/>
      <c r="D331" s="131"/>
      <c r="E331" s="131"/>
      <c r="F331" s="131"/>
    </row>
    <row r="332">
      <c r="A332" s="131"/>
      <c r="B332" s="131"/>
      <c r="C332" s="131"/>
      <c r="D332" s="131"/>
      <c r="E332" s="131"/>
      <c r="F332" s="131"/>
    </row>
    <row r="333">
      <c r="A333" s="131"/>
      <c r="B333" s="131"/>
      <c r="C333" s="131"/>
      <c r="D333" s="131"/>
      <c r="E333" s="131"/>
      <c r="F333" s="131"/>
    </row>
    <row r="334">
      <c r="A334" s="131"/>
      <c r="B334" s="131"/>
      <c r="C334" s="131"/>
      <c r="D334" s="131"/>
      <c r="E334" s="131"/>
      <c r="F334" s="131"/>
    </row>
    <row r="335">
      <c r="A335" s="131"/>
      <c r="B335" s="131"/>
      <c r="C335" s="131"/>
      <c r="D335" s="131"/>
      <c r="E335" s="131"/>
      <c r="F335" s="131"/>
    </row>
    <row r="336">
      <c r="A336" s="131"/>
      <c r="B336" s="131"/>
      <c r="C336" s="131"/>
      <c r="D336" s="131"/>
      <c r="E336" s="131"/>
      <c r="F336" s="131"/>
    </row>
    <row r="337">
      <c r="A337" s="131"/>
      <c r="B337" s="131"/>
      <c r="C337" s="131"/>
      <c r="D337" s="131"/>
      <c r="E337" s="131"/>
      <c r="F337" s="131"/>
    </row>
    <row r="338">
      <c r="A338" s="131"/>
      <c r="B338" s="131"/>
      <c r="C338" s="131"/>
      <c r="D338" s="131"/>
      <c r="E338" s="131"/>
      <c r="F338" s="131"/>
    </row>
    <row r="339">
      <c r="A339" s="131"/>
      <c r="B339" s="131"/>
      <c r="C339" s="131"/>
      <c r="D339" s="131"/>
      <c r="E339" s="131"/>
      <c r="F339" s="131"/>
    </row>
    <row r="340">
      <c r="A340" s="131"/>
      <c r="B340" s="131"/>
      <c r="C340" s="131"/>
      <c r="D340" s="131"/>
      <c r="E340" s="131"/>
      <c r="F340" s="131"/>
    </row>
    <row r="341">
      <c r="A341" s="131"/>
      <c r="B341" s="131"/>
      <c r="C341" s="131"/>
      <c r="D341" s="131"/>
      <c r="E341" s="131"/>
      <c r="F341" s="131"/>
    </row>
    <row r="342">
      <c r="A342" s="131"/>
      <c r="B342" s="131"/>
      <c r="C342" s="131"/>
      <c r="D342" s="131"/>
      <c r="E342" s="131"/>
      <c r="F342" s="131"/>
    </row>
    <row r="343">
      <c r="A343" s="131"/>
      <c r="B343" s="131"/>
      <c r="C343" s="131"/>
      <c r="D343" s="131"/>
      <c r="E343" s="131"/>
      <c r="F343" s="131"/>
    </row>
    <row r="344">
      <c r="A344" s="131"/>
      <c r="B344" s="131"/>
      <c r="C344" s="131"/>
      <c r="D344" s="131"/>
      <c r="E344" s="131"/>
      <c r="F344" s="131"/>
    </row>
    <row r="345">
      <c r="A345" s="131"/>
      <c r="B345" s="131"/>
      <c r="C345" s="131"/>
      <c r="D345" s="131"/>
      <c r="E345" s="131"/>
      <c r="F345" s="131"/>
    </row>
    <row r="346">
      <c r="A346" s="131"/>
      <c r="B346" s="131"/>
      <c r="C346" s="131"/>
      <c r="D346" s="131"/>
      <c r="E346" s="131"/>
      <c r="F346" s="131"/>
    </row>
    <row r="347">
      <c r="A347" s="131"/>
      <c r="B347" s="131"/>
      <c r="C347" s="131"/>
      <c r="D347" s="131"/>
      <c r="E347" s="131"/>
      <c r="F347" s="131"/>
    </row>
    <row r="348">
      <c r="A348" s="131"/>
      <c r="B348" s="131"/>
      <c r="C348" s="131"/>
      <c r="D348" s="131"/>
      <c r="E348" s="131"/>
      <c r="F348" s="131"/>
    </row>
    <row r="349">
      <c r="A349" s="131"/>
      <c r="B349" s="131"/>
      <c r="C349" s="131"/>
      <c r="D349" s="131"/>
      <c r="E349" s="131"/>
      <c r="F349" s="131"/>
    </row>
    <row r="350">
      <c r="A350" s="131"/>
      <c r="B350" s="131"/>
      <c r="C350" s="131"/>
      <c r="D350" s="131"/>
      <c r="E350" s="131"/>
      <c r="F350" s="131"/>
    </row>
    <row r="351">
      <c r="A351" s="131"/>
      <c r="B351" s="131"/>
      <c r="C351" s="131"/>
      <c r="D351" s="131"/>
      <c r="E351" s="131"/>
      <c r="F351" s="131"/>
    </row>
    <row r="352">
      <c r="A352" s="131"/>
      <c r="B352" s="131"/>
      <c r="C352" s="131"/>
      <c r="D352" s="131"/>
      <c r="E352" s="131"/>
      <c r="F352" s="131"/>
    </row>
    <row r="353">
      <c r="A353" s="131"/>
      <c r="B353" s="131"/>
      <c r="C353" s="131"/>
      <c r="D353" s="131"/>
      <c r="E353" s="131"/>
      <c r="F353" s="131"/>
    </row>
    <row r="354">
      <c r="A354" s="131"/>
      <c r="B354" s="131"/>
      <c r="C354" s="131"/>
      <c r="D354" s="131"/>
      <c r="E354" s="131"/>
      <c r="F354" s="131"/>
    </row>
    <row r="355">
      <c r="A355" s="131"/>
      <c r="B355" s="131"/>
      <c r="C355" s="131"/>
      <c r="D355" s="131"/>
      <c r="E355" s="131"/>
      <c r="F355" s="131"/>
    </row>
    <row r="356">
      <c r="A356" s="131"/>
      <c r="B356" s="131"/>
      <c r="C356" s="131"/>
      <c r="D356" s="131"/>
      <c r="E356" s="131"/>
      <c r="F356" s="131"/>
    </row>
    <row r="357">
      <c r="A357" s="131"/>
      <c r="B357" s="131"/>
      <c r="C357" s="131"/>
      <c r="D357" s="131"/>
      <c r="E357" s="131"/>
      <c r="F357" s="131"/>
    </row>
    <row r="358">
      <c r="A358" s="131"/>
      <c r="B358" s="131"/>
      <c r="C358" s="131"/>
      <c r="D358" s="131"/>
      <c r="E358" s="131"/>
      <c r="F358" s="131"/>
    </row>
    <row r="359">
      <c r="A359" s="131"/>
      <c r="B359" s="131"/>
      <c r="C359" s="131"/>
      <c r="D359" s="131"/>
      <c r="E359" s="131"/>
      <c r="F359" s="131"/>
    </row>
    <row r="360">
      <c r="A360" s="131"/>
      <c r="B360" s="131"/>
      <c r="C360" s="131"/>
      <c r="D360" s="131"/>
      <c r="E360" s="131"/>
      <c r="F360" s="131"/>
    </row>
    <row r="361">
      <c r="A361" s="131"/>
      <c r="B361" s="131"/>
      <c r="C361" s="131"/>
      <c r="D361" s="131"/>
      <c r="E361" s="131"/>
      <c r="F361" s="131"/>
    </row>
    <row r="362">
      <c r="A362" s="131"/>
      <c r="B362" s="131"/>
      <c r="C362" s="131"/>
      <c r="D362" s="131"/>
      <c r="E362" s="131"/>
      <c r="F362" s="131"/>
    </row>
    <row r="363">
      <c r="A363" s="131"/>
      <c r="B363" s="131"/>
      <c r="C363" s="131"/>
      <c r="D363" s="131"/>
      <c r="E363" s="131"/>
      <c r="F363" s="131"/>
    </row>
    <row r="364">
      <c r="A364" s="131"/>
      <c r="B364" s="131"/>
      <c r="C364" s="131"/>
      <c r="D364" s="131"/>
      <c r="E364" s="131"/>
      <c r="F364" s="131"/>
    </row>
    <row r="365">
      <c r="A365" s="131"/>
      <c r="B365" s="131"/>
      <c r="C365" s="131"/>
      <c r="D365" s="131"/>
      <c r="E365" s="131"/>
      <c r="F365" s="131"/>
    </row>
    <row r="366">
      <c r="A366" s="131"/>
      <c r="B366" s="131"/>
      <c r="C366" s="131"/>
      <c r="D366" s="131"/>
      <c r="E366" s="131"/>
      <c r="F366" s="131"/>
    </row>
    <row r="367">
      <c r="A367" s="131"/>
      <c r="B367" s="131"/>
      <c r="C367" s="131"/>
      <c r="D367" s="131"/>
      <c r="E367" s="131"/>
      <c r="F367" s="131"/>
    </row>
    <row r="368">
      <c r="A368" s="131"/>
      <c r="B368" s="131"/>
      <c r="C368" s="131"/>
      <c r="D368" s="131"/>
      <c r="E368" s="131"/>
      <c r="F368" s="131"/>
    </row>
    <row r="369">
      <c r="A369" s="131"/>
      <c r="B369" s="131"/>
      <c r="C369" s="131"/>
      <c r="D369" s="131"/>
      <c r="E369" s="131"/>
      <c r="F369" s="131"/>
    </row>
    <row r="370">
      <c r="A370" s="131"/>
      <c r="B370" s="131"/>
      <c r="C370" s="131"/>
      <c r="D370" s="131"/>
      <c r="E370" s="131"/>
      <c r="F370" s="131"/>
    </row>
    <row r="371">
      <c r="A371" s="131"/>
      <c r="B371" s="131"/>
      <c r="C371" s="131"/>
      <c r="D371" s="131"/>
      <c r="E371" s="131"/>
      <c r="F371" s="131"/>
    </row>
    <row r="372">
      <c r="A372" s="131"/>
      <c r="B372" s="131"/>
      <c r="C372" s="131"/>
      <c r="D372" s="131"/>
      <c r="E372" s="131"/>
      <c r="F372" s="131"/>
    </row>
    <row r="373">
      <c r="A373" s="131"/>
      <c r="B373" s="131"/>
      <c r="C373" s="131"/>
      <c r="D373" s="131"/>
      <c r="E373" s="131"/>
      <c r="F373" s="131"/>
    </row>
    <row r="374">
      <c r="A374" s="131"/>
      <c r="B374" s="131"/>
      <c r="C374" s="131"/>
      <c r="D374" s="131"/>
      <c r="E374" s="131"/>
      <c r="F374" s="131"/>
    </row>
    <row r="375">
      <c r="A375" s="131"/>
      <c r="B375" s="131"/>
      <c r="C375" s="131"/>
      <c r="D375" s="131"/>
      <c r="E375" s="131"/>
      <c r="F375" s="131"/>
    </row>
    <row r="376">
      <c r="A376" s="131"/>
      <c r="B376" s="131"/>
      <c r="C376" s="131"/>
      <c r="D376" s="131"/>
      <c r="E376" s="131"/>
      <c r="F376" s="131"/>
    </row>
    <row r="377">
      <c r="A377" s="131"/>
      <c r="B377" s="131"/>
      <c r="C377" s="131"/>
      <c r="D377" s="131"/>
      <c r="E377" s="131"/>
      <c r="F377" s="131"/>
    </row>
    <row r="378">
      <c r="A378" s="131"/>
      <c r="B378" s="131"/>
      <c r="C378" s="131"/>
      <c r="D378" s="131"/>
      <c r="E378" s="131"/>
      <c r="F378" s="131"/>
    </row>
    <row r="379">
      <c r="A379" s="131"/>
      <c r="B379" s="131"/>
      <c r="C379" s="131"/>
      <c r="D379" s="131"/>
      <c r="E379" s="131"/>
      <c r="F379" s="131"/>
    </row>
    <row r="380">
      <c r="A380" s="131"/>
      <c r="B380" s="131"/>
      <c r="C380" s="131"/>
      <c r="D380" s="131"/>
      <c r="E380" s="131"/>
      <c r="F380" s="131"/>
    </row>
    <row r="381">
      <c r="A381" s="131"/>
      <c r="B381" s="131"/>
      <c r="C381" s="131"/>
      <c r="D381" s="131"/>
      <c r="E381" s="131"/>
      <c r="F381" s="131"/>
    </row>
    <row r="382">
      <c r="A382" s="131"/>
      <c r="B382" s="131"/>
      <c r="C382" s="131"/>
      <c r="D382" s="131"/>
      <c r="E382" s="131"/>
      <c r="F382" s="131"/>
    </row>
    <row r="383">
      <c r="A383" s="131"/>
      <c r="B383" s="131"/>
      <c r="C383" s="131"/>
      <c r="D383" s="131"/>
      <c r="E383" s="131"/>
      <c r="F383" s="131"/>
    </row>
    <row r="384">
      <c r="A384" s="131"/>
      <c r="B384" s="131"/>
      <c r="C384" s="131"/>
      <c r="D384" s="131"/>
      <c r="E384" s="131"/>
      <c r="F384" s="131"/>
    </row>
    <row r="385">
      <c r="A385" s="131"/>
      <c r="B385" s="131"/>
      <c r="C385" s="131"/>
      <c r="D385" s="131"/>
      <c r="E385" s="131"/>
      <c r="F385" s="131"/>
    </row>
    <row r="386">
      <c r="A386" s="131"/>
      <c r="B386" s="131"/>
      <c r="C386" s="131"/>
      <c r="D386" s="131"/>
      <c r="E386" s="131"/>
      <c r="F386" s="131"/>
    </row>
    <row r="387">
      <c r="A387" s="131"/>
      <c r="B387" s="131"/>
      <c r="C387" s="131"/>
      <c r="D387" s="131"/>
      <c r="E387" s="131"/>
      <c r="F387" s="131"/>
    </row>
    <row r="388">
      <c r="A388" s="131"/>
      <c r="B388" s="131"/>
      <c r="C388" s="131"/>
      <c r="D388" s="131"/>
      <c r="E388" s="131"/>
      <c r="F388" s="131"/>
    </row>
    <row r="389">
      <c r="A389" s="131"/>
      <c r="B389" s="131"/>
      <c r="C389" s="131"/>
      <c r="D389" s="131"/>
      <c r="E389" s="131"/>
      <c r="F389" s="131"/>
    </row>
    <row r="390">
      <c r="A390" s="131"/>
      <c r="B390" s="131"/>
      <c r="C390" s="131"/>
      <c r="D390" s="131"/>
      <c r="E390" s="131"/>
      <c r="F390" s="131"/>
    </row>
    <row r="391">
      <c r="A391" s="131"/>
      <c r="B391" s="131"/>
      <c r="C391" s="131"/>
      <c r="D391" s="131"/>
      <c r="E391" s="131"/>
      <c r="F391" s="131"/>
    </row>
    <row r="392">
      <c r="A392" s="131"/>
      <c r="B392" s="131"/>
      <c r="C392" s="131"/>
      <c r="D392" s="131"/>
      <c r="E392" s="131"/>
      <c r="F392" s="131"/>
    </row>
    <row r="393">
      <c r="A393" s="131"/>
      <c r="B393" s="131"/>
      <c r="C393" s="131"/>
      <c r="D393" s="131"/>
      <c r="E393" s="131"/>
      <c r="F393" s="131"/>
    </row>
    <row r="394">
      <c r="A394" s="131"/>
      <c r="B394" s="131"/>
      <c r="C394" s="131"/>
      <c r="D394" s="131"/>
      <c r="E394" s="131"/>
      <c r="F394" s="131"/>
    </row>
    <row r="395">
      <c r="A395" s="131"/>
      <c r="B395" s="131"/>
      <c r="C395" s="131"/>
      <c r="D395" s="131"/>
      <c r="E395" s="131"/>
      <c r="F395" s="131"/>
    </row>
    <row r="396">
      <c r="A396" s="131"/>
      <c r="B396" s="131"/>
      <c r="C396" s="131"/>
      <c r="D396" s="131"/>
      <c r="E396" s="131"/>
      <c r="F396" s="131"/>
    </row>
    <row r="397">
      <c r="A397" s="131"/>
      <c r="B397" s="131"/>
      <c r="C397" s="131"/>
      <c r="D397" s="131"/>
      <c r="E397" s="131"/>
      <c r="F397" s="131"/>
    </row>
    <row r="398">
      <c r="A398" s="131"/>
      <c r="B398" s="131"/>
      <c r="C398" s="131"/>
      <c r="D398" s="131"/>
      <c r="E398" s="131"/>
      <c r="F398" s="131"/>
    </row>
    <row r="399">
      <c r="A399" s="131"/>
      <c r="B399" s="131"/>
      <c r="C399" s="131"/>
      <c r="D399" s="131"/>
      <c r="E399" s="131"/>
      <c r="F399" s="131"/>
    </row>
    <row r="400">
      <c r="A400" s="131"/>
      <c r="B400" s="131"/>
      <c r="C400" s="131"/>
      <c r="D400" s="131"/>
      <c r="E400" s="131"/>
      <c r="F400" s="131"/>
    </row>
    <row r="401">
      <c r="A401" s="131"/>
      <c r="B401" s="131"/>
      <c r="C401" s="131"/>
      <c r="D401" s="131"/>
      <c r="E401" s="131"/>
      <c r="F401" s="131"/>
    </row>
    <row r="402">
      <c r="A402" s="131"/>
      <c r="B402" s="131"/>
      <c r="C402" s="131"/>
      <c r="D402" s="131"/>
      <c r="E402" s="131"/>
      <c r="F402" s="131"/>
    </row>
    <row r="403">
      <c r="A403" s="131"/>
      <c r="B403" s="131"/>
      <c r="C403" s="131"/>
      <c r="D403" s="131"/>
      <c r="E403" s="131"/>
      <c r="F403" s="131"/>
    </row>
    <row r="404">
      <c r="A404" s="131"/>
      <c r="B404" s="131"/>
      <c r="C404" s="131"/>
      <c r="D404" s="131"/>
      <c r="E404" s="131"/>
      <c r="F404" s="131"/>
    </row>
    <row r="405">
      <c r="A405" s="131"/>
      <c r="B405" s="131"/>
      <c r="C405" s="131"/>
      <c r="D405" s="131"/>
      <c r="E405" s="131"/>
      <c r="F405" s="131"/>
    </row>
    <row r="406">
      <c r="A406" s="131"/>
      <c r="B406" s="131"/>
      <c r="C406" s="131"/>
      <c r="D406" s="131"/>
      <c r="E406" s="131"/>
      <c r="F406" s="131"/>
    </row>
    <row r="407">
      <c r="A407" s="131"/>
      <c r="B407" s="131"/>
      <c r="C407" s="131"/>
      <c r="D407" s="131"/>
      <c r="E407" s="131"/>
      <c r="F407" s="131"/>
    </row>
    <row r="408">
      <c r="A408" s="131"/>
      <c r="B408" s="131"/>
      <c r="C408" s="131"/>
      <c r="D408" s="131"/>
      <c r="E408" s="131"/>
      <c r="F408" s="131"/>
    </row>
    <row r="409">
      <c r="A409" s="131"/>
      <c r="B409" s="131"/>
      <c r="C409" s="131"/>
      <c r="D409" s="131"/>
      <c r="E409" s="131"/>
      <c r="F409" s="131"/>
    </row>
    <row r="410">
      <c r="A410" s="131"/>
      <c r="B410" s="131"/>
      <c r="C410" s="131"/>
      <c r="D410" s="131"/>
      <c r="E410" s="131"/>
      <c r="F410" s="131"/>
    </row>
    <row r="411">
      <c r="A411" s="131"/>
      <c r="B411" s="131"/>
      <c r="C411" s="131"/>
      <c r="D411" s="131"/>
      <c r="E411" s="131"/>
      <c r="F411" s="131"/>
    </row>
    <row r="412">
      <c r="A412" s="131"/>
      <c r="B412" s="131"/>
      <c r="C412" s="131"/>
      <c r="D412" s="131"/>
      <c r="E412" s="131"/>
      <c r="F412" s="131"/>
    </row>
    <row r="413">
      <c r="A413" s="131"/>
      <c r="B413" s="131"/>
      <c r="C413" s="131"/>
      <c r="D413" s="131"/>
      <c r="E413" s="131"/>
      <c r="F413" s="131"/>
    </row>
    <row r="414">
      <c r="A414" s="131"/>
      <c r="B414" s="131"/>
      <c r="C414" s="131"/>
      <c r="D414" s="131"/>
      <c r="E414" s="131"/>
      <c r="F414" s="131"/>
    </row>
    <row r="415">
      <c r="A415" s="131"/>
      <c r="B415" s="131"/>
      <c r="C415" s="131"/>
      <c r="D415" s="131"/>
      <c r="E415" s="131"/>
      <c r="F415" s="131"/>
    </row>
    <row r="416">
      <c r="A416" s="131"/>
      <c r="B416" s="131"/>
      <c r="C416" s="131"/>
      <c r="D416" s="131"/>
      <c r="E416" s="131"/>
      <c r="F416" s="131"/>
    </row>
    <row r="417">
      <c r="A417" s="131"/>
      <c r="B417" s="131"/>
      <c r="C417" s="131"/>
      <c r="D417" s="131"/>
      <c r="E417" s="131"/>
      <c r="F417" s="131"/>
    </row>
    <row r="418">
      <c r="A418" s="131"/>
      <c r="B418" s="131"/>
      <c r="C418" s="131"/>
      <c r="D418" s="131"/>
      <c r="E418" s="131"/>
      <c r="F418" s="131"/>
    </row>
    <row r="419">
      <c r="A419" s="131"/>
      <c r="B419" s="131"/>
      <c r="C419" s="131"/>
      <c r="D419" s="131"/>
      <c r="E419" s="131"/>
      <c r="F419" s="131"/>
    </row>
    <row r="420">
      <c r="A420" s="131"/>
      <c r="B420" s="131"/>
      <c r="C420" s="131"/>
      <c r="D420" s="131"/>
      <c r="E420" s="131"/>
      <c r="F420" s="131"/>
    </row>
    <row r="421">
      <c r="A421" s="131"/>
      <c r="B421" s="131"/>
      <c r="C421" s="131"/>
      <c r="D421" s="131"/>
      <c r="E421" s="131"/>
      <c r="F421" s="131"/>
    </row>
    <row r="422">
      <c r="A422" s="131"/>
      <c r="B422" s="131"/>
      <c r="C422" s="131"/>
      <c r="D422" s="131"/>
      <c r="E422" s="131"/>
      <c r="F422" s="131"/>
    </row>
    <row r="423">
      <c r="A423" s="131"/>
      <c r="B423" s="131"/>
      <c r="C423" s="131"/>
      <c r="D423" s="131"/>
      <c r="E423" s="131"/>
      <c r="F423" s="131"/>
    </row>
    <row r="424">
      <c r="A424" s="131"/>
      <c r="B424" s="131"/>
      <c r="C424" s="131"/>
      <c r="D424" s="131"/>
      <c r="E424" s="131"/>
      <c r="F424" s="131"/>
    </row>
    <row r="425">
      <c r="A425" s="131"/>
      <c r="B425" s="131"/>
      <c r="C425" s="131"/>
      <c r="D425" s="131"/>
      <c r="E425" s="131"/>
      <c r="F425" s="131"/>
    </row>
    <row r="426">
      <c r="A426" s="131"/>
      <c r="B426" s="131"/>
      <c r="C426" s="131"/>
      <c r="D426" s="131"/>
      <c r="E426" s="131"/>
      <c r="F426" s="131"/>
    </row>
    <row r="427">
      <c r="A427" s="131"/>
      <c r="B427" s="131"/>
      <c r="C427" s="131"/>
      <c r="D427" s="131"/>
      <c r="E427" s="131"/>
      <c r="F427" s="131"/>
    </row>
    <row r="428">
      <c r="A428" s="131"/>
      <c r="B428" s="131"/>
      <c r="C428" s="131"/>
      <c r="D428" s="131"/>
      <c r="E428" s="131"/>
      <c r="F428" s="131"/>
    </row>
    <row r="429">
      <c r="A429" s="131"/>
      <c r="B429" s="131"/>
      <c r="C429" s="131"/>
      <c r="D429" s="131"/>
      <c r="E429" s="131"/>
      <c r="F429" s="131"/>
    </row>
    <row r="430">
      <c r="A430" s="131"/>
      <c r="B430" s="131"/>
      <c r="C430" s="131"/>
      <c r="D430" s="131"/>
      <c r="E430" s="131"/>
      <c r="F430" s="131"/>
    </row>
    <row r="431">
      <c r="A431" s="131"/>
      <c r="B431" s="131"/>
      <c r="C431" s="131"/>
      <c r="D431" s="131"/>
      <c r="E431" s="131"/>
      <c r="F431" s="131"/>
    </row>
    <row r="432">
      <c r="A432" s="131"/>
      <c r="B432" s="131"/>
      <c r="C432" s="131"/>
      <c r="D432" s="131"/>
      <c r="E432" s="131"/>
      <c r="F432" s="131"/>
    </row>
    <row r="433">
      <c r="A433" s="131"/>
      <c r="B433" s="131"/>
      <c r="C433" s="131"/>
      <c r="D433" s="131"/>
      <c r="E433" s="131"/>
      <c r="F433" s="131"/>
    </row>
    <row r="434">
      <c r="A434" s="131"/>
      <c r="B434" s="131"/>
      <c r="C434" s="131"/>
      <c r="D434" s="131"/>
      <c r="E434" s="131"/>
      <c r="F434" s="131"/>
    </row>
    <row r="435">
      <c r="A435" s="131"/>
      <c r="B435" s="131"/>
      <c r="C435" s="131"/>
      <c r="D435" s="131"/>
      <c r="E435" s="131"/>
      <c r="F435" s="131"/>
    </row>
    <row r="436">
      <c r="A436" s="131"/>
      <c r="B436" s="131"/>
      <c r="C436" s="131"/>
      <c r="D436" s="131"/>
      <c r="E436" s="131"/>
      <c r="F436" s="131"/>
    </row>
    <row r="437">
      <c r="A437" s="131"/>
      <c r="B437" s="131"/>
      <c r="C437" s="131"/>
      <c r="D437" s="131"/>
      <c r="E437" s="131"/>
      <c r="F437" s="131"/>
    </row>
    <row r="438">
      <c r="A438" s="131"/>
      <c r="B438" s="131"/>
      <c r="C438" s="131"/>
      <c r="D438" s="131"/>
      <c r="E438" s="131"/>
      <c r="F438" s="131"/>
    </row>
    <row r="439">
      <c r="A439" s="131"/>
      <c r="B439" s="131"/>
      <c r="C439" s="131"/>
      <c r="D439" s="131"/>
      <c r="E439" s="131"/>
      <c r="F439" s="131"/>
    </row>
    <row r="440">
      <c r="A440" s="131"/>
      <c r="B440" s="131"/>
      <c r="C440" s="131"/>
      <c r="D440" s="131"/>
      <c r="E440" s="131"/>
      <c r="F440" s="131"/>
    </row>
    <row r="441">
      <c r="A441" s="131"/>
      <c r="B441" s="131"/>
      <c r="C441" s="131"/>
      <c r="D441" s="131"/>
      <c r="E441" s="131"/>
      <c r="F441" s="131"/>
    </row>
    <row r="442">
      <c r="A442" s="131"/>
      <c r="B442" s="131"/>
      <c r="C442" s="131"/>
      <c r="D442" s="131"/>
      <c r="E442" s="131"/>
      <c r="F442" s="131"/>
    </row>
    <row r="443">
      <c r="A443" s="131"/>
      <c r="B443" s="131"/>
      <c r="C443" s="131"/>
      <c r="D443" s="131"/>
      <c r="E443" s="131"/>
      <c r="F443" s="131"/>
    </row>
    <row r="444">
      <c r="A444" s="131"/>
      <c r="B444" s="131"/>
      <c r="C444" s="131"/>
      <c r="D444" s="131"/>
      <c r="E444" s="131"/>
      <c r="F444" s="131"/>
    </row>
    <row r="445">
      <c r="A445" s="131"/>
      <c r="B445" s="131"/>
      <c r="C445" s="131"/>
      <c r="D445" s="131"/>
      <c r="E445" s="131"/>
      <c r="F445" s="131"/>
    </row>
    <row r="446">
      <c r="A446" s="131"/>
      <c r="B446" s="131"/>
      <c r="C446" s="131"/>
      <c r="D446" s="131"/>
      <c r="E446" s="131"/>
      <c r="F446" s="131"/>
    </row>
    <row r="447">
      <c r="A447" s="131"/>
      <c r="B447" s="131"/>
      <c r="C447" s="131"/>
      <c r="D447" s="131"/>
      <c r="E447" s="131"/>
      <c r="F447" s="131"/>
    </row>
    <row r="448">
      <c r="A448" s="131"/>
      <c r="B448" s="131"/>
      <c r="C448" s="131"/>
      <c r="D448" s="131"/>
      <c r="E448" s="131"/>
      <c r="F448" s="131"/>
    </row>
    <row r="449">
      <c r="A449" s="131"/>
      <c r="B449" s="131"/>
      <c r="C449" s="131"/>
      <c r="D449" s="131"/>
      <c r="E449" s="131"/>
      <c r="F449" s="131"/>
    </row>
    <row r="450">
      <c r="A450" s="131"/>
      <c r="B450" s="131"/>
      <c r="C450" s="131"/>
      <c r="D450" s="131"/>
      <c r="E450" s="131"/>
      <c r="F450" s="131"/>
    </row>
    <row r="451">
      <c r="A451" s="131"/>
      <c r="B451" s="131"/>
      <c r="C451" s="131"/>
      <c r="D451" s="131"/>
      <c r="E451" s="131"/>
      <c r="F451" s="131"/>
    </row>
    <row r="452">
      <c r="A452" s="131"/>
      <c r="B452" s="131"/>
      <c r="C452" s="131"/>
      <c r="D452" s="131"/>
      <c r="E452" s="131"/>
      <c r="F452" s="131"/>
    </row>
    <row r="453">
      <c r="A453" s="131"/>
      <c r="B453" s="131"/>
      <c r="C453" s="131"/>
      <c r="D453" s="131"/>
      <c r="E453" s="131"/>
      <c r="F453" s="131"/>
    </row>
    <row r="454">
      <c r="A454" s="131"/>
      <c r="B454" s="131"/>
      <c r="C454" s="131"/>
      <c r="D454" s="131"/>
      <c r="E454" s="131"/>
      <c r="F454" s="131"/>
    </row>
    <row r="455">
      <c r="A455" s="131"/>
      <c r="B455" s="131"/>
      <c r="C455" s="131"/>
      <c r="D455" s="131"/>
      <c r="E455" s="131"/>
      <c r="F455" s="131"/>
    </row>
    <row r="456">
      <c r="A456" s="131"/>
      <c r="B456" s="131"/>
      <c r="C456" s="131"/>
      <c r="D456" s="131"/>
      <c r="E456" s="131"/>
      <c r="F456" s="131"/>
    </row>
    <row r="457">
      <c r="A457" s="131"/>
      <c r="B457" s="131"/>
      <c r="C457" s="131"/>
      <c r="D457" s="131"/>
      <c r="E457" s="131"/>
      <c r="F457" s="131"/>
    </row>
    <row r="458">
      <c r="A458" s="131"/>
      <c r="B458" s="131"/>
      <c r="C458" s="131"/>
      <c r="D458" s="131"/>
      <c r="E458" s="131"/>
      <c r="F458" s="131"/>
    </row>
    <row r="459">
      <c r="A459" s="131"/>
      <c r="B459" s="131"/>
      <c r="C459" s="131"/>
      <c r="D459" s="131"/>
      <c r="E459" s="131"/>
      <c r="F459" s="131"/>
    </row>
    <row r="460">
      <c r="A460" s="131"/>
      <c r="B460" s="131"/>
      <c r="C460" s="131"/>
      <c r="D460" s="131"/>
      <c r="E460" s="131"/>
      <c r="F460" s="131"/>
    </row>
    <row r="461">
      <c r="A461" s="131"/>
      <c r="B461" s="131"/>
      <c r="C461" s="131"/>
      <c r="D461" s="131"/>
      <c r="E461" s="131"/>
      <c r="F461" s="131"/>
    </row>
    <row r="462">
      <c r="A462" s="131"/>
      <c r="B462" s="131"/>
      <c r="C462" s="131"/>
      <c r="D462" s="131"/>
      <c r="E462" s="131"/>
      <c r="F462" s="131"/>
    </row>
    <row r="463">
      <c r="A463" s="131"/>
      <c r="B463" s="131"/>
      <c r="C463" s="131"/>
      <c r="D463" s="131"/>
      <c r="E463" s="131"/>
      <c r="F463" s="131"/>
    </row>
    <row r="464">
      <c r="A464" s="131"/>
      <c r="B464" s="131"/>
      <c r="C464" s="131"/>
      <c r="D464" s="131"/>
      <c r="E464" s="131"/>
      <c r="F464" s="131"/>
    </row>
    <row r="465">
      <c r="A465" s="131"/>
      <c r="B465" s="131"/>
      <c r="C465" s="131"/>
      <c r="D465" s="131"/>
      <c r="E465" s="131"/>
      <c r="F465" s="131"/>
    </row>
    <row r="466">
      <c r="A466" s="131"/>
      <c r="B466" s="131"/>
      <c r="C466" s="131"/>
      <c r="D466" s="131"/>
      <c r="E466" s="131"/>
      <c r="F466" s="131"/>
    </row>
    <row r="467">
      <c r="A467" s="131"/>
      <c r="B467" s="131"/>
      <c r="C467" s="131"/>
      <c r="D467" s="131"/>
      <c r="E467" s="131"/>
      <c r="F467" s="131"/>
    </row>
    <row r="468">
      <c r="A468" s="131"/>
      <c r="B468" s="131"/>
      <c r="C468" s="131"/>
      <c r="D468" s="131"/>
      <c r="E468" s="131"/>
      <c r="F468" s="131"/>
    </row>
    <row r="469">
      <c r="A469" s="131"/>
      <c r="B469" s="131"/>
      <c r="C469" s="131"/>
      <c r="D469" s="131"/>
      <c r="E469" s="131"/>
      <c r="F469" s="131"/>
    </row>
    <row r="470">
      <c r="A470" s="131"/>
      <c r="B470" s="131"/>
      <c r="C470" s="131"/>
      <c r="D470" s="131"/>
      <c r="E470" s="131"/>
      <c r="F470" s="131"/>
    </row>
    <row r="471">
      <c r="A471" s="131"/>
      <c r="B471" s="131"/>
      <c r="C471" s="131"/>
      <c r="D471" s="131"/>
      <c r="E471" s="131"/>
      <c r="F471" s="131"/>
    </row>
    <row r="472">
      <c r="A472" s="131"/>
      <c r="B472" s="131"/>
      <c r="C472" s="131"/>
      <c r="D472" s="131"/>
      <c r="E472" s="131"/>
      <c r="F472" s="131"/>
    </row>
    <row r="473">
      <c r="A473" s="131"/>
      <c r="B473" s="131"/>
      <c r="C473" s="131"/>
      <c r="D473" s="131"/>
      <c r="E473" s="131"/>
      <c r="F473" s="131"/>
    </row>
    <row r="474">
      <c r="A474" s="131"/>
      <c r="B474" s="131"/>
      <c r="C474" s="131"/>
      <c r="D474" s="131"/>
      <c r="E474" s="131"/>
      <c r="F474" s="131"/>
    </row>
    <row r="475">
      <c r="A475" s="131"/>
      <c r="B475" s="131"/>
      <c r="C475" s="131"/>
      <c r="D475" s="131"/>
      <c r="E475" s="131"/>
      <c r="F475" s="131"/>
    </row>
    <row r="476">
      <c r="A476" s="131"/>
      <c r="B476" s="131"/>
      <c r="C476" s="131"/>
      <c r="D476" s="131"/>
      <c r="E476" s="131"/>
      <c r="F476" s="131"/>
    </row>
    <row r="477">
      <c r="A477" s="131"/>
      <c r="B477" s="131"/>
      <c r="C477" s="131"/>
      <c r="D477" s="131"/>
      <c r="E477" s="131"/>
      <c r="F477" s="131"/>
    </row>
    <row r="478">
      <c r="A478" s="131"/>
      <c r="B478" s="131"/>
      <c r="C478" s="131"/>
      <c r="D478" s="131"/>
      <c r="E478" s="131"/>
      <c r="F478" s="131"/>
    </row>
    <row r="479">
      <c r="A479" s="131"/>
      <c r="B479" s="131"/>
      <c r="C479" s="131"/>
      <c r="D479" s="131"/>
      <c r="E479" s="131"/>
      <c r="F479" s="131"/>
    </row>
    <row r="480">
      <c r="A480" s="131"/>
      <c r="B480" s="131"/>
      <c r="C480" s="131"/>
      <c r="D480" s="131"/>
      <c r="E480" s="131"/>
      <c r="F480" s="131"/>
    </row>
    <row r="481">
      <c r="A481" s="131"/>
      <c r="B481" s="131"/>
      <c r="C481" s="131"/>
      <c r="D481" s="131"/>
      <c r="E481" s="131"/>
      <c r="F481" s="131"/>
    </row>
    <row r="482">
      <c r="A482" s="131"/>
      <c r="B482" s="131"/>
      <c r="C482" s="131"/>
      <c r="D482" s="131"/>
      <c r="E482" s="131"/>
      <c r="F482" s="131"/>
    </row>
    <row r="483">
      <c r="A483" s="131"/>
      <c r="B483" s="131"/>
      <c r="C483" s="131"/>
      <c r="D483" s="131"/>
      <c r="E483" s="131"/>
      <c r="F483" s="131"/>
    </row>
    <row r="484">
      <c r="A484" s="131"/>
      <c r="B484" s="131"/>
      <c r="C484" s="131"/>
      <c r="D484" s="131"/>
      <c r="E484" s="131"/>
      <c r="F484" s="131"/>
    </row>
    <row r="485">
      <c r="A485" s="131"/>
      <c r="B485" s="131"/>
      <c r="C485" s="131"/>
      <c r="D485" s="131"/>
      <c r="E485" s="131"/>
      <c r="F485" s="131"/>
    </row>
    <row r="486">
      <c r="A486" s="131"/>
      <c r="B486" s="131"/>
      <c r="C486" s="131"/>
      <c r="D486" s="131"/>
      <c r="E486" s="131"/>
      <c r="F486" s="131"/>
    </row>
    <row r="487">
      <c r="A487" s="131"/>
      <c r="B487" s="131"/>
      <c r="C487" s="131"/>
      <c r="D487" s="131"/>
      <c r="E487" s="131"/>
      <c r="F487" s="131"/>
    </row>
    <row r="488">
      <c r="A488" s="131"/>
      <c r="B488" s="131"/>
      <c r="C488" s="131"/>
      <c r="D488" s="131"/>
      <c r="E488" s="131"/>
      <c r="F488" s="131"/>
    </row>
    <row r="489">
      <c r="A489" s="131"/>
      <c r="B489" s="131"/>
      <c r="C489" s="131"/>
      <c r="D489" s="131"/>
      <c r="E489" s="131"/>
      <c r="F489" s="131"/>
    </row>
    <row r="490">
      <c r="A490" s="131"/>
      <c r="B490" s="131"/>
      <c r="C490" s="131"/>
      <c r="D490" s="131"/>
      <c r="E490" s="131"/>
      <c r="F490" s="131"/>
    </row>
    <row r="491">
      <c r="A491" s="131"/>
      <c r="B491" s="131"/>
      <c r="C491" s="131"/>
      <c r="D491" s="131"/>
      <c r="E491" s="131"/>
      <c r="F491" s="131"/>
    </row>
    <row r="492">
      <c r="A492" s="131"/>
      <c r="B492" s="131"/>
      <c r="C492" s="131"/>
      <c r="D492" s="131"/>
      <c r="E492" s="131"/>
      <c r="F492" s="131"/>
    </row>
    <row r="493">
      <c r="A493" s="131"/>
      <c r="B493" s="131"/>
      <c r="C493" s="131"/>
      <c r="D493" s="131"/>
      <c r="E493" s="131"/>
      <c r="F493" s="131"/>
    </row>
    <row r="494">
      <c r="A494" s="131"/>
      <c r="B494" s="131"/>
      <c r="C494" s="131"/>
      <c r="D494" s="131"/>
      <c r="E494" s="131"/>
      <c r="F494" s="131"/>
    </row>
    <row r="495">
      <c r="A495" s="131"/>
      <c r="B495" s="131"/>
      <c r="C495" s="131"/>
      <c r="D495" s="131"/>
      <c r="E495" s="131"/>
      <c r="F495" s="131"/>
    </row>
    <row r="496">
      <c r="A496" s="131"/>
      <c r="B496" s="131"/>
      <c r="C496" s="131"/>
      <c r="D496" s="131"/>
      <c r="E496" s="131"/>
      <c r="F496" s="131"/>
    </row>
    <row r="497">
      <c r="A497" s="131"/>
      <c r="B497" s="131"/>
      <c r="C497" s="131"/>
      <c r="D497" s="131"/>
      <c r="E497" s="131"/>
      <c r="F497" s="131"/>
    </row>
    <row r="498">
      <c r="A498" s="131"/>
      <c r="B498" s="131"/>
      <c r="C498" s="131"/>
      <c r="D498" s="131"/>
      <c r="E498" s="131"/>
      <c r="F498" s="131"/>
    </row>
    <row r="499">
      <c r="A499" s="131"/>
      <c r="B499" s="131"/>
      <c r="C499" s="131"/>
      <c r="D499" s="131"/>
      <c r="E499" s="131"/>
      <c r="F499" s="131"/>
    </row>
    <row r="500">
      <c r="A500" s="131"/>
      <c r="B500" s="131"/>
      <c r="C500" s="131"/>
      <c r="D500" s="131"/>
      <c r="E500" s="131"/>
      <c r="F500" s="131"/>
    </row>
    <row r="501">
      <c r="A501" s="131"/>
      <c r="B501" s="131"/>
      <c r="C501" s="131"/>
      <c r="D501" s="131"/>
      <c r="E501" s="131"/>
      <c r="F501" s="131"/>
    </row>
    <row r="502">
      <c r="A502" s="131"/>
      <c r="B502" s="131"/>
      <c r="C502" s="131"/>
      <c r="D502" s="131"/>
      <c r="E502" s="131"/>
      <c r="F502" s="131"/>
    </row>
    <row r="503">
      <c r="A503" s="131"/>
      <c r="B503" s="131"/>
      <c r="C503" s="131"/>
      <c r="D503" s="131"/>
      <c r="E503" s="131"/>
      <c r="F503" s="131"/>
    </row>
    <row r="504">
      <c r="A504" s="131"/>
      <c r="B504" s="131"/>
      <c r="C504" s="131"/>
      <c r="D504" s="131"/>
      <c r="E504" s="131"/>
      <c r="F504" s="131"/>
    </row>
    <row r="505">
      <c r="A505" s="131"/>
      <c r="B505" s="131"/>
      <c r="C505" s="131"/>
      <c r="D505" s="131"/>
      <c r="E505" s="131"/>
      <c r="F505" s="131"/>
    </row>
    <row r="506">
      <c r="A506" s="131"/>
      <c r="B506" s="131"/>
      <c r="C506" s="131"/>
      <c r="D506" s="131"/>
      <c r="E506" s="131"/>
      <c r="F506" s="131"/>
    </row>
    <row r="507">
      <c r="A507" s="131"/>
      <c r="B507" s="131"/>
      <c r="C507" s="131"/>
      <c r="D507" s="131"/>
      <c r="E507" s="131"/>
      <c r="F507" s="131"/>
    </row>
    <row r="508">
      <c r="A508" s="131"/>
      <c r="B508" s="131"/>
      <c r="C508" s="131"/>
      <c r="D508" s="131"/>
      <c r="E508" s="131"/>
      <c r="F508" s="131"/>
    </row>
    <row r="509">
      <c r="A509" s="131"/>
      <c r="B509" s="131"/>
      <c r="C509" s="131"/>
      <c r="D509" s="131"/>
      <c r="E509" s="131"/>
      <c r="F509" s="131"/>
    </row>
    <row r="510">
      <c r="A510" s="131"/>
      <c r="B510" s="131"/>
      <c r="C510" s="131"/>
      <c r="D510" s="131"/>
      <c r="E510" s="131"/>
      <c r="F510" s="131"/>
    </row>
    <row r="511">
      <c r="A511" s="131"/>
      <c r="B511" s="131"/>
      <c r="C511" s="131"/>
      <c r="D511" s="131"/>
      <c r="E511" s="131"/>
      <c r="F511" s="131"/>
    </row>
    <row r="512">
      <c r="A512" s="131"/>
      <c r="B512" s="131"/>
      <c r="C512" s="131"/>
      <c r="D512" s="131"/>
      <c r="E512" s="131"/>
      <c r="F512" s="131"/>
    </row>
    <row r="513">
      <c r="A513" s="131"/>
      <c r="B513" s="131"/>
      <c r="C513" s="131"/>
      <c r="D513" s="131"/>
      <c r="E513" s="131"/>
      <c r="F513" s="131"/>
    </row>
    <row r="514">
      <c r="A514" s="131"/>
      <c r="B514" s="131"/>
      <c r="C514" s="131"/>
      <c r="D514" s="131"/>
      <c r="E514" s="131"/>
      <c r="F514" s="131"/>
    </row>
    <row r="515">
      <c r="A515" s="131"/>
      <c r="B515" s="131"/>
      <c r="C515" s="131"/>
      <c r="D515" s="131"/>
      <c r="E515" s="131"/>
      <c r="F515" s="131"/>
    </row>
    <row r="516">
      <c r="A516" s="131"/>
      <c r="B516" s="131"/>
      <c r="C516" s="131"/>
      <c r="D516" s="131"/>
      <c r="E516" s="131"/>
      <c r="F516" s="131"/>
    </row>
    <row r="517">
      <c r="A517" s="131"/>
      <c r="B517" s="131"/>
      <c r="C517" s="131"/>
      <c r="D517" s="131"/>
      <c r="E517" s="131"/>
      <c r="F517" s="131"/>
    </row>
    <row r="518">
      <c r="A518" s="131"/>
      <c r="B518" s="131"/>
      <c r="C518" s="131"/>
      <c r="D518" s="131"/>
      <c r="E518" s="131"/>
      <c r="F518" s="131"/>
    </row>
    <row r="519">
      <c r="A519" s="131"/>
      <c r="B519" s="131"/>
      <c r="C519" s="131"/>
      <c r="D519" s="131"/>
      <c r="E519" s="131"/>
      <c r="F519" s="131"/>
    </row>
    <row r="520">
      <c r="A520" s="131"/>
      <c r="B520" s="131"/>
      <c r="C520" s="131"/>
      <c r="D520" s="131"/>
      <c r="E520" s="131"/>
      <c r="F520" s="131"/>
    </row>
    <row r="521">
      <c r="A521" s="131"/>
      <c r="B521" s="131"/>
      <c r="C521" s="131"/>
      <c r="D521" s="131"/>
      <c r="E521" s="131"/>
      <c r="F521" s="131"/>
    </row>
    <row r="522">
      <c r="A522" s="131"/>
      <c r="B522" s="131"/>
      <c r="C522" s="131"/>
      <c r="D522" s="131"/>
      <c r="E522" s="131"/>
      <c r="F522" s="131"/>
    </row>
    <row r="523">
      <c r="A523" s="131"/>
      <c r="B523" s="131"/>
      <c r="C523" s="131"/>
      <c r="D523" s="131"/>
      <c r="E523" s="131"/>
      <c r="F523" s="131"/>
    </row>
    <row r="524">
      <c r="A524" s="131"/>
      <c r="B524" s="131"/>
      <c r="C524" s="131"/>
      <c r="D524" s="131"/>
      <c r="E524" s="131"/>
      <c r="F524" s="131"/>
    </row>
    <row r="525">
      <c r="A525" s="131"/>
      <c r="B525" s="131"/>
      <c r="C525" s="131"/>
      <c r="D525" s="131"/>
      <c r="E525" s="131"/>
      <c r="F525" s="131"/>
    </row>
    <row r="526">
      <c r="A526" s="131"/>
      <c r="B526" s="131"/>
      <c r="C526" s="131"/>
      <c r="D526" s="131"/>
      <c r="E526" s="131"/>
      <c r="F526" s="131"/>
    </row>
    <row r="527">
      <c r="A527" s="131"/>
      <c r="B527" s="131"/>
      <c r="C527" s="131"/>
      <c r="D527" s="131"/>
      <c r="E527" s="131"/>
      <c r="F527" s="131"/>
    </row>
    <row r="528">
      <c r="A528" s="131"/>
      <c r="B528" s="131"/>
      <c r="C528" s="131"/>
      <c r="D528" s="131"/>
      <c r="E528" s="131"/>
      <c r="F528" s="131"/>
    </row>
    <row r="529">
      <c r="A529" s="131"/>
      <c r="B529" s="131"/>
      <c r="C529" s="131"/>
      <c r="D529" s="131"/>
      <c r="E529" s="131"/>
      <c r="F529" s="131"/>
    </row>
    <row r="530">
      <c r="A530" s="131"/>
      <c r="B530" s="131"/>
      <c r="C530" s="131"/>
      <c r="D530" s="131"/>
      <c r="E530" s="131"/>
      <c r="F530" s="131"/>
    </row>
    <row r="531">
      <c r="A531" s="131"/>
      <c r="B531" s="131"/>
      <c r="C531" s="131"/>
      <c r="D531" s="131"/>
      <c r="E531" s="131"/>
      <c r="F531" s="131"/>
    </row>
    <row r="532">
      <c r="A532" s="131"/>
      <c r="B532" s="131"/>
      <c r="C532" s="131"/>
      <c r="D532" s="131"/>
      <c r="E532" s="131"/>
      <c r="F532" s="131"/>
    </row>
    <row r="533">
      <c r="A533" s="131"/>
      <c r="B533" s="131"/>
      <c r="C533" s="131"/>
      <c r="D533" s="131"/>
      <c r="E533" s="131"/>
      <c r="F533" s="131"/>
    </row>
    <row r="534">
      <c r="A534" s="131"/>
      <c r="B534" s="131"/>
      <c r="C534" s="131"/>
      <c r="D534" s="131"/>
      <c r="E534" s="131"/>
      <c r="F534" s="131"/>
    </row>
    <row r="535">
      <c r="A535" s="131"/>
      <c r="B535" s="131"/>
      <c r="C535" s="131"/>
      <c r="D535" s="131"/>
      <c r="E535" s="131"/>
      <c r="F535" s="131"/>
    </row>
    <row r="536">
      <c r="A536" s="131"/>
      <c r="B536" s="131"/>
      <c r="C536" s="131"/>
      <c r="D536" s="131"/>
      <c r="E536" s="131"/>
      <c r="F536" s="131"/>
    </row>
    <row r="537">
      <c r="A537" s="131"/>
      <c r="B537" s="131"/>
      <c r="C537" s="131"/>
      <c r="D537" s="131"/>
      <c r="E537" s="131"/>
      <c r="F537" s="131"/>
    </row>
    <row r="538">
      <c r="A538" s="131"/>
      <c r="B538" s="131"/>
      <c r="C538" s="131"/>
      <c r="D538" s="131"/>
      <c r="E538" s="131"/>
      <c r="F538" s="131"/>
    </row>
    <row r="539">
      <c r="A539" s="131"/>
      <c r="B539" s="131"/>
      <c r="C539" s="131"/>
      <c r="D539" s="131"/>
      <c r="E539" s="131"/>
      <c r="F539" s="131"/>
    </row>
    <row r="540">
      <c r="A540" s="131"/>
      <c r="B540" s="131"/>
      <c r="C540" s="131"/>
      <c r="D540" s="131"/>
      <c r="E540" s="131"/>
      <c r="F540" s="131"/>
    </row>
    <row r="541">
      <c r="A541" s="131"/>
      <c r="B541" s="131"/>
      <c r="C541" s="131"/>
      <c r="D541" s="131"/>
      <c r="E541" s="131"/>
      <c r="F541" s="131"/>
    </row>
    <row r="542">
      <c r="A542" s="131"/>
      <c r="B542" s="131"/>
      <c r="C542" s="131"/>
      <c r="D542" s="131"/>
      <c r="E542" s="131"/>
      <c r="F542" s="131"/>
    </row>
    <row r="543">
      <c r="A543" s="131"/>
      <c r="B543" s="131"/>
      <c r="C543" s="131"/>
      <c r="D543" s="131"/>
      <c r="E543" s="131"/>
      <c r="F543" s="131"/>
    </row>
    <row r="544">
      <c r="A544" s="131"/>
      <c r="B544" s="131"/>
      <c r="C544" s="131"/>
      <c r="D544" s="131"/>
      <c r="E544" s="131"/>
      <c r="F544" s="131"/>
    </row>
    <row r="545">
      <c r="A545" s="131"/>
      <c r="B545" s="131"/>
      <c r="C545" s="131"/>
      <c r="D545" s="131"/>
      <c r="E545" s="131"/>
      <c r="F545" s="131"/>
    </row>
    <row r="546">
      <c r="A546" s="131"/>
      <c r="B546" s="131"/>
      <c r="C546" s="131"/>
      <c r="D546" s="131"/>
      <c r="E546" s="131"/>
      <c r="F546" s="131"/>
    </row>
    <row r="547">
      <c r="A547" s="131"/>
      <c r="B547" s="131"/>
      <c r="C547" s="131"/>
      <c r="D547" s="131"/>
      <c r="E547" s="131"/>
      <c r="F547" s="131"/>
    </row>
    <row r="548">
      <c r="A548" s="131"/>
      <c r="B548" s="131"/>
      <c r="C548" s="131"/>
      <c r="D548" s="131"/>
      <c r="E548" s="131"/>
      <c r="F548" s="131"/>
    </row>
    <row r="549">
      <c r="A549" s="131"/>
      <c r="B549" s="131"/>
      <c r="C549" s="131"/>
      <c r="D549" s="131"/>
      <c r="E549" s="131"/>
      <c r="F549" s="131"/>
    </row>
    <row r="550">
      <c r="A550" s="131"/>
      <c r="B550" s="131"/>
      <c r="C550" s="131"/>
      <c r="D550" s="131"/>
      <c r="E550" s="131"/>
      <c r="F550" s="131"/>
    </row>
    <row r="551">
      <c r="A551" s="131"/>
      <c r="B551" s="131"/>
      <c r="C551" s="131"/>
      <c r="D551" s="131"/>
      <c r="E551" s="131"/>
      <c r="F551" s="131"/>
    </row>
    <row r="552">
      <c r="A552" s="131"/>
      <c r="B552" s="131"/>
      <c r="C552" s="131"/>
      <c r="D552" s="131"/>
      <c r="E552" s="131"/>
      <c r="F552" s="131"/>
    </row>
    <row r="553">
      <c r="A553" s="131"/>
      <c r="B553" s="131"/>
      <c r="C553" s="131"/>
      <c r="D553" s="131"/>
      <c r="E553" s="131"/>
      <c r="F553" s="131"/>
    </row>
    <row r="554">
      <c r="A554" s="131"/>
      <c r="B554" s="131"/>
      <c r="C554" s="131"/>
      <c r="D554" s="131"/>
      <c r="E554" s="131"/>
      <c r="F554" s="131"/>
    </row>
    <row r="555">
      <c r="A555" s="131"/>
      <c r="B555" s="131"/>
      <c r="C555" s="131"/>
      <c r="D555" s="131"/>
      <c r="E555" s="131"/>
      <c r="F555" s="131"/>
    </row>
    <row r="556">
      <c r="A556" s="131"/>
      <c r="B556" s="131"/>
      <c r="C556" s="131"/>
      <c r="D556" s="131"/>
      <c r="E556" s="131"/>
      <c r="F556" s="131"/>
    </row>
    <row r="557">
      <c r="A557" s="131"/>
      <c r="B557" s="131"/>
      <c r="C557" s="131"/>
      <c r="D557" s="131"/>
      <c r="E557" s="131"/>
      <c r="F557" s="131"/>
    </row>
    <row r="558">
      <c r="A558" s="131"/>
      <c r="B558" s="131"/>
      <c r="C558" s="131"/>
      <c r="D558" s="131"/>
      <c r="E558" s="131"/>
      <c r="F558" s="131"/>
    </row>
    <row r="559">
      <c r="A559" s="131"/>
      <c r="B559" s="131"/>
      <c r="C559" s="131"/>
      <c r="D559" s="131"/>
      <c r="E559" s="131"/>
      <c r="F559" s="131"/>
    </row>
    <row r="560">
      <c r="A560" s="131"/>
      <c r="B560" s="131"/>
      <c r="C560" s="131"/>
      <c r="D560" s="131"/>
      <c r="E560" s="131"/>
      <c r="F560" s="131"/>
    </row>
    <row r="561">
      <c r="A561" s="131"/>
      <c r="B561" s="131"/>
      <c r="C561" s="131"/>
      <c r="D561" s="131"/>
      <c r="E561" s="131"/>
      <c r="F561" s="131"/>
    </row>
    <row r="562">
      <c r="A562" s="131"/>
      <c r="B562" s="131"/>
      <c r="C562" s="131"/>
      <c r="D562" s="131"/>
      <c r="E562" s="131"/>
      <c r="F562" s="131"/>
    </row>
    <row r="563">
      <c r="A563" s="131"/>
      <c r="B563" s="131"/>
      <c r="C563" s="131"/>
      <c r="D563" s="131"/>
      <c r="E563" s="131"/>
      <c r="F563" s="131"/>
    </row>
    <row r="564">
      <c r="A564" s="131"/>
      <c r="B564" s="131"/>
      <c r="C564" s="131"/>
      <c r="D564" s="131"/>
      <c r="E564" s="131"/>
      <c r="F564" s="131"/>
    </row>
    <row r="565">
      <c r="A565" s="131"/>
      <c r="B565" s="131"/>
      <c r="C565" s="131"/>
      <c r="D565" s="131"/>
      <c r="E565" s="131"/>
      <c r="F565" s="131"/>
    </row>
    <row r="566">
      <c r="A566" s="131"/>
      <c r="B566" s="131"/>
      <c r="C566" s="131"/>
      <c r="D566" s="131"/>
      <c r="E566" s="131"/>
      <c r="F566" s="131"/>
    </row>
    <row r="567">
      <c r="A567" s="131"/>
      <c r="B567" s="131"/>
      <c r="C567" s="131"/>
      <c r="D567" s="131"/>
      <c r="E567" s="131"/>
      <c r="F567" s="131"/>
    </row>
    <row r="568">
      <c r="A568" s="131"/>
      <c r="B568" s="131"/>
      <c r="C568" s="131"/>
      <c r="D568" s="131"/>
      <c r="E568" s="131"/>
      <c r="F568" s="131"/>
    </row>
    <row r="569">
      <c r="A569" s="131"/>
      <c r="B569" s="131"/>
      <c r="C569" s="131"/>
      <c r="D569" s="131"/>
      <c r="E569" s="131"/>
      <c r="F569" s="131"/>
    </row>
    <row r="570">
      <c r="A570" s="131"/>
      <c r="B570" s="131"/>
      <c r="C570" s="131"/>
      <c r="D570" s="131"/>
      <c r="E570" s="131"/>
      <c r="F570" s="131"/>
    </row>
    <row r="571">
      <c r="A571" s="131"/>
      <c r="B571" s="131"/>
      <c r="C571" s="131"/>
      <c r="D571" s="131"/>
      <c r="E571" s="131"/>
      <c r="F571" s="131"/>
    </row>
    <row r="572">
      <c r="A572" s="131"/>
      <c r="B572" s="131"/>
      <c r="C572" s="131"/>
      <c r="D572" s="131"/>
      <c r="E572" s="131"/>
      <c r="F572" s="131"/>
    </row>
    <row r="573">
      <c r="A573" s="131"/>
      <c r="B573" s="131"/>
      <c r="C573" s="131"/>
      <c r="D573" s="131"/>
      <c r="E573" s="131"/>
      <c r="F573" s="131"/>
    </row>
    <row r="574">
      <c r="A574" s="131"/>
      <c r="B574" s="131"/>
      <c r="C574" s="131"/>
      <c r="D574" s="131"/>
      <c r="E574" s="131"/>
      <c r="F574" s="131"/>
    </row>
    <row r="575">
      <c r="A575" s="131"/>
      <c r="B575" s="131"/>
      <c r="C575" s="131"/>
      <c r="D575" s="131"/>
      <c r="E575" s="131"/>
      <c r="F575" s="131"/>
    </row>
    <row r="576">
      <c r="A576" s="131"/>
      <c r="B576" s="131"/>
      <c r="C576" s="131"/>
      <c r="D576" s="131"/>
      <c r="E576" s="131"/>
      <c r="F576" s="131"/>
    </row>
    <row r="577">
      <c r="A577" s="131"/>
      <c r="B577" s="131"/>
      <c r="C577" s="131"/>
      <c r="D577" s="131"/>
      <c r="E577" s="131"/>
      <c r="F577" s="131"/>
    </row>
    <row r="578">
      <c r="A578" s="131"/>
      <c r="B578" s="131"/>
      <c r="C578" s="131"/>
      <c r="D578" s="131"/>
      <c r="E578" s="131"/>
      <c r="F578" s="131"/>
    </row>
    <row r="579">
      <c r="A579" s="131"/>
      <c r="B579" s="131"/>
      <c r="C579" s="131"/>
      <c r="D579" s="131"/>
      <c r="E579" s="131"/>
      <c r="F579" s="131"/>
    </row>
    <row r="580">
      <c r="A580" s="131"/>
      <c r="B580" s="131"/>
      <c r="C580" s="131"/>
      <c r="D580" s="131"/>
      <c r="E580" s="131"/>
      <c r="F580" s="131"/>
    </row>
    <row r="581">
      <c r="A581" s="131"/>
      <c r="B581" s="131"/>
      <c r="C581" s="131"/>
      <c r="D581" s="131"/>
      <c r="E581" s="131"/>
      <c r="F581" s="131"/>
    </row>
    <row r="582">
      <c r="A582" s="131"/>
      <c r="B582" s="131"/>
      <c r="C582" s="131"/>
      <c r="D582" s="131"/>
      <c r="E582" s="131"/>
      <c r="F582" s="131"/>
    </row>
    <row r="583">
      <c r="A583" s="131"/>
      <c r="B583" s="131"/>
      <c r="C583" s="131"/>
      <c r="D583" s="131"/>
      <c r="E583" s="131"/>
      <c r="F583" s="131"/>
    </row>
    <row r="584">
      <c r="A584" s="131"/>
      <c r="B584" s="131"/>
      <c r="C584" s="131"/>
      <c r="D584" s="131"/>
      <c r="E584" s="131"/>
      <c r="F584" s="131"/>
    </row>
    <row r="585">
      <c r="A585" s="131"/>
      <c r="B585" s="131"/>
      <c r="C585" s="131"/>
      <c r="D585" s="131"/>
      <c r="E585" s="131"/>
      <c r="F585" s="131"/>
    </row>
    <row r="586">
      <c r="A586" s="131"/>
      <c r="B586" s="131"/>
      <c r="C586" s="131"/>
      <c r="D586" s="131"/>
      <c r="E586" s="131"/>
      <c r="F586" s="131"/>
    </row>
    <row r="587">
      <c r="A587" s="131"/>
      <c r="B587" s="131"/>
      <c r="C587" s="131"/>
      <c r="D587" s="131"/>
      <c r="E587" s="131"/>
      <c r="F587" s="131"/>
    </row>
    <row r="588">
      <c r="A588" s="131"/>
      <c r="B588" s="131"/>
      <c r="C588" s="131"/>
      <c r="D588" s="131"/>
      <c r="E588" s="131"/>
      <c r="F588" s="131"/>
    </row>
    <row r="589">
      <c r="A589" s="131"/>
      <c r="B589" s="131"/>
      <c r="C589" s="131"/>
      <c r="D589" s="131"/>
      <c r="E589" s="131"/>
      <c r="F589" s="131"/>
    </row>
    <row r="590">
      <c r="A590" s="131"/>
      <c r="B590" s="131"/>
      <c r="C590" s="131"/>
      <c r="D590" s="131"/>
      <c r="E590" s="131"/>
      <c r="F590" s="131"/>
    </row>
    <row r="591">
      <c r="A591" s="131"/>
      <c r="B591" s="131"/>
      <c r="C591" s="131"/>
      <c r="D591" s="131"/>
      <c r="E591" s="131"/>
      <c r="F591" s="131"/>
    </row>
    <row r="592">
      <c r="A592" s="131"/>
      <c r="B592" s="131"/>
      <c r="C592" s="131"/>
      <c r="D592" s="131"/>
      <c r="E592" s="131"/>
      <c r="F592" s="131"/>
    </row>
    <row r="593">
      <c r="A593" s="131"/>
      <c r="B593" s="131"/>
      <c r="C593" s="131"/>
      <c r="D593" s="131"/>
      <c r="E593" s="131"/>
      <c r="F593" s="131"/>
    </row>
    <row r="594">
      <c r="A594" s="131"/>
      <c r="B594" s="131"/>
      <c r="C594" s="131"/>
      <c r="D594" s="131"/>
      <c r="E594" s="131"/>
      <c r="F594" s="131"/>
    </row>
    <row r="595">
      <c r="A595" s="131"/>
      <c r="B595" s="131"/>
      <c r="C595" s="131"/>
      <c r="D595" s="131"/>
      <c r="E595" s="131"/>
      <c r="F595" s="131"/>
    </row>
    <row r="596">
      <c r="A596" s="131"/>
      <c r="B596" s="131"/>
      <c r="C596" s="131"/>
      <c r="D596" s="131"/>
      <c r="E596" s="131"/>
      <c r="F596" s="131"/>
    </row>
    <row r="597">
      <c r="A597" s="131"/>
      <c r="B597" s="131"/>
      <c r="C597" s="131"/>
      <c r="D597" s="131"/>
      <c r="E597" s="131"/>
      <c r="F597" s="131"/>
    </row>
    <row r="598">
      <c r="A598" s="131"/>
      <c r="B598" s="131"/>
      <c r="C598" s="131"/>
      <c r="D598" s="131"/>
      <c r="E598" s="131"/>
      <c r="F598" s="131"/>
    </row>
    <row r="599">
      <c r="A599" s="131"/>
      <c r="B599" s="131"/>
      <c r="C599" s="131"/>
      <c r="D599" s="131"/>
      <c r="E599" s="131"/>
      <c r="F599" s="131"/>
    </row>
    <row r="600">
      <c r="A600" s="131"/>
      <c r="B600" s="131"/>
      <c r="C600" s="131"/>
      <c r="D600" s="131"/>
      <c r="E600" s="131"/>
      <c r="F600" s="131"/>
    </row>
    <row r="601">
      <c r="A601" s="131"/>
      <c r="B601" s="131"/>
      <c r="C601" s="131"/>
      <c r="D601" s="131"/>
      <c r="E601" s="131"/>
      <c r="F601" s="131"/>
    </row>
    <row r="602">
      <c r="A602" s="131"/>
      <c r="B602" s="131"/>
      <c r="C602" s="131"/>
      <c r="D602" s="131"/>
      <c r="E602" s="131"/>
      <c r="F602" s="131"/>
    </row>
    <row r="603">
      <c r="A603" s="131"/>
      <c r="B603" s="131"/>
      <c r="C603" s="131"/>
      <c r="D603" s="131"/>
      <c r="E603" s="131"/>
      <c r="F603" s="131"/>
    </row>
    <row r="604">
      <c r="A604" s="131"/>
      <c r="B604" s="131"/>
      <c r="C604" s="131"/>
      <c r="D604" s="131"/>
      <c r="E604" s="131"/>
      <c r="F604" s="131"/>
    </row>
    <row r="605">
      <c r="A605" s="131"/>
      <c r="B605" s="131"/>
      <c r="C605" s="131"/>
      <c r="D605" s="131"/>
      <c r="E605" s="131"/>
      <c r="F605" s="131"/>
    </row>
    <row r="606">
      <c r="A606" s="131"/>
      <c r="B606" s="131"/>
      <c r="C606" s="131"/>
      <c r="D606" s="131"/>
      <c r="E606" s="131"/>
      <c r="F606" s="131"/>
    </row>
    <row r="607">
      <c r="A607" s="131"/>
      <c r="B607" s="131"/>
      <c r="C607" s="131"/>
      <c r="D607" s="131"/>
      <c r="E607" s="131"/>
      <c r="F607" s="131"/>
    </row>
    <row r="608">
      <c r="A608" s="131"/>
      <c r="B608" s="131"/>
      <c r="C608" s="131"/>
      <c r="D608" s="131"/>
      <c r="E608" s="131"/>
      <c r="F608" s="131"/>
    </row>
    <row r="609">
      <c r="A609" s="131"/>
      <c r="B609" s="131"/>
      <c r="C609" s="131"/>
      <c r="D609" s="131"/>
      <c r="E609" s="131"/>
      <c r="F609" s="131"/>
    </row>
    <row r="610">
      <c r="A610" s="131"/>
      <c r="B610" s="131"/>
      <c r="C610" s="131"/>
      <c r="D610" s="131"/>
      <c r="E610" s="131"/>
      <c r="F610" s="131"/>
    </row>
    <row r="611">
      <c r="A611" s="131"/>
      <c r="B611" s="131"/>
      <c r="C611" s="131"/>
      <c r="D611" s="131"/>
      <c r="E611" s="131"/>
      <c r="F611" s="131"/>
    </row>
    <row r="612">
      <c r="A612" s="131"/>
      <c r="B612" s="131"/>
      <c r="C612" s="131"/>
      <c r="D612" s="131"/>
      <c r="E612" s="131"/>
      <c r="F612" s="131"/>
    </row>
    <row r="613">
      <c r="A613" s="131"/>
      <c r="B613" s="131"/>
      <c r="C613" s="131"/>
      <c r="D613" s="131"/>
      <c r="E613" s="131"/>
      <c r="F613" s="131"/>
    </row>
    <row r="614">
      <c r="A614" s="131"/>
      <c r="B614" s="131"/>
      <c r="C614" s="131"/>
      <c r="D614" s="131"/>
      <c r="E614" s="131"/>
      <c r="F614" s="131"/>
    </row>
    <row r="615">
      <c r="A615" s="131"/>
      <c r="B615" s="131"/>
      <c r="C615" s="131"/>
      <c r="D615" s="131"/>
      <c r="E615" s="131"/>
      <c r="F615" s="131"/>
    </row>
    <row r="616">
      <c r="A616" s="131"/>
      <c r="B616" s="131"/>
      <c r="C616" s="131"/>
      <c r="D616" s="131"/>
      <c r="E616" s="131"/>
      <c r="F616" s="131"/>
    </row>
    <row r="617">
      <c r="A617" s="131"/>
      <c r="B617" s="131"/>
      <c r="C617" s="131"/>
      <c r="D617" s="131"/>
      <c r="E617" s="131"/>
      <c r="F617" s="131"/>
    </row>
    <row r="618">
      <c r="A618" s="131"/>
      <c r="B618" s="131"/>
      <c r="C618" s="131"/>
      <c r="D618" s="131"/>
      <c r="E618" s="131"/>
      <c r="F618" s="131"/>
    </row>
    <row r="619">
      <c r="A619" s="131"/>
      <c r="B619" s="131"/>
      <c r="C619" s="131"/>
      <c r="D619" s="131"/>
      <c r="E619" s="131"/>
      <c r="F619" s="131"/>
    </row>
    <row r="620">
      <c r="A620" s="131"/>
      <c r="B620" s="131"/>
      <c r="C620" s="131"/>
      <c r="D620" s="131"/>
      <c r="E620" s="131"/>
      <c r="F620" s="131"/>
    </row>
    <row r="621">
      <c r="A621" s="131"/>
      <c r="B621" s="131"/>
      <c r="C621" s="131"/>
      <c r="D621" s="131"/>
      <c r="E621" s="131"/>
      <c r="F621" s="131"/>
    </row>
    <row r="622">
      <c r="A622" s="131"/>
      <c r="B622" s="131"/>
      <c r="C622" s="131"/>
      <c r="D622" s="131"/>
      <c r="E622" s="131"/>
      <c r="F622" s="131"/>
    </row>
    <row r="623">
      <c r="A623" s="131"/>
      <c r="B623" s="131"/>
      <c r="C623" s="131"/>
      <c r="D623" s="131"/>
      <c r="E623" s="131"/>
      <c r="F623" s="131"/>
    </row>
    <row r="624">
      <c r="A624" s="131"/>
      <c r="B624" s="131"/>
      <c r="C624" s="131"/>
      <c r="D624" s="131"/>
      <c r="E624" s="131"/>
      <c r="F624" s="131"/>
    </row>
    <row r="625">
      <c r="A625" s="131"/>
      <c r="B625" s="131"/>
      <c r="C625" s="131"/>
      <c r="D625" s="131"/>
      <c r="E625" s="131"/>
      <c r="F625" s="131"/>
    </row>
    <row r="626">
      <c r="A626" s="131"/>
      <c r="B626" s="131"/>
      <c r="C626" s="131"/>
      <c r="D626" s="131"/>
      <c r="E626" s="131"/>
      <c r="F626" s="131"/>
    </row>
    <row r="627">
      <c r="A627" s="131"/>
      <c r="B627" s="131"/>
      <c r="C627" s="131"/>
      <c r="D627" s="131"/>
      <c r="E627" s="131"/>
      <c r="F627" s="131"/>
    </row>
    <row r="628">
      <c r="A628" s="131"/>
      <c r="B628" s="131"/>
      <c r="C628" s="131"/>
      <c r="D628" s="131"/>
      <c r="E628" s="131"/>
      <c r="F628" s="131"/>
    </row>
    <row r="629">
      <c r="A629" s="131"/>
      <c r="B629" s="131"/>
      <c r="C629" s="131"/>
      <c r="D629" s="131"/>
      <c r="E629" s="131"/>
      <c r="F629" s="131"/>
    </row>
    <row r="630">
      <c r="A630" s="131"/>
      <c r="B630" s="131"/>
      <c r="C630" s="131"/>
      <c r="D630" s="131"/>
      <c r="E630" s="131"/>
      <c r="F630" s="131"/>
    </row>
    <row r="631">
      <c r="A631" s="131"/>
      <c r="B631" s="131"/>
      <c r="C631" s="131"/>
      <c r="D631" s="131"/>
      <c r="E631" s="131"/>
      <c r="F631" s="131"/>
    </row>
    <row r="632">
      <c r="A632" s="131"/>
      <c r="B632" s="131"/>
      <c r="C632" s="131"/>
      <c r="D632" s="131"/>
      <c r="E632" s="131"/>
      <c r="F632" s="131"/>
    </row>
    <row r="633">
      <c r="A633" s="131"/>
      <c r="B633" s="131"/>
      <c r="C633" s="131"/>
      <c r="D633" s="131"/>
      <c r="E633" s="131"/>
      <c r="F633" s="131"/>
    </row>
    <row r="634">
      <c r="A634" s="131"/>
      <c r="B634" s="131"/>
      <c r="C634" s="131"/>
      <c r="D634" s="131"/>
      <c r="E634" s="131"/>
      <c r="F634" s="131"/>
    </row>
    <row r="635">
      <c r="A635" s="131"/>
      <c r="B635" s="131"/>
      <c r="C635" s="131"/>
      <c r="D635" s="131"/>
      <c r="E635" s="131"/>
      <c r="F635" s="131"/>
    </row>
    <row r="636">
      <c r="A636" s="131"/>
      <c r="B636" s="131"/>
      <c r="C636" s="131"/>
      <c r="D636" s="131"/>
      <c r="E636" s="131"/>
      <c r="F636" s="131"/>
    </row>
    <row r="637">
      <c r="A637" s="131"/>
      <c r="B637" s="131"/>
      <c r="C637" s="131"/>
      <c r="D637" s="131"/>
      <c r="E637" s="131"/>
      <c r="F637" s="131"/>
    </row>
    <row r="638">
      <c r="A638" s="131"/>
      <c r="B638" s="131"/>
      <c r="C638" s="131"/>
      <c r="D638" s="131"/>
      <c r="E638" s="131"/>
      <c r="F638" s="131"/>
    </row>
    <row r="639">
      <c r="A639" s="131"/>
      <c r="B639" s="131"/>
      <c r="C639" s="131"/>
      <c r="D639" s="131"/>
      <c r="E639" s="131"/>
      <c r="F639" s="131"/>
    </row>
    <row r="640">
      <c r="A640" s="131"/>
      <c r="B640" s="131"/>
      <c r="C640" s="131"/>
      <c r="D640" s="131"/>
      <c r="E640" s="131"/>
      <c r="F640" s="131"/>
    </row>
    <row r="641">
      <c r="A641" s="131"/>
      <c r="B641" s="131"/>
      <c r="C641" s="131"/>
      <c r="D641" s="131"/>
      <c r="E641" s="131"/>
      <c r="F641" s="131"/>
    </row>
    <row r="642">
      <c r="A642" s="131"/>
      <c r="B642" s="131"/>
      <c r="C642" s="131"/>
      <c r="D642" s="131"/>
      <c r="E642" s="131"/>
      <c r="F642" s="131"/>
    </row>
    <row r="643">
      <c r="A643" s="131"/>
      <c r="B643" s="131"/>
      <c r="C643" s="131"/>
      <c r="D643" s="131"/>
      <c r="E643" s="131"/>
      <c r="F643" s="131"/>
    </row>
    <row r="644">
      <c r="A644" s="131"/>
      <c r="B644" s="131"/>
      <c r="C644" s="131"/>
      <c r="D644" s="131"/>
      <c r="E644" s="131"/>
      <c r="F644" s="131"/>
    </row>
    <row r="645">
      <c r="A645" s="131"/>
      <c r="B645" s="131"/>
      <c r="C645" s="131"/>
      <c r="D645" s="131"/>
      <c r="E645" s="131"/>
      <c r="F645" s="131"/>
    </row>
    <row r="646">
      <c r="A646" s="131"/>
      <c r="B646" s="131"/>
      <c r="C646" s="131"/>
      <c r="D646" s="131"/>
      <c r="E646" s="131"/>
      <c r="F646" s="131"/>
    </row>
    <row r="647">
      <c r="A647" s="131"/>
      <c r="B647" s="131"/>
      <c r="C647" s="131"/>
      <c r="D647" s="131"/>
      <c r="E647" s="131"/>
      <c r="F647" s="131"/>
    </row>
    <row r="648">
      <c r="A648" s="131"/>
      <c r="B648" s="131"/>
      <c r="C648" s="131"/>
      <c r="D648" s="131"/>
      <c r="E648" s="131"/>
      <c r="F648" s="131"/>
    </row>
    <row r="649">
      <c r="A649" s="131"/>
      <c r="B649" s="131"/>
      <c r="C649" s="131"/>
      <c r="D649" s="131"/>
      <c r="E649" s="131"/>
      <c r="F649" s="131"/>
    </row>
    <row r="650">
      <c r="A650" s="131"/>
      <c r="B650" s="131"/>
      <c r="C650" s="131"/>
      <c r="D650" s="131"/>
      <c r="E650" s="131"/>
      <c r="F650" s="131"/>
    </row>
    <row r="651">
      <c r="A651" s="131"/>
      <c r="B651" s="131"/>
      <c r="C651" s="131"/>
      <c r="D651" s="131"/>
      <c r="E651" s="131"/>
      <c r="F651" s="131"/>
    </row>
    <row r="652">
      <c r="A652" s="131"/>
      <c r="B652" s="131"/>
      <c r="C652" s="131"/>
      <c r="D652" s="131"/>
      <c r="E652" s="131"/>
      <c r="F652" s="131"/>
    </row>
    <row r="653">
      <c r="A653" s="131"/>
      <c r="B653" s="131"/>
      <c r="C653" s="131"/>
      <c r="D653" s="131"/>
      <c r="E653" s="131"/>
      <c r="F653" s="131"/>
    </row>
    <row r="654">
      <c r="A654" s="131"/>
      <c r="B654" s="131"/>
      <c r="C654" s="131"/>
      <c r="D654" s="131"/>
      <c r="E654" s="131"/>
      <c r="F654" s="131"/>
    </row>
    <row r="655">
      <c r="A655" s="131"/>
      <c r="B655" s="131"/>
      <c r="C655" s="131"/>
      <c r="D655" s="131"/>
      <c r="E655" s="131"/>
      <c r="F655" s="131"/>
    </row>
    <row r="656">
      <c r="A656" s="131"/>
      <c r="B656" s="131"/>
      <c r="C656" s="131"/>
      <c r="D656" s="131"/>
      <c r="E656" s="131"/>
      <c r="F656" s="131"/>
    </row>
    <row r="657">
      <c r="A657" s="131"/>
      <c r="B657" s="131"/>
      <c r="C657" s="131"/>
      <c r="D657" s="131"/>
      <c r="E657" s="131"/>
      <c r="F657" s="131"/>
    </row>
    <row r="658">
      <c r="A658" s="131"/>
      <c r="B658" s="131"/>
      <c r="C658" s="131"/>
      <c r="D658" s="131"/>
      <c r="E658" s="131"/>
      <c r="F658" s="131"/>
    </row>
    <row r="659">
      <c r="A659" s="131"/>
      <c r="B659" s="131"/>
      <c r="C659" s="131"/>
      <c r="D659" s="131"/>
      <c r="E659" s="131"/>
      <c r="F659" s="131"/>
    </row>
    <row r="660">
      <c r="A660" s="131"/>
      <c r="B660" s="131"/>
      <c r="C660" s="131"/>
      <c r="D660" s="131"/>
      <c r="E660" s="131"/>
      <c r="F660" s="131"/>
    </row>
    <row r="661">
      <c r="A661" s="131"/>
      <c r="B661" s="131"/>
      <c r="C661" s="131"/>
      <c r="D661" s="131"/>
      <c r="E661" s="131"/>
      <c r="F661" s="131"/>
    </row>
    <row r="662">
      <c r="A662" s="131"/>
      <c r="B662" s="131"/>
      <c r="C662" s="131"/>
      <c r="D662" s="131"/>
      <c r="E662" s="131"/>
      <c r="F662" s="131"/>
    </row>
    <row r="663">
      <c r="A663" s="131"/>
      <c r="B663" s="131"/>
      <c r="C663" s="131"/>
      <c r="D663" s="131"/>
      <c r="E663" s="131"/>
      <c r="F663" s="131"/>
    </row>
    <row r="664">
      <c r="A664" s="131"/>
      <c r="B664" s="131"/>
      <c r="C664" s="131"/>
      <c r="D664" s="131"/>
      <c r="E664" s="131"/>
      <c r="F664" s="131"/>
    </row>
    <row r="665">
      <c r="A665" s="131"/>
      <c r="B665" s="131"/>
      <c r="C665" s="131"/>
      <c r="D665" s="131"/>
      <c r="E665" s="131"/>
      <c r="F665" s="131"/>
    </row>
    <row r="666">
      <c r="A666" s="131"/>
      <c r="B666" s="131"/>
      <c r="C666" s="131"/>
      <c r="D666" s="131"/>
      <c r="E666" s="131"/>
      <c r="F666" s="131"/>
    </row>
    <row r="667">
      <c r="A667" s="131"/>
      <c r="B667" s="131"/>
      <c r="C667" s="131"/>
      <c r="D667" s="131"/>
      <c r="E667" s="131"/>
      <c r="F667" s="131"/>
    </row>
    <row r="668">
      <c r="A668" s="131"/>
      <c r="B668" s="131"/>
      <c r="C668" s="131"/>
      <c r="D668" s="131"/>
      <c r="E668" s="131"/>
      <c r="F668" s="131"/>
    </row>
    <row r="669">
      <c r="A669" s="131"/>
      <c r="B669" s="131"/>
      <c r="C669" s="131"/>
      <c r="D669" s="131"/>
      <c r="E669" s="131"/>
      <c r="F669" s="131"/>
    </row>
    <row r="670">
      <c r="A670" s="131"/>
      <c r="B670" s="131"/>
      <c r="C670" s="131"/>
      <c r="D670" s="131"/>
      <c r="E670" s="131"/>
      <c r="F670" s="131"/>
    </row>
    <row r="671">
      <c r="A671" s="131"/>
      <c r="B671" s="131"/>
      <c r="C671" s="131"/>
      <c r="D671" s="131"/>
      <c r="E671" s="131"/>
      <c r="F671" s="131"/>
    </row>
    <row r="672">
      <c r="A672" s="131"/>
      <c r="B672" s="131"/>
      <c r="C672" s="131"/>
      <c r="D672" s="131"/>
      <c r="E672" s="131"/>
      <c r="F672" s="131"/>
    </row>
    <row r="673">
      <c r="A673" s="131"/>
      <c r="B673" s="131"/>
      <c r="C673" s="131"/>
      <c r="D673" s="131"/>
      <c r="E673" s="131"/>
      <c r="F673" s="131"/>
    </row>
    <row r="674">
      <c r="A674" s="131"/>
      <c r="B674" s="131"/>
      <c r="C674" s="131"/>
      <c r="D674" s="131"/>
      <c r="E674" s="131"/>
      <c r="F674" s="131"/>
    </row>
    <row r="675">
      <c r="A675" s="131"/>
      <c r="B675" s="131"/>
      <c r="C675" s="131"/>
      <c r="D675" s="131"/>
      <c r="E675" s="131"/>
      <c r="F675" s="131"/>
    </row>
    <row r="676">
      <c r="A676" s="131"/>
      <c r="B676" s="131"/>
      <c r="C676" s="131"/>
      <c r="D676" s="131"/>
      <c r="E676" s="131"/>
      <c r="F676" s="131"/>
    </row>
    <row r="677">
      <c r="A677" s="131"/>
      <c r="B677" s="131"/>
      <c r="C677" s="131"/>
      <c r="D677" s="131"/>
      <c r="E677" s="131"/>
      <c r="F677" s="131"/>
    </row>
    <row r="678">
      <c r="A678" s="131"/>
      <c r="B678" s="131"/>
      <c r="C678" s="131"/>
      <c r="D678" s="131"/>
      <c r="E678" s="131"/>
      <c r="F678" s="131"/>
    </row>
    <row r="679">
      <c r="A679" s="131"/>
      <c r="B679" s="131"/>
      <c r="C679" s="131"/>
      <c r="D679" s="131"/>
      <c r="E679" s="131"/>
      <c r="F679" s="131"/>
    </row>
    <row r="680">
      <c r="A680" s="131"/>
      <c r="B680" s="131"/>
      <c r="C680" s="131"/>
      <c r="D680" s="131"/>
      <c r="E680" s="131"/>
      <c r="F680" s="131"/>
    </row>
    <row r="681">
      <c r="A681" s="131"/>
      <c r="B681" s="131"/>
      <c r="C681" s="131"/>
      <c r="D681" s="131"/>
      <c r="E681" s="131"/>
      <c r="F681" s="131"/>
    </row>
    <row r="682">
      <c r="A682" s="131"/>
      <c r="B682" s="131"/>
      <c r="C682" s="131"/>
      <c r="D682" s="131"/>
      <c r="E682" s="131"/>
      <c r="F682" s="131"/>
    </row>
    <row r="683">
      <c r="A683" s="131"/>
      <c r="B683" s="131"/>
      <c r="C683" s="131"/>
      <c r="D683" s="131"/>
      <c r="E683" s="131"/>
      <c r="F683" s="131"/>
    </row>
    <row r="684">
      <c r="A684" s="131"/>
      <c r="B684" s="131"/>
      <c r="C684" s="131"/>
      <c r="D684" s="131"/>
      <c r="E684" s="131"/>
      <c r="F684" s="131"/>
    </row>
    <row r="685">
      <c r="A685" s="131"/>
      <c r="B685" s="131"/>
      <c r="C685" s="131"/>
      <c r="D685" s="131"/>
      <c r="E685" s="131"/>
      <c r="F685" s="131"/>
    </row>
    <row r="686">
      <c r="A686" s="131"/>
      <c r="B686" s="131"/>
      <c r="C686" s="131"/>
      <c r="D686" s="131"/>
      <c r="E686" s="131"/>
      <c r="F686" s="131"/>
    </row>
    <row r="687">
      <c r="A687" s="131"/>
      <c r="B687" s="131"/>
      <c r="C687" s="131"/>
      <c r="D687" s="131"/>
      <c r="E687" s="131"/>
      <c r="F687" s="131"/>
    </row>
    <row r="688">
      <c r="A688" s="131"/>
      <c r="B688" s="131"/>
      <c r="C688" s="131"/>
      <c r="D688" s="131"/>
      <c r="E688" s="131"/>
      <c r="F688" s="131"/>
    </row>
    <row r="689">
      <c r="A689" s="131"/>
      <c r="B689" s="131"/>
      <c r="C689" s="131"/>
      <c r="D689" s="131"/>
      <c r="E689" s="131"/>
      <c r="F689" s="131"/>
    </row>
    <row r="690">
      <c r="A690" s="131"/>
      <c r="B690" s="131"/>
      <c r="C690" s="131"/>
      <c r="D690" s="131"/>
      <c r="E690" s="131"/>
      <c r="F690" s="131"/>
    </row>
    <row r="691">
      <c r="A691" s="131"/>
      <c r="B691" s="131"/>
      <c r="C691" s="131"/>
      <c r="D691" s="131"/>
      <c r="E691" s="131"/>
      <c r="F691" s="131"/>
    </row>
    <row r="692">
      <c r="A692" s="131"/>
      <c r="B692" s="131"/>
      <c r="C692" s="131"/>
      <c r="D692" s="131"/>
      <c r="E692" s="131"/>
      <c r="F692" s="131"/>
    </row>
    <row r="693">
      <c r="A693" s="131"/>
      <c r="B693" s="131"/>
      <c r="C693" s="131"/>
      <c r="D693" s="131"/>
      <c r="E693" s="131"/>
      <c r="F693" s="131"/>
    </row>
    <row r="694">
      <c r="A694" s="131"/>
      <c r="B694" s="131"/>
      <c r="C694" s="131"/>
      <c r="D694" s="131"/>
      <c r="E694" s="131"/>
      <c r="F694" s="131"/>
    </row>
    <row r="695">
      <c r="A695" s="131"/>
      <c r="B695" s="131"/>
      <c r="C695" s="131"/>
      <c r="D695" s="131"/>
      <c r="E695" s="131"/>
      <c r="F695" s="131"/>
    </row>
    <row r="696">
      <c r="A696" s="131"/>
      <c r="B696" s="131"/>
      <c r="C696" s="131"/>
      <c r="D696" s="131"/>
      <c r="E696" s="131"/>
      <c r="F696" s="131"/>
    </row>
    <row r="697">
      <c r="A697" s="131"/>
      <c r="B697" s="131"/>
      <c r="C697" s="131"/>
      <c r="D697" s="131"/>
      <c r="E697" s="131"/>
      <c r="F697" s="131"/>
    </row>
    <row r="698">
      <c r="A698" s="131"/>
      <c r="B698" s="131"/>
      <c r="C698" s="131"/>
      <c r="D698" s="131"/>
      <c r="E698" s="131"/>
      <c r="F698" s="131"/>
    </row>
    <row r="699">
      <c r="A699" s="131"/>
      <c r="B699" s="131"/>
      <c r="C699" s="131"/>
      <c r="D699" s="131"/>
      <c r="E699" s="131"/>
      <c r="F699" s="131"/>
    </row>
    <row r="700">
      <c r="A700" s="131"/>
      <c r="B700" s="131"/>
      <c r="C700" s="131"/>
      <c r="D700" s="131"/>
      <c r="E700" s="131"/>
      <c r="F700" s="131"/>
    </row>
    <row r="701">
      <c r="A701" s="131"/>
      <c r="B701" s="131"/>
      <c r="C701" s="131"/>
      <c r="D701" s="131"/>
      <c r="E701" s="131"/>
      <c r="F701" s="131"/>
    </row>
    <row r="702">
      <c r="A702" s="131"/>
      <c r="B702" s="131"/>
      <c r="C702" s="131"/>
      <c r="D702" s="131"/>
      <c r="E702" s="131"/>
      <c r="F702" s="131"/>
    </row>
    <row r="703">
      <c r="A703" s="131"/>
      <c r="B703" s="131"/>
      <c r="C703" s="131"/>
      <c r="D703" s="131"/>
      <c r="E703" s="131"/>
      <c r="F703" s="131"/>
    </row>
    <row r="704">
      <c r="A704" s="131"/>
      <c r="B704" s="131"/>
      <c r="C704" s="131"/>
      <c r="D704" s="131"/>
      <c r="E704" s="131"/>
      <c r="F704" s="131"/>
    </row>
    <row r="705">
      <c r="A705" s="131"/>
      <c r="B705" s="131"/>
      <c r="C705" s="131"/>
      <c r="D705" s="131"/>
      <c r="E705" s="131"/>
      <c r="F705" s="131"/>
    </row>
    <row r="706">
      <c r="A706" s="131"/>
      <c r="B706" s="131"/>
      <c r="C706" s="131"/>
      <c r="D706" s="131"/>
      <c r="E706" s="131"/>
      <c r="F706" s="131"/>
    </row>
    <row r="707">
      <c r="A707" s="131"/>
      <c r="B707" s="131"/>
      <c r="C707" s="131"/>
      <c r="D707" s="131"/>
      <c r="E707" s="131"/>
      <c r="F707" s="131"/>
    </row>
    <row r="708">
      <c r="A708" s="131"/>
      <c r="B708" s="131"/>
      <c r="C708" s="131"/>
      <c r="D708" s="131"/>
      <c r="E708" s="131"/>
      <c r="F708" s="131"/>
    </row>
    <row r="709">
      <c r="A709" s="131"/>
      <c r="B709" s="131"/>
      <c r="C709" s="131"/>
      <c r="D709" s="131"/>
      <c r="E709" s="131"/>
      <c r="F709" s="131"/>
    </row>
    <row r="710">
      <c r="A710" s="131"/>
      <c r="B710" s="131"/>
      <c r="C710" s="131"/>
      <c r="D710" s="131"/>
      <c r="E710" s="131"/>
      <c r="F710" s="131"/>
    </row>
    <row r="711">
      <c r="A711" s="131"/>
      <c r="B711" s="131"/>
      <c r="C711" s="131"/>
      <c r="D711" s="131"/>
      <c r="E711" s="131"/>
      <c r="F711" s="131"/>
    </row>
    <row r="712">
      <c r="A712" s="131"/>
      <c r="B712" s="131"/>
      <c r="C712" s="131"/>
      <c r="D712" s="131"/>
      <c r="E712" s="131"/>
      <c r="F712" s="131"/>
    </row>
    <row r="713">
      <c r="A713" s="131"/>
      <c r="B713" s="131"/>
      <c r="C713" s="131"/>
      <c r="D713" s="131"/>
      <c r="E713" s="131"/>
      <c r="F713" s="131"/>
    </row>
    <row r="714">
      <c r="A714" s="131"/>
      <c r="B714" s="131"/>
      <c r="C714" s="131"/>
      <c r="D714" s="131"/>
      <c r="E714" s="131"/>
      <c r="F714" s="131"/>
    </row>
    <row r="715">
      <c r="A715" s="131"/>
      <c r="B715" s="131"/>
      <c r="C715" s="131"/>
      <c r="D715" s="131"/>
      <c r="E715" s="131"/>
      <c r="F715" s="131"/>
    </row>
    <row r="716">
      <c r="A716" s="131"/>
      <c r="B716" s="131"/>
      <c r="C716" s="131"/>
      <c r="D716" s="131"/>
      <c r="E716" s="131"/>
      <c r="F716" s="131"/>
    </row>
    <row r="717">
      <c r="A717" s="131"/>
      <c r="B717" s="131"/>
      <c r="C717" s="131"/>
      <c r="D717" s="131"/>
      <c r="E717" s="131"/>
      <c r="F717" s="131"/>
    </row>
    <row r="718">
      <c r="A718" s="131"/>
      <c r="B718" s="131"/>
      <c r="C718" s="131"/>
      <c r="D718" s="131"/>
      <c r="E718" s="131"/>
      <c r="F718" s="131"/>
    </row>
    <row r="719">
      <c r="A719" s="131"/>
      <c r="B719" s="131"/>
      <c r="C719" s="131"/>
      <c r="D719" s="131"/>
      <c r="E719" s="131"/>
      <c r="F719" s="131"/>
    </row>
    <row r="720">
      <c r="A720" s="131"/>
      <c r="B720" s="131"/>
      <c r="C720" s="131"/>
      <c r="D720" s="131"/>
      <c r="E720" s="131"/>
      <c r="F720" s="131"/>
    </row>
    <row r="721">
      <c r="A721" s="131"/>
      <c r="B721" s="131"/>
      <c r="C721" s="131"/>
      <c r="D721" s="131"/>
      <c r="E721" s="131"/>
      <c r="F721" s="131"/>
    </row>
    <row r="722">
      <c r="A722" s="131"/>
      <c r="B722" s="131"/>
      <c r="C722" s="131"/>
      <c r="D722" s="131"/>
      <c r="E722" s="131"/>
      <c r="F722" s="131"/>
    </row>
    <row r="723">
      <c r="A723" s="131"/>
      <c r="B723" s="131"/>
      <c r="C723" s="131"/>
      <c r="D723" s="131"/>
      <c r="E723" s="131"/>
      <c r="F723" s="131"/>
    </row>
    <row r="724">
      <c r="A724" s="131"/>
      <c r="B724" s="131"/>
      <c r="C724" s="131"/>
      <c r="D724" s="131"/>
      <c r="E724" s="131"/>
      <c r="F724" s="131"/>
    </row>
    <row r="725">
      <c r="A725" s="131"/>
      <c r="B725" s="131"/>
      <c r="C725" s="131"/>
      <c r="D725" s="131"/>
      <c r="E725" s="131"/>
      <c r="F725" s="131"/>
    </row>
    <row r="726">
      <c r="A726" s="131"/>
      <c r="B726" s="131"/>
      <c r="C726" s="131"/>
      <c r="D726" s="131"/>
      <c r="E726" s="131"/>
      <c r="F726" s="131"/>
    </row>
    <row r="727">
      <c r="A727" s="131"/>
      <c r="B727" s="131"/>
      <c r="C727" s="131"/>
      <c r="D727" s="131"/>
      <c r="E727" s="131"/>
      <c r="F727" s="131"/>
    </row>
    <row r="728">
      <c r="A728" s="131"/>
      <c r="B728" s="131"/>
      <c r="C728" s="131"/>
      <c r="D728" s="131"/>
      <c r="E728" s="131"/>
      <c r="F728" s="131"/>
    </row>
    <row r="729">
      <c r="A729" s="131"/>
      <c r="B729" s="131"/>
      <c r="C729" s="131"/>
      <c r="D729" s="131"/>
      <c r="E729" s="131"/>
      <c r="F729" s="131"/>
    </row>
    <row r="730">
      <c r="A730" s="131"/>
      <c r="B730" s="131"/>
      <c r="C730" s="131"/>
      <c r="D730" s="131"/>
      <c r="E730" s="131"/>
      <c r="F730" s="131"/>
    </row>
    <row r="731">
      <c r="A731" s="131"/>
      <c r="B731" s="131"/>
      <c r="C731" s="131"/>
      <c r="D731" s="131"/>
      <c r="E731" s="131"/>
      <c r="F731" s="131"/>
    </row>
    <row r="732">
      <c r="A732" s="131"/>
      <c r="B732" s="131"/>
      <c r="C732" s="131"/>
      <c r="D732" s="131"/>
      <c r="E732" s="131"/>
      <c r="F732" s="131"/>
    </row>
    <row r="733">
      <c r="A733" s="131"/>
      <c r="B733" s="131"/>
      <c r="C733" s="131"/>
      <c r="D733" s="131"/>
      <c r="E733" s="131"/>
      <c r="F733" s="131"/>
    </row>
    <row r="734">
      <c r="A734" s="131"/>
      <c r="B734" s="131"/>
      <c r="C734" s="131"/>
      <c r="D734" s="131"/>
      <c r="E734" s="131"/>
      <c r="F734" s="131"/>
    </row>
    <row r="735">
      <c r="A735" s="131"/>
      <c r="B735" s="131"/>
      <c r="C735" s="131"/>
      <c r="D735" s="131"/>
      <c r="E735" s="131"/>
      <c r="F735" s="131"/>
    </row>
    <row r="736">
      <c r="A736" s="131"/>
      <c r="B736" s="131"/>
      <c r="C736" s="131"/>
      <c r="D736" s="131"/>
      <c r="E736" s="131"/>
      <c r="F736" s="131"/>
    </row>
    <row r="737">
      <c r="A737" s="131"/>
      <c r="B737" s="131"/>
      <c r="C737" s="131"/>
      <c r="D737" s="131"/>
      <c r="E737" s="131"/>
      <c r="F737" s="131"/>
    </row>
    <row r="738">
      <c r="A738" s="131"/>
      <c r="B738" s="131"/>
      <c r="C738" s="131"/>
      <c r="D738" s="131"/>
      <c r="E738" s="131"/>
      <c r="F738" s="131"/>
    </row>
    <row r="739">
      <c r="A739" s="131"/>
      <c r="B739" s="131"/>
      <c r="C739" s="131"/>
      <c r="D739" s="131"/>
      <c r="E739" s="131"/>
      <c r="F739" s="131"/>
    </row>
    <row r="740">
      <c r="A740" s="131"/>
      <c r="B740" s="131"/>
      <c r="C740" s="131"/>
      <c r="D740" s="131"/>
      <c r="E740" s="131"/>
      <c r="F740" s="131"/>
    </row>
    <row r="741">
      <c r="A741" s="131"/>
      <c r="B741" s="131"/>
      <c r="C741" s="131"/>
      <c r="D741" s="131"/>
      <c r="E741" s="131"/>
      <c r="F741" s="131"/>
    </row>
    <row r="742">
      <c r="A742" s="131"/>
      <c r="B742" s="131"/>
      <c r="C742" s="131"/>
      <c r="D742" s="131"/>
      <c r="E742" s="131"/>
      <c r="F742" s="131"/>
    </row>
    <row r="743">
      <c r="A743" s="131"/>
      <c r="B743" s="131"/>
      <c r="C743" s="131"/>
      <c r="D743" s="131"/>
      <c r="E743" s="131"/>
      <c r="F743" s="131"/>
    </row>
    <row r="744">
      <c r="A744" s="131"/>
      <c r="B744" s="131"/>
      <c r="C744" s="131"/>
      <c r="D744" s="131"/>
      <c r="E744" s="131"/>
      <c r="F744" s="131"/>
    </row>
    <row r="745">
      <c r="A745" s="131"/>
      <c r="B745" s="131"/>
      <c r="C745" s="131"/>
      <c r="D745" s="131"/>
      <c r="E745" s="131"/>
      <c r="F745" s="131"/>
    </row>
    <row r="746">
      <c r="A746" s="131"/>
      <c r="B746" s="131"/>
      <c r="C746" s="131"/>
      <c r="D746" s="131"/>
      <c r="E746" s="131"/>
      <c r="F746" s="131"/>
    </row>
    <row r="747">
      <c r="A747" s="131"/>
      <c r="B747" s="131"/>
      <c r="C747" s="131"/>
      <c r="D747" s="131"/>
      <c r="E747" s="131"/>
      <c r="F747" s="131"/>
    </row>
    <row r="748">
      <c r="A748" s="131"/>
      <c r="B748" s="131"/>
      <c r="C748" s="131"/>
      <c r="D748" s="131"/>
      <c r="E748" s="131"/>
      <c r="F748" s="131"/>
    </row>
    <row r="749">
      <c r="A749" s="131"/>
      <c r="B749" s="131"/>
      <c r="C749" s="131"/>
      <c r="D749" s="131"/>
      <c r="E749" s="131"/>
      <c r="F749" s="131"/>
    </row>
    <row r="750">
      <c r="A750" s="131"/>
      <c r="B750" s="131"/>
      <c r="C750" s="131"/>
      <c r="D750" s="131"/>
      <c r="E750" s="131"/>
      <c r="F750" s="131"/>
    </row>
    <row r="751">
      <c r="A751" s="131"/>
      <c r="B751" s="131"/>
      <c r="C751" s="131"/>
      <c r="D751" s="131"/>
      <c r="E751" s="131"/>
      <c r="F751" s="131"/>
    </row>
    <row r="752">
      <c r="A752" s="131"/>
      <c r="B752" s="131"/>
      <c r="C752" s="131"/>
      <c r="D752" s="131"/>
      <c r="E752" s="131"/>
      <c r="F752" s="131"/>
    </row>
    <row r="753">
      <c r="A753" s="131"/>
      <c r="B753" s="131"/>
      <c r="C753" s="131"/>
      <c r="D753" s="131"/>
      <c r="E753" s="131"/>
      <c r="F753" s="131"/>
    </row>
    <row r="754">
      <c r="A754" s="131"/>
      <c r="B754" s="131"/>
      <c r="C754" s="131"/>
      <c r="D754" s="131"/>
      <c r="E754" s="131"/>
      <c r="F754" s="131"/>
    </row>
    <row r="755">
      <c r="A755" s="131"/>
      <c r="B755" s="131"/>
      <c r="C755" s="131"/>
      <c r="D755" s="131"/>
      <c r="E755" s="131"/>
      <c r="F755" s="131"/>
    </row>
    <row r="756">
      <c r="A756" s="131"/>
      <c r="B756" s="131"/>
      <c r="C756" s="131"/>
      <c r="D756" s="131"/>
      <c r="E756" s="131"/>
      <c r="F756" s="131"/>
    </row>
    <row r="757">
      <c r="A757" s="131"/>
      <c r="B757" s="131"/>
      <c r="C757" s="131"/>
      <c r="D757" s="131"/>
      <c r="E757" s="131"/>
      <c r="F757" s="131"/>
    </row>
    <row r="758">
      <c r="A758" s="131"/>
      <c r="B758" s="131"/>
      <c r="C758" s="131"/>
      <c r="D758" s="131"/>
      <c r="E758" s="131"/>
      <c r="F758" s="131"/>
    </row>
    <row r="759">
      <c r="A759" s="131"/>
      <c r="B759" s="131"/>
      <c r="C759" s="131"/>
      <c r="D759" s="131"/>
      <c r="E759" s="131"/>
      <c r="F759" s="131"/>
    </row>
    <row r="760">
      <c r="A760" s="131"/>
      <c r="B760" s="131"/>
      <c r="C760" s="131"/>
      <c r="D760" s="131"/>
      <c r="E760" s="131"/>
      <c r="F760" s="131"/>
    </row>
    <row r="761">
      <c r="A761" s="131"/>
      <c r="B761" s="131"/>
      <c r="C761" s="131"/>
      <c r="D761" s="131"/>
      <c r="E761" s="131"/>
      <c r="F761" s="131"/>
    </row>
    <row r="762">
      <c r="A762" s="131"/>
      <c r="B762" s="131"/>
      <c r="C762" s="131"/>
      <c r="D762" s="131"/>
      <c r="E762" s="131"/>
      <c r="F762" s="131"/>
    </row>
    <row r="763">
      <c r="A763" s="131"/>
      <c r="B763" s="131"/>
      <c r="C763" s="131"/>
      <c r="D763" s="131"/>
      <c r="E763" s="131"/>
      <c r="F763" s="131"/>
    </row>
    <row r="764">
      <c r="A764" s="131"/>
      <c r="B764" s="131"/>
      <c r="C764" s="131"/>
      <c r="D764" s="131"/>
      <c r="E764" s="131"/>
      <c r="F764" s="131"/>
    </row>
    <row r="765">
      <c r="A765" s="131"/>
      <c r="B765" s="131"/>
      <c r="C765" s="131"/>
      <c r="D765" s="131"/>
      <c r="E765" s="131"/>
      <c r="F765" s="131"/>
    </row>
    <row r="766">
      <c r="A766" s="131"/>
      <c r="B766" s="131"/>
      <c r="C766" s="131"/>
      <c r="D766" s="131"/>
      <c r="E766" s="131"/>
      <c r="F766" s="131"/>
    </row>
    <row r="767">
      <c r="A767" s="131"/>
      <c r="B767" s="131"/>
      <c r="C767" s="131"/>
      <c r="D767" s="131"/>
      <c r="E767" s="131"/>
      <c r="F767" s="131"/>
    </row>
    <row r="768">
      <c r="A768" s="131"/>
      <c r="B768" s="131"/>
      <c r="C768" s="131"/>
      <c r="D768" s="131"/>
      <c r="E768" s="131"/>
      <c r="F768" s="131"/>
    </row>
    <row r="769">
      <c r="A769" s="131"/>
      <c r="B769" s="131"/>
      <c r="C769" s="131"/>
      <c r="D769" s="131"/>
      <c r="E769" s="131"/>
      <c r="F769" s="131"/>
    </row>
    <row r="770">
      <c r="A770" s="131"/>
      <c r="B770" s="131"/>
      <c r="C770" s="131"/>
      <c r="D770" s="131"/>
      <c r="E770" s="131"/>
      <c r="F770" s="131"/>
    </row>
    <row r="771">
      <c r="A771" s="131"/>
      <c r="B771" s="131"/>
      <c r="C771" s="131"/>
      <c r="D771" s="131"/>
      <c r="E771" s="131"/>
      <c r="F771" s="131"/>
    </row>
    <row r="772">
      <c r="A772" s="131"/>
      <c r="B772" s="131"/>
      <c r="C772" s="131"/>
      <c r="D772" s="131"/>
      <c r="E772" s="131"/>
      <c r="F772" s="131"/>
    </row>
    <row r="773">
      <c r="A773" s="131"/>
      <c r="B773" s="131"/>
      <c r="C773" s="131"/>
      <c r="D773" s="131"/>
      <c r="E773" s="131"/>
      <c r="F773" s="131"/>
    </row>
    <row r="774">
      <c r="A774" s="131"/>
      <c r="B774" s="131"/>
      <c r="C774" s="131"/>
      <c r="D774" s="131"/>
      <c r="E774" s="131"/>
      <c r="F774" s="131"/>
    </row>
    <row r="775">
      <c r="A775" s="131"/>
      <c r="B775" s="131"/>
      <c r="C775" s="131"/>
      <c r="D775" s="131"/>
      <c r="E775" s="131"/>
      <c r="F775" s="131"/>
    </row>
    <row r="776">
      <c r="A776" s="131"/>
      <c r="B776" s="131"/>
      <c r="C776" s="131"/>
      <c r="D776" s="131"/>
      <c r="E776" s="131"/>
      <c r="F776" s="131"/>
    </row>
    <row r="777">
      <c r="A777" s="131"/>
      <c r="B777" s="131"/>
      <c r="C777" s="131"/>
      <c r="D777" s="131"/>
      <c r="E777" s="131"/>
      <c r="F777" s="131"/>
    </row>
    <row r="778">
      <c r="A778" s="131"/>
      <c r="B778" s="131"/>
      <c r="C778" s="131"/>
      <c r="D778" s="131"/>
      <c r="E778" s="131"/>
      <c r="F778" s="131"/>
    </row>
    <row r="779">
      <c r="A779" s="131"/>
      <c r="B779" s="131"/>
      <c r="C779" s="131"/>
      <c r="D779" s="131"/>
      <c r="E779" s="131"/>
      <c r="F779" s="131"/>
    </row>
    <row r="780">
      <c r="A780" s="131"/>
      <c r="B780" s="131"/>
      <c r="C780" s="131"/>
      <c r="D780" s="131"/>
      <c r="E780" s="131"/>
      <c r="F780" s="131"/>
    </row>
    <row r="781">
      <c r="A781" s="131"/>
      <c r="B781" s="131"/>
      <c r="C781" s="131"/>
      <c r="D781" s="131"/>
      <c r="E781" s="131"/>
      <c r="F781" s="131"/>
    </row>
    <row r="782">
      <c r="A782" s="131"/>
      <c r="B782" s="131"/>
      <c r="C782" s="131"/>
      <c r="D782" s="131"/>
      <c r="E782" s="131"/>
      <c r="F782" s="131"/>
    </row>
    <row r="783">
      <c r="A783" s="131"/>
      <c r="B783" s="131"/>
      <c r="C783" s="131"/>
      <c r="D783" s="131"/>
      <c r="E783" s="131"/>
      <c r="F783" s="131"/>
    </row>
    <row r="784">
      <c r="A784" s="131"/>
      <c r="B784" s="131"/>
      <c r="C784" s="131"/>
      <c r="D784" s="131"/>
      <c r="E784" s="131"/>
      <c r="F784" s="131"/>
    </row>
    <row r="785">
      <c r="A785" s="131"/>
      <c r="B785" s="131"/>
      <c r="C785" s="131"/>
      <c r="D785" s="131"/>
      <c r="E785" s="131"/>
      <c r="F785" s="131"/>
    </row>
    <row r="786">
      <c r="A786" s="131"/>
      <c r="B786" s="131"/>
      <c r="C786" s="131"/>
      <c r="D786" s="131"/>
      <c r="E786" s="131"/>
      <c r="F786" s="131"/>
    </row>
    <row r="787">
      <c r="A787" s="131"/>
      <c r="B787" s="131"/>
      <c r="C787" s="131"/>
      <c r="D787" s="131"/>
      <c r="E787" s="131"/>
      <c r="F787" s="131"/>
    </row>
    <row r="788">
      <c r="A788" s="131"/>
      <c r="B788" s="131"/>
      <c r="C788" s="131"/>
      <c r="D788" s="131"/>
      <c r="E788" s="131"/>
      <c r="F788" s="131"/>
    </row>
    <row r="789">
      <c r="A789" s="131"/>
      <c r="B789" s="131"/>
      <c r="C789" s="131"/>
      <c r="D789" s="131"/>
      <c r="E789" s="131"/>
      <c r="F789" s="131"/>
    </row>
    <row r="790">
      <c r="A790" s="131"/>
      <c r="B790" s="131"/>
      <c r="C790" s="131"/>
      <c r="D790" s="131"/>
      <c r="E790" s="131"/>
      <c r="F790" s="131"/>
    </row>
    <row r="791">
      <c r="A791" s="131"/>
      <c r="B791" s="131"/>
      <c r="C791" s="131"/>
      <c r="D791" s="131"/>
      <c r="E791" s="131"/>
      <c r="F791" s="131"/>
    </row>
    <row r="792">
      <c r="A792" s="131"/>
      <c r="B792" s="131"/>
      <c r="C792" s="131"/>
      <c r="D792" s="131"/>
      <c r="E792" s="131"/>
      <c r="F792" s="131"/>
    </row>
    <row r="793">
      <c r="A793" s="131"/>
      <c r="B793" s="131"/>
      <c r="C793" s="131"/>
      <c r="D793" s="131"/>
      <c r="E793" s="131"/>
      <c r="F793" s="131"/>
    </row>
    <row r="794">
      <c r="A794" s="131"/>
      <c r="B794" s="131"/>
      <c r="C794" s="131"/>
      <c r="D794" s="131"/>
      <c r="E794" s="131"/>
      <c r="F794" s="131"/>
    </row>
    <row r="795">
      <c r="A795" s="131"/>
      <c r="B795" s="131"/>
      <c r="C795" s="131"/>
      <c r="D795" s="131"/>
      <c r="E795" s="131"/>
      <c r="F795" s="131"/>
    </row>
    <row r="796">
      <c r="A796" s="131"/>
      <c r="B796" s="131"/>
      <c r="C796" s="131"/>
      <c r="D796" s="131"/>
      <c r="E796" s="131"/>
      <c r="F796" s="131"/>
    </row>
    <row r="797">
      <c r="A797" s="131"/>
      <c r="B797" s="131"/>
      <c r="C797" s="131"/>
      <c r="D797" s="131"/>
      <c r="E797" s="131"/>
      <c r="F797" s="131"/>
    </row>
    <row r="798">
      <c r="A798" s="131"/>
      <c r="B798" s="131"/>
      <c r="C798" s="131"/>
      <c r="D798" s="131"/>
      <c r="E798" s="131"/>
      <c r="F798" s="131"/>
    </row>
    <row r="799">
      <c r="A799" s="131"/>
      <c r="B799" s="131"/>
      <c r="C799" s="131"/>
      <c r="D799" s="131"/>
      <c r="E799" s="131"/>
      <c r="F799" s="131"/>
    </row>
    <row r="800">
      <c r="A800" s="131"/>
      <c r="B800" s="131"/>
      <c r="C800" s="131"/>
      <c r="D800" s="131"/>
      <c r="E800" s="131"/>
      <c r="F800" s="131"/>
    </row>
    <row r="801">
      <c r="A801" s="131"/>
      <c r="B801" s="131"/>
      <c r="C801" s="131"/>
      <c r="D801" s="131"/>
      <c r="E801" s="131"/>
      <c r="F801" s="131"/>
    </row>
    <row r="802">
      <c r="A802" s="131"/>
      <c r="B802" s="131"/>
      <c r="C802" s="131"/>
      <c r="D802" s="131"/>
      <c r="E802" s="131"/>
      <c r="F802" s="131"/>
    </row>
    <row r="803">
      <c r="A803" s="131"/>
      <c r="B803" s="131"/>
      <c r="C803" s="131"/>
      <c r="D803" s="131"/>
      <c r="E803" s="131"/>
      <c r="F803" s="131"/>
    </row>
    <row r="804">
      <c r="A804" s="131"/>
      <c r="B804" s="131"/>
      <c r="C804" s="131"/>
      <c r="D804" s="131"/>
      <c r="E804" s="131"/>
      <c r="F804" s="131"/>
    </row>
    <row r="805">
      <c r="A805" s="131"/>
      <c r="B805" s="131"/>
      <c r="C805" s="131"/>
      <c r="D805" s="131"/>
      <c r="E805" s="131"/>
      <c r="F805" s="131"/>
    </row>
    <row r="806">
      <c r="A806" s="131"/>
      <c r="B806" s="131"/>
      <c r="C806" s="131"/>
      <c r="D806" s="131"/>
      <c r="E806" s="131"/>
      <c r="F806" s="131"/>
    </row>
    <row r="807">
      <c r="A807" s="131"/>
      <c r="B807" s="131"/>
      <c r="C807" s="131"/>
      <c r="D807" s="131"/>
      <c r="E807" s="131"/>
      <c r="F807" s="131"/>
    </row>
    <row r="808">
      <c r="A808" s="131"/>
      <c r="B808" s="131"/>
      <c r="C808" s="131"/>
      <c r="D808" s="131"/>
      <c r="E808" s="131"/>
      <c r="F808" s="131"/>
    </row>
    <row r="809">
      <c r="A809" s="131"/>
      <c r="B809" s="131"/>
      <c r="C809" s="131"/>
      <c r="D809" s="131"/>
      <c r="E809" s="131"/>
      <c r="F809" s="131"/>
    </row>
    <row r="810">
      <c r="A810" s="131"/>
      <c r="B810" s="131"/>
      <c r="C810" s="131"/>
      <c r="D810" s="131"/>
      <c r="E810" s="131"/>
      <c r="F810" s="131"/>
    </row>
    <row r="811">
      <c r="A811" s="131"/>
      <c r="B811" s="131"/>
      <c r="C811" s="131"/>
      <c r="D811" s="131"/>
      <c r="E811" s="131"/>
      <c r="F811" s="131"/>
    </row>
    <row r="812">
      <c r="A812" s="131"/>
      <c r="B812" s="131"/>
      <c r="C812" s="131"/>
      <c r="D812" s="131"/>
      <c r="E812" s="131"/>
      <c r="F812" s="131"/>
    </row>
    <row r="813">
      <c r="A813" s="131"/>
      <c r="B813" s="131"/>
      <c r="C813" s="131"/>
      <c r="D813" s="131"/>
      <c r="E813" s="131"/>
      <c r="F813" s="131"/>
    </row>
    <row r="814">
      <c r="A814" s="131"/>
      <c r="B814" s="131"/>
      <c r="C814" s="131"/>
      <c r="D814" s="131"/>
      <c r="E814" s="131"/>
      <c r="F814" s="131"/>
    </row>
    <row r="815">
      <c r="A815" s="131"/>
      <c r="B815" s="131"/>
      <c r="C815" s="131"/>
      <c r="D815" s="131"/>
      <c r="E815" s="131"/>
      <c r="F815" s="131"/>
    </row>
    <row r="816">
      <c r="A816" s="131"/>
      <c r="B816" s="131"/>
      <c r="C816" s="131"/>
      <c r="D816" s="131"/>
      <c r="E816" s="131"/>
      <c r="F816" s="131"/>
    </row>
    <row r="817">
      <c r="A817" s="131"/>
      <c r="B817" s="131"/>
      <c r="C817" s="131"/>
      <c r="D817" s="131"/>
      <c r="E817" s="131"/>
      <c r="F817" s="131"/>
    </row>
    <row r="818">
      <c r="A818" s="131"/>
      <c r="B818" s="131"/>
      <c r="C818" s="131"/>
      <c r="D818" s="131"/>
      <c r="E818" s="131"/>
      <c r="F818" s="131"/>
    </row>
    <row r="819">
      <c r="A819" s="131"/>
      <c r="B819" s="131"/>
      <c r="C819" s="131"/>
      <c r="D819" s="131"/>
      <c r="E819" s="131"/>
      <c r="F819" s="131"/>
    </row>
    <row r="820">
      <c r="A820" s="131"/>
      <c r="B820" s="131"/>
      <c r="C820" s="131"/>
      <c r="D820" s="131"/>
      <c r="E820" s="131"/>
      <c r="F820" s="131"/>
    </row>
    <row r="821">
      <c r="A821" s="131"/>
      <c r="B821" s="131"/>
      <c r="C821" s="131"/>
      <c r="D821" s="131"/>
      <c r="E821" s="131"/>
      <c r="F821" s="131"/>
    </row>
    <row r="822">
      <c r="A822" s="131"/>
      <c r="B822" s="131"/>
      <c r="C822" s="131"/>
      <c r="D822" s="131"/>
      <c r="E822" s="131"/>
      <c r="F822" s="131"/>
    </row>
    <row r="823">
      <c r="A823" s="131"/>
      <c r="B823" s="131"/>
      <c r="C823" s="131"/>
      <c r="D823" s="131"/>
      <c r="E823" s="131"/>
      <c r="F823" s="131"/>
    </row>
    <row r="824">
      <c r="A824" s="131"/>
      <c r="B824" s="131"/>
      <c r="C824" s="131"/>
      <c r="D824" s="131"/>
      <c r="E824" s="131"/>
      <c r="F824" s="131"/>
    </row>
    <row r="825">
      <c r="A825" s="131"/>
      <c r="B825" s="131"/>
      <c r="C825" s="131"/>
      <c r="D825" s="131"/>
      <c r="E825" s="131"/>
      <c r="F825" s="131"/>
    </row>
    <row r="826">
      <c r="A826" s="131"/>
      <c r="B826" s="131"/>
      <c r="C826" s="131"/>
      <c r="D826" s="131"/>
      <c r="E826" s="131"/>
      <c r="F826" s="131"/>
    </row>
    <row r="827">
      <c r="A827" s="131"/>
      <c r="B827" s="131"/>
      <c r="C827" s="131"/>
      <c r="D827" s="131"/>
      <c r="E827" s="131"/>
      <c r="F827" s="131"/>
    </row>
    <row r="828">
      <c r="A828" s="131"/>
      <c r="B828" s="131"/>
      <c r="C828" s="131"/>
      <c r="D828" s="131"/>
      <c r="E828" s="131"/>
      <c r="F828" s="131"/>
    </row>
    <row r="829">
      <c r="A829" s="131"/>
      <c r="B829" s="131"/>
      <c r="C829" s="131"/>
      <c r="D829" s="131"/>
      <c r="E829" s="131"/>
      <c r="F829" s="131"/>
    </row>
    <row r="830">
      <c r="A830" s="131"/>
      <c r="B830" s="131"/>
      <c r="C830" s="131"/>
      <c r="D830" s="131"/>
      <c r="E830" s="131"/>
      <c r="F830" s="131"/>
    </row>
    <row r="831">
      <c r="A831" s="131"/>
      <c r="B831" s="131"/>
      <c r="C831" s="131"/>
      <c r="D831" s="131"/>
      <c r="E831" s="131"/>
      <c r="F831" s="131"/>
    </row>
    <row r="832">
      <c r="A832" s="131"/>
      <c r="B832" s="131"/>
      <c r="C832" s="131"/>
      <c r="D832" s="131"/>
      <c r="E832" s="131"/>
      <c r="F832" s="131"/>
    </row>
    <row r="833">
      <c r="A833" s="131"/>
      <c r="B833" s="131"/>
      <c r="C833" s="131"/>
      <c r="D833" s="131"/>
      <c r="E833" s="131"/>
      <c r="F833" s="131"/>
    </row>
    <row r="834">
      <c r="A834" s="131"/>
      <c r="B834" s="131"/>
      <c r="C834" s="131"/>
      <c r="D834" s="131"/>
      <c r="E834" s="131"/>
      <c r="F834" s="131"/>
    </row>
    <row r="835">
      <c r="A835" s="131"/>
      <c r="B835" s="131"/>
      <c r="C835" s="131"/>
      <c r="D835" s="131"/>
      <c r="E835" s="131"/>
      <c r="F835" s="131"/>
    </row>
    <row r="836">
      <c r="A836" s="131"/>
      <c r="B836" s="131"/>
      <c r="C836" s="131"/>
      <c r="D836" s="131"/>
      <c r="E836" s="131"/>
      <c r="F836" s="131"/>
    </row>
    <row r="837">
      <c r="A837" s="131"/>
      <c r="B837" s="131"/>
      <c r="C837" s="131"/>
      <c r="D837" s="131"/>
      <c r="E837" s="131"/>
      <c r="F837" s="131"/>
    </row>
    <row r="838">
      <c r="A838" s="131"/>
      <c r="B838" s="131"/>
      <c r="C838" s="131"/>
      <c r="D838" s="131"/>
      <c r="E838" s="131"/>
      <c r="F838" s="131"/>
    </row>
    <row r="839">
      <c r="A839" s="131"/>
      <c r="B839" s="131"/>
      <c r="C839" s="131"/>
      <c r="D839" s="131"/>
      <c r="E839" s="131"/>
      <c r="F839" s="131"/>
    </row>
    <row r="840">
      <c r="A840" s="131"/>
      <c r="B840" s="131"/>
      <c r="C840" s="131"/>
      <c r="D840" s="131"/>
      <c r="E840" s="131"/>
      <c r="F840" s="131"/>
    </row>
    <row r="841">
      <c r="A841" s="131"/>
      <c r="B841" s="131"/>
      <c r="C841" s="131"/>
      <c r="D841" s="131"/>
      <c r="E841" s="131"/>
      <c r="F841" s="131"/>
    </row>
    <row r="842">
      <c r="A842" s="131"/>
      <c r="B842" s="131"/>
      <c r="C842" s="131"/>
      <c r="D842" s="131"/>
      <c r="E842" s="131"/>
      <c r="F842" s="131"/>
    </row>
    <row r="843">
      <c r="A843" s="131"/>
      <c r="B843" s="131"/>
      <c r="C843" s="131"/>
      <c r="D843" s="131"/>
      <c r="E843" s="131"/>
      <c r="F843" s="131"/>
    </row>
    <row r="844">
      <c r="A844" s="131"/>
      <c r="B844" s="131"/>
      <c r="C844" s="131"/>
      <c r="D844" s="131"/>
      <c r="E844" s="131"/>
      <c r="F844" s="131"/>
    </row>
    <row r="845">
      <c r="A845" s="131"/>
      <c r="B845" s="131"/>
      <c r="C845" s="131"/>
      <c r="D845" s="131"/>
      <c r="E845" s="131"/>
      <c r="F845" s="131"/>
    </row>
    <row r="846">
      <c r="A846" s="131"/>
      <c r="B846" s="131"/>
      <c r="C846" s="131"/>
      <c r="D846" s="131"/>
      <c r="E846" s="131"/>
      <c r="F846" s="131"/>
    </row>
    <row r="847">
      <c r="A847" s="131"/>
      <c r="B847" s="131"/>
      <c r="C847" s="131"/>
      <c r="D847" s="131"/>
      <c r="E847" s="131"/>
      <c r="F847" s="131"/>
    </row>
    <row r="848">
      <c r="A848" s="131"/>
      <c r="B848" s="131"/>
      <c r="C848" s="131"/>
      <c r="D848" s="131"/>
      <c r="E848" s="131"/>
      <c r="F848" s="131"/>
    </row>
    <row r="849">
      <c r="A849" s="131"/>
      <c r="B849" s="131"/>
      <c r="C849" s="131"/>
      <c r="D849" s="131"/>
      <c r="E849" s="131"/>
      <c r="F849" s="131"/>
    </row>
    <row r="850">
      <c r="A850" s="131"/>
      <c r="B850" s="131"/>
      <c r="C850" s="131"/>
      <c r="D850" s="131"/>
      <c r="E850" s="131"/>
      <c r="F850" s="131"/>
    </row>
    <row r="851">
      <c r="A851" s="131"/>
      <c r="B851" s="131"/>
      <c r="C851" s="131"/>
      <c r="D851" s="131"/>
      <c r="E851" s="131"/>
      <c r="F851" s="131"/>
    </row>
    <row r="852">
      <c r="A852" s="131"/>
      <c r="B852" s="131"/>
      <c r="C852" s="131"/>
      <c r="D852" s="131"/>
      <c r="E852" s="131"/>
      <c r="F852" s="131"/>
    </row>
    <row r="853">
      <c r="A853" s="131"/>
      <c r="B853" s="131"/>
      <c r="C853" s="131"/>
      <c r="D853" s="131"/>
      <c r="E853" s="131"/>
      <c r="F853" s="131"/>
    </row>
    <row r="854">
      <c r="A854" s="131"/>
      <c r="B854" s="131"/>
      <c r="C854" s="131"/>
      <c r="D854" s="131"/>
      <c r="E854" s="131"/>
      <c r="F854" s="131"/>
    </row>
    <row r="855">
      <c r="A855" s="131"/>
      <c r="B855" s="131"/>
      <c r="C855" s="131"/>
      <c r="D855" s="131"/>
      <c r="E855" s="131"/>
      <c r="F855" s="131"/>
    </row>
    <row r="856">
      <c r="A856" s="131"/>
      <c r="B856" s="131"/>
      <c r="C856" s="131"/>
      <c r="D856" s="131"/>
      <c r="E856" s="131"/>
      <c r="F856" s="131"/>
    </row>
    <row r="857">
      <c r="A857" s="131"/>
      <c r="B857" s="131"/>
      <c r="C857" s="131"/>
      <c r="D857" s="131"/>
      <c r="E857" s="131"/>
      <c r="F857" s="131"/>
    </row>
    <row r="858">
      <c r="A858" s="131"/>
      <c r="B858" s="131"/>
      <c r="C858" s="131"/>
      <c r="D858" s="131"/>
      <c r="E858" s="131"/>
      <c r="F858" s="131"/>
    </row>
    <row r="859">
      <c r="A859" s="131"/>
      <c r="B859" s="131"/>
      <c r="C859" s="131"/>
      <c r="D859" s="131"/>
      <c r="E859" s="131"/>
      <c r="F859" s="131"/>
    </row>
    <row r="860">
      <c r="A860" s="131"/>
      <c r="B860" s="131"/>
      <c r="C860" s="131"/>
      <c r="D860" s="131"/>
      <c r="E860" s="131"/>
      <c r="F860" s="131"/>
    </row>
    <row r="861">
      <c r="A861" s="131"/>
      <c r="B861" s="131"/>
      <c r="C861" s="131"/>
      <c r="D861" s="131"/>
      <c r="E861" s="131"/>
      <c r="F861" s="131"/>
    </row>
    <row r="862">
      <c r="A862" s="131"/>
      <c r="B862" s="131"/>
      <c r="C862" s="131"/>
      <c r="D862" s="131"/>
      <c r="E862" s="131"/>
      <c r="F862" s="131"/>
    </row>
    <row r="863">
      <c r="A863" s="131"/>
      <c r="B863" s="131"/>
      <c r="C863" s="131"/>
      <c r="D863" s="131"/>
      <c r="E863" s="131"/>
      <c r="F863" s="131"/>
    </row>
    <row r="864">
      <c r="A864" s="131"/>
      <c r="B864" s="131"/>
      <c r="C864" s="131"/>
      <c r="D864" s="131"/>
      <c r="E864" s="131"/>
      <c r="F864" s="131"/>
    </row>
    <row r="865">
      <c r="A865" s="131"/>
      <c r="B865" s="131"/>
      <c r="C865" s="131"/>
      <c r="D865" s="131"/>
      <c r="E865" s="131"/>
      <c r="F865" s="131"/>
    </row>
    <row r="866">
      <c r="A866" s="131"/>
      <c r="B866" s="131"/>
      <c r="C866" s="131"/>
      <c r="D866" s="131"/>
      <c r="E866" s="131"/>
      <c r="F866" s="131"/>
    </row>
    <row r="867">
      <c r="A867" s="131"/>
      <c r="B867" s="131"/>
      <c r="C867" s="131"/>
      <c r="D867" s="131"/>
      <c r="E867" s="131"/>
      <c r="F867" s="131"/>
    </row>
    <row r="868">
      <c r="A868" s="131"/>
      <c r="B868" s="131"/>
      <c r="C868" s="131"/>
      <c r="D868" s="131"/>
      <c r="E868" s="131"/>
      <c r="F868" s="131"/>
    </row>
    <row r="869">
      <c r="A869" s="131"/>
      <c r="B869" s="131"/>
      <c r="C869" s="131"/>
      <c r="D869" s="131"/>
      <c r="E869" s="131"/>
      <c r="F869" s="131"/>
    </row>
    <row r="870">
      <c r="A870" s="131"/>
      <c r="B870" s="131"/>
      <c r="C870" s="131"/>
      <c r="D870" s="131"/>
      <c r="E870" s="131"/>
      <c r="F870" s="131"/>
    </row>
    <row r="871">
      <c r="A871" s="131"/>
      <c r="B871" s="131"/>
      <c r="C871" s="131"/>
      <c r="D871" s="131"/>
      <c r="E871" s="131"/>
      <c r="F871" s="131"/>
    </row>
    <row r="872">
      <c r="A872" s="131"/>
      <c r="B872" s="131"/>
      <c r="C872" s="131"/>
      <c r="D872" s="131"/>
      <c r="E872" s="131"/>
      <c r="F872" s="131"/>
    </row>
    <row r="873">
      <c r="A873" s="131"/>
      <c r="B873" s="131"/>
      <c r="C873" s="131"/>
      <c r="D873" s="131"/>
      <c r="E873" s="131"/>
      <c r="F873" s="131"/>
    </row>
    <row r="874">
      <c r="A874" s="131"/>
      <c r="B874" s="131"/>
      <c r="C874" s="131"/>
      <c r="D874" s="131"/>
      <c r="E874" s="131"/>
      <c r="F874" s="131"/>
    </row>
    <row r="875">
      <c r="A875" s="131"/>
      <c r="B875" s="131"/>
      <c r="C875" s="131"/>
      <c r="D875" s="131"/>
      <c r="E875" s="131"/>
      <c r="F875" s="131"/>
    </row>
    <row r="876">
      <c r="A876" s="131"/>
      <c r="B876" s="131"/>
      <c r="C876" s="131"/>
      <c r="D876" s="131"/>
      <c r="E876" s="131"/>
      <c r="F876" s="131"/>
    </row>
    <row r="877">
      <c r="A877" s="131"/>
      <c r="B877" s="131"/>
      <c r="C877" s="131"/>
      <c r="D877" s="131"/>
      <c r="E877" s="131"/>
      <c r="F877" s="131"/>
    </row>
    <row r="878">
      <c r="A878" s="131"/>
      <c r="B878" s="131"/>
      <c r="C878" s="131"/>
      <c r="D878" s="131"/>
      <c r="E878" s="131"/>
      <c r="F878" s="131"/>
    </row>
    <row r="879">
      <c r="A879" s="131"/>
      <c r="B879" s="131"/>
      <c r="C879" s="131"/>
      <c r="D879" s="131"/>
      <c r="E879" s="131"/>
      <c r="F879" s="131"/>
    </row>
    <row r="880">
      <c r="A880" s="131"/>
      <c r="B880" s="131"/>
      <c r="C880" s="131"/>
      <c r="D880" s="131"/>
      <c r="E880" s="131"/>
      <c r="F880" s="131"/>
    </row>
    <row r="881">
      <c r="A881" s="131"/>
      <c r="B881" s="131"/>
      <c r="C881" s="131"/>
      <c r="D881" s="131"/>
      <c r="E881" s="131"/>
      <c r="F881" s="131"/>
    </row>
    <row r="882">
      <c r="A882" s="131"/>
      <c r="B882" s="131"/>
      <c r="C882" s="131"/>
      <c r="D882" s="131"/>
      <c r="E882" s="131"/>
      <c r="F882" s="131"/>
    </row>
    <row r="883">
      <c r="A883" s="131"/>
      <c r="B883" s="131"/>
      <c r="C883" s="131"/>
      <c r="D883" s="131"/>
      <c r="E883" s="131"/>
      <c r="F883" s="131"/>
    </row>
    <row r="884">
      <c r="A884" s="131"/>
      <c r="B884" s="131"/>
      <c r="C884" s="131"/>
      <c r="D884" s="131"/>
      <c r="E884" s="131"/>
      <c r="F884" s="131"/>
    </row>
    <row r="885">
      <c r="A885" s="131"/>
      <c r="B885" s="131"/>
      <c r="C885" s="131"/>
      <c r="D885" s="131"/>
      <c r="E885" s="131"/>
      <c r="F885" s="131"/>
    </row>
    <row r="886">
      <c r="A886" s="131"/>
      <c r="B886" s="131"/>
      <c r="C886" s="131"/>
      <c r="D886" s="131"/>
      <c r="E886" s="131"/>
      <c r="F886" s="131"/>
    </row>
    <row r="887">
      <c r="A887" s="131"/>
      <c r="B887" s="131"/>
      <c r="C887" s="131"/>
      <c r="D887" s="131"/>
      <c r="E887" s="131"/>
      <c r="F887" s="131"/>
    </row>
    <row r="888">
      <c r="A888" s="131"/>
      <c r="B888" s="131"/>
      <c r="C888" s="131"/>
      <c r="D888" s="131"/>
      <c r="E888" s="131"/>
      <c r="F888" s="131"/>
    </row>
    <row r="889">
      <c r="A889" s="131"/>
      <c r="B889" s="131"/>
      <c r="C889" s="131"/>
      <c r="D889" s="131"/>
      <c r="E889" s="131"/>
      <c r="F889" s="131"/>
    </row>
    <row r="890">
      <c r="A890" s="131"/>
      <c r="B890" s="131"/>
      <c r="C890" s="131"/>
      <c r="D890" s="131"/>
      <c r="E890" s="131"/>
      <c r="F890" s="131"/>
    </row>
    <row r="891">
      <c r="A891" s="131"/>
      <c r="B891" s="131"/>
      <c r="C891" s="131"/>
      <c r="D891" s="131"/>
      <c r="E891" s="131"/>
      <c r="F891" s="131"/>
    </row>
    <row r="892">
      <c r="A892" s="131"/>
      <c r="B892" s="131"/>
      <c r="C892" s="131"/>
      <c r="D892" s="131"/>
      <c r="E892" s="131"/>
      <c r="F892" s="131"/>
    </row>
    <row r="893">
      <c r="A893" s="131"/>
      <c r="B893" s="131"/>
      <c r="C893" s="131"/>
      <c r="D893" s="131"/>
      <c r="E893" s="131"/>
      <c r="F893" s="131"/>
    </row>
    <row r="894">
      <c r="A894" s="131"/>
      <c r="B894" s="131"/>
      <c r="C894" s="131"/>
      <c r="D894" s="131"/>
      <c r="E894" s="131"/>
      <c r="F894" s="131"/>
    </row>
    <row r="895">
      <c r="A895" s="131"/>
      <c r="B895" s="131"/>
      <c r="C895" s="131"/>
      <c r="D895" s="131"/>
      <c r="E895" s="131"/>
      <c r="F895" s="131"/>
    </row>
    <row r="896">
      <c r="A896" s="131"/>
      <c r="B896" s="131"/>
      <c r="C896" s="131"/>
      <c r="D896" s="131"/>
      <c r="E896" s="131"/>
      <c r="F896" s="131"/>
    </row>
    <row r="897">
      <c r="A897" s="131"/>
      <c r="B897" s="131"/>
      <c r="C897" s="131"/>
      <c r="D897" s="131"/>
      <c r="E897" s="131"/>
      <c r="F897" s="131"/>
    </row>
    <row r="898">
      <c r="A898" s="131"/>
      <c r="B898" s="131"/>
      <c r="C898" s="131"/>
      <c r="D898" s="131"/>
      <c r="E898" s="131"/>
      <c r="F898" s="131"/>
    </row>
    <row r="899">
      <c r="A899" s="131"/>
      <c r="B899" s="131"/>
      <c r="C899" s="131"/>
      <c r="D899" s="131"/>
      <c r="E899" s="131"/>
      <c r="F899" s="131"/>
    </row>
    <row r="900">
      <c r="A900" s="131"/>
      <c r="B900" s="131"/>
      <c r="C900" s="131"/>
      <c r="D900" s="131"/>
      <c r="E900" s="131"/>
      <c r="F900" s="131"/>
    </row>
    <row r="901">
      <c r="A901" s="131"/>
      <c r="B901" s="131"/>
      <c r="C901" s="131"/>
      <c r="D901" s="131"/>
      <c r="E901" s="131"/>
      <c r="F901" s="131"/>
    </row>
    <row r="902">
      <c r="A902" s="131"/>
      <c r="B902" s="131"/>
      <c r="C902" s="131"/>
      <c r="D902" s="131"/>
      <c r="E902" s="131"/>
      <c r="F902" s="131"/>
    </row>
    <row r="903">
      <c r="A903" s="131"/>
      <c r="B903" s="131"/>
      <c r="C903" s="131"/>
      <c r="D903" s="131"/>
      <c r="E903" s="131"/>
      <c r="F903" s="131"/>
    </row>
    <row r="904">
      <c r="A904" s="131"/>
      <c r="B904" s="131"/>
      <c r="C904" s="131"/>
      <c r="D904" s="131"/>
      <c r="E904" s="131"/>
      <c r="F904" s="131"/>
    </row>
    <row r="905">
      <c r="A905" s="131"/>
      <c r="B905" s="131"/>
      <c r="C905" s="131"/>
      <c r="D905" s="131"/>
      <c r="E905" s="131"/>
      <c r="F905" s="131"/>
    </row>
    <row r="906">
      <c r="A906" s="131"/>
      <c r="B906" s="131"/>
      <c r="C906" s="131"/>
      <c r="D906" s="131"/>
      <c r="E906" s="131"/>
      <c r="F906" s="131"/>
    </row>
    <row r="907">
      <c r="A907" s="131"/>
      <c r="B907" s="131"/>
      <c r="C907" s="131"/>
      <c r="D907" s="131"/>
      <c r="E907" s="131"/>
      <c r="F907" s="131"/>
    </row>
    <row r="908">
      <c r="A908" s="131"/>
      <c r="B908" s="131"/>
      <c r="C908" s="131"/>
      <c r="D908" s="131"/>
      <c r="E908" s="131"/>
      <c r="F908" s="131"/>
    </row>
    <row r="909">
      <c r="A909" s="131"/>
      <c r="B909" s="131"/>
      <c r="C909" s="131"/>
      <c r="D909" s="131"/>
      <c r="E909" s="131"/>
      <c r="F909" s="131"/>
    </row>
    <row r="910">
      <c r="A910" s="131"/>
      <c r="B910" s="131"/>
      <c r="C910" s="131"/>
      <c r="D910" s="131"/>
      <c r="E910" s="131"/>
      <c r="F910" s="131"/>
    </row>
    <row r="911">
      <c r="A911" s="131"/>
      <c r="B911" s="131"/>
      <c r="C911" s="131"/>
      <c r="D911" s="131"/>
      <c r="E911" s="131"/>
      <c r="F911" s="131"/>
    </row>
    <row r="912">
      <c r="A912" s="131"/>
      <c r="B912" s="131"/>
      <c r="C912" s="131"/>
      <c r="D912" s="131"/>
      <c r="E912" s="131"/>
      <c r="F912" s="131"/>
    </row>
    <row r="913">
      <c r="A913" s="131"/>
      <c r="B913" s="131"/>
      <c r="C913" s="131"/>
      <c r="D913" s="131"/>
      <c r="E913" s="131"/>
      <c r="F913" s="131"/>
    </row>
    <row r="914">
      <c r="A914" s="131"/>
      <c r="B914" s="131"/>
      <c r="C914" s="131"/>
      <c r="D914" s="131"/>
      <c r="E914" s="131"/>
      <c r="F914" s="131"/>
    </row>
    <row r="915">
      <c r="A915" s="131"/>
      <c r="B915" s="131"/>
      <c r="C915" s="131"/>
      <c r="D915" s="131"/>
      <c r="E915" s="131"/>
      <c r="F915" s="131"/>
    </row>
    <row r="916">
      <c r="A916" s="131"/>
      <c r="B916" s="131"/>
      <c r="C916" s="131"/>
      <c r="D916" s="131"/>
      <c r="E916" s="131"/>
      <c r="F916" s="131"/>
    </row>
    <row r="917">
      <c r="A917" s="131"/>
      <c r="B917" s="131"/>
      <c r="C917" s="131"/>
      <c r="D917" s="131"/>
      <c r="E917" s="131"/>
      <c r="F917" s="131"/>
    </row>
    <row r="918">
      <c r="A918" s="131"/>
      <c r="B918" s="131"/>
      <c r="C918" s="131"/>
      <c r="D918" s="131"/>
      <c r="E918" s="131"/>
      <c r="F918" s="131"/>
    </row>
    <row r="919">
      <c r="A919" s="131"/>
      <c r="B919" s="131"/>
      <c r="C919" s="131"/>
      <c r="D919" s="131"/>
      <c r="E919" s="131"/>
      <c r="F919" s="131"/>
    </row>
    <row r="920">
      <c r="A920" s="131"/>
      <c r="B920" s="131"/>
      <c r="C920" s="131"/>
      <c r="D920" s="131"/>
      <c r="E920" s="131"/>
      <c r="F920" s="131"/>
    </row>
    <row r="921">
      <c r="A921" s="131"/>
      <c r="B921" s="131"/>
      <c r="C921" s="131"/>
      <c r="D921" s="131"/>
      <c r="E921" s="131"/>
      <c r="F921" s="131"/>
    </row>
    <row r="922">
      <c r="A922" s="131"/>
      <c r="B922" s="131"/>
      <c r="C922" s="131"/>
      <c r="D922" s="131"/>
      <c r="E922" s="131"/>
      <c r="F922" s="131"/>
    </row>
    <row r="923">
      <c r="A923" s="131"/>
      <c r="B923" s="131"/>
      <c r="C923" s="131"/>
      <c r="D923" s="131"/>
      <c r="E923" s="131"/>
      <c r="F923" s="131"/>
    </row>
    <row r="924">
      <c r="A924" s="131"/>
      <c r="B924" s="131"/>
      <c r="C924" s="131"/>
      <c r="D924" s="131"/>
      <c r="E924" s="131"/>
      <c r="F924" s="131"/>
    </row>
    <row r="925">
      <c r="A925" s="131"/>
      <c r="B925" s="131"/>
      <c r="C925" s="131"/>
      <c r="D925" s="131"/>
      <c r="E925" s="131"/>
      <c r="F925" s="131"/>
    </row>
    <row r="926">
      <c r="A926" s="131"/>
      <c r="B926" s="131"/>
      <c r="C926" s="131"/>
      <c r="D926" s="131"/>
      <c r="E926" s="131"/>
      <c r="F926" s="131"/>
    </row>
    <row r="927">
      <c r="A927" s="131"/>
      <c r="B927" s="131"/>
      <c r="C927" s="131"/>
      <c r="D927" s="131"/>
      <c r="E927" s="131"/>
      <c r="F927" s="131"/>
    </row>
    <row r="928">
      <c r="A928" s="131"/>
      <c r="B928" s="131"/>
      <c r="C928" s="131"/>
      <c r="D928" s="131"/>
      <c r="E928" s="131"/>
      <c r="F928" s="131"/>
    </row>
    <row r="929">
      <c r="A929" s="131"/>
      <c r="B929" s="131"/>
      <c r="C929" s="131"/>
      <c r="D929" s="131"/>
      <c r="E929" s="131"/>
      <c r="F929" s="131"/>
    </row>
    <row r="930">
      <c r="A930" s="131"/>
      <c r="B930" s="131"/>
      <c r="C930" s="131"/>
      <c r="D930" s="131"/>
      <c r="E930" s="131"/>
      <c r="F930" s="131"/>
    </row>
    <row r="931">
      <c r="A931" s="131"/>
      <c r="B931" s="131"/>
      <c r="C931" s="131"/>
      <c r="D931" s="131"/>
      <c r="E931" s="131"/>
      <c r="F931" s="131"/>
    </row>
    <row r="932">
      <c r="A932" s="131"/>
      <c r="B932" s="131"/>
      <c r="C932" s="131"/>
      <c r="D932" s="131"/>
      <c r="E932" s="131"/>
      <c r="F932" s="131"/>
    </row>
    <row r="933">
      <c r="A933" s="131"/>
      <c r="B933" s="131"/>
      <c r="C933" s="131"/>
      <c r="D933" s="131"/>
      <c r="E933" s="131"/>
      <c r="F933" s="131"/>
    </row>
    <row r="934">
      <c r="A934" s="131"/>
      <c r="B934" s="131"/>
      <c r="C934" s="131"/>
      <c r="D934" s="131"/>
      <c r="E934" s="131"/>
      <c r="F934" s="131"/>
    </row>
    <row r="935">
      <c r="A935" s="131"/>
      <c r="B935" s="131"/>
      <c r="C935" s="131"/>
      <c r="D935" s="131"/>
      <c r="E935" s="131"/>
      <c r="F935" s="131"/>
    </row>
    <row r="936">
      <c r="A936" s="131"/>
      <c r="B936" s="131"/>
      <c r="C936" s="131"/>
      <c r="D936" s="131"/>
      <c r="E936" s="131"/>
      <c r="F936" s="131"/>
    </row>
    <row r="937">
      <c r="A937" s="131"/>
      <c r="B937" s="131"/>
      <c r="C937" s="131"/>
      <c r="D937" s="131"/>
      <c r="E937" s="131"/>
      <c r="F937" s="131"/>
    </row>
    <row r="938">
      <c r="A938" s="131"/>
      <c r="B938" s="131"/>
      <c r="C938" s="131"/>
      <c r="D938" s="131"/>
      <c r="E938" s="131"/>
      <c r="F938" s="131"/>
    </row>
    <row r="939">
      <c r="A939" s="131"/>
      <c r="B939" s="131"/>
      <c r="C939" s="131"/>
      <c r="D939" s="131"/>
      <c r="E939" s="131"/>
      <c r="F939" s="131"/>
    </row>
    <row r="940">
      <c r="A940" s="131"/>
      <c r="B940" s="131"/>
      <c r="C940" s="131"/>
      <c r="D940" s="131"/>
      <c r="E940" s="131"/>
      <c r="F940" s="131"/>
    </row>
    <row r="941">
      <c r="A941" s="131"/>
      <c r="B941" s="131"/>
      <c r="C941" s="131"/>
      <c r="D941" s="131"/>
      <c r="E941" s="131"/>
      <c r="F941" s="131"/>
    </row>
    <row r="942">
      <c r="A942" s="131"/>
      <c r="B942" s="131"/>
      <c r="C942" s="131"/>
      <c r="D942" s="131"/>
      <c r="E942" s="131"/>
      <c r="F942" s="131"/>
    </row>
    <row r="943">
      <c r="A943" s="131"/>
      <c r="B943" s="131"/>
      <c r="C943" s="131"/>
      <c r="D943" s="131"/>
      <c r="E943" s="131"/>
      <c r="F943" s="131"/>
    </row>
    <row r="944">
      <c r="A944" s="131"/>
      <c r="B944" s="131"/>
      <c r="C944" s="131"/>
      <c r="D944" s="131"/>
      <c r="E944" s="131"/>
      <c r="F944" s="131"/>
    </row>
    <row r="945">
      <c r="A945" s="131"/>
      <c r="B945" s="131"/>
      <c r="C945" s="131"/>
      <c r="D945" s="131"/>
      <c r="E945" s="131"/>
      <c r="F945" s="131"/>
    </row>
    <row r="946">
      <c r="A946" s="131"/>
      <c r="B946" s="131"/>
      <c r="C946" s="131"/>
      <c r="D946" s="131"/>
      <c r="E946" s="131"/>
      <c r="F946" s="131"/>
    </row>
    <row r="947">
      <c r="A947" s="131"/>
      <c r="B947" s="131"/>
      <c r="C947" s="131"/>
      <c r="D947" s="131"/>
      <c r="E947" s="131"/>
      <c r="F947" s="131"/>
    </row>
    <row r="948">
      <c r="A948" s="131"/>
      <c r="B948" s="131"/>
      <c r="C948" s="131"/>
      <c r="D948" s="131"/>
      <c r="E948" s="131"/>
      <c r="F948" s="131"/>
    </row>
    <row r="949">
      <c r="A949" s="131"/>
      <c r="B949" s="131"/>
      <c r="C949" s="131"/>
      <c r="D949" s="131"/>
      <c r="E949" s="131"/>
      <c r="F949" s="131"/>
    </row>
    <row r="950">
      <c r="A950" s="131"/>
      <c r="B950" s="131"/>
      <c r="C950" s="131"/>
      <c r="D950" s="131"/>
      <c r="E950" s="131"/>
      <c r="F950" s="131"/>
    </row>
    <row r="951">
      <c r="A951" s="131"/>
      <c r="B951" s="131"/>
      <c r="C951" s="131"/>
      <c r="D951" s="131"/>
      <c r="E951" s="131"/>
      <c r="F951" s="131"/>
    </row>
    <row r="952">
      <c r="A952" s="131"/>
      <c r="B952" s="131"/>
      <c r="C952" s="131"/>
      <c r="D952" s="131"/>
      <c r="E952" s="131"/>
      <c r="F952" s="131"/>
    </row>
    <row r="953">
      <c r="A953" s="131"/>
      <c r="B953" s="131"/>
      <c r="C953" s="131"/>
      <c r="D953" s="131"/>
      <c r="E953" s="131"/>
      <c r="F953" s="131"/>
    </row>
    <row r="954">
      <c r="A954" s="131"/>
      <c r="B954" s="131"/>
      <c r="C954" s="131"/>
      <c r="D954" s="131"/>
      <c r="E954" s="131"/>
      <c r="F954" s="131"/>
    </row>
    <row r="955">
      <c r="A955" s="131"/>
      <c r="B955" s="131"/>
      <c r="C955" s="131"/>
      <c r="D955" s="131"/>
      <c r="E955" s="131"/>
      <c r="F955" s="131"/>
    </row>
    <row r="956">
      <c r="A956" s="131"/>
      <c r="B956" s="131"/>
      <c r="C956" s="131"/>
      <c r="D956" s="131"/>
      <c r="E956" s="131"/>
      <c r="F956" s="131"/>
    </row>
    <row r="957">
      <c r="A957" s="131"/>
      <c r="B957" s="131"/>
      <c r="C957" s="131"/>
      <c r="D957" s="131"/>
      <c r="E957" s="131"/>
      <c r="F957" s="131"/>
    </row>
    <row r="958">
      <c r="A958" s="131"/>
      <c r="B958" s="131"/>
      <c r="C958" s="131"/>
      <c r="D958" s="131"/>
      <c r="E958" s="131"/>
      <c r="F958" s="131"/>
    </row>
    <row r="959">
      <c r="A959" s="131"/>
      <c r="B959" s="131"/>
      <c r="C959" s="131"/>
      <c r="D959" s="131"/>
      <c r="E959" s="131"/>
      <c r="F959" s="131"/>
    </row>
    <row r="960">
      <c r="A960" s="131"/>
      <c r="B960" s="131"/>
      <c r="C960" s="131"/>
      <c r="D960" s="131"/>
      <c r="E960" s="131"/>
      <c r="F960" s="131"/>
    </row>
    <row r="961">
      <c r="A961" s="131"/>
      <c r="B961" s="131"/>
      <c r="C961" s="131"/>
      <c r="D961" s="131"/>
      <c r="E961" s="131"/>
      <c r="F961" s="131"/>
    </row>
    <row r="962">
      <c r="A962" s="131"/>
      <c r="B962" s="131"/>
      <c r="C962" s="131"/>
      <c r="D962" s="131"/>
      <c r="E962" s="131"/>
      <c r="F962" s="131"/>
    </row>
    <row r="963">
      <c r="A963" s="131"/>
      <c r="B963" s="131"/>
      <c r="C963" s="131"/>
      <c r="D963" s="131"/>
      <c r="E963" s="131"/>
      <c r="F963" s="131"/>
    </row>
    <row r="964">
      <c r="A964" s="131"/>
      <c r="B964" s="131"/>
      <c r="C964" s="131"/>
      <c r="D964" s="131"/>
      <c r="E964" s="131"/>
      <c r="F964" s="131"/>
    </row>
    <row r="965">
      <c r="A965" s="131"/>
      <c r="B965" s="131"/>
      <c r="C965" s="131"/>
      <c r="D965" s="131"/>
      <c r="E965" s="131"/>
      <c r="F965" s="131"/>
    </row>
    <row r="966">
      <c r="A966" s="131"/>
      <c r="B966" s="131"/>
      <c r="C966" s="131"/>
      <c r="D966" s="131"/>
      <c r="E966" s="131"/>
      <c r="F966" s="131"/>
    </row>
    <row r="967">
      <c r="A967" s="131"/>
      <c r="B967" s="131"/>
      <c r="C967" s="131"/>
      <c r="D967" s="131"/>
      <c r="E967" s="131"/>
      <c r="F967" s="131"/>
    </row>
    <row r="968">
      <c r="A968" s="131"/>
      <c r="B968" s="131"/>
      <c r="C968" s="131"/>
      <c r="D968" s="131"/>
      <c r="E968" s="131"/>
      <c r="F968" s="131"/>
    </row>
    <row r="969">
      <c r="A969" s="131"/>
      <c r="B969" s="131"/>
      <c r="C969" s="131"/>
      <c r="D969" s="131"/>
      <c r="E969" s="131"/>
      <c r="F969" s="131"/>
    </row>
    <row r="970">
      <c r="A970" s="131"/>
      <c r="B970" s="131"/>
      <c r="C970" s="131"/>
      <c r="D970" s="131"/>
      <c r="E970" s="131"/>
      <c r="F970" s="131"/>
    </row>
    <row r="971">
      <c r="A971" s="131"/>
      <c r="B971" s="131"/>
      <c r="C971" s="131"/>
      <c r="D971" s="131"/>
      <c r="E971" s="131"/>
      <c r="F971" s="131"/>
    </row>
    <row r="972">
      <c r="A972" s="131"/>
      <c r="B972" s="131"/>
      <c r="C972" s="131"/>
      <c r="D972" s="131"/>
      <c r="E972" s="131"/>
      <c r="F972" s="131"/>
    </row>
    <row r="973">
      <c r="A973" s="131"/>
      <c r="B973" s="131"/>
      <c r="C973" s="131"/>
      <c r="D973" s="131"/>
      <c r="E973" s="131"/>
      <c r="F973" s="131"/>
    </row>
    <row r="974">
      <c r="A974" s="131"/>
      <c r="B974" s="131"/>
      <c r="C974" s="131"/>
      <c r="D974" s="131"/>
      <c r="E974" s="131"/>
      <c r="F974" s="131"/>
    </row>
    <row r="975">
      <c r="A975" s="131"/>
      <c r="B975" s="131"/>
      <c r="C975" s="131"/>
      <c r="D975" s="131"/>
      <c r="E975" s="131"/>
      <c r="F975" s="131"/>
    </row>
    <row r="976">
      <c r="A976" s="131"/>
      <c r="B976" s="131"/>
      <c r="C976" s="131"/>
      <c r="D976" s="131"/>
      <c r="E976" s="131"/>
      <c r="F976" s="131"/>
    </row>
    <row r="977">
      <c r="A977" s="131"/>
      <c r="B977" s="131"/>
      <c r="C977" s="131"/>
      <c r="D977" s="131"/>
      <c r="E977" s="131"/>
      <c r="F977" s="131"/>
    </row>
    <row r="978">
      <c r="A978" s="131"/>
      <c r="B978" s="131"/>
      <c r="C978" s="131"/>
      <c r="D978" s="131"/>
      <c r="E978" s="131"/>
      <c r="F978" s="131"/>
    </row>
    <row r="979">
      <c r="A979" s="131"/>
      <c r="B979" s="131"/>
      <c r="C979" s="131"/>
      <c r="D979" s="131"/>
      <c r="E979" s="131"/>
      <c r="F979" s="131"/>
    </row>
    <row r="980">
      <c r="A980" s="131"/>
      <c r="B980" s="131"/>
      <c r="C980" s="131"/>
      <c r="D980" s="131"/>
      <c r="E980" s="131"/>
      <c r="F980" s="131"/>
    </row>
    <row r="981">
      <c r="A981" s="131"/>
      <c r="B981" s="131"/>
      <c r="C981" s="131"/>
      <c r="D981" s="131"/>
      <c r="E981" s="131"/>
      <c r="F981" s="131"/>
    </row>
    <row r="982">
      <c r="A982" s="131"/>
      <c r="B982" s="131"/>
      <c r="C982" s="131"/>
      <c r="D982" s="131"/>
      <c r="E982" s="131"/>
      <c r="F982" s="131"/>
    </row>
    <row r="983">
      <c r="A983" s="131"/>
      <c r="B983" s="131"/>
      <c r="C983" s="131"/>
      <c r="D983" s="131"/>
      <c r="E983" s="131"/>
      <c r="F983" s="131"/>
    </row>
    <row r="984">
      <c r="A984" s="131"/>
      <c r="B984" s="131"/>
      <c r="C984" s="131"/>
      <c r="D984" s="131"/>
      <c r="E984" s="131"/>
      <c r="F984" s="131"/>
    </row>
    <row r="985">
      <c r="A985" s="131"/>
      <c r="B985" s="131"/>
      <c r="C985" s="131"/>
      <c r="D985" s="131"/>
      <c r="E985" s="131"/>
      <c r="F985" s="131"/>
    </row>
    <row r="986">
      <c r="A986" s="131"/>
      <c r="B986" s="131"/>
      <c r="C986" s="131"/>
      <c r="D986" s="131"/>
      <c r="E986" s="131"/>
      <c r="F986" s="131"/>
    </row>
    <row r="987">
      <c r="A987" s="131"/>
      <c r="B987" s="131"/>
      <c r="C987" s="131"/>
      <c r="D987" s="131"/>
      <c r="E987" s="131"/>
      <c r="F987" s="131"/>
    </row>
    <row r="988">
      <c r="A988" s="131"/>
      <c r="B988" s="131"/>
      <c r="C988" s="131"/>
      <c r="D988" s="131"/>
      <c r="E988" s="131"/>
      <c r="F988" s="131"/>
    </row>
    <row r="989">
      <c r="A989" s="131"/>
      <c r="B989" s="131"/>
      <c r="C989" s="131"/>
      <c r="D989" s="131"/>
      <c r="E989" s="131"/>
      <c r="F989" s="131"/>
    </row>
    <row r="990">
      <c r="A990" s="131"/>
      <c r="B990" s="131"/>
      <c r="C990" s="131"/>
      <c r="D990" s="131"/>
      <c r="E990" s="131"/>
      <c r="F990" s="131"/>
    </row>
    <row r="991">
      <c r="A991" s="131"/>
      <c r="B991" s="131"/>
      <c r="C991" s="131"/>
      <c r="D991" s="131"/>
      <c r="E991" s="131"/>
      <c r="F991" s="131"/>
    </row>
    <row r="992">
      <c r="A992" s="131"/>
      <c r="B992" s="131"/>
      <c r="C992" s="131"/>
      <c r="D992" s="131"/>
      <c r="E992" s="131"/>
      <c r="F992" s="131"/>
    </row>
    <row r="993">
      <c r="A993" s="131"/>
      <c r="B993" s="131"/>
      <c r="C993" s="131"/>
      <c r="D993" s="131"/>
      <c r="E993" s="131"/>
      <c r="F993" s="131"/>
    </row>
    <row r="994">
      <c r="A994" s="131"/>
      <c r="B994" s="131"/>
      <c r="C994" s="131"/>
      <c r="D994" s="131"/>
      <c r="E994" s="131"/>
      <c r="F994" s="131"/>
    </row>
  </sheetData>
  <mergeCells count="3">
    <mergeCell ref="G1:K1"/>
    <mergeCell ref="L1:P1"/>
    <mergeCell ref="Q1:W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2" max="22" width="16.29"/>
    <col customWidth="1" min="23" max="23" width="16.14"/>
  </cols>
  <sheetData>
    <row r="1">
      <c r="A1" s="86" t="s">
        <v>554</v>
      </c>
      <c r="B1" s="87" t="s">
        <v>25</v>
      </c>
      <c r="G1" s="121" t="s">
        <v>555</v>
      </c>
      <c r="H1" s="13"/>
      <c r="I1" s="13"/>
      <c r="J1" s="13"/>
      <c r="K1" s="14"/>
      <c r="L1" s="121" t="s">
        <v>556</v>
      </c>
      <c r="M1" s="13"/>
      <c r="N1" s="13"/>
      <c r="O1" s="13"/>
      <c r="P1" s="14"/>
      <c r="Q1" s="122" t="s">
        <v>33</v>
      </c>
      <c r="R1" s="13"/>
      <c r="S1" s="13"/>
      <c r="T1" s="13"/>
      <c r="U1" s="13"/>
      <c r="V1" s="13"/>
      <c r="W1" s="14"/>
    </row>
    <row r="2">
      <c r="A2" s="90" t="s">
        <v>41</v>
      </c>
      <c r="B2" s="90" t="s">
        <v>42</v>
      </c>
      <c r="C2" s="90" t="s">
        <v>43</v>
      </c>
      <c r="D2" s="90" t="s">
        <v>44</v>
      </c>
      <c r="E2" s="90" t="s">
        <v>45</v>
      </c>
      <c r="F2" s="90" t="s">
        <v>46</v>
      </c>
      <c r="G2" s="123" t="s">
        <v>557</v>
      </c>
      <c r="H2" s="124" t="s">
        <v>558</v>
      </c>
      <c r="I2" s="124" t="s">
        <v>559</v>
      </c>
      <c r="J2" s="125" t="s">
        <v>560</v>
      </c>
      <c r="K2" s="125" t="s">
        <v>561</v>
      </c>
      <c r="L2" s="126" t="s">
        <v>562</v>
      </c>
      <c r="M2" s="125" t="s">
        <v>563</v>
      </c>
      <c r="N2" s="125" t="s">
        <v>564</v>
      </c>
      <c r="O2" s="125" t="s">
        <v>565</v>
      </c>
      <c r="P2" s="127" t="s">
        <v>566</v>
      </c>
      <c r="Q2" s="128" t="s">
        <v>567</v>
      </c>
      <c r="R2" s="129" t="s">
        <v>568</v>
      </c>
      <c r="S2" s="129" t="s">
        <v>569</v>
      </c>
      <c r="T2" s="129" t="s">
        <v>570</v>
      </c>
      <c r="U2" s="129" t="s">
        <v>571</v>
      </c>
      <c r="V2" s="129" t="s">
        <v>572</v>
      </c>
      <c r="W2" s="130" t="s">
        <v>573</v>
      </c>
    </row>
    <row r="3">
      <c r="A3" s="131">
        <f>IFERROR(__xludf.DUMMYFUNCTION("QUERY(MASTERLIST!A3:F997, ""SELECT *"", 0)"),1.0)</f>
        <v>1</v>
      </c>
      <c r="B3" s="131"/>
      <c r="C3" s="131">
        <f>IFERROR(__xludf.DUMMYFUNCTION("""COMPUTED_VALUE"""),1.0)</f>
        <v>1</v>
      </c>
      <c r="D3" s="131" t="b">
        <f>IFERROR(__xludf.DUMMYFUNCTION("""COMPUTED_VALUE"""),TRUE)</f>
        <v>1</v>
      </c>
      <c r="E3" s="94" t="str">
        <f>IFERROR(__xludf.DUMMYFUNCTION("""COMPUTED_VALUE"""),"ARANDA")</f>
        <v>ARANDA</v>
      </c>
      <c r="F3" s="94" t="str">
        <f>IFERROR(__xludf.DUMMYFUNCTION("""COMPUTED_VALUE"""),"KAI")</f>
        <v>KAI</v>
      </c>
      <c r="I3" s="90" t="s">
        <v>4</v>
      </c>
      <c r="N3" s="90" t="b">
        <v>1</v>
      </c>
    </row>
    <row r="4">
      <c r="A4" s="131">
        <f>IFERROR(__xludf.DUMMYFUNCTION("""COMPUTED_VALUE"""),2.0)</f>
        <v>2</v>
      </c>
      <c r="B4" s="131"/>
      <c r="C4" s="131">
        <f>IFERROR(__xludf.DUMMYFUNCTION("""COMPUTED_VALUE"""),1.0)</f>
        <v>1</v>
      </c>
      <c r="D4" s="131" t="b">
        <f>IFERROR(__xludf.DUMMYFUNCTION("""COMPUTED_VALUE"""),FALSE)</f>
        <v>0</v>
      </c>
      <c r="E4" s="95" t="str">
        <f>IFERROR(__xludf.DUMMYFUNCTION("""COMPUTED_VALUE"""),"ARCILLA")</f>
        <v>ARCILLA</v>
      </c>
      <c r="F4" s="96" t="str">
        <f>IFERROR(__xludf.DUMMYFUNCTION("""COMPUTED_VALUE"""),"DANIELA")</f>
        <v>DANIELA</v>
      </c>
      <c r="I4" s="90" t="s">
        <v>4</v>
      </c>
      <c r="N4" s="90" t="b">
        <v>1</v>
      </c>
    </row>
    <row r="5">
      <c r="A5" s="131">
        <f>IFERROR(__xludf.DUMMYFUNCTION("""COMPUTED_VALUE"""),3.0)</f>
        <v>3</v>
      </c>
      <c r="B5" s="131"/>
      <c r="C5" s="131">
        <f>IFERROR(__xludf.DUMMYFUNCTION("""COMPUTED_VALUE"""),1.0)</f>
        <v>1</v>
      </c>
      <c r="D5" s="131" t="b">
        <f>IFERROR(__xludf.DUMMYFUNCTION("""COMPUTED_VALUE"""),FALSE)</f>
        <v>0</v>
      </c>
      <c r="E5" s="95" t="str">
        <f>IFERROR(__xludf.DUMMYFUNCTION("""COMPUTED_VALUE"""),"ANDRE")</f>
        <v>ANDRE</v>
      </c>
      <c r="F5" s="96" t="str">
        <f>IFERROR(__xludf.DUMMYFUNCTION("""COMPUTED_VALUE"""),"CARLA")</f>
        <v>CARLA</v>
      </c>
    </row>
    <row r="6">
      <c r="A6" s="131">
        <f>IFERROR(__xludf.DUMMYFUNCTION("""COMPUTED_VALUE"""),4.0)</f>
        <v>4</v>
      </c>
      <c r="B6" s="131"/>
      <c r="C6" s="131">
        <f>IFERROR(__xludf.DUMMYFUNCTION("""COMPUTED_VALUE"""),1.0)</f>
        <v>1</v>
      </c>
      <c r="D6" s="131" t="b">
        <f>IFERROR(__xludf.DUMMYFUNCTION("""COMPUTED_VALUE"""),FALSE)</f>
        <v>0</v>
      </c>
      <c r="E6" s="96" t="str">
        <f>IFERROR(__xludf.DUMMYFUNCTION("""COMPUTED_VALUE"""),"BALDELOVAR")</f>
        <v>BALDELOVAR</v>
      </c>
      <c r="F6" s="96" t="str">
        <f>IFERROR(__xludf.DUMMYFUNCTION("""COMPUTED_VALUE"""),"LEANNE")</f>
        <v>LEANNE</v>
      </c>
      <c r="I6" s="90" t="s">
        <v>4</v>
      </c>
      <c r="N6" s="90" t="b">
        <v>1</v>
      </c>
    </row>
    <row r="7">
      <c r="A7" s="131">
        <f>IFERROR(__xludf.DUMMYFUNCTION("""COMPUTED_VALUE"""),5.0)</f>
        <v>5</v>
      </c>
      <c r="B7" s="131"/>
      <c r="C7" s="131">
        <f>IFERROR(__xludf.DUMMYFUNCTION("""COMPUTED_VALUE"""),1.0)</f>
        <v>1</v>
      </c>
      <c r="D7" s="131" t="b">
        <f>IFERROR(__xludf.DUMMYFUNCTION("""COMPUTED_VALUE"""),FALSE)</f>
        <v>0</v>
      </c>
      <c r="E7" s="96" t="str">
        <f>IFERROR(__xludf.DUMMYFUNCTION("""COMPUTED_VALUE"""),"BANTAYAN")</f>
        <v>BANTAYAN</v>
      </c>
      <c r="F7" s="96" t="str">
        <f>IFERROR(__xludf.DUMMYFUNCTION("""COMPUTED_VALUE"""),"EURASIA")</f>
        <v>EURASIA</v>
      </c>
    </row>
    <row r="8">
      <c r="A8" s="131">
        <f>IFERROR(__xludf.DUMMYFUNCTION("""COMPUTED_VALUE"""),6.0)</f>
        <v>6</v>
      </c>
      <c r="B8" s="131"/>
      <c r="C8" s="131">
        <f>IFERROR(__xludf.DUMMYFUNCTION("""COMPUTED_VALUE"""),1.0)</f>
        <v>1</v>
      </c>
      <c r="D8" s="131" t="b">
        <f>IFERROR(__xludf.DUMMYFUNCTION("""COMPUTED_VALUE"""),FALSE)</f>
        <v>0</v>
      </c>
      <c r="E8" s="96" t="str">
        <f>IFERROR(__xludf.DUMMYFUNCTION("""COMPUTED_VALUE"""),"BUCTOT")</f>
        <v>BUCTOT</v>
      </c>
      <c r="F8" s="96" t="str">
        <f>IFERROR(__xludf.DUMMYFUNCTION("""COMPUTED_VALUE"""),"JEZEBEL")</f>
        <v>JEZEBEL</v>
      </c>
    </row>
    <row r="9">
      <c r="A9" s="131">
        <f>IFERROR(__xludf.DUMMYFUNCTION("""COMPUTED_VALUE"""),7.0)</f>
        <v>7</v>
      </c>
      <c r="B9" s="131"/>
      <c r="C9" s="131">
        <f>IFERROR(__xludf.DUMMYFUNCTION("""COMPUTED_VALUE"""),1.0)</f>
        <v>1</v>
      </c>
      <c r="D9" s="131" t="b">
        <f>IFERROR(__xludf.DUMMYFUNCTION("""COMPUTED_VALUE"""),FALSE)</f>
        <v>0</v>
      </c>
      <c r="E9" s="96" t="str">
        <f>IFERROR(__xludf.DUMMYFUNCTION("""COMPUTED_VALUE"""),"ENCARNACION")</f>
        <v>ENCARNACION</v>
      </c>
      <c r="F9" s="96" t="str">
        <f>IFERROR(__xludf.DUMMYFUNCTION("""COMPUTED_VALUE"""),"KRISTEL")</f>
        <v>KRISTEL</v>
      </c>
    </row>
    <row r="10">
      <c r="A10" s="131">
        <f>IFERROR(__xludf.DUMMYFUNCTION("""COMPUTED_VALUE"""),8.0)</f>
        <v>8</v>
      </c>
      <c r="B10" s="131"/>
      <c r="C10" s="131">
        <f>IFERROR(__xludf.DUMMYFUNCTION("""COMPUTED_VALUE"""),1.0)</f>
        <v>1</v>
      </c>
      <c r="D10" s="131" t="b">
        <f>IFERROR(__xludf.DUMMYFUNCTION("""COMPUTED_VALUE"""),FALSE)</f>
        <v>0</v>
      </c>
      <c r="E10" s="96" t="str">
        <f>IFERROR(__xludf.DUMMYFUNCTION("""COMPUTED_VALUE"""),"GUTIERREZ")</f>
        <v>GUTIERREZ</v>
      </c>
      <c r="F10" s="96" t="str">
        <f>IFERROR(__xludf.DUMMYFUNCTION("""COMPUTED_VALUE"""),"PAOLA")</f>
        <v>PAOLA</v>
      </c>
      <c r="I10" s="90" t="s">
        <v>4</v>
      </c>
      <c r="N10" s="90" t="b">
        <v>1</v>
      </c>
    </row>
    <row r="11">
      <c r="A11" s="131">
        <f>IFERROR(__xludf.DUMMYFUNCTION("""COMPUTED_VALUE"""),9.0)</f>
        <v>9</v>
      </c>
      <c r="B11" s="131"/>
      <c r="C11" s="131">
        <f>IFERROR(__xludf.DUMMYFUNCTION("""COMPUTED_VALUE"""),1.0)</f>
        <v>1</v>
      </c>
      <c r="D11" s="131" t="b">
        <f>IFERROR(__xludf.DUMMYFUNCTION("""COMPUTED_VALUE"""),FALSE)</f>
        <v>0</v>
      </c>
      <c r="E11" s="96" t="str">
        <f>IFERROR(__xludf.DUMMYFUNCTION("""COMPUTED_VALUE"""),"HISPANO")</f>
        <v>HISPANO</v>
      </c>
      <c r="F11" s="96" t="str">
        <f>IFERROR(__xludf.DUMMYFUNCTION("""COMPUTED_VALUE"""),"HANNA")</f>
        <v>HANNA</v>
      </c>
    </row>
    <row r="12">
      <c r="A12" s="131">
        <f>IFERROR(__xludf.DUMMYFUNCTION("""COMPUTED_VALUE"""),10.0)</f>
        <v>10</v>
      </c>
      <c r="B12" s="131"/>
      <c r="C12" s="131">
        <f>IFERROR(__xludf.DUMMYFUNCTION("""COMPUTED_VALUE"""),1.0)</f>
        <v>1</v>
      </c>
      <c r="D12" s="131" t="b">
        <f>IFERROR(__xludf.DUMMYFUNCTION("""COMPUTED_VALUE"""),FALSE)</f>
        <v>0</v>
      </c>
      <c r="E12" s="96" t="str">
        <f>IFERROR(__xludf.DUMMYFUNCTION("""COMPUTED_VALUE"""),"MALOLOY-ON")</f>
        <v>MALOLOY-ON</v>
      </c>
      <c r="F12" s="96" t="str">
        <f>IFERROR(__xludf.DUMMYFUNCTION("""COMPUTED_VALUE"""),"MARIANA")</f>
        <v>MARIANA</v>
      </c>
    </row>
    <row r="13">
      <c r="A13" s="131">
        <f>IFERROR(__xludf.DUMMYFUNCTION("""COMPUTED_VALUE"""),11.0)</f>
        <v>11</v>
      </c>
      <c r="B13" s="131"/>
      <c r="C13" s="131">
        <f>IFERROR(__xludf.DUMMYFUNCTION("""COMPUTED_VALUE"""),1.0)</f>
        <v>1</v>
      </c>
      <c r="D13" s="131" t="b">
        <f>IFERROR(__xludf.DUMMYFUNCTION("""COMPUTED_VALUE"""),FALSE)</f>
        <v>0</v>
      </c>
      <c r="E13" s="96" t="str">
        <f>IFERROR(__xludf.DUMMYFUNCTION("""COMPUTED_VALUE"""),"MALOLOY-ON")</f>
        <v>MALOLOY-ON</v>
      </c>
      <c r="F13" s="96" t="str">
        <f>IFERROR(__xludf.DUMMYFUNCTION("""COMPUTED_VALUE"""),"JOISEALAY")</f>
        <v>JOISEALAY</v>
      </c>
    </row>
    <row r="14">
      <c r="A14" s="131">
        <f>IFERROR(__xludf.DUMMYFUNCTION("""COMPUTED_VALUE"""),12.0)</f>
        <v>12</v>
      </c>
      <c r="B14" s="131"/>
      <c r="C14" s="131">
        <f>IFERROR(__xludf.DUMMYFUNCTION("""COMPUTED_VALUE"""),1.0)</f>
        <v>1</v>
      </c>
      <c r="D14" s="131" t="b">
        <f>IFERROR(__xludf.DUMMYFUNCTION("""COMPUTED_VALUE"""),FALSE)</f>
        <v>0</v>
      </c>
      <c r="E14" s="96" t="str">
        <f>IFERROR(__xludf.DUMMYFUNCTION("""COMPUTED_VALUE"""),"ORQUIA")</f>
        <v>ORQUIA</v>
      </c>
      <c r="F14" s="96" t="str">
        <f>IFERROR(__xludf.DUMMYFUNCTION("""COMPUTED_VALUE"""),"KAYLA")</f>
        <v>KAYLA</v>
      </c>
      <c r="I14" s="90" t="s">
        <v>4</v>
      </c>
      <c r="N14" s="90" t="b">
        <v>1</v>
      </c>
    </row>
    <row r="15">
      <c r="A15" s="131">
        <f>IFERROR(__xludf.DUMMYFUNCTION("""COMPUTED_VALUE"""),13.0)</f>
        <v>13</v>
      </c>
      <c r="B15" s="131"/>
      <c r="C15" s="131">
        <f>IFERROR(__xludf.DUMMYFUNCTION("""COMPUTED_VALUE"""),1.0)</f>
        <v>1</v>
      </c>
      <c r="D15" s="131" t="b">
        <f>IFERROR(__xludf.DUMMYFUNCTION("""COMPUTED_VALUE"""),FALSE)</f>
        <v>0</v>
      </c>
      <c r="E15" s="96" t="str">
        <f>IFERROR(__xludf.DUMMYFUNCTION("""COMPUTED_VALUE"""),"PIGAO")</f>
        <v>PIGAO</v>
      </c>
      <c r="F15" s="96" t="str">
        <f>IFERROR(__xludf.DUMMYFUNCTION("""COMPUTED_VALUE"""),"HANNAH")</f>
        <v>HANNAH</v>
      </c>
      <c r="I15" s="90" t="s">
        <v>4</v>
      </c>
      <c r="N15" s="90" t="b">
        <v>1</v>
      </c>
    </row>
    <row r="16">
      <c r="A16" s="131">
        <f>IFERROR(__xludf.DUMMYFUNCTION("""COMPUTED_VALUE"""),14.0)</f>
        <v>14</v>
      </c>
      <c r="B16" s="131"/>
      <c r="C16" s="131">
        <f>IFERROR(__xludf.DUMMYFUNCTION("""COMPUTED_VALUE"""),1.0)</f>
        <v>1</v>
      </c>
      <c r="D16" s="131" t="b">
        <f>IFERROR(__xludf.DUMMYFUNCTION("""COMPUTED_VALUE"""),FALSE)</f>
        <v>0</v>
      </c>
      <c r="E16" s="96" t="str">
        <f>IFERROR(__xludf.DUMMYFUNCTION("""COMPUTED_VALUE"""),"RELEVO")</f>
        <v>RELEVO</v>
      </c>
      <c r="F16" s="96" t="str">
        <f>IFERROR(__xludf.DUMMYFUNCTION("""COMPUTED_VALUE"""),"RICA")</f>
        <v>RICA</v>
      </c>
      <c r="I16" s="90" t="s">
        <v>4</v>
      </c>
      <c r="N16" s="90" t="b">
        <v>1</v>
      </c>
    </row>
    <row r="17">
      <c r="A17" s="131">
        <f>IFERROR(__xludf.DUMMYFUNCTION("""COMPUTED_VALUE"""),15.0)</f>
        <v>15</v>
      </c>
      <c r="B17" s="131"/>
      <c r="C17" s="131">
        <f>IFERROR(__xludf.DUMMYFUNCTION("""COMPUTED_VALUE"""),1.0)</f>
        <v>1</v>
      </c>
      <c r="D17" s="131" t="b">
        <f>IFERROR(__xludf.DUMMYFUNCTION("""COMPUTED_VALUE"""),FALSE)</f>
        <v>0</v>
      </c>
      <c r="E17" s="97" t="str">
        <f>IFERROR(__xludf.DUMMYFUNCTION("""COMPUTED_VALUE"""),"REYES")</f>
        <v>REYES</v>
      </c>
      <c r="F17" s="97" t="str">
        <f>IFERROR(__xludf.DUMMYFUNCTION("""COMPUTED_VALUE"""),"ARIANNE")</f>
        <v>ARIANNE</v>
      </c>
    </row>
    <row r="18">
      <c r="A18" s="131">
        <f>IFERROR(__xludf.DUMMYFUNCTION("""COMPUTED_VALUE"""),16.0)</f>
        <v>16</v>
      </c>
      <c r="B18" s="131"/>
      <c r="C18" s="131">
        <f>IFERROR(__xludf.DUMMYFUNCTION("""COMPUTED_VALUE"""),1.0)</f>
        <v>1</v>
      </c>
      <c r="D18" s="131" t="b">
        <f>IFERROR(__xludf.DUMMYFUNCTION("""COMPUTED_VALUE"""),FALSE)</f>
        <v>0</v>
      </c>
      <c r="E18" s="96" t="str">
        <f>IFERROR(__xludf.DUMMYFUNCTION("""COMPUTED_VALUE"""),"ROMANO")</f>
        <v>ROMANO</v>
      </c>
      <c r="F18" s="96" t="str">
        <f>IFERROR(__xludf.DUMMYFUNCTION("""COMPUTED_VALUE"""),"ROZANE")</f>
        <v>ROZANE</v>
      </c>
    </row>
    <row r="19">
      <c r="A19" s="131">
        <f>IFERROR(__xludf.DUMMYFUNCTION("""COMPUTED_VALUE"""),17.0)</f>
        <v>17</v>
      </c>
      <c r="B19" s="131"/>
      <c r="C19" s="131">
        <f>IFERROR(__xludf.DUMMYFUNCTION("""COMPUTED_VALUE"""),1.0)</f>
        <v>1</v>
      </c>
      <c r="D19" s="131" t="b">
        <f>IFERROR(__xludf.DUMMYFUNCTION("""COMPUTED_VALUE"""),FALSE)</f>
        <v>0</v>
      </c>
      <c r="E19" s="96" t="str">
        <f>IFERROR(__xludf.DUMMYFUNCTION("""COMPUTED_VALUE"""),"SEBASTIAN")</f>
        <v>SEBASTIAN</v>
      </c>
      <c r="F19" s="96" t="str">
        <f>IFERROR(__xludf.DUMMYFUNCTION("""COMPUTED_VALUE"""),"JENNIFER")</f>
        <v>JENNIFER</v>
      </c>
    </row>
    <row r="20">
      <c r="A20" s="131">
        <f>IFERROR(__xludf.DUMMYFUNCTION("""COMPUTED_VALUE"""),18.0)</f>
        <v>18</v>
      </c>
      <c r="B20" s="131"/>
      <c r="C20" s="131">
        <f>IFERROR(__xludf.DUMMYFUNCTION("""COMPUTED_VALUE"""),1.0)</f>
        <v>1</v>
      </c>
      <c r="D20" s="131" t="b">
        <f>IFERROR(__xludf.DUMMYFUNCTION("""COMPUTED_VALUE"""),FALSE)</f>
        <v>0</v>
      </c>
      <c r="E20" s="96" t="str">
        <f>IFERROR(__xludf.DUMMYFUNCTION("""COMPUTED_VALUE"""),"SIMON")</f>
        <v>SIMON</v>
      </c>
      <c r="F20" s="96" t="str">
        <f>IFERROR(__xludf.DUMMYFUNCTION("""COMPUTED_VALUE"""),"SHERRIE")</f>
        <v>SHERRIE</v>
      </c>
      <c r="I20" s="90" t="s">
        <v>4</v>
      </c>
      <c r="N20" s="90" t="b">
        <v>1</v>
      </c>
    </row>
    <row r="21">
      <c r="A21" s="131">
        <f>IFERROR(__xludf.DUMMYFUNCTION("""COMPUTED_VALUE"""),19.0)</f>
        <v>19</v>
      </c>
      <c r="B21" s="131">
        <f>IFERROR(__xludf.DUMMYFUNCTION("""COMPUTED_VALUE"""),15.0)</f>
        <v>15</v>
      </c>
      <c r="C21" s="131">
        <f>IFERROR(__xludf.DUMMYFUNCTION("""COMPUTED_VALUE"""),1.0)</f>
        <v>1</v>
      </c>
      <c r="D21" s="131" t="b">
        <f>IFERROR(__xludf.DUMMYFUNCTION("""COMPUTED_VALUE"""),FALSE)</f>
        <v>0</v>
      </c>
      <c r="E21" s="96" t="str">
        <f>IFERROR(__xludf.DUMMYFUNCTION("""COMPUTED_VALUE"""),"TAMIDLES")</f>
        <v>TAMIDLES</v>
      </c>
      <c r="F21" s="96" t="str">
        <f>IFERROR(__xludf.DUMMYFUNCTION("""COMPUTED_VALUE"""),"CZARINA")</f>
        <v>CZARINA</v>
      </c>
    </row>
    <row r="22">
      <c r="A22" s="131">
        <f>IFERROR(__xludf.DUMMYFUNCTION("""COMPUTED_VALUE"""),20.0)</f>
        <v>20</v>
      </c>
      <c r="B22" s="131">
        <f>IFERROR(__xludf.DUMMYFUNCTION("""COMPUTED_VALUE"""),15.0)</f>
        <v>15</v>
      </c>
      <c r="C22" s="131">
        <f>IFERROR(__xludf.DUMMYFUNCTION("""COMPUTED_VALUE"""),1.0)</f>
        <v>1</v>
      </c>
      <c r="D22" s="131" t="b">
        <f>IFERROR(__xludf.DUMMYFUNCTION("""COMPUTED_VALUE"""),FALSE)</f>
        <v>0</v>
      </c>
      <c r="E22" s="96" t="str">
        <f>IFERROR(__xludf.DUMMYFUNCTION("""COMPUTED_VALUE"""),"ULAN")</f>
        <v>ULAN</v>
      </c>
      <c r="F22" s="96" t="str">
        <f>IFERROR(__xludf.DUMMYFUNCTION("""COMPUTED_VALUE"""),"MCWAYNE")</f>
        <v>MCWAYNE</v>
      </c>
    </row>
    <row r="23">
      <c r="A23" s="131">
        <f>IFERROR(__xludf.DUMMYFUNCTION("""COMPUTED_VALUE"""),21.0)</f>
        <v>21</v>
      </c>
      <c r="B23" s="131"/>
      <c r="C23" s="131">
        <f>IFERROR(__xludf.DUMMYFUNCTION("""COMPUTED_VALUE"""),1.0)</f>
        <v>1</v>
      </c>
      <c r="D23" s="131" t="b">
        <f>IFERROR(__xludf.DUMMYFUNCTION("""COMPUTED_VALUE"""),FALSE)</f>
        <v>0</v>
      </c>
      <c r="E23" s="96" t="str">
        <f>IFERROR(__xludf.DUMMYFUNCTION("""COMPUTED_VALUE"""),"VILLARTA")</f>
        <v>VILLARTA</v>
      </c>
      <c r="F23" s="96" t="str">
        <f>IFERROR(__xludf.DUMMYFUNCTION("""COMPUTED_VALUE"""),"JERICKA")</f>
        <v>JERICKA</v>
      </c>
    </row>
    <row r="24">
      <c r="A24" s="131">
        <f>IFERROR(__xludf.DUMMYFUNCTION("""COMPUTED_VALUE"""),22.0)</f>
        <v>22</v>
      </c>
      <c r="B24" s="131"/>
      <c r="C24" s="131"/>
      <c r="D24" s="131" t="b">
        <f>IFERROR(__xludf.DUMMYFUNCTION("""COMPUTED_VALUE"""),FALSE)</f>
        <v>0</v>
      </c>
      <c r="E24" s="98"/>
      <c r="F24" s="96" t="str">
        <f>IFERROR(__xludf.DUMMYFUNCTION("""COMPUTED_VALUE"""),"ANGEL")</f>
        <v>ANGEL</v>
      </c>
    </row>
    <row r="25">
      <c r="A25" s="131">
        <f>IFERROR(__xludf.DUMMYFUNCTION("""COMPUTED_VALUE"""),23.0)</f>
        <v>23</v>
      </c>
      <c r="B25" s="131"/>
      <c r="C25" s="131">
        <f>IFERROR(__xludf.DUMMYFUNCTION("""COMPUTED_VALUE"""),23.0)</f>
        <v>23</v>
      </c>
      <c r="D25" s="131" t="b">
        <f>IFERROR(__xludf.DUMMYFUNCTION("""COMPUTED_VALUE"""),TRUE)</f>
        <v>1</v>
      </c>
      <c r="E25" s="99" t="str">
        <f>IFERROR(__xludf.DUMMYFUNCTION("""COMPUTED_VALUE"""),"AVANCENA")</f>
        <v>AVANCENA</v>
      </c>
      <c r="F25" s="99" t="str">
        <f>IFERROR(__xludf.DUMMYFUNCTION("""COMPUTED_VALUE"""),"AIMEE")</f>
        <v>AIMEE</v>
      </c>
      <c r="G25" s="90" t="s">
        <v>4</v>
      </c>
      <c r="I25" s="90" t="s">
        <v>4</v>
      </c>
      <c r="L25" s="90" t="b">
        <v>1</v>
      </c>
      <c r="N25" s="90" t="b">
        <v>1</v>
      </c>
    </row>
    <row r="26">
      <c r="A26" s="131">
        <f>IFERROR(__xludf.DUMMYFUNCTION("""COMPUTED_VALUE"""),24.0)</f>
        <v>24</v>
      </c>
      <c r="B26" s="131"/>
      <c r="C26" s="131">
        <f>IFERROR(__xludf.DUMMYFUNCTION("""COMPUTED_VALUE"""),23.0)</f>
        <v>23</v>
      </c>
      <c r="D26" s="131" t="b">
        <f>IFERROR(__xludf.DUMMYFUNCTION("""COMPUTED_VALUE"""),FALSE)</f>
        <v>0</v>
      </c>
      <c r="E26" s="100" t="str">
        <f>IFERROR(__xludf.DUMMYFUNCTION("""COMPUTED_VALUE"""),"CABO")</f>
        <v>CABO</v>
      </c>
      <c r="F26" s="100" t="str">
        <f>IFERROR(__xludf.DUMMYFUNCTION("""COMPUTED_VALUE"""),"MELANIE")</f>
        <v>MELANIE</v>
      </c>
      <c r="G26" s="90" t="s">
        <v>4</v>
      </c>
      <c r="I26" s="90" t="s">
        <v>4</v>
      </c>
      <c r="L26" s="90" t="b">
        <v>1</v>
      </c>
      <c r="N26" s="90" t="b">
        <v>1</v>
      </c>
    </row>
    <row r="27">
      <c r="A27" s="131">
        <f>IFERROR(__xludf.DUMMYFUNCTION("""COMPUTED_VALUE"""),25.0)</f>
        <v>25</v>
      </c>
      <c r="B27" s="131">
        <f>IFERROR(__xludf.DUMMYFUNCTION("""COMPUTED_VALUE"""),24.0)</f>
        <v>24</v>
      </c>
      <c r="C27" s="131">
        <f>IFERROR(__xludf.DUMMYFUNCTION("""COMPUTED_VALUE"""),23.0)</f>
        <v>23</v>
      </c>
      <c r="D27" s="131" t="b">
        <f>IFERROR(__xludf.DUMMYFUNCTION("""COMPUTED_VALUE"""),FALSE)</f>
        <v>0</v>
      </c>
      <c r="E27" s="100" t="str">
        <f>IFERROR(__xludf.DUMMYFUNCTION("""COMPUTED_VALUE"""),"CARLOS")</f>
        <v>CARLOS</v>
      </c>
      <c r="F27" s="100" t="str">
        <f>IFERROR(__xludf.DUMMYFUNCTION("""COMPUTED_VALUE"""),"FRANCINE")</f>
        <v>FRANCINE</v>
      </c>
    </row>
    <row r="28">
      <c r="A28" s="131">
        <f>IFERROR(__xludf.DUMMYFUNCTION("""COMPUTED_VALUE"""),26.0)</f>
        <v>26</v>
      </c>
      <c r="B28" s="131"/>
      <c r="C28" s="131">
        <f>IFERROR(__xludf.DUMMYFUNCTION("""COMPUTED_VALUE"""),23.0)</f>
        <v>23</v>
      </c>
      <c r="D28" s="131" t="b">
        <f>IFERROR(__xludf.DUMMYFUNCTION("""COMPUTED_VALUE"""),FALSE)</f>
        <v>0</v>
      </c>
      <c r="E28" s="100" t="str">
        <f>IFERROR(__xludf.DUMMYFUNCTION("""COMPUTED_VALUE"""),"DALIOAN")</f>
        <v>DALIOAN</v>
      </c>
      <c r="F28" s="100" t="str">
        <f>IFERROR(__xludf.DUMMYFUNCTION("""COMPUTED_VALUE"""),"MONIQUE")</f>
        <v>MONIQUE</v>
      </c>
    </row>
    <row r="29">
      <c r="A29" s="131">
        <f>IFERROR(__xludf.DUMMYFUNCTION("""COMPUTED_VALUE"""),27.0)</f>
        <v>27</v>
      </c>
      <c r="B29" s="131"/>
      <c r="C29" s="131">
        <f>IFERROR(__xludf.DUMMYFUNCTION("""COMPUTED_VALUE"""),23.0)</f>
        <v>23</v>
      </c>
      <c r="D29" s="131" t="b">
        <f>IFERROR(__xludf.DUMMYFUNCTION("""COMPUTED_VALUE"""),FALSE)</f>
        <v>0</v>
      </c>
      <c r="E29" s="100" t="str">
        <f>IFERROR(__xludf.DUMMYFUNCTION("""COMPUTED_VALUE"""),"GELICAME")</f>
        <v>GELICAME</v>
      </c>
      <c r="F29" s="100" t="str">
        <f>IFERROR(__xludf.DUMMYFUNCTION("""COMPUTED_VALUE"""),"ARYHANA")</f>
        <v>ARYHANA</v>
      </c>
      <c r="G29" s="90" t="s">
        <v>4</v>
      </c>
      <c r="I29" s="90" t="s">
        <v>4</v>
      </c>
      <c r="L29" s="90" t="b">
        <v>1</v>
      </c>
      <c r="N29" s="90" t="b">
        <v>1</v>
      </c>
    </row>
    <row r="30">
      <c r="A30" s="131">
        <f>IFERROR(__xludf.DUMMYFUNCTION("""COMPUTED_VALUE"""),28.0)</f>
        <v>28</v>
      </c>
      <c r="B30" s="131"/>
      <c r="C30" s="131">
        <f>IFERROR(__xludf.DUMMYFUNCTION("""COMPUTED_VALUE"""),23.0)</f>
        <v>23</v>
      </c>
      <c r="D30" s="131" t="b">
        <f>IFERROR(__xludf.DUMMYFUNCTION("""COMPUTED_VALUE"""),FALSE)</f>
        <v>0</v>
      </c>
      <c r="E30" s="100" t="str">
        <f>IFERROR(__xludf.DUMMYFUNCTION("""COMPUTED_VALUE"""),"GUIMONG")</f>
        <v>GUIMONG</v>
      </c>
      <c r="F30" s="100" t="str">
        <f>IFERROR(__xludf.DUMMYFUNCTION("""COMPUTED_VALUE"""),"FAITH")</f>
        <v>FAITH</v>
      </c>
    </row>
    <row r="31">
      <c r="A31" s="131">
        <f>IFERROR(__xludf.DUMMYFUNCTION("""COMPUTED_VALUE"""),29.0)</f>
        <v>29</v>
      </c>
      <c r="B31" s="131"/>
      <c r="C31" s="131">
        <f>IFERROR(__xludf.DUMMYFUNCTION("""COMPUTED_VALUE"""),23.0)</f>
        <v>23</v>
      </c>
      <c r="D31" s="131" t="b">
        <f>IFERROR(__xludf.DUMMYFUNCTION("""COMPUTED_VALUE"""),FALSE)</f>
        <v>0</v>
      </c>
      <c r="E31" s="100" t="str">
        <f>IFERROR(__xludf.DUMMYFUNCTION("""COMPUTED_VALUE"""),"MANALOTO")</f>
        <v>MANALOTO</v>
      </c>
      <c r="F31" s="100" t="str">
        <f>IFERROR(__xludf.DUMMYFUNCTION("""COMPUTED_VALUE"""),"YOSHA")</f>
        <v>YOSHA</v>
      </c>
    </row>
    <row r="32">
      <c r="A32" s="131">
        <f>IFERROR(__xludf.DUMMYFUNCTION("""COMPUTED_VALUE"""),30.0)</f>
        <v>30</v>
      </c>
      <c r="B32" s="131"/>
      <c r="C32" s="131">
        <f>IFERROR(__xludf.DUMMYFUNCTION("""COMPUTED_VALUE"""),23.0)</f>
        <v>23</v>
      </c>
      <c r="D32" s="131" t="b">
        <f>IFERROR(__xludf.DUMMYFUNCTION("""COMPUTED_VALUE"""),FALSE)</f>
        <v>0</v>
      </c>
      <c r="E32" s="100" t="str">
        <f>IFERROR(__xludf.DUMMYFUNCTION("""COMPUTED_VALUE"""),"MARINAS")</f>
        <v>MARINAS</v>
      </c>
      <c r="F32" s="100" t="str">
        <f>IFERROR(__xludf.DUMMYFUNCTION("""COMPUTED_VALUE"""),"CHERRY")</f>
        <v>CHERRY</v>
      </c>
    </row>
    <row r="33">
      <c r="A33" s="131">
        <f>IFERROR(__xludf.DUMMYFUNCTION("""COMPUTED_VALUE"""),31.0)</f>
        <v>31</v>
      </c>
      <c r="B33" s="131"/>
      <c r="C33" s="131">
        <f>IFERROR(__xludf.DUMMYFUNCTION("""COMPUTED_VALUE"""),23.0)</f>
        <v>23</v>
      </c>
      <c r="D33" s="131" t="b">
        <f>IFERROR(__xludf.DUMMYFUNCTION("""COMPUTED_VALUE"""),FALSE)</f>
        <v>0</v>
      </c>
      <c r="E33" s="101" t="str">
        <f>IFERROR(__xludf.DUMMYFUNCTION("""COMPUTED_VALUE"""),"JIMENEZ")</f>
        <v>JIMENEZ</v>
      </c>
      <c r="F33" s="101" t="str">
        <f>IFERROR(__xludf.DUMMYFUNCTION("""COMPUTED_VALUE"""),"RUTH JHAMELA")</f>
        <v>RUTH JHAMELA</v>
      </c>
    </row>
    <row r="34">
      <c r="A34" s="131">
        <f>IFERROR(__xludf.DUMMYFUNCTION("""COMPUTED_VALUE"""),32.0)</f>
        <v>32</v>
      </c>
      <c r="B34" s="131"/>
      <c r="C34" s="131">
        <f>IFERROR(__xludf.DUMMYFUNCTION("""COMPUTED_VALUE"""),23.0)</f>
        <v>23</v>
      </c>
      <c r="D34" s="131" t="b">
        <f>IFERROR(__xludf.DUMMYFUNCTION("""COMPUTED_VALUE"""),FALSE)</f>
        <v>0</v>
      </c>
      <c r="E34" s="100" t="str">
        <f>IFERROR(__xludf.DUMMYFUNCTION("""COMPUTED_VALUE"""),"GUILLERMO")</f>
        <v>GUILLERMO</v>
      </c>
      <c r="F34" s="100" t="str">
        <f>IFERROR(__xludf.DUMMYFUNCTION("""COMPUTED_VALUE"""),"STAR")</f>
        <v>STAR</v>
      </c>
    </row>
    <row r="35">
      <c r="A35" s="131">
        <f>IFERROR(__xludf.DUMMYFUNCTION("""COMPUTED_VALUE"""),33.0)</f>
        <v>33</v>
      </c>
      <c r="B35" s="131"/>
      <c r="C35" s="131">
        <f>IFERROR(__xludf.DUMMYFUNCTION("""COMPUTED_VALUE"""),23.0)</f>
        <v>23</v>
      </c>
      <c r="D35" s="131" t="b">
        <f>IFERROR(__xludf.DUMMYFUNCTION("""COMPUTED_VALUE"""),FALSE)</f>
        <v>0</v>
      </c>
      <c r="E35" s="100" t="str">
        <f>IFERROR(__xludf.DUMMYFUNCTION("""COMPUTED_VALUE"""),"CATENZA")</f>
        <v>CATENZA</v>
      </c>
      <c r="F35" s="100" t="str">
        <f>IFERROR(__xludf.DUMMYFUNCTION("""COMPUTED_VALUE"""),"PRINCESS")</f>
        <v>PRINCESS</v>
      </c>
    </row>
    <row r="36">
      <c r="A36" s="131">
        <f>IFERROR(__xludf.DUMMYFUNCTION("""COMPUTED_VALUE"""),34.0)</f>
        <v>34</v>
      </c>
      <c r="B36" s="131"/>
      <c r="C36" s="131">
        <f>IFERROR(__xludf.DUMMYFUNCTION("""COMPUTED_VALUE"""),23.0)</f>
        <v>23</v>
      </c>
      <c r="D36" s="131" t="b">
        <f>IFERROR(__xludf.DUMMYFUNCTION("""COMPUTED_VALUE"""),FALSE)</f>
        <v>0</v>
      </c>
      <c r="E36" s="102" t="str">
        <f>IFERROR(__xludf.DUMMYFUNCTION("""COMPUTED_VALUE"""),"GORDON")</f>
        <v>GORDON</v>
      </c>
      <c r="F36" s="102" t="str">
        <f>IFERROR(__xludf.DUMMYFUNCTION("""COMPUTED_VALUE"""),"HARRY")</f>
        <v>HARRY</v>
      </c>
    </row>
    <row r="37">
      <c r="A37" s="131">
        <f>IFERROR(__xludf.DUMMYFUNCTION("""COMPUTED_VALUE"""),35.0)</f>
        <v>35</v>
      </c>
      <c r="B37" s="131"/>
      <c r="C37" s="131">
        <f>IFERROR(__xludf.DUMMYFUNCTION("""COMPUTED_VALUE"""),23.0)</f>
        <v>23</v>
      </c>
      <c r="D37" s="131" t="b">
        <f>IFERROR(__xludf.DUMMYFUNCTION("""COMPUTED_VALUE"""),FALSE)</f>
        <v>0</v>
      </c>
      <c r="E37" s="103" t="str">
        <f>IFERROR(__xludf.DUMMYFUNCTION("""COMPUTED_VALUE"""),"AVILLANO")</f>
        <v>AVILLANO</v>
      </c>
      <c r="F37" s="103" t="str">
        <f>IFERROR(__xludf.DUMMYFUNCTION("""COMPUTED_VALUE"""),"ANGEL DIANNE")</f>
        <v>ANGEL DIANNE</v>
      </c>
    </row>
    <row r="38">
      <c r="A38" s="131">
        <f>IFERROR(__xludf.DUMMYFUNCTION("""COMPUTED_VALUE"""),36.0)</f>
        <v>36</v>
      </c>
      <c r="B38" s="131"/>
      <c r="C38" s="131">
        <f>IFERROR(__xludf.DUMMYFUNCTION("""COMPUTED_VALUE"""),23.0)</f>
        <v>23</v>
      </c>
      <c r="D38" s="131" t="b">
        <f>IFERROR(__xludf.DUMMYFUNCTION("""COMPUTED_VALUE"""),FALSE)</f>
        <v>0</v>
      </c>
      <c r="E38" s="103" t="str">
        <f>IFERROR(__xludf.DUMMYFUNCTION("""COMPUTED_VALUE"""),"BALTAZAR")</f>
        <v>BALTAZAR</v>
      </c>
      <c r="F38" s="103" t="str">
        <f>IFERROR(__xludf.DUMMYFUNCTION("""COMPUTED_VALUE"""),"ARSTON")</f>
        <v>ARSTON</v>
      </c>
    </row>
    <row r="39">
      <c r="A39" s="131">
        <f>IFERROR(__xludf.DUMMYFUNCTION("""COMPUTED_VALUE"""),37.0)</f>
        <v>37</v>
      </c>
      <c r="B39" s="131"/>
      <c r="C39" s="131">
        <f>IFERROR(__xludf.DUMMYFUNCTION("""COMPUTED_VALUE"""),23.0)</f>
        <v>23</v>
      </c>
      <c r="D39" s="131" t="b">
        <f>IFERROR(__xludf.DUMMYFUNCTION("""COMPUTED_VALUE"""),FALSE)</f>
        <v>0</v>
      </c>
      <c r="E39" s="102" t="str">
        <f>IFERROR(__xludf.DUMMYFUNCTION("""COMPUTED_VALUE"""),"SISON")</f>
        <v>SISON</v>
      </c>
      <c r="F39" s="103" t="str">
        <f>IFERROR(__xludf.DUMMYFUNCTION("""COMPUTED_VALUE"""),"KRISTA MAE")</f>
        <v>KRISTA MAE</v>
      </c>
    </row>
    <row r="40">
      <c r="A40" s="131">
        <f>IFERROR(__xludf.DUMMYFUNCTION("""COMPUTED_VALUE"""),38.0)</f>
        <v>38</v>
      </c>
      <c r="B40" s="131"/>
      <c r="C40" s="131">
        <f>IFERROR(__xludf.DUMMYFUNCTION("""COMPUTED_VALUE"""),23.0)</f>
        <v>23</v>
      </c>
      <c r="D40" s="131" t="b">
        <f>IFERROR(__xludf.DUMMYFUNCTION("""COMPUTED_VALUE"""),FALSE)</f>
        <v>0</v>
      </c>
      <c r="E40" s="103" t="str">
        <f>IFERROR(__xludf.DUMMYFUNCTION("""COMPUTED_VALUE"""),"GARCIA")</f>
        <v>GARCIA</v>
      </c>
      <c r="F40" s="103" t="str">
        <f>IFERROR(__xludf.DUMMYFUNCTION("""COMPUTED_VALUE"""),"SELTHIEL")</f>
        <v>SELTHIEL</v>
      </c>
    </row>
    <row r="41">
      <c r="A41" s="131">
        <f>IFERROR(__xludf.DUMMYFUNCTION("""COMPUTED_VALUE"""),39.0)</f>
        <v>39</v>
      </c>
      <c r="B41" s="131"/>
      <c r="C41" s="131">
        <f>IFERROR(__xludf.DUMMYFUNCTION("""COMPUTED_VALUE"""),23.0)</f>
        <v>23</v>
      </c>
      <c r="D41" s="131" t="b">
        <f>IFERROR(__xludf.DUMMYFUNCTION("""COMPUTED_VALUE"""),FALSE)</f>
        <v>0</v>
      </c>
      <c r="E41" s="103" t="str">
        <f>IFERROR(__xludf.DUMMYFUNCTION("""COMPUTED_VALUE"""),"HIJARA")</f>
        <v>HIJARA</v>
      </c>
      <c r="F41" s="103" t="str">
        <f>IFERROR(__xludf.DUMMYFUNCTION("""COMPUTED_VALUE"""),"JAIHMIER VIELLE")</f>
        <v>JAIHMIER VIELLE</v>
      </c>
    </row>
    <row r="42">
      <c r="A42" s="131">
        <f>IFERROR(__xludf.DUMMYFUNCTION("""COMPUTED_VALUE"""),40.0)</f>
        <v>40</v>
      </c>
      <c r="B42" s="131"/>
      <c r="C42" s="131">
        <f>IFERROR(__xludf.DUMMYFUNCTION("""COMPUTED_VALUE"""),23.0)</f>
        <v>23</v>
      </c>
      <c r="D42" s="131" t="b">
        <f>IFERROR(__xludf.DUMMYFUNCTION("""COMPUTED_VALUE"""),FALSE)</f>
        <v>0</v>
      </c>
      <c r="E42" s="103" t="str">
        <f>IFERROR(__xludf.DUMMYFUNCTION("""COMPUTED_VALUE"""),"MAGBANUA")</f>
        <v>MAGBANUA</v>
      </c>
      <c r="F42" s="103" t="str">
        <f>IFERROR(__xludf.DUMMYFUNCTION("""COMPUTED_VALUE"""),"MANUEL HARVEY")</f>
        <v>MANUEL HARVEY</v>
      </c>
    </row>
    <row r="43">
      <c r="A43" s="131">
        <f>IFERROR(__xludf.DUMMYFUNCTION("""COMPUTED_VALUE"""),41.0)</f>
        <v>41</v>
      </c>
      <c r="B43" s="131"/>
      <c r="C43" s="131">
        <f>IFERROR(__xludf.DUMMYFUNCTION("""COMPUTED_VALUE"""),23.0)</f>
        <v>23</v>
      </c>
      <c r="D43" s="131" t="b">
        <f>IFERROR(__xludf.DUMMYFUNCTION("""COMPUTED_VALUE"""),FALSE)</f>
        <v>0</v>
      </c>
      <c r="E43" s="103" t="str">
        <f>IFERROR(__xludf.DUMMYFUNCTION("""COMPUTED_VALUE"""),"TABOY")</f>
        <v>TABOY</v>
      </c>
      <c r="F43" s="103" t="str">
        <f>IFERROR(__xludf.DUMMYFUNCTION("""COMPUTED_VALUE"""),"PRIMO KLYDE")</f>
        <v>PRIMO KLYDE</v>
      </c>
    </row>
    <row r="44">
      <c r="A44" s="131">
        <f>IFERROR(__xludf.DUMMYFUNCTION("""COMPUTED_VALUE"""),42.0)</f>
        <v>42</v>
      </c>
      <c r="B44" s="131"/>
      <c r="C44" s="131"/>
      <c r="D44" s="131" t="b">
        <f>IFERROR(__xludf.DUMMYFUNCTION("""COMPUTED_VALUE"""),FALSE)</f>
        <v>0</v>
      </c>
      <c r="E44" s="103"/>
      <c r="F44" s="103"/>
    </row>
    <row r="45">
      <c r="A45" s="131">
        <f>IFERROR(__xludf.DUMMYFUNCTION("""COMPUTED_VALUE"""),43.0)</f>
        <v>43</v>
      </c>
      <c r="B45" s="131"/>
      <c r="C45" s="131">
        <f>IFERROR(__xludf.DUMMYFUNCTION("""COMPUTED_VALUE"""),23.0)</f>
        <v>23</v>
      </c>
      <c r="D45" s="131" t="b">
        <f>IFERROR(__xludf.DUMMYFUNCTION("""COMPUTED_VALUE"""),FALSE)</f>
        <v>0</v>
      </c>
      <c r="E45" s="103" t="str">
        <f>IFERROR(__xludf.DUMMYFUNCTION("""COMPUTED_VALUE"""),"SABEJON")</f>
        <v>SABEJON</v>
      </c>
      <c r="F45" s="103" t="str">
        <f>IFERROR(__xludf.DUMMYFUNCTION("""COMPUTED_VALUE"""),"KENNETH")</f>
        <v>KENNETH</v>
      </c>
    </row>
    <row r="46">
      <c r="A46" s="131">
        <f>IFERROR(__xludf.DUMMYFUNCTION("""COMPUTED_VALUE"""),44.0)</f>
        <v>44</v>
      </c>
      <c r="B46" s="131"/>
      <c r="C46" s="131">
        <f>IFERROR(__xludf.DUMMYFUNCTION("""COMPUTED_VALUE"""),23.0)</f>
        <v>23</v>
      </c>
      <c r="D46" s="131" t="b">
        <f>IFERROR(__xludf.DUMMYFUNCTION("""COMPUTED_VALUE"""),FALSE)</f>
        <v>0</v>
      </c>
      <c r="E46" s="103" t="str">
        <f>IFERROR(__xludf.DUMMYFUNCTION("""COMPUTED_VALUE"""),"LIRRAG")</f>
        <v>LIRRAG</v>
      </c>
      <c r="F46" s="103" t="str">
        <f>IFERROR(__xludf.DUMMYFUNCTION("""COMPUTED_VALUE"""),"DAN EDRIK")</f>
        <v>DAN EDRIK</v>
      </c>
    </row>
    <row r="47">
      <c r="A47" s="131">
        <f>IFERROR(__xludf.DUMMYFUNCTION("""COMPUTED_VALUE"""),45.0)</f>
        <v>45</v>
      </c>
      <c r="B47" s="131"/>
      <c r="C47" s="131">
        <f>IFERROR(__xludf.DUMMYFUNCTION("""COMPUTED_VALUE"""),23.0)</f>
        <v>23</v>
      </c>
      <c r="D47" s="131" t="b">
        <f>IFERROR(__xludf.DUMMYFUNCTION("""COMPUTED_VALUE"""),FALSE)</f>
        <v>0</v>
      </c>
      <c r="E47" s="103" t="str">
        <f>IFERROR(__xludf.DUMMYFUNCTION("""COMPUTED_VALUE"""),"DELA ROSA")</f>
        <v>DELA ROSA</v>
      </c>
      <c r="F47" s="103" t="str">
        <f>IFERROR(__xludf.DUMMYFUNCTION("""COMPUTED_VALUE"""),"JOREVE")</f>
        <v>JOREVE</v>
      </c>
    </row>
    <row r="48">
      <c r="A48" s="131">
        <f>IFERROR(__xludf.DUMMYFUNCTION("""COMPUTED_VALUE"""),46.0)</f>
        <v>46</v>
      </c>
      <c r="B48" s="131"/>
      <c r="C48" s="131">
        <f>IFERROR(__xludf.DUMMYFUNCTION("""COMPUTED_VALUE"""),23.0)</f>
        <v>23</v>
      </c>
      <c r="D48" s="131" t="b">
        <f>IFERROR(__xludf.DUMMYFUNCTION("""COMPUTED_VALUE"""),FALSE)</f>
        <v>0</v>
      </c>
      <c r="E48" s="103" t="str">
        <f>IFERROR(__xludf.DUMMYFUNCTION("""COMPUTED_VALUE"""),"KOI")</f>
        <v>KOI</v>
      </c>
      <c r="F48" s="103" t="str">
        <f>IFERROR(__xludf.DUMMYFUNCTION("""COMPUTED_VALUE"""),"HERMYLYN")</f>
        <v>HERMYLYN</v>
      </c>
    </row>
    <row r="49">
      <c r="A49" s="131">
        <f>IFERROR(__xludf.DUMMYFUNCTION("""COMPUTED_VALUE"""),47.0)</f>
        <v>47</v>
      </c>
      <c r="B49" s="131"/>
      <c r="C49" s="131">
        <f>IFERROR(__xludf.DUMMYFUNCTION("""COMPUTED_VALUE"""),23.0)</f>
        <v>23</v>
      </c>
      <c r="D49" s="131" t="b">
        <f>IFERROR(__xludf.DUMMYFUNCTION("""COMPUTED_VALUE"""),FALSE)</f>
        <v>0</v>
      </c>
      <c r="E49" s="103" t="str">
        <f>IFERROR(__xludf.DUMMYFUNCTION("""COMPUTED_VALUE"""),"SILVANO")</f>
        <v>SILVANO</v>
      </c>
      <c r="F49" s="103" t="str">
        <f>IFERROR(__xludf.DUMMYFUNCTION("""COMPUTED_VALUE"""),"CRISJARED")</f>
        <v>CRISJARED</v>
      </c>
    </row>
    <row r="50">
      <c r="A50" s="131">
        <f>IFERROR(__xludf.DUMMYFUNCTION("""COMPUTED_VALUE"""),48.0)</f>
        <v>48</v>
      </c>
      <c r="B50" s="131"/>
      <c r="C50" s="131">
        <f>IFERROR(__xludf.DUMMYFUNCTION("""COMPUTED_VALUE"""),23.0)</f>
        <v>23</v>
      </c>
      <c r="D50" s="131" t="b">
        <f>IFERROR(__xludf.DUMMYFUNCTION("""COMPUTED_VALUE"""),FALSE)</f>
        <v>0</v>
      </c>
      <c r="E50" s="103" t="str">
        <f>IFERROR(__xludf.DUMMYFUNCTION("""COMPUTED_VALUE"""),"CORONEL")</f>
        <v>CORONEL</v>
      </c>
      <c r="F50" s="103" t="str">
        <f>IFERROR(__xludf.DUMMYFUNCTION("""COMPUTED_VALUE"""),"CARL CEDRICK")</f>
        <v>CARL CEDRICK</v>
      </c>
    </row>
    <row r="51">
      <c r="A51" s="131">
        <f>IFERROR(__xludf.DUMMYFUNCTION("""COMPUTED_VALUE"""),49.0)</f>
        <v>49</v>
      </c>
      <c r="B51" s="131"/>
      <c r="C51" s="131">
        <f>IFERROR(__xludf.DUMMYFUNCTION("""COMPUTED_VALUE"""),23.0)</f>
        <v>23</v>
      </c>
      <c r="D51" s="131" t="b">
        <f>IFERROR(__xludf.DUMMYFUNCTION("""COMPUTED_VALUE"""),FALSE)</f>
        <v>0</v>
      </c>
      <c r="E51" s="103" t="str">
        <f>IFERROR(__xludf.DUMMYFUNCTION("""COMPUTED_VALUE"""),"ORTALEZA")</f>
        <v>ORTALEZA</v>
      </c>
      <c r="F51" s="103" t="str">
        <f>IFERROR(__xludf.DUMMYFUNCTION("""COMPUTED_VALUE"""),"FROI FANCIS")</f>
        <v>FROI FANCIS</v>
      </c>
    </row>
    <row r="52">
      <c r="A52" s="131">
        <f>IFERROR(__xludf.DUMMYFUNCTION("""COMPUTED_VALUE"""),50.0)</f>
        <v>50</v>
      </c>
      <c r="B52" s="131"/>
      <c r="C52" s="131">
        <f>IFERROR(__xludf.DUMMYFUNCTION("""COMPUTED_VALUE"""),23.0)</f>
        <v>23</v>
      </c>
      <c r="D52" s="131" t="b">
        <f>IFERROR(__xludf.DUMMYFUNCTION("""COMPUTED_VALUE"""),FALSE)</f>
        <v>0</v>
      </c>
      <c r="E52" s="103" t="str">
        <f>IFERROR(__xludf.DUMMYFUNCTION("""COMPUTED_VALUE"""),"ESPOZO")</f>
        <v>ESPOZO</v>
      </c>
      <c r="F52" s="103" t="str">
        <f>IFERROR(__xludf.DUMMYFUNCTION("""COMPUTED_VALUE"""),"MAICA ELLA")</f>
        <v>MAICA ELLA</v>
      </c>
    </row>
    <row r="53">
      <c r="A53" s="131">
        <f>IFERROR(__xludf.DUMMYFUNCTION("""COMPUTED_VALUE"""),51.0)</f>
        <v>51</v>
      </c>
      <c r="B53" s="131"/>
      <c r="C53" s="131">
        <f>IFERROR(__xludf.DUMMYFUNCTION("""COMPUTED_VALUE"""),23.0)</f>
        <v>23</v>
      </c>
      <c r="D53" s="131" t="b">
        <f>IFERROR(__xludf.DUMMYFUNCTION("""COMPUTED_VALUE"""),FALSE)</f>
        <v>0</v>
      </c>
      <c r="E53" s="103" t="str">
        <f>IFERROR(__xludf.DUMMYFUNCTION("""COMPUTED_VALUE"""),"SOBERANO")</f>
        <v>SOBERANO</v>
      </c>
      <c r="F53" s="103" t="str">
        <f>IFERROR(__xludf.DUMMYFUNCTION("""COMPUTED_VALUE"""),"ZAIRUS")</f>
        <v>ZAIRUS</v>
      </c>
    </row>
    <row r="54">
      <c r="A54" s="131">
        <f>IFERROR(__xludf.DUMMYFUNCTION("""COMPUTED_VALUE"""),52.0)</f>
        <v>52</v>
      </c>
      <c r="B54" s="131"/>
      <c r="C54" s="131">
        <f>IFERROR(__xludf.DUMMYFUNCTION("""COMPUTED_VALUE"""),23.0)</f>
        <v>23</v>
      </c>
      <c r="D54" s="131" t="b">
        <f>IFERROR(__xludf.DUMMYFUNCTION("""COMPUTED_VALUE"""),FALSE)</f>
        <v>0</v>
      </c>
      <c r="E54" s="99" t="str">
        <f>IFERROR(__xludf.DUMMYFUNCTION("""COMPUTED_VALUE"""),"ERA")</f>
        <v>ERA</v>
      </c>
      <c r="F54" s="99" t="str">
        <f>IFERROR(__xludf.DUMMYFUNCTION("""COMPUTED_VALUE"""),"ANALEZA")</f>
        <v>ANALEZA</v>
      </c>
      <c r="G54" s="90" t="s">
        <v>4</v>
      </c>
      <c r="L54" s="90" t="b">
        <v>1</v>
      </c>
    </row>
    <row r="55">
      <c r="A55" s="131">
        <f>IFERROR(__xludf.DUMMYFUNCTION("""COMPUTED_VALUE"""),53.0)</f>
        <v>53</v>
      </c>
      <c r="B55" s="131"/>
      <c r="C55" s="131">
        <f>IFERROR(__xludf.DUMMYFUNCTION("""COMPUTED_VALUE"""),23.0)</f>
        <v>23</v>
      </c>
      <c r="D55" s="131" t="b">
        <f>IFERROR(__xludf.DUMMYFUNCTION("""COMPUTED_VALUE"""),FALSE)</f>
        <v>0</v>
      </c>
      <c r="E55" s="100" t="str">
        <f>IFERROR(__xludf.DUMMYFUNCTION("""COMPUTED_VALUE"""),"ARANA")</f>
        <v>ARANA</v>
      </c>
      <c r="F55" s="100" t="str">
        <f>IFERROR(__xludf.DUMMYFUNCTION("""COMPUTED_VALUE"""),"RHEANA")</f>
        <v>RHEANA</v>
      </c>
    </row>
    <row r="56">
      <c r="A56" s="131">
        <f>IFERROR(__xludf.DUMMYFUNCTION("""COMPUTED_VALUE"""),54.0)</f>
        <v>54</v>
      </c>
      <c r="B56" s="131"/>
      <c r="C56" s="131">
        <f>IFERROR(__xludf.DUMMYFUNCTION("""COMPUTED_VALUE"""),23.0)</f>
        <v>23</v>
      </c>
      <c r="D56" s="131" t="b">
        <f>IFERROR(__xludf.DUMMYFUNCTION("""COMPUTED_VALUE"""),FALSE)</f>
        <v>0</v>
      </c>
      <c r="E56" s="100" t="str">
        <f>IFERROR(__xludf.DUMMYFUNCTION("""COMPUTED_VALUE"""),"BANDE")</f>
        <v>BANDE</v>
      </c>
      <c r="F56" s="100" t="str">
        <f>IFERROR(__xludf.DUMMYFUNCTION("""COMPUTED_VALUE"""),"ERICA")</f>
        <v>ERICA</v>
      </c>
    </row>
    <row r="57">
      <c r="A57" s="131">
        <f>IFERROR(__xludf.DUMMYFUNCTION("""COMPUTED_VALUE"""),55.0)</f>
        <v>55</v>
      </c>
      <c r="B57" s="131"/>
      <c r="C57" s="131">
        <f>IFERROR(__xludf.DUMMYFUNCTION("""COMPUTED_VALUE"""),23.0)</f>
        <v>23</v>
      </c>
      <c r="D57" s="131" t="b">
        <f>IFERROR(__xludf.DUMMYFUNCTION("""COMPUTED_VALUE"""),FALSE)</f>
        <v>0</v>
      </c>
      <c r="E57" s="100" t="str">
        <f>IFERROR(__xludf.DUMMYFUNCTION("""COMPUTED_VALUE"""),"DEL ROSARIO")</f>
        <v>DEL ROSARIO</v>
      </c>
      <c r="F57" s="100" t="str">
        <f>IFERROR(__xludf.DUMMYFUNCTION("""COMPUTED_VALUE"""),"JOY")</f>
        <v>JOY</v>
      </c>
      <c r="G57" s="90" t="s">
        <v>4</v>
      </c>
      <c r="I57" s="90" t="s">
        <v>4</v>
      </c>
      <c r="L57" s="90" t="b">
        <v>1</v>
      </c>
      <c r="N57" s="90" t="b">
        <v>1</v>
      </c>
    </row>
    <row r="58">
      <c r="A58" s="131">
        <f>IFERROR(__xludf.DUMMYFUNCTION("""COMPUTED_VALUE"""),56.0)</f>
        <v>56</v>
      </c>
      <c r="B58" s="131"/>
      <c r="C58" s="131">
        <f>IFERROR(__xludf.DUMMYFUNCTION("""COMPUTED_VALUE"""),23.0)</f>
        <v>23</v>
      </c>
      <c r="D58" s="131" t="b">
        <f>IFERROR(__xludf.DUMMYFUNCTION("""COMPUTED_VALUE"""),FALSE)</f>
        <v>0</v>
      </c>
      <c r="E58" s="100" t="str">
        <f>IFERROR(__xludf.DUMMYFUNCTION("""COMPUTED_VALUE"""),"GUETA")</f>
        <v>GUETA</v>
      </c>
      <c r="F58" s="100" t="str">
        <f>IFERROR(__xludf.DUMMYFUNCTION("""COMPUTED_VALUE"""),"SEYVEL")</f>
        <v>SEYVEL</v>
      </c>
    </row>
    <row r="59">
      <c r="A59" s="131">
        <f>IFERROR(__xludf.DUMMYFUNCTION("""COMPUTED_VALUE"""),57.0)</f>
        <v>57</v>
      </c>
      <c r="B59" s="131"/>
      <c r="C59" s="131">
        <f>IFERROR(__xludf.DUMMYFUNCTION("""COMPUTED_VALUE"""),23.0)</f>
        <v>23</v>
      </c>
      <c r="D59" s="131" t="b">
        <f>IFERROR(__xludf.DUMMYFUNCTION("""COMPUTED_VALUE"""),FALSE)</f>
        <v>0</v>
      </c>
      <c r="E59" s="100" t="str">
        <f>IFERROR(__xludf.DUMMYFUNCTION("""COMPUTED_VALUE"""),"MALIPOT")</f>
        <v>MALIPOT</v>
      </c>
      <c r="F59" s="100" t="str">
        <f>IFERROR(__xludf.DUMMYFUNCTION("""COMPUTED_VALUE"""),"JUSTINE")</f>
        <v>JUSTINE</v>
      </c>
    </row>
    <row r="60">
      <c r="A60" s="131">
        <f>IFERROR(__xludf.DUMMYFUNCTION("""COMPUTED_VALUE"""),58.0)</f>
        <v>58</v>
      </c>
      <c r="B60" s="131"/>
      <c r="C60" s="131">
        <f>IFERROR(__xludf.DUMMYFUNCTION("""COMPUTED_VALUE"""),23.0)</f>
        <v>23</v>
      </c>
      <c r="D60" s="131" t="b">
        <f>IFERROR(__xludf.DUMMYFUNCTION("""COMPUTED_VALUE"""),FALSE)</f>
        <v>0</v>
      </c>
      <c r="E60" s="100" t="str">
        <f>IFERROR(__xludf.DUMMYFUNCTION("""COMPUTED_VALUE"""),"PATRICIO")</f>
        <v>PATRICIO</v>
      </c>
      <c r="F60" s="100" t="str">
        <f>IFERROR(__xludf.DUMMYFUNCTION("""COMPUTED_VALUE"""),"VANESSA")</f>
        <v>VANESSA</v>
      </c>
    </row>
    <row r="61">
      <c r="A61" s="131">
        <f>IFERROR(__xludf.DUMMYFUNCTION("""COMPUTED_VALUE"""),59.0)</f>
        <v>59</v>
      </c>
      <c r="B61" s="131"/>
      <c r="C61" s="131">
        <f>IFERROR(__xludf.DUMMYFUNCTION("""COMPUTED_VALUE"""),23.0)</f>
        <v>23</v>
      </c>
      <c r="D61" s="131" t="b">
        <f>IFERROR(__xludf.DUMMYFUNCTION("""COMPUTED_VALUE"""),FALSE)</f>
        <v>0</v>
      </c>
      <c r="E61" s="100" t="str">
        <f>IFERROR(__xludf.DUMMYFUNCTION("""COMPUTED_VALUE"""),"PONCE")</f>
        <v>PONCE</v>
      </c>
      <c r="F61" s="100" t="str">
        <f>IFERROR(__xludf.DUMMYFUNCTION("""COMPUTED_VALUE"""),"SHEENA")</f>
        <v>SHEENA</v>
      </c>
    </row>
    <row r="62">
      <c r="A62" s="131">
        <f>IFERROR(__xludf.DUMMYFUNCTION("""COMPUTED_VALUE"""),60.0)</f>
        <v>60</v>
      </c>
      <c r="B62" s="131"/>
      <c r="C62" s="131">
        <f>IFERROR(__xludf.DUMMYFUNCTION("""COMPUTED_VALUE"""),23.0)</f>
        <v>23</v>
      </c>
      <c r="D62" s="131" t="b">
        <f>IFERROR(__xludf.DUMMYFUNCTION("""COMPUTED_VALUE"""),FALSE)</f>
        <v>0</v>
      </c>
      <c r="E62" s="100" t="str">
        <f>IFERROR(__xludf.DUMMYFUNCTION("""COMPUTED_VALUE"""),"RAMOS")</f>
        <v>RAMOS</v>
      </c>
      <c r="F62" s="100" t="str">
        <f>IFERROR(__xludf.DUMMYFUNCTION("""COMPUTED_VALUE"""),"AA")</f>
        <v>AA</v>
      </c>
    </row>
    <row r="63">
      <c r="A63" s="131">
        <f>IFERROR(__xludf.DUMMYFUNCTION("""COMPUTED_VALUE"""),61.0)</f>
        <v>61</v>
      </c>
      <c r="B63" s="131"/>
      <c r="C63" s="131">
        <f>IFERROR(__xludf.DUMMYFUNCTION("""COMPUTED_VALUE"""),23.0)</f>
        <v>23</v>
      </c>
      <c r="D63" s="131" t="b">
        <f>IFERROR(__xludf.DUMMYFUNCTION("""COMPUTED_VALUE"""),FALSE)</f>
        <v>0</v>
      </c>
      <c r="E63" s="100" t="str">
        <f>IFERROR(__xludf.DUMMYFUNCTION("""COMPUTED_VALUE"""),"REPUBLO")</f>
        <v>REPUBLO</v>
      </c>
      <c r="F63" s="100" t="str">
        <f>IFERROR(__xludf.DUMMYFUNCTION("""COMPUTED_VALUE"""),"CLARISSA")</f>
        <v>CLARISSA</v>
      </c>
      <c r="G63" s="90" t="s">
        <v>4</v>
      </c>
      <c r="L63" s="90" t="b">
        <v>1</v>
      </c>
    </row>
    <row r="64">
      <c r="A64" s="131">
        <f>IFERROR(__xludf.DUMMYFUNCTION("""COMPUTED_VALUE"""),62.0)</f>
        <v>62</v>
      </c>
      <c r="B64" s="131"/>
      <c r="C64" s="131">
        <f>IFERROR(__xludf.DUMMYFUNCTION("""COMPUTED_VALUE"""),23.0)</f>
        <v>23</v>
      </c>
      <c r="D64" s="131" t="b">
        <f>IFERROR(__xludf.DUMMYFUNCTION("""COMPUTED_VALUE"""),FALSE)</f>
        <v>0</v>
      </c>
      <c r="E64" s="100"/>
      <c r="F64" s="100" t="str">
        <f>IFERROR(__xludf.DUMMYFUNCTION("""COMPUTED_VALUE"""),"JENNY")</f>
        <v>JENNY</v>
      </c>
    </row>
    <row r="65">
      <c r="A65" s="131">
        <f>IFERROR(__xludf.DUMMYFUNCTION("""COMPUTED_VALUE"""),63.0)</f>
        <v>63</v>
      </c>
      <c r="B65" s="131"/>
      <c r="C65" s="131">
        <f>IFERROR(__xludf.DUMMYFUNCTION("""COMPUTED_VALUE"""),23.0)</f>
        <v>23</v>
      </c>
      <c r="D65" s="131" t="b">
        <f>IFERROR(__xludf.DUMMYFUNCTION("""COMPUTED_VALUE"""),FALSE)</f>
        <v>0</v>
      </c>
      <c r="E65" s="99" t="str">
        <f>IFERROR(__xludf.DUMMYFUNCTION("""COMPUTED_VALUE"""),"MAGISTRADO")</f>
        <v>MAGISTRADO</v>
      </c>
      <c r="F65" s="99" t="str">
        <f>IFERROR(__xludf.DUMMYFUNCTION("""COMPUTED_VALUE"""),"ERICA")</f>
        <v>ERICA</v>
      </c>
      <c r="G65" s="90" t="s">
        <v>4</v>
      </c>
      <c r="L65" s="90" t="b">
        <v>1</v>
      </c>
    </row>
    <row r="66">
      <c r="A66" s="131">
        <f>IFERROR(__xludf.DUMMYFUNCTION("""COMPUTED_VALUE"""),64.0)</f>
        <v>64</v>
      </c>
      <c r="B66" s="131"/>
      <c r="C66" s="131">
        <f>IFERROR(__xludf.DUMMYFUNCTION("""COMPUTED_VALUE"""),23.0)</f>
        <v>23</v>
      </c>
      <c r="D66" s="131" t="b">
        <f>IFERROR(__xludf.DUMMYFUNCTION("""COMPUTED_VALUE"""),FALSE)</f>
        <v>0</v>
      </c>
      <c r="E66" s="100" t="str">
        <f>IFERROR(__xludf.DUMMYFUNCTION("""COMPUTED_VALUE"""),"CARANGUIAN")</f>
        <v>CARANGUIAN</v>
      </c>
      <c r="F66" s="100" t="str">
        <f>IFERROR(__xludf.DUMMYFUNCTION("""COMPUTED_VALUE"""),"DIVINA GRACE")</f>
        <v>DIVINA GRACE</v>
      </c>
    </row>
    <row r="67">
      <c r="A67" s="131">
        <f>IFERROR(__xludf.DUMMYFUNCTION("""COMPUTED_VALUE"""),65.0)</f>
        <v>65</v>
      </c>
      <c r="B67" s="131"/>
      <c r="C67" s="131">
        <f>IFERROR(__xludf.DUMMYFUNCTION("""COMPUTED_VALUE"""),23.0)</f>
        <v>23</v>
      </c>
      <c r="D67" s="131" t="b">
        <f>IFERROR(__xludf.DUMMYFUNCTION("""COMPUTED_VALUE"""),FALSE)</f>
        <v>0</v>
      </c>
      <c r="E67" s="100" t="str">
        <f>IFERROR(__xludf.DUMMYFUNCTION("""COMPUTED_VALUE"""),"ERA")</f>
        <v>ERA</v>
      </c>
      <c r="F67" s="100" t="str">
        <f>IFERROR(__xludf.DUMMYFUNCTION("""COMPUTED_VALUE"""),"CHRISTINA")</f>
        <v>CHRISTINA</v>
      </c>
    </row>
    <row r="68">
      <c r="A68" s="131">
        <f>IFERROR(__xludf.DUMMYFUNCTION("""COMPUTED_VALUE"""),66.0)</f>
        <v>66</v>
      </c>
      <c r="B68" s="131"/>
      <c r="C68" s="131">
        <f>IFERROR(__xludf.DUMMYFUNCTION("""COMPUTED_VALUE"""),23.0)</f>
        <v>23</v>
      </c>
      <c r="D68" s="131" t="b">
        <f>IFERROR(__xludf.DUMMYFUNCTION("""COMPUTED_VALUE"""),FALSE)</f>
        <v>0</v>
      </c>
      <c r="E68" s="100" t="str">
        <f>IFERROR(__xludf.DUMMYFUNCTION("""COMPUTED_VALUE"""),"MAGISTRADO")</f>
        <v>MAGISTRADO</v>
      </c>
      <c r="F68" s="100" t="str">
        <f>IFERROR(__xludf.DUMMYFUNCTION("""COMPUTED_VALUE"""),"LOVELY")</f>
        <v>LOVELY</v>
      </c>
    </row>
    <row r="69">
      <c r="A69" s="131">
        <f>IFERROR(__xludf.DUMMYFUNCTION("""COMPUTED_VALUE"""),67.0)</f>
        <v>67</v>
      </c>
      <c r="B69" s="131"/>
      <c r="C69" s="131">
        <f>IFERROR(__xludf.DUMMYFUNCTION("""COMPUTED_VALUE"""),23.0)</f>
        <v>23</v>
      </c>
      <c r="D69" s="131" t="b">
        <f>IFERROR(__xludf.DUMMYFUNCTION("""COMPUTED_VALUE"""),FALSE)</f>
        <v>0</v>
      </c>
      <c r="E69" s="100" t="str">
        <f>IFERROR(__xludf.DUMMYFUNCTION("""COMPUTED_VALUE"""),"PACLITA")</f>
        <v>PACLITA</v>
      </c>
      <c r="F69" s="100" t="str">
        <f>IFERROR(__xludf.DUMMYFUNCTION("""COMPUTED_VALUE"""),"CHERRY ANN")</f>
        <v>CHERRY ANN</v>
      </c>
    </row>
    <row r="70">
      <c r="A70" s="131">
        <f>IFERROR(__xludf.DUMMYFUNCTION("""COMPUTED_VALUE"""),68.0)</f>
        <v>68</v>
      </c>
      <c r="B70" s="131"/>
      <c r="C70" s="131">
        <f>IFERROR(__xludf.DUMMYFUNCTION("""COMPUTED_VALUE"""),23.0)</f>
        <v>23</v>
      </c>
      <c r="D70" s="131" t="b">
        <f>IFERROR(__xludf.DUMMYFUNCTION("""COMPUTED_VALUE"""),FALSE)</f>
        <v>0</v>
      </c>
      <c r="E70" s="100" t="str">
        <f>IFERROR(__xludf.DUMMYFUNCTION("""COMPUTED_VALUE"""),"PALOMA")</f>
        <v>PALOMA</v>
      </c>
      <c r="F70" s="100" t="str">
        <f>IFERROR(__xludf.DUMMYFUNCTION("""COMPUTED_VALUE"""),"ALEAH")</f>
        <v>ALEAH</v>
      </c>
    </row>
    <row r="71">
      <c r="A71" s="131">
        <f>IFERROR(__xludf.DUMMYFUNCTION("""COMPUTED_VALUE"""),69.0)</f>
        <v>69</v>
      </c>
      <c r="B71" s="131"/>
      <c r="C71" s="131">
        <f>IFERROR(__xludf.DUMMYFUNCTION("""COMPUTED_VALUE"""),23.0)</f>
        <v>23</v>
      </c>
      <c r="D71" s="131" t="b">
        <f>IFERROR(__xludf.DUMMYFUNCTION("""COMPUTED_VALUE"""),FALSE)</f>
        <v>0</v>
      </c>
      <c r="E71" s="100" t="str">
        <f>IFERROR(__xludf.DUMMYFUNCTION("""COMPUTED_VALUE"""),"SATURINAS")</f>
        <v>SATURINAS</v>
      </c>
      <c r="F71" s="100" t="str">
        <f>IFERROR(__xludf.DUMMYFUNCTION("""COMPUTED_VALUE"""),"ALEXANDRA GRACE")</f>
        <v>ALEXANDRA GRACE</v>
      </c>
    </row>
    <row r="72">
      <c r="A72" s="131">
        <f>IFERROR(__xludf.DUMMYFUNCTION("""COMPUTED_VALUE"""),70.0)</f>
        <v>70</v>
      </c>
      <c r="B72" s="131"/>
      <c r="C72" s="131">
        <f>IFERROR(__xludf.DUMMYFUNCTION("""COMPUTED_VALUE"""),23.0)</f>
        <v>23</v>
      </c>
      <c r="D72" s="131" t="b">
        <f>IFERROR(__xludf.DUMMYFUNCTION("""COMPUTED_VALUE"""),FALSE)</f>
        <v>0</v>
      </c>
      <c r="E72" s="101" t="str">
        <f>IFERROR(__xludf.DUMMYFUNCTION("""COMPUTED_VALUE"""),"RONQUILLO")</f>
        <v>RONQUILLO</v>
      </c>
      <c r="F72" s="101" t="str">
        <f>IFERROR(__xludf.DUMMYFUNCTION("""COMPUTED_VALUE"""),"SHANE")</f>
        <v>SHANE</v>
      </c>
    </row>
    <row r="73">
      <c r="A73" s="131">
        <f>IFERROR(__xludf.DUMMYFUNCTION("""COMPUTED_VALUE"""),71.0)</f>
        <v>71</v>
      </c>
      <c r="B73" s="131"/>
      <c r="C73" s="131">
        <f>IFERROR(__xludf.DUMMYFUNCTION("""COMPUTED_VALUE"""),23.0)</f>
        <v>23</v>
      </c>
      <c r="D73" s="131" t="b">
        <f>IFERROR(__xludf.DUMMYFUNCTION("""COMPUTED_VALUE"""),FALSE)</f>
        <v>0</v>
      </c>
      <c r="E73" s="101" t="str">
        <f>IFERROR(__xludf.DUMMYFUNCTION("""COMPUTED_VALUE"""),"MARFIL")</f>
        <v>MARFIL</v>
      </c>
      <c r="F73" s="104" t="str">
        <f>IFERROR(__xludf.DUMMYFUNCTION("""COMPUTED_VALUE"""),"ADELAIZA")</f>
        <v>ADELAIZA</v>
      </c>
      <c r="G73" s="90" t="s">
        <v>4</v>
      </c>
      <c r="I73" s="90" t="s">
        <v>4</v>
      </c>
      <c r="L73" s="90" t="b">
        <v>1</v>
      </c>
      <c r="N73" s="90" t="b">
        <v>1</v>
      </c>
    </row>
    <row r="74">
      <c r="A74" s="131">
        <f>IFERROR(__xludf.DUMMYFUNCTION("""COMPUTED_VALUE"""),72.0)</f>
        <v>72</v>
      </c>
      <c r="B74" s="131"/>
      <c r="C74" s="131">
        <f>IFERROR(__xludf.DUMMYFUNCTION("""COMPUTED_VALUE"""),23.0)</f>
        <v>23</v>
      </c>
      <c r="D74" s="131" t="b">
        <f>IFERROR(__xludf.DUMMYFUNCTION("""COMPUTED_VALUE"""),FALSE)</f>
        <v>0</v>
      </c>
      <c r="E74" s="101" t="str">
        <f>IFERROR(__xludf.DUMMYFUNCTION("""COMPUTED_VALUE"""),"PERALTA")</f>
        <v>PERALTA</v>
      </c>
      <c r="F74" s="101" t="str">
        <f>IFERROR(__xludf.DUMMYFUNCTION("""COMPUTED_VALUE"""),"ALAICA")</f>
        <v>ALAICA</v>
      </c>
    </row>
    <row r="75">
      <c r="A75" s="131">
        <f>IFERROR(__xludf.DUMMYFUNCTION("""COMPUTED_VALUE"""),73.0)</f>
        <v>73</v>
      </c>
      <c r="B75" s="131"/>
      <c r="C75" s="131">
        <f>IFERROR(__xludf.DUMMYFUNCTION("""COMPUTED_VALUE"""),23.0)</f>
        <v>23</v>
      </c>
      <c r="D75" s="131" t="b">
        <f>IFERROR(__xludf.DUMMYFUNCTION("""COMPUTED_VALUE"""),FALSE)</f>
        <v>0</v>
      </c>
      <c r="E75" s="101"/>
      <c r="F75" s="101" t="str">
        <f>IFERROR(__xludf.DUMMYFUNCTION("""COMPUTED_VALUE"""),"ALISA")</f>
        <v>ALISA</v>
      </c>
    </row>
    <row r="76">
      <c r="A76" s="131">
        <f>IFERROR(__xludf.DUMMYFUNCTION("""COMPUTED_VALUE"""),74.0)</f>
        <v>74</v>
      </c>
      <c r="B76" s="131"/>
      <c r="C76" s="131">
        <f>IFERROR(__xludf.DUMMYFUNCTION("""COMPUTED_VALUE"""),23.0)</f>
        <v>23</v>
      </c>
      <c r="D76" s="131" t="b">
        <f>IFERROR(__xludf.DUMMYFUNCTION("""COMPUTED_VALUE"""),FALSE)</f>
        <v>0</v>
      </c>
      <c r="E76" s="101" t="str">
        <f>IFERROR(__xludf.DUMMYFUNCTION("""COMPUTED_VALUE"""),"VILLANUEVA")</f>
        <v>VILLANUEVA</v>
      </c>
      <c r="F76" s="101" t="str">
        <f>IFERROR(__xludf.DUMMYFUNCTION("""COMPUTED_VALUE"""),"SOFIA")</f>
        <v>SOFIA</v>
      </c>
    </row>
    <row r="77">
      <c r="A77" s="131">
        <f>IFERROR(__xludf.DUMMYFUNCTION("""COMPUTED_VALUE"""),75.0)</f>
        <v>75</v>
      </c>
      <c r="B77" s="131"/>
      <c r="C77" s="131">
        <f>IFERROR(__xludf.DUMMYFUNCTION("""COMPUTED_VALUE"""),23.0)</f>
        <v>23</v>
      </c>
      <c r="D77" s="131" t="b">
        <f>IFERROR(__xludf.DUMMYFUNCTION("""COMPUTED_VALUE"""),FALSE)</f>
        <v>0</v>
      </c>
      <c r="E77" s="101" t="str">
        <f>IFERROR(__xludf.DUMMYFUNCTION("""COMPUTED_VALUE"""),"TAKEYAMA")</f>
        <v>TAKEYAMA</v>
      </c>
      <c r="F77" s="101" t="str">
        <f>IFERROR(__xludf.DUMMYFUNCTION("""COMPUTED_VALUE"""),"YUKA")</f>
        <v>YUKA</v>
      </c>
    </row>
    <row r="78">
      <c r="A78" s="131">
        <f>IFERROR(__xludf.DUMMYFUNCTION("""COMPUTED_VALUE"""),76.0)</f>
        <v>76</v>
      </c>
      <c r="B78" s="131"/>
      <c r="C78" s="131">
        <f>IFERROR(__xludf.DUMMYFUNCTION("""COMPUTED_VALUE"""),76.0)</f>
        <v>76</v>
      </c>
      <c r="D78" s="131" t="b">
        <f>IFERROR(__xludf.DUMMYFUNCTION("""COMPUTED_VALUE"""),TRUE)</f>
        <v>1</v>
      </c>
      <c r="E78" s="105" t="str">
        <f>IFERROR(__xludf.DUMMYFUNCTION("""COMPUTED_VALUE"""),"ANTONIO")</f>
        <v>ANTONIO</v>
      </c>
      <c r="F78" s="105" t="str">
        <f>IFERROR(__xludf.DUMMYFUNCTION("""COMPUTED_VALUE"""),"CHOLO MIGUEL")</f>
        <v>CHOLO MIGUEL</v>
      </c>
    </row>
    <row r="79">
      <c r="A79" s="131">
        <f>IFERROR(__xludf.DUMMYFUNCTION("""COMPUTED_VALUE"""),77.0)</f>
        <v>77</v>
      </c>
      <c r="B79" s="131"/>
      <c r="C79" s="131">
        <f>IFERROR(__xludf.DUMMYFUNCTION("""COMPUTED_VALUE"""),76.0)</f>
        <v>76</v>
      </c>
      <c r="D79" s="131" t="b">
        <f>IFERROR(__xludf.DUMMYFUNCTION("""COMPUTED_VALUE"""),FALSE)</f>
        <v>0</v>
      </c>
      <c r="E79" s="106" t="str">
        <f>IFERROR(__xludf.DUMMYFUNCTION("""COMPUTED_VALUE"""),"ELCANA")</f>
        <v>ELCANA</v>
      </c>
      <c r="F79" s="106" t="str">
        <f>IFERROR(__xludf.DUMMYFUNCTION("""COMPUTED_VALUE"""),"JOAQUIN")</f>
        <v>JOAQUIN</v>
      </c>
    </row>
    <row r="80">
      <c r="A80" s="131">
        <f>IFERROR(__xludf.DUMMYFUNCTION("""COMPUTED_VALUE"""),78.0)</f>
        <v>78</v>
      </c>
      <c r="B80" s="131"/>
      <c r="C80" s="131">
        <f>IFERROR(__xludf.DUMMYFUNCTION("""COMPUTED_VALUE"""),76.0)</f>
        <v>76</v>
      </c>
      <c r="D80" s="131" t="b">
        <f>IFERROR(__xludf.DUMMYFUNCTION("""COMPUTED_VALUE"""),FALSE)</f>
        <v>0</v>
      </c>
      <c r="E80" s="107" t="str">
        <f>IFERROR(__xludf.DUMMYFUNCTION("""COMPUTED_VALUE"""),"VILLARTA")</f>
        <v>VILLARTA</v>
      </c>
      <c r="F80" s="107" t="str">
        <f>IFERROR(__xludf.DUMMYFUNCTION("""COMPUTED_VALUE"""),"JEXTER")</f>
        <v>JEXTER</v>
      </c>
    </row>
    <row r="81">
      <c r="A81" s="131">
        <f>IFERROR(__xludf.DUMMYFUNCTION("""COMPUTED_VALUE"""),79.0)</f>
        <v>79</v>
      </c>
      <c r="B81" s="131"/>
      <c r="C81" s="131">
        <f>IFERROR(__xludf.DUMMYFUNCTION("""COMPUTED_VALUE"""),76.0)</f>
        <v>76</v>
      </c>
      <c r="D81" s="131" t="b">
        <f>IFERROR(__xludf.DUMMYFUNCTION("""COMPUTED_VALUE"""),FALSE)</f>
        <v>0</v>
      </c>
      <c r="E81" s="107" t="str">
        <f>IFERROR(__xludf.DUMMYFUNCTION("""COMPUTED_VALUE"""),"MANUYAG")</f>
        <v>MANUYAG</v>
      </c>
      <c r="F81" s="107" t="str">
        <f>IFERROR(__xludf.DUMMYFUNCTION("""COMPUTED_VALUE"""),"RAYVER")</f>
        <v>RAYVER</v>
      </c>
    </row>
    <row r="82">
      <c r="A82" s="131">
        <f>IFERROR(__xludf.DUMMYFUNCTION("""COMPUTED_VALUE"""),80.0)</f>
        <v>80</v>
      </c>
      <c r="B82" s="131"/>
      <c r="C82" s="131">
        <f>IFERROR(__xludf.DUMMYFUNCTION("""COMPUTED_VALUE"""),76.0)</f>
        <v>76</v>
      </c>
      <c r="D82" s="131" t="b">
        <f>IFERROR(__xludf.DUMMYFUNCTION("""COMPUTED_VALUE"""),FALSE)</f>
        <v>0</v>
      </c>
      <c r="E82" s="108" t="str">
        <f>IFERROR(__xludf.DUMMYFUNCTION("""COMPUTED_VALUE"""),"RAAGAS")</f>
        <v>RAAGAS</v>
      </c>
      <c r="F82" s="108" t="str">
        <f>IFERROR(__xludf.DUMMYFUNCTION("""COMPUTED_VALUE"""),"PRINCE JHAMIR (YOHAN)")</f>
        <v>PRINCE JHAMIR (YOHAN)</v>
      </c>
    </row>
    <row r="83">
      <c r="A83" s="131">
        <f>IFERROR(__xludf.DUMMYFUNCTION("""COMPUTED_VALUE"""),81.0)</f>
        <v>81</v>
      </c>
      <c r="B83" s="131"/>
      <c r="C83" s="131">
        <f>IFERROR(__xludf.DUMMYFUNCTION("""COMPUTED_VALUE"""),76.0)</f>
        <v>76</v>
      </c>
      <c r="D83" s="131" t="b">
        <f>IFERROR(__xludf.DUMMYFUNCTION("""COMPUTED_VALUE"""),FALSE)</f>
        <v>0</v>
      </c>
      <c r="E83" s="107" t="str">
        <f>IFERROR(__xludf.DUMMYFUNCTION("""COMPUTED_VALUE"""),"MALOLOY-ON")</f>
        <v>MALOLOY-ON</v>
      </c>
      <c r="F83" s="107" t="str">
        <f>IFERROR(__xludf.DUMMYFUNCTION("""COMPUTED_VALUE"""),"HARLEY")</f>
        <v>HARLEY</v>
      </c>
    </row>
    <row r="84">
      <c r="A84" s="131">
        <f>IFERROR(__xludf.DUMMYFUNCTION("""COMPUTED_VALUE"""),82.0)</f>
        <v>82</v>
      </c>
      <c r="B84" s="131"/>
      <c r="C84" s="131">
        <f>IFERROR(__xludf.DUMMYFUNCTION("""COMPUTED_VALUE"""),76.0)</f>
        <v>76</v>
      </c>
      <c r="D84" s="131" t="b">
        <f>IFERROR(__xludf.DUMMYFUNCTION("""COMPUTED_VALUE"""),FALSE)</f>
        <v>0</v>
      </c>
      <c r="E84" s="106" t="str">
        <f>IFERROR(__xludf.DUMMYFUNCTION("""COMPUTED_VALUE"""),"MEDINA")</f>
        <v>MEDINA</v>
      </c>
      <c r="F84" s="106" t="str">
        <f>IFERROR(__xludf.DUMMYFUNCTION("""COMPUTED_VALUE"""),"JOHN PAUL")</f>
        <v>JOHN PAUL</v>
      </c>
    </row>
    <row r="85">
      <c r="A85" s="131">
        <f>IFERROR(__xludf.DUMMYFUNCTION("""COMPUTED_VALUE"""),83.0)</f>
        <v>83</v>
      </c>
      <c r="B85" s="131"/>
      <c r="C85" s="131">
        <f>IFERROR(__xludf.DUMMYFUNCTION("""COMPUTED_VALUE"""),76.0)</f>
        <v>76</v>
      </c>
      <c r="D85" s="131" t="b">
        <f>IFERROR(__xludf.DUMMYFUNCTION("""COMPUTED_VALUE"""),FALSE)</f>
        <v>0</v>
      </c>
      <c r="E85" s="107" t="str">
        <f>IFERROR(__xludf.DUMMYFUNCTION("""COMPUTED_VALUE"""),"SALTA")</f>
        <v>SALTA</v>
      </c>
      <c r="F85" s="107" t="str">
        <f>IFERROR(__xludf.DUMMYFUNCTION("""COMPUTED_VALUE"""),"KARL")</f>
        <v>KARL</v>
      </c>
    </row>
    <row r="86">
      <c r="A86" s="131">
        <f>IFERROR(__xludf.DUMMYFUNCTION("""COMPUTED_VALUE"""),84.0)</f>
        <v>84</v>
      </c>
      <c r="B86" s="131"/>
      <c r="C86" s="131">
        <f>IFERROR(__xludf.DUMMYFUNCTION("""COMPUTED_VALUE"""),76.0)</f>
        <v>76</v>
      </c>
      <c r="D86" s="131" t="b">
        <f>IFERROR(__xludf.DUMMYFUNCTION("""COMPUTED_VALUE"""),FALSE)</f>
        <v>0</v>
      </c>
      <c r="E86" s="107" t="str">
        <f>IFERROR(__xludf.DUMMYFUNCTION("""COMPUTED_VALUE"""),"ROBLOS")</f>
        <v>ROBLOS</v>
      </c>
      <c r="F86" s="107" t="str">
        <f>IFERROR(__xludf.DUMMYFUNCTION("""COMPUTED_VALUE"""),"CEDRIC")</f>
        <v>CEDRIC</v>
      </c>
    </row>
    <row r="87">
      <c r="A87" s="131">
        <f>IFERROR(__xludf.DUMMYFUNCTION("""COMPUTED_VALUE"""),85.0)</f>
        <v>85</v>
      </c>
      <c r="B87" s="131"/>
      <c r="C87" s="131">
        <f>IFERROR(__xludf.DUMMYFUNCTION("""COMPUTED_VALUE"""),76.0)</f>
        <v>76</v>
      </c>
      <c r="D87" s="131" t="b">
        <f>IFERROR(__xludf.DUMMYFUNCTION("""COMPUTED_VALUE"""),FALSE)</f>
        <v>0</v>
      </c>
      <c r="E87" s="107" t="str">
        <f>IFERROR(__xludf.DUMMYFUNCTION("""COMPUTED_VALUE"""),"RIVAS")</f>
        <v>RIVAS</v>
      </c>
      <c r="F87" s="107" t="str">
        <f>IFERROR(__xludf.DUMMYFUNCTION("""COMPUTED_VALUE"""),"RAY ALLEN")</f>
        <v>RAY ALLEN</v>
      </c>
    </row>
    <row r="88">
      <c r="A88" s="131">
        <f>IFERROR(__xludf.DUMMYFUNCTION("""COMPUTED_VALUE"""),86.0)</f>
        <v>86</v>
      </c>
      <c r="B88" s="131"/>
      <c r="C88" s="131">
        <f>IFERROR(__xludf.DUMMYFUNCTION("""COMPUTED_VALUE"""),76.0)</f>
        <v>76</v>
      </c>
      <c r="D88" s="131" t="b">
        <f>IFERROR(__xludf.DUMMYFUNCTION("""COMPUTED_VALUE"""),FALSE)</f>
        <v>0</v>
      </c>
      <c r="E88" s="107" t="str">
        <f>IFERROR(__xludf.DUMMYFUNCTION("""COMPUTED_VALUE"""),"MAGDANGAN")</f>
        <v>MAGDANGAN</v>
      </c>
      <c r="F88" s="107" t="str">
        <f>IFERROR(__xludf.DUMMYFUNCTION("""COMPUTED_VALUE"""),"DENMARK")</f>
        <v>DENMARK</v>
      </c>
    </row>
    <row r="89">
      <c r="A89" s="131">
        <f>IFERROR(__xludf.DUMMYFUNCTION("""COMPUTED_VALUE"""),87.0)</f>
        <v>87</v>
      </c>
      <c r="B89" s="131"/>
      <c r="C89" s="131">
        <f>IFERROR(__xludf.DUMMYFUNCTION("""COMPUTED_VALUE"""),76.0)</f>
        <v>76</v>
      </c>
      <c r="D89" s="131" t="b">
        <f>IFERROR(__xludf.DUMMYFUNCTION("""COMPUTED_VALUE"""),FALSE)</f>
        <v>0</v>
      </c>
      <c r="E89" s="106" t="str">
        <f>IFERROR(__xludf.DUMMYFUNCTION("""COMPUTED_VALUE"""),"SABONG")</f>
        <v>SABONG</v>
      </c>
      <c r="F89" s="106" t="str">
        <f>IFERROR(__xludf.DUMMYFUNCTION("""COMPUTED_VALUE"""),"VINCE")</f>
        <v>VINCE</v>
      </c>
    </row>
    <row r="90">
      <c r="A90" s="131">
        <f>IFERROR(__xludf.DUMMYFUNCTION("""COMPUTED_VALUE"""),88.0)</f>
        <v>88</v>
      </c>
      <c r="B90" s="131"/>
      <c r="C90" s="131">
        <f>IFERROR(__xludf.DUMMYFUNCTION("""COMPUTED_VALUE"""),76.0)</f>
        <v>76</v>
      </c>
      <c r="D90" s="131" t="b">
        <f>IFERROR(__xludf.DUMMYFUNCTION("""COMPUTED_VALUE"""),FALSE)</f>
        <v>0</v>
      </c>
      <c r="E90" s="107" t="str">
        <f>IFERROR(__xludf.DUMMYFUNCTION("""COMPUTED_VALUE"""),"AQUINO")</f>
        <v>AQUINO</v>
      </c>
      <c r="F90" s="107" t="str">
        <f>IFERROR(__xludf.DUMMYFUNCTION("""COMPUTED_VALUE"""),"MARVIN")</f>
        <v>MARVIN</v>
      </c>
    </row>
    <row r="91">
      <c r="A91" s="131">
        <f>IFERROR(__xludf.DUMMYFUNCTION("""COMPUTED_VALUE"""),89.0)</f>
        <v>89</v>
      </c>
      <c r="B91" s="131"/>
      <c r="C91" s="131">
        <f>IFERROR(__xludf.DUMMYFUNCTION("""COMPUTED_VALUE"""),76.0)</f>
        <v>76</v>
      </c>
      <c r="D91" s="131" t="b">
        <f>IFERROR(__xludf.DUMMYFUNCTION("""COMPUTED_VALUE"""),FALSE)</f>
        <v>0</v>
      </c>
      <c r="E91" s="109" t="str">
        <f>IFERROR(__xludf.DUMMYFUNCTION("""COMPUTED_VALUE"""),"LANOZO")</f>
        <v>LANOZO</v>
      </c>
      <c r="F91" s="109" t="str">
        <f>IFERROR(__xludf.DUMMYFUNCTION("""COMPUTED_VALUE"""),"REGGIENALD")</f>
        <v>REGGIENALD</v>
      </c>
    </row>
    <row r="92">
      <c r="A92" s="131">
        <f>IFERROR(__xludf.DUMMYFUNCTION("""COMPUTED_VALUE"""),90.0)</f>
        <v>90</v>
      </c>
      <c r="B92" s="131"/>
      <c r="C92" s="131">
        <f>IFERROR(__xludf.DUMMYFUNCTION("""COMPUTED_VALUE"""),76.0)</f>
        <v>76</v>
      </c>
      <c r="D92" s="131" t="b">
        <f>IFERROR(__xludf.DUMMYFUNCTION("""COMPUTED_VALUE"""),FALSE)</f>
        <v>0</v>
      </c>
      <c r="E92" s="110" t="str">
        <f>IFERROR(__xludf.DUMMYFUNCTION("""COMPUTED_VALUE"""),"QUIRONA")</f>
        <v>QUIRONA</v>
      </c>
      <c r="F92" s="110" t="str">
        <f>IFERROR(__xludf.DUMMYFUNCTION("""COMPUTED_VALUE"""),"IAN CHRISTOPHER")</f>
        <v>IAN CHRISTOPHER</v>
      </c>
    </row>
    <row r="93">
      <c r="A93" s="131">
        <f>IFERROR(__xludf.DUMMYFUNCTION("""COMPUTED_VALUE"""),91.0)</f>
        <v>91</v>
      </c>
      <c r="B93" s="131"/>
      <c r="C93" s="131">
        <f>IFERROR(__xludf.DUMMYFUNCTION("""COMPUTED_VALUE"""),76.0)</f>
        <v>76</v>
      </c>
      <c r="D93" s="131" t="b">
        <f>IFERROR(__xludf.DUMMYFUNCTION("""COMPUTED_VALUE"""),FALSE)</f>
        <v>0</v>
      </c>
      <c r="E93" s="110" t="str">
        <f>IFERROR(__xludf.DUMMYFUNCTION("""COMPUTED_VALUE"""),"BAUYON")</f>
        <v>BAUYON</v>
      </c>
      <c r="F93" s="110" t="str">
        <f>IFERROR(__xludf.DUMMYFUNCTION("""COMPUTED_VALUE"""),"JOHN CARLO")</f>
        <v>JOHN CARLO</v>
      </c>
    </row>
    <row r="94">
      <c r="A94" s="131">
        <f>IFERROR(__xludf.DUMMYFUNCTION("""COMPUTED_VALUE"""),92.0)</f>
        <v>92</v>
      </c>
      <c r="B94" s="131"/>
      <c r="C94" s="131">
        <f>IFERROR(__xludf.DUMMYFUNCTION("""COMPUTED_VALUE"""),76.0)</f>
        <v>76</v>
      </c>
      <c r="D94" s="131" t="b">
        <f>IFERROR(__xludf.DUMMYFUNCTION("""COMPUTED_VALUE"""),FALSE)</f>
        <v>0</v>
      </c>
      <c r="E94" s="111" t="str">
        <f>IFERROR(__xludf.DUMMYFUNCTION("""COMPUTED_VALUE"""),"FIGUEROA")</f>
        <v>FIGUEROA</v>
      </c>
      <c r="F94" s="111" t="str">
        <f>IFERROR(__xludf.DUMMYFUNCTION("""COMPUTED_VALUE"""),"RONALD")</f>
        <v>RONALD</v>
      </c>
    </row>
    <row r="95">
      <c r="A95" s="131"/>
      <c r="B95" s="131"/>
      <c r="C95" s="131"/>
      <c r="D95" s="131"/>
      <c r="E95" s="112"/>
      <c r="F95" s="112"/>
    </row>
    <row r="96">
      <c r="A96" s="131"/>
      <c r="B96" s="131"/>
      <c r="C96" s="131"/>
      <c r="D96" s="131"/>
      <c r="E96" s="112"/>
      <c r="F96" s="112"/>
    </row>
    <row r="97">
      <c r="A97" s="131"/>
      <c r="B97" s="131"/>
      <c r="C97" s="131"/>
      <c r="D97" s="131"/>
      <c r="E97" s="112"/>
      <c r="F97" s="112"/>
    </row>
    <row r="98">
      <c r="A98" s="131"/>
      <c r="B98" s="131"/>
      <c r="C98" s="131"/>
      <c r="D98" s="131"/>
      <c r="E98" s="112"/>
      <c r="F98" s="112"/>
    </row>
    <row r="99">
      <c r="A99" s="131"/>
      <c r="B99" s="131"/>
      <c r="C99" s="131">
        <f>IFERROR(__xludf.DUMMYFUNCTION("""COMPUTED_VALUE"""),76.0)</f>
        <v>76</v>
      </c>
      <c r="D99" s="131" t="b">
        <f>IFERROR(__xludf.DUMMYFUNCTION("""COMPUTED_VALUE"""),FALSE)</f>
        <v>0</v>
      </c>
      <c r="E99" s="113" t="str">
        <f>IFERROR(__xludf.DUMMYFUNCTION("""COMPUTED_VALUE"""),"INACTIVE")</f>
        <v>INACTIVE</v>
      </c>
      <c r="F99" s="110"/>
    </row>
    <row r="100">
      <c r="A100" s="131">
        <f>IFERROR(__xludf.DUMMYFUNCTION("""COMPUTED_VALUE"""),99.0)</f>
        <v>99</v>
      </c>
      <c r="B100" s="131"/>
      <c r="C100" s="131">
        <f>IFERROR(__xludf.DUMMYFUNCTION("""COMPUTED_VALUE"""),76.0)</f>
        <v>76</v>
      </c>
      <c r="D100" s="131" t="b">
        <f>IFERROR(__xludf.DUMMYFUNCTION("""COMPUTED_VALUE"""),FALSE)</f>
        <v>0</v>
      </c>
      <c r="E100" s="114" t="str">
        <f>IFERROR(__xludf.DUMMYFUNCTION("""COMPUTED_VALUE"""),"BONIFACIO")</f>
        <v>BONIFACIO</v>
      </c>
      <c r="F100" s="114" t="str">
        <f>IFERROR(__xludf.DUMMYFUNCTION("""COMPUTED_VALUE"""),"JUNIOR")</f>
        <v>JUNIOR</v>
      </c>
    </row>
    <row r="101">
      <c r="A101" s="131">
        <f>IFERROR(__xludf.DUMMYFUNCTION("""COMPUTED_VALUE"""),100.0)</f>
        <v>100</v>
      </c>
      <c r="B101" s="131"/>
      <c r="C101" s="131">
        <f>IFERROR(__xludf.DUMMYFUNCTION("""COMPUTED_VALUE"""),76.0)</f>
        <v>76</v>
      </c>
      <c r="D101" s="131" t="b">
        <f>IFERROR(__xludf.DUMMYFUNCTION("""COMPUTED_VALUE"""),FALSE)</f>
        <v>0</v>
      </c>
      <c r="E101" s="114" t="str">
        <f>IFERROR(__xludf.DUMMYFUNCTION("""COMPUTED_VALUE"""),"CASTILLO")</f>
        <v>CASTILLO</v>
      </c>
      <c r="F101" s="114" t="str">
        <f>IFERROR(__xludf.DUMMYFUNCTION("""COMPUTED_VALUE"""),"JOHNREY")</f>
        <v>JOHNREY</v>
      </c>
    </row>
    <row r="102">
      <c r="A102" s="131">
        <f>IFERROR(__xludf.DUMMYFUNCTION("""COMPUTED_VALUE"""),101.0)</f>
        <v>101</v>
      </c>
      <c r="B102" s="131"/>
      <c r="C102" s="131">
        <f>IFERROR(__xludf.DUMMYFUNCTION("""COMPUTED_VALUE"""),76.0)</f>
        <v>76</v>
      </c>
      <c r="D102" s="131" t="b">
        <f>IFERROR(__xludf.DUMMYFUNCTION("""COMPUTED_VALUE"""),FALSE)</f>
        <v>0</v>
      </c>
      <c r="E102" s="114" t="str">
        <f>IFERROR(__xludf.DUMMYFUNCTION("""COMPUTED_VALUE"""),"MENDOZA")</f>
        <v>MENDOZA</v>
      </c>
      <c r="F102" s="114" t="str">
        <f>IFERROR(__xludf.DUMMYFUNCTION("""COMPUTED_VALUE"""),"JUSTINE IAN")</f>
        <v>JUSTINE IAN</v>
      </c>
    </row>
    <row r="103">
      <c r="A103" s="131">
        <f>IFERROR(__xludf.DUMMYFUNCTION("""COMPUTED_VALUE"""),102.0)</f>
        <v>102</v>
      </c>
      <c r="B103" s="131"/>
      <c r="C103" s="131">
        <f>IFERROR(__xludf.DUMMYFUNCTION("""COMPUTED_VALUE"""),76.0)</f>
        <v>76</v>
      </c>
      <c r="D103" s="131" t="b">
        <f>IFERROR(__xludf.DUMMYFUNCTION("""COMPUTED_VALUE"""),FALSE)</f>
        <v>0</v>
      </c>
      <c r="E103" s="114" t="str">
        <f>IFERROR(__xludf.DUMMYFUNCTION("""COMPUTED_VALUE"""),"FERMIN")</f>
        <v>FERMIN</v>
      </c>
      <c r="F103" s="114" t="str">
        <f>IFERROR(__xludf.DUMMYFUNCTION("""COMPUTED_VALUE"""),"HARIMAR")</f>
        <v>HARIMAR</v>
      </c>
    </row>
    <row r="104">
      <c r="A104" s="131">
        <f>IFERROR(__xludf.DUMMYFUNCTION("""COMPUTED_VALUE"""),103.0)</f>
        <v>103</v>
      </c>
      <c r="B104" s="131"/>
      <c r="C104" s="131">
        <f>IFERROR(__xludf.DUMMYFUNCTION("""COMPUTED_VALUE"""),76.0)</f>
        <v>76</v>
      </c>
      <c r="D104" s="131" t="b">
        <f>IFERROR(__xludf.DUMMYFUNCTION("""COMPUTED_VALUE"""),FALSE)</f>
        <v>0</v>
      </c>
      <c r="E104" s="114" t="str">
        <f>IFERROR(__xludf.DUMMYFUNCTION("""COMPUTED_VALUE"""),"ADEME")</f>
        <v>ADEME</v>
      </c>
      <c r="F104" s="114" t="str">
        <f>IFERROR(__xludf.DUMMYFUNCTION("""COMPUTED_VALUE"""),"JOHN EVO")</f>
        <v>JOHN EVO</v>
      </c>
    </row>
    <row r="105">
      <c r="A105" s="131">
        <f>IFERROR(__xludf.DUMMYFUNCTION("""COMPUTED_VALUE"""),104.0)</f>
        <v>104</v>
      </c>
      <c r="B105" s="131"/>
      <c r="C105" s="131">
        <f>IFERROR(__xludf.DUMMYFUNCTION("""COMPUTED_VALUE"""),76.0)</f>
        <v>76</v>
      </c>
      <c r="D105" s="131" t="b">
        <f>IFERROR(__xludf.DUMMYFUNCTION("""COMPUTED_VALUE"""),FALSE)</f>
        <v>0</v>
      </c>
      <c r="E105" s="114" t="str">
        <f>IFERROR(__xludf.DUMMYFUNCTION("""COMPUTED_VALUE"""),"FLAGNE")</f>
        <v>FLAGNE</v>
      </c>
      <c r="F105" s="114" t="str">
        <f>IFERROR(__xludf.DUMMYFUNCTION("""COMPUTED_VALUE"""),"JHANDY")</f>
        <v>JHANDY</v>
      </c>
    </row>
    <row r="106">
      <c r="A106" s="131">
        <f>IFERROR(__xludf.DUMMYFUNCTION("""COMPUTED_VALUE"""),105.0)</f>
        <v>105</v>
      </c>
      <c r="B106" s="131"/>
      <c r="C106" s="131">
        <f>IFERROR(__xludf.DUMMYFUNCTION("""COMPUTED_VALUE"""),76.0)</f>
        <v>76</v>
      </c>
      <c r="D106" s="131" t="b">
        <f>IFERROR(__xludf.DUMMYFUNCTION("""COMPUTED_VALUE"""),FALSE)</f>
        <v>0</v>
      </c>
      <c r="E106" s="114" t="str">
        <f>IFERROR(__xludf.DUMMYFUNCTION("""COMPUTED_VALUE"""),"GURION")</f>
        <v>GURION</v>
      </c>
      <c r="F106" s="114" t="str">
        <f>IFERROR(__xludf.DUMMYFUNCTION("""COMPUTED_VALUE"""),"ARJIE")</f>
        <v>ARJIE</v>
      </c>
    </row>
    <row r="107">
      <c r="A107" s="131">
        <f>IFERROR(__xludf.DUMMYFUNCTION("""COMPUTED_VALUE"""),106.0)</f>
        <v>106</v>
      </c>
      <c r="B107" s="131"/>
      <c r="C107" s="131">
        <f>IFERROR(__xludf.DUMMYFUNCTION("""COMPUTED_VALUE"""),76.0)</f>
        <v>76</v>
      </c>
      <c r="D107" s="131" t="b">
        <f>IFERROR(__xludf.DUMMYFUNCTION("""COMPUTED_VALUE"""),FALSE)</f>
        <v>0</v>
      </c>
      <c r="E107" s="114" t="str">
        <f>IFERROR(__xludf.DUMMYFUNCTION("""COMPUTED_VALUE"""),"INAJE")</f>
        <v>INAJE</v>
      </c>
      <c r="F107" s="114" t="str">
        <f>IFERROR(__xludf.DUMMYFUNCTION("""COMPUTED_VALUE"""),"JAYSON")</f>
        <v>JAYSON</v>
      </c>
    </row>
    <row r="108">
      <c r="A108" s="131">
        <f>IFERROR(__xludf.DUMMYFUNCTION("""COMPUTED_VALUE"""),107.0)</f>
        <v>107</v>
      </c>
      <c r="B108" s="131"/>
      <c r="C108" s="131">
        <f>IFERROR(__xludf.DUMMYFUNCTION("""COMPUTED_VALUE"""),76.0)</f>
        <v>76</v>
      </c>
      <c r="D108" s="131" t="b">
        <f>IFERROR(__xludf.DUMMYFUNCTION("""COMPUTED_VALUE"""),FALSE)</f>
        <v>0</v>
      </c>
      <c r="E108" s="114" t="str">
        <f>IFERROR(__xludf.DUMMYFUNCTION("""COMPUTED_VALUE"""),"LUANGCO")</f>
        <v>LUANGCO</v>
      </c>
      <c r="F108" s="114" t="str">
        <f>IFERROR(__xludf.DUMMYFUNCTION("""COMPUTED_VALUE"""),"MARKHIEL")</f>
        <v>MARKHIEL</v>
      </c>
    </row>
    <row r="109">
      <c r="A109" s="131">
        <f>IFERROR(__xludf.DUMMYFUNCTION("""COMPUTED_VALUE"""),108.0)</f>
        <v>108</v>
      </c>
      <c r="B109" s="131"/>
      <c r="C109" s="131">
        <f>IFERROR(__xludf.DUMMYFUNCTION("""COMPUTED_VALUE"""),76.0)</f>
        <v>76</v>
      </c>
      <c r="D109" s="131" t="b">
        <f>IFERROR(__xludf.DUMMYFUNCTION("""COMPUTED_VALUE"""),FALSE)</f>
        <v>0</v>
      </c>
      <c r="E109" s="114" t="str">
        <f>IFERROR(__xludf.DUMMYFUNCTION("""COMPUTED_VALUE"""),"NAPARATO")</f>
        <v>NAPARATO</v>
      </c>
      <c r="F109" s="114" t="str">
        <f>IFERROR(__xludf.DUMMYFUNCTION("""COMPUTED_VALUE"""),"JONEL")</f>
        <v>JONEL</v>
      </c>
    </row>
    <row r="110">
      <c r="A110" s="131">
        <f>IFERROR(__xludf.DUMMYFUNCTION("""COMPUTED_VALUE"""),109.0)</f>
        <v>109</v>
      </c>
      <c r="B110" s="131"/>
      <c r="C110" s="131">
        <f>IFERROR(__xludf.DUMMYFUNCTION("""COMPUTED_VALUE"""),76.0)</f>
        <v>76</v>
      </c>
      <c r="D110" s="131" t="b">
        <f>IFERROR(__xludf.DUMMYFUNCTION("""COMPUTED_VALUE"""),FALSE)</f>
        <v>0</v>
      </c>
      <c r="E110" s="114" t="str">
        <f>IFERROR(__xludf.DUMMYFUNCTION("""COMPUTED_VALUE"""),"NAPARATO")</f>
        <v>NAPARATO</v>
      </c>
      <c r="F110" s="114" t="str">
        <f>IFERROR(__xludf.DUMMYFUNCTION("""COMPUTED_VALUE"""),"JEFF")</f>
        <v>JEFF</v>
      </c>
    </row>
    <row r="111">
      <c r="A111" s="131">
        <f>IFERROR(__xludf.DUMMYFUNCTION("""COMPUTED_VALUE"""),110.0)</f>
        <v>110</v>
      </c>
      <c r="B111" s="131"/>
      <c r="C111" s="131">
        <f>IFERROR(__xludf.DUMMYFUNCTION("""COMPUTED_VALUE"""),76.0)</f>
        <v>76</v>
      </c>
      <c r="D111" s="131" t="b">
        <f>IFERROR(__xludf.DUMMYFUNCTION("""COMPUTED_VALUE"""),FALSE)</f>
        <v>0</v>
      </c>
      <c r="E111" s="114" t="str">
        <f>IFERROR(__xludf.DUMMYFUNCTION("""COMPUTED_VALUE"""),"PABILLO")</f>
        <v>PABILLO</v>
      </c>
      <c r="F111" s="114" t="str">
        <f>IFERROR(__xludf.DUMMYFUNCTION("""COMPUTED_VALUE"""),"PRINCE ALECK")</f>
        <v>PRINCE ALECK</v>
      </c>
    </row>
    <row r="112">
      <c r="A112" s="131">
        <f>IFERROR(__xludf.DUMMYFUNCTION("""COMPUTED_VALUE"""),111.0)</f>
        <v>111</v>
      </c>
      <c r="B112" s="131"/>
      <c r="C112" s="131">
        <f>IFERROR(__xludf.DUMMYFUNCTION("""COMPUTED_VALUE"""),76.0)</f>
        <v>76</v>
      </c>
      <c r="D112" s="131" t="b">
        <f>IFERROR(__xludf.DUMMYFUNCTION("""COMPUTED_VALUE"""),FALSE)</f>
        <v>0</v>
      </c>
      <c r="E112" s="114" t="str">
        <f>IFERROR(__xludf.DUMMYFUNCTION("""COMPUTED_VALUE"""),"PRINCESA")</f>
        <v>PRINCESA</v>
      </c>
      <c r="F112" s="114" t="str">
        <f>IFERROR(__xludf.DUMMYFUNCTION("""COMPUTED_VALUE"""),"ADRIAN CARL")</f>
        <v>ADRIAN CARL</v>
      </c>
    </row>
    <row r="113">
      <c r="A113" s="131">
        <f>IFERROR(__xludf.DUMMYFUNCTION("""COMPUTED_VALUE"""),112.0)</f>
        <v>112</v>
      </c>
      <c r="B113" s="131"/>
      <c r="C113" s="131">
        <f>IFERROR(__xludf.DUMMYFUNCTION("""COMPUTED_VALUE"""),76.0)</f>
        <v>76</v>
      </c>
      <c r="D113" s="131" t="b">
        <f>IFERROR(__xludf.DUMMYFUNCTION("""COMPUTED_VALUE"""),FALSE)</f>
        <v>0</v>
      </c>
      <c r="E113" s="114" t="str">
        <f>IFERROR(__xludf.DUMMYFUNCTION("""COMPUTED_VALUE"""),"RAMOS")</f>
        <v>RAMOS</v>
      </c>
      <c r="F113" s="114" t="str">
        <f>IFERROR(__xludf.DUMMYFUNCTION("""COMPUTED_VALUE"""),"JEREMIAH")</f>
        <v>JEREMIAH</v>
      </c>
    </row>
    <row r="114">
      <c r="A114" s="131">
        <f>IFERROR(__xludf.DUMMYFUNCTION("""COMPUTED_VALUE"""),113.0)</f>
        <v>113</v>
      </c>
      <c r="B114" s="131"/>
      <c r="C114" s="131">
        <f>IFERROR(__xludf.DUMMYFUNCTION("""COMPUTED_VALUE"""),76.0)</f>
        <v>76</v>
      </c>
      <c r="D114" s="131" t="b">
        <f>IFERROR(__xludf.DUMMYFUNCTION("""COMPUTED_VALUE"""),FALSE)</f>
        <v>0</v>
      </c>
      <c r="E114" s="114" t="str">
        <f>IFERROR(__xludf.DUMMYFUNCTION("""COMPUTED_VALUE"""),"RAMOS")</f>
        <v>RAMOS</v>
      </c>
      <c r="F114" s="114" t="str">
        <f>IFERROR(__xludf.DUMMYFUNCTION("""COMPUTED_VALUE"""),"MATTHEW")</f>
        <v>MATTHEW</v>
      </c>
    </row>
    <row r="115">
      <c r="A115" s="131">
        <f>IFERROR(__xludf.DUMMYFUNCTION("""COMPUTED_VALUE"""),114.0)</f>
        <v>114</v>
      </c>
      <c r="B115" s="131"/>
      <c r="C115" s="131">
        <f>IFERROR(__xludf.DUMMYFUNCTION("""COMPUTED_VALUE"""),76.0)</f>
        <v>76</v>
      </c>
      <c r="D115" s="131" t="b">
        <f>IFERROR(__xludf.DUMMYFUNCTION("""COMPUTED_VALUE"""),FALSE)</f>
        <v>0</v>
      </c>
      <c r="E115" s="114" t="str">
        <f>IFERROR(__xludf.DUMMYFUNCTION("""COMPUTED_VALUE"""),"RAMOS")</f>
        <v>RAMOS</v>
      </c>
      <c r="F115" s="114" t="str">
        <f>IFERROR(__xludf.DUMMYFUNCTION("""COMPUTED_VALUE"""),"JONAS")</f>
        <v>JONAS</v>
      </c>
    </row>
    <row r="116">
      <c r="A116" s="131">
        <f>IFERROR(__xludf.DUMMYFUNCTION("""COMPUTED_VALUE"""),115.0)</f>
        <v>115</v>
      </c>
      <c r="B116" s="131"/>
      <c r="C116" s="131">
        <f>IFERROR(__xludf.DUMMYFUNCTION("""COMPUTED_VALUE"""),76.0)</f>
        <v>76</v>
      </c>
      <c r="D116" s="131" t="b">
        <f>IFERROR(__xludf.DUMMYFUNCTION("""COMPUTED_VALUE"""),FALSE)</f>
        <v>0</v>
      </c>
      <c r="E116" s="114" t="str">
        <f>IFERROR(__xludf.DUMMYFUNCTION("""COMPUTED_VALUE"""),"ROMANO")</f>
        <v>ROMANO</v>
      </c>
      <c r="F116" s="114" t="str">
        <f>IFERROR(__xludf.DUMMYFUNCTION("""COMPUTED_VALUE"""),"XIANREY")</f>
        <v>XIANREY</v>
      </c>
    </row>
    <row r="117">
      <c r="A117" s="131">
        <f>IFERROR(__xludf.DUMMYFUNCTION("""COMPUTED_VALUE"""),116.0)</f>
        <v>116</v>
      </c>
      <c r="B117" s="131"/>
      <c r="C117" s="131">
        <f>IFERROR(__xludf.DUMMYFUNCTION("""COMPUTED_VALUE"""),76.0)</f>
        <v>76</v>
      </c>
      <c r="D117" s="131" t="b">
        <f>IFERROR(__xludf.DUMMYFUNCTION("""COMPUTED_VALUE"""),FALSE)</f>
        <v>0</v>
      </c>
      <c r="E117" s="114" t="str">
        <f>IFERROR(__xludf.DUMMYFUNCTION("""COMPUTED_VALUE"""),"AMBROCIO")</f>
        <v>AMBROCIO</v>
      </c>
      <c r="F117" s="114" t="str">
        <f>IFERROR(__xludf.DUMMYFUNCTION("""COMPUTED_VALUE"""),"JAMES")</f>
        <v>JAMES</v>
      </c>
    </row>
    <row r="118">
      <c r="A118" s="131">
        <f>IFERROR(__xludf.DUMMYFUNCTION("""COMPUTED_VALUE"""),117.0)</f>
        <v>117</v>
      </c>
      <c r="B118" s="131"/>
      <c r="C118" s="131">
        <f>IFERROR(__xludf.DUMMYFUNCTION("""COMPUTED_VALUE"""),76.0)</f>
        <v>76</v>
      </c>
      <c r="D118" s="131" t="b">
        <f>IFERROR(__xludf.DUMMYFUNCTION("""COMPUTED_VALUE"""),FALSE)</f>
        <v>0</v>
      </c>
      <c r="E118" s="114" t="str">
        <f>IFERROR(__xludf.DUMMYFUNCTION("""COMPUTED_VALUE"""),"PANADO")</f>
        <v>PANADO</v>
      </c>
      <c r="F118" s="114" t="str">
        <f>IFERROR(__xludf.DUMMYFUNCTION("""COMPUTED_VALUE"""),"JAMES")</f>
        <v>JAMES</v>
      </c>
    </row>
    <row r="119">
      <c r="A119" s="131">
        <f>IFERROR(__xludf.DUMMYFUNCTION("""COMPUTED_VALUE"""),118.0)</f>
        <v>118</v>
      </c>
      <c r="B119" s="131"/>
      <c r="C119" s="131">
        <f>IFERROR(__xludf.DUMMYFUNCTION("""COMPUTED_VALUE"""),76.0)</f>
        <v>76</v>
      </c>
      <c r="D119" s="131" t="b">
        <f>IFERROR(__xludf.DUMMYFUNCTION("""COMPUTED_VALUE"""),FALSE)</f>
        <v>0</v>
      </c>
      <c r="E119" s="114" t="str">
        <f>IFERROR(__xludf.DUMMYFUNCTION("""COMPUTED_VALUE"""),"MALLARI")</f>
        <v>MALLARI</v>
      </c>
      <c r="F119" s="114" t="str">
        <f>IFERROR(__xludf.DUMMYFUNCTION("""COMPUTED_VALUE"""),"JAY IAN")</f>
        <v>JAY IAN</v>
      </c>
    </row>
    <row r="120">
      <c r="A120" s="131"/>
      <c r="B120" s="131"/>
      <c r="C120" s="131"/>
      <c r="D120" s="131"/>
      <c r="E120" s="131"/>
      <c r="F120" s="131"/>
    </row>
    <row r="121">
      <c r="A121" s="131">
        <f>IFERROR(__xludf.DUMMYFUNCTION("""COMPUTED_VALUE"""),120.0)</f>
        <v>120</v>
      </c>
      <c r="B121" s="131"/>
      <c r="C121" s="131">
        <f>IFERROR(__xludf.DUMMYFUNCTION("""COMPUTED_VALUE"""),120.0)</f>
        <v>120</v>
      </c>
      <c r="D121" s="131" t="b">
        <f>IFERROR(__xludf.DUMMYFUNCTION("""COMPUTED_VALUE"""),TRUE)</f>
        <v>1</v>
      </c>
      <c r="E121" s="105" t="str">
        <f>IFERROR(__xludf.DUMMYFUNCTION("""COMPUTED_VALUE"""),"MACASA")</f>
        <v>MACASA</v>
      </c>
      <c r="F121" s="105" t="str">
        <f>IFERROR(__xludf.DUMMYFUNCTION("""COMPUTED_VALUE"""),"POLO")</f>
        <v>POLO</v>
      </c>
      <c r="I121" s="90" t="s">
        <v>4</v>
      </c>
      <c r="N121" s="90" t="b">
        <v>1</v>
      </c>
    </row>
    <row r="122">
      <c r="A122" s="131">
        <f>IFERROR(__xludf.DUMMYFUNCTION("""COMPUTED_VALUE"""),121.0)</f>
        <v>121</v>
      </c>
      <c r="B122" s="131"/>
      <c r="C122" s="131">
        <f>IFERROR(__xludf.DUMMYFUNCTION("""COMPUTED_VALUE"""),120.0)</f>
        <v>120</v>
      </c>
      <c r="D122" s="131" t="b">
        <f>IFERROR(__xludf.DUMMYFUNCTION("""COMPUTED_VALUE"""),FALSE)</f>
        <v>0</v>
      </c>
      <c r="E122" s="115" t="str">
        <f>IFERROR(__xludf.DUMMYFUNCTION("""COMPUTED_VALUE"""),"ALCANTARA")</f>
        <v>ALCANTARA</v>
      </c>
      <c r="F122" s="107" t="str">
        <f>IFERROR(__xludf.DUMMYFUNCTION("""COMPUTED_VALUE"""),"GERALD")</f>
        <v>GERALD</v>
      </c>
    </row>
    <row r="123">
      <c r="A123" s="131">
        <f>IFERROR(__xludf.DUMMYFUNCTION("""COMPUTED_VALUE"""),122.0)</f>
        <v>122</v>
      </c>
      <c r="B123" s="131"/>
      <c r="C123" s="131">
        <f>IFERROR(__xludf.DUMMYFUNCTION("""COMPUTED_VALUE"""),120.0)</f>
        <v>120</v>
      </c>
      <c r="D123" s="131" t="b">
        <f>IFERROR(__xludf.DUMMYFUNCTION("""COMPUTED_VALUE"""),FALSE)</f>
        <v>0</v>
      </c>
      <c r="E123" s="107" t="str">
        <f>IFERROR(__xludf.DUMMYFUNCTION("""COMPUTED_VALUE"""),"ALVIAR")</f>
        <v>ALVIAR</v>
      </c>
      <c r="F123" s="107" t="str">
        <f>IFERROR(__xludf.DUMMYFUNCTION("""COMPUTED_VALUE"""),"PETER")</f>
        <v>PETER</v>
      </c>
    </row>
    <row r="124">
      <c r="A124" s="131">
        <f>IFERROR(__xludf.DUMMYFUNCTION("""COMPUTED_VALUE"""),123.0)</f>
        <v>123</v>
      </c>
      <c r="B124" s="131"/>
      <c r="C124" s="131">
        <f>IFERROR(__xludf.DUMMYFUNCTION("""COMPUTED_VALUE"""),120.0)</f>
        <v>120</v>
      </c>
      <c r="D124" s="131" t="b">
        <f>IFERROR(__xludf.DUMMYFUNCTION("""COMPUTED_VALUE"""),FALSE)</f>
        <v>0</v>
      </c>
      <c r="E124" s="116" t="str">
        <f>IFERROR(__xludf.DUMMYFUNCTION("""COMPUTED_VALUE"""),"BUCTOT")</f>
        <v>BUCTOT</v>
      </c>
      <c r="F124" s="107" t="str">
        <f>IFERROR(__xludf.DUMMYFUNCTION("""COMPUTED_VALUE"""),"JEFFREY")</f>
        <v>JEFFREY</v>
      </c>
    </row>
    <row r="125">
      <c r="A125" s="131">
        <f>IFERROR(__xludf.DUMMYFUNCTION("""COMPUTED_VALUE"""),124.0)</f>
        <v>124</v>
      </c>
      <c r="B125" s="131"/>
      <c r="C125" s="131">
        <f>IFERROR(__xludf.DUMMYFUNCTION("""COMPUTED_VALUE"""),120.0)</f>
        <v>120</v>
      </c>
      <c r="D125" s="131" t="b">
        <f>IFERROR(__xludf.DUMMYFUNCTION("""COMPUTED_VALUE"""),FALSE)</f>
        <v>0</v>
      </c>
      <c r="E125" s="107" t="str">
        <f>IFERROR(__xludf.DUMMYFUNCTION("""COMPUTED_VALUE"""),"CABRERA")</f>
        <v>CABRERA</v>
      </c>
      <c r="F125" s="107" t="str">
        <f>IFERROR(__xludf.DUMMYFUNCTION("""COMPUTED_VALUE"""),"LANCE")</f>
        <v>LANCE</v>
      </c>
      <c r="I125" s="90" t="s">
        <v>4</v>
      </c>
      <c r="N125" s="90" t="b">
        <v>1</v>
      </c>
    </row>
    <row r="126">
      <c r="A126" s="131">
        <f>IFERROR(__xludf.DUMMYFUNCTION("""COMPUTED_VALUE"""),125.0)</f>
        <v>125</v>
      </c>
      <c r="B126" s="131"/>
      <c r="C126" s="131">
        <f>IFERROR(__xludf.DUMMYFUNCTION("""COMPUTED_VALUE"""),120.0)</f>
        <v>120</v>
      </c>
      <c r="D126" s="131" t="b">
        <f>IFERROR(__xludf.DUMMYFUNCTION("""COMPUTED_VALUE"""),FALSE)</f>
        <v>0</v>
      </c>
      <c r="E126" s="107" t="str">
        <f>IFERROR(__xludf.DUMMYFUNCTION("""COMPUTED_VALUE"""),"CANDIDO")</f>
        <v>CANDIDO</v>
      </c>
      <c r="F126" s="107" t="str">
        <f>IFERROR(__xludf.DUMMYFUNCTION("""COMPUTED_VALUE"""),"PRINCE")</f>
        <v>PRINCE</v>
      </c>
    </row>
    <row r="127">
      <c r="A127" s="131">
        <f>IFERROR(__xludf.DUMMYFUNCTION("""COMPUTED_VALUE"""),126.0)</f>
        <v>126</v>
      </c>
      <c r="B127" s="131"/>
      <c r="C127" s="131">
        <f>IFERROR(__xludf.DUMMYFUNCTION("""COMPUTED_VALUE"""),120.0)</f>
        <v>120</v>
      </c>
      <c r="D127" s="131" t="b">
        <f>IFERROR(__xludf.DUMMYFUNCTION("""COMPUTED_VALUE"""),FALSE)</f>
        <v>0</v>
      </c>
      <c r="E127" s="107" t="str">
        <f>IFERROR(__xludf.DUMMYFUNCTION("""COMPUTED_VALUE"""),"LOUIE")</f>
        <v>LOUIE</v>
      </c>
      <c r="F127" s="107" t="str">
        <f>IFERROR(__xludf.DUMMYFUNCTION("""COMPUTED_VALUE"""),"JAMES")</f>
        <v>JAMES</v>
      </c>
      <c r="I127" s="90" t="s">
        <v>4</v>
      </c>
      <c r="N127" s="90" t="b">
        <v>1</v>
      </c>
    </row>
    <row r="128">
      <c r="A128" s="131">
        <f>IFERROR(__xludf.DUMMYFUNCTION("""COMPUTED_VALUE"""),127.0)</f>
        <v>127</v>
      </c>
      <c r="B128" s="131"/>
      <c r="C128" s="131">
        <f>IFERROR(__xludf.DUMMYFUNCTION("""COMPUTED_VALUE"""),120.0)</f>
        <v>120</v>
      </c>
      <c r="D128" s="131" t="b">
        <f>IFERROR(__xludf.DUMMYFUNCTION("""COMPUTED_VALUE"""),FALSE)</f>
        <v>0</v>
      </c>
      <c r="E128" s="107" t="str">
        <f>IFERROR(__xludf.DUMMYFUNCTION("""COMPUTED_VALUE"""),"MALIGTAS")</f>
        <v>MALIGTAS</v>
      </c>
      <c r="F128" s="107" t="str">
        <f>IFERROR(__xludf.DUMMYFUNCTION("""COMPUTED_VALUE"""),"SKYE")</f>
        <v>SKYE</v>
      </c>
    </row>
    <row r="129">
      <c r="A129" s="131">
        <f>IFERROR(__xludf.DUMMYFUNCTION("""COMPUTED_VALUE"""),128.0)</f>
        <v>128</v>
      </c>
      <c r="B129" s="131"/>
      <c r="C129" s="131">
        <f>IFERROR(__xludf.DUMMYFUNCTION("""COMPUTED_VALUE"""),120.0)</f>
        <v>120</v>
      </c>
      <c r="D129" s="131" t="b">
        <f>IFERROR(__xludf.DUMMYFUNCTION("""COMPUTED_VALUE"""),FALSE)</f>
        <v>0</v>
      </c>
      <c r="E129" s="107" t="str">
        <f>IFERROR(__xludf.DUMMYFUNCTION("""COMPUTED_VALUE"""),"NEHEMIAH")</f>
        <v>NEHEMIAH</v>
      </c>
      <c r="F129" s="107" t="str">
        <f>IFERROR(__xludf.DUMMYFUNCTION("""COMPUTED_VALUE"""),"ARKHEL")</f>
        <v>ARKHEL</v>
      </c>
    </row>
    <row r="130">
      <c r="A130" s="131">
        <f>IFERROR(__xludf.DUMMYFUNCTION("""COMPUTED_VALUE"""),129.0)</f>
        <v>129</v>
      </c>
      <c r="B130" s="131"/>
      <c r="C130" s="131">
        <f>IFERROR(__xludf.DUMMYFUNCTION("""COMPUTED_VALUE"""),120.0)</f>
        <v>120</v>
      </c>
      <c r="D130" s="131" t="b">
        <f>IFERROR(__xludf.DUMMYFUNCTION("""COMPUTED_VALUE"""),FALSE)</f>
        <v>0</v>
      </c>
      <c r="E130" s="107" t="str">
        <f>IFERROR(__xludf.DUMMYFUNCTION("""COMPUTED_VALUE"""),"OLASO")</f>
        <v>OLASO</v>
      </c>
      <c r="F130" s="107" t="str">
        <f>IFERROR(__xludf.DUMMYFUNCTION("""COMPUTED_VALUE"""),"CHARLES")</f>
        <v>CHARLES</v>
      </c>
      <c r="I130" s="90" t="s">
        <v>4</v>
      </c>
      <c r="N130" s="90" t="b">
        <v>1</v>
      </c>
    </row>
    <row r="131">
      <c r="A131" s="131">
        <f>IFERROR(__xludf.DUMMYFUNCTION("""COMPUTED_VALUE"""),130.0)</f>
        <v>130</v>
      </c>
      <c r="B131" s="131"/>
      <c r="C131" s="131">
        <f>IFERROR(__xludf.DUMMYFUNCTION("""COMPUTED_VALUE"""),120.0)</f>
        <v>120</v>
      </c>
      <c r="D131" s="131" t="b">
        <f>IFERROR(__xludf.DUMMYFUNCTION("""COMPUTED_VALUE"""),FALSE)</f>
        <v>0</v>
      </c>
      <c r="E131" s="107" t="str">
        <f>IFERROR(__xludf.DUMMYFUNCTION("""COMPUTED_VALUE"""),"PASCUA")</f>
        <v>PASCUA</v>
      </c>
      <c r="F131" s="107" t="str">
        <f>IFERROR(__xludf.DUMMYFUNCTION("""COMPUTED_VALUE"""),"JOHN MICHAEL")</f>
        <v>JOHN MICHAEL</v>
      </c>
    </row>
    <row r="132">
      <c r="A132" s="131">
        <f>IFERROR(__xludf.DUMMYFUNCTION("""COMPUTED_VALUE"""),131.0)</f>
        <v>131</v>
      </c>
      <c r="B132" s="131"/>
      <c r="C132" s="131">
        <f>IFERROR(__xludf.DUMMYFUNCTION("""COMPUTED_VALUE"""),120.0)</f>
        <v>120</v>
      </c>
      <c r="D132" s="131" t="b">
        <f>IFERROR(__xludf.DUMMYFUNCTION("""COMPUTED_VALUE"""),FALSE)</f>
        <v>0</v>
      </c>
      <c r="E132" s="107" t="str">
        <f>IFERROR(__xludf.DUMMYFUNCTION("""COMPUTED_VALUE"""),"PERALTA")</f>
        <v>PERALTA</v>
      </c>
      <c r="F132" s="107" t="str">
        <f>IFERROR(__xludf.DUMMYFUNCTION("""COMPUTED_VALUE"""),"MARLON")</f>
        <v>MARLON</v>
      </c>
    </row>
    <row r="133">
      <c r="A133" s="131">
        <f>IFERROR(__xludf.DUMMYFUNCTION("""COMPUTED_VALUE"""),132.0)</f>
        <v>132</v>
      </c>
      <c r="B133" s="131"/>
      <c r="C133" s="131">
        <f>IFERROR(__xludf.DUMMYFUNCTION("""COMPUTED_VALUE"""),120.0)</f>
        <v>120</v>
      </c>
      <c r="D133" s="131" t="b">
        <f>IFERROR(__xludf.DUMMYFUNCTION("""COMPUTED_VALUE"""),FALSE)</f>
        <v>0</v>
      </c>
      <c r="E133" s="107" t="str">
        <f>IFERROR(__xludf.DUMMYFUNCTION("""COMPUTED_VALUE"""),"PESAYCO")</f>
        <v>PESAYCO</v>
      </c>
      <c r="F133" s="107" t="str">
        <f>IFERROR(__xludf.DUMMYFUNCTION("""COMPUTED_VALUE"""),"KEITH")</f>
        <v>KEITH</v>
      </c>
    </row>
    <row r="134">
      <c r="A134" s="131">
        <f>IFERROR(__xludf.DUMMYFUNCTION("""COMPUTED_VALUE"""),133.0)</f>
        <v>133</v>
      </c>
      <c r="B134" s="131"/>
      <c r="C134" s="131">
        <f>IFERROR(__xludf.DUMMYFUNCTION("""COMPUTED_VALUE"""),120.0)</f>
        <v>120</v>
      </c>
      <c r="D134" s="131" t="b">
        <f>IFERROR(__xludf.DUMMYFUNCTION("""COMPUTED_VALUE"""),FALSE)</f>
        <v>0</v>
      </c>
      <c r="E134" s="107" t="str">
        <f>IFERROR(__xludf.DUMMYFUNCTION("""COMPUTED_VALUE"""),"RAZON")</f>
        <v>RAZON</v>
      </c>
      <c r="F134" s="107" t="str">
        <f>IFERROR(__xludf.DUMMYFUNCTION("""COMPUTED_VALUE"""),"JOSHUA")</f>
        <v>JOSHUA</v>
      </c>
      <c r="I134" s="90" t="s">
        <v>4</v>
      </c>
      <c r="N134" s="90" t="b">
        <v>1</v>
      </c>
    </row>
    <row r="135">
      <c r="A135" s="131">
        <f>IFERROR(__xludf.DUMMYFUNCTION("""COMPUTED_VALUE"""),134.0)</f>
        <v>134</v>
      </c>
      <c r="B135" s="131"/>
      <c r="C135" s="131">
        <f>IFERROR(__xludf.DUMMYFUNCTION("""COMPUTED_VALUE"""),120.0)</f>
        <v>120</v>
      </c>
      <c r="D135" s="131" t="b">
        <f>IFERROR(__xludf.DUMMYFUNCTION("""COMPUTED_VALUE"""),FALSE)</f>
        <v>0</v>
      </c>
      <c r="E135" s="107" t="str">
        <f>IFERROR(__xludf.DUMMYFUNCTION("""COMPUTED_VALUE"""),"ROCCO")</f>
        <v>ROCCO</v>
      </c>
      <c r="F135" s="107" t="str">
        <f>IFERROR(__xludf.DUMMYFUNCTION("""COMPUTED_VALUE"""),"MARK")</f>
        <v>MARK</v>
      </c>
    </row>
    <row r="136">
      <c r="A136" s="131">
        <f>IFERROR(__xludf.DUMMYFUNCTION("""COMPUTED_VALUE"""),135.0)</f>
        <v>135</v>
      </c>
      <c r="B136" s="131"/>
      <c r="C136" s="131">
        <f>IFERROR(__xludf.DUMMYFUNCTION("""COMPUTED_VALUE"""),120.0)</f>
        <v>120</v>
      </c>
      <c r="D136" s="131" t="b">
        <f>IFERROR(__xludf.DUMMYFUNCTION("""COMPUTED_VALUE"""),FALSE)</f>
        <v>0</v>
      </c>
      <c r="E136" s="107" t="str">
        <f>IFERROR(__xludf.DUMMYFUNCTION("""COMPUTED_VALUE"""),"ROME")</f>
        <v>ROME</v>
      </c>
      <c r="F136" s="107" t="str">
        <f>IFERROR(__xludf.DUMMYFUNCTION("""COMPUTED_VALUE"""),"ZAYIN")</f>
        <v>ZAYIN</v>
      </c>
    </row>
    <row r="137">
      <c r="A137" s="131">
        <f>IFERROR(__xludf.DUMMYFUNCTION("""COMPUTED_VALUE"""),136.0)</f>
        <v>136</v>
      </c>
      <c r="B137" s="131"/>
      <c r="C137" s="131">
        <f>IFERROR(__xludf.DUMMYFUNCTION("""COMPUTED_VALUE"""),120.0)</f>
        <v>120</v>
      </c>
      <c r="D137" s="131" t="b">
        <f>IFERROR(__xludf.DUMMYFUNCTION("""COMPUTED_VALUE"""),FALSE)</f>
        <v>0</v>
      </c>
      <c r="E137" s="107" t="str">
        <f>IFERROR(__xludf.DUMMYFUNCTION("""COMPUTED_VALUE"""),"ROME")</f>
        <v>ROME</v>
      </c>
      <c r="F137" s="107" t="str">
        <f>IFERROR(__xludf.DUMMYFUNCTION("""COMPUTED_VALUE"""),"ZACH")</f>
        <v>ZACH</v>
      </c>
    </row>
    <row r="138">
      <c r="A138" s="131">
        <f>IFERROR(__xludf.DUMMYFUNCTION("""COMPUTED_VALUE"""),137.0)</f>
        <v>137</v>
      </c>
      <c r="B138" s="131"/>
      <c r="C138" s="131">
        <f>IFERROR(__xludf.DUMMYFUNCTION("""COMPUTED_VALUE"""),120.0)</f>
        <v>120</v>
      </c>
      <c r="D138" s="131" t="b">
        <f>IFERROR(__xludf.DUMMYFUNCTION("""COMPUTED_VALUE"""),FALSE)</f>
        <v>0</v>
      </c>
      <c r="E138" s="107" t="str">
        <f>IFERROR(__xludf.DUMMYFUNCTION("""COMPUTED_VALUE"""),"SERRANO")</f>
        <v>SERRANO</v>
      </c>
      <c r="F138" s="107" t="str">
        <f>IFERROR(__xludf.DUMMYFUNCTION("""COMPUTED_VALUE"""),"MICO")</f>
        <v>MICO</v>
      </c>
    </row>
    <row r="139">
      <c r="A139" s="131">
        <f>IFERROR(__xludf.DUMMYFUNCTION("""COMPUTED_VALUE"""),138.0)</f>
        <v>138</v>
      </c>
      <c r="B139" s="131"/>
      <c r="C139" s="131">
        <f>IFERROR(__xludf.DUMMYFUNCTION("""COMPUTED_VALUE"""),120.0)</f>
        <v>120</v>
      </c>
      <c r="D139" s="131" t="b">
        <f>IFERROR(__xludf.DUMMYFUNCTION("""COMPUTED_VALUE"""),FALSE)</f>
        <v>0</v>
      </c>
      <c r="E139" s="98"/>
      <c r="F139" s="107" t="str">
        <f>IFERROR(__xludf.DUMMYFUNCTION("""COMPUTED_VALUE"""),"PAUL")</f>
        <v>PAUL</v>
      </c>
    </row>
    <row r="140">
      <c r="A140" s="131"/>
      <c r="B140" s="131"/>
      <c r="C140" s="131"/>
      <c r="D140" s="131"/>
      <c r="E140" s="131"/>
      <c r="F140" s="131"/>
    </row>
    <row r="141">
      <c r="A141" s="131">
        <f>IFERROR(__xludf.DUMMYFUNCTION("""COMPUTED_VALUE"""),140.0)</f>
        <v>140</v>
      </c>
      <c r="B141" s="131"/>
      <c r="C141" s="131">
        <f>IFERROR(__xludf.DUMMYFUNCTION("""COMPUTED_VALUE"""),140.0)</f>
        <v>140</v>
      </c>
      <c r="D141" s="131" t="b">
        <f>IFERROR(__xludf.DUMMYFUNCTION("""COMPUTED_VALUE"""),TRUE)</f>
        <v>1</v>
      </c>
      <c r="E141" s="105" t="str">
        <f>IFERROR(__xludf.DUMMYFUNCTION("""COMPUTED_VALUE"""),"ARANDA")</f>
        <v>ARANDA</v>
      </c>
      <c r="F141" s="105" t="str">
        <f>IFERROR(__xludf.DUMMYFUNCTION("""COMPUTED_VALUE"""),"IYA")</f>
        <v>IYA</v>
      </c>
    </row>
    <row r="142">
      <c r="A142" s="131">
        <f>IFERROR(__xludf.DUMMYFUNCTION("""COMPUTED_VALUE"""),141.0)</f>
        <v>141</v>
      </c>
      <c r="B142" s="131"/>
      <c r="C142" s="131">
        <f>IFERROR(__xludf.DUMMYFUNCTION("""COMPUTED_VALUE"""),140.0)</f>
        <v>140</v>
      </c>
      <c r="D142" s="131" t="b">
        <f>IFERROR(__xludf.DUMMYFUNCTION("""COMPUTED_VALUE"""),FALSE)</f>
        <v>0</v>
      </c>
      <c r="E142" s="109" t="str">
        <f>IFERROR(__xludf.DUMMYFUNCTION("""COMPUTED_VALUE"""),"ALIANZA")</f>
        <v>ALIANZA</v>
      </c>
      <c r="F142" s="109" t="str">
        <f>IFERROR(__xludf.DUMMYFUNCTION("""COMPUTED_VALUE"""),"JESEMIL")</f>
        <v>JESEMIL</v>
      </c>
    </row>
    <row r="143">
      <c r="A143" s="131">
        <f>IFERROR(__xludf.DUMMYFUNCTION("""COMPUTED_VALUE"""),142.0)</f>
        <v>142</v>
      </c>
      <c r="B143" s="131"/>
      <c r="C143" s="131">
        <f>IFERROR(__xludf.DUMMYFUNCTION("""COMPUTED_VALUE"""),140.0)</f>
        <v>140</v>
      </c>
      <c r="D143" s="131" t="b">
        <f>IFERROR(__xludf.DUMMYFUNCTION("""COMPUTED_VALUE"""),FALSE)</f>
        <v>0</v>
      </c>
      <c r="E143" s="109" t="str">
        <f>IFERROR(__xludf.DUMMYFUNCTION("""COMPUTED_VALUE"""),"ANTONIO")</f>
        <v>ANTONIO</v>
      </c>
      <c r="F143" s="109" t="str">
        <f>IFERROR(__xludf.DUMMYFUNCTION("""COMPUTED_VALUE"""),"CHAM")</f>
        <v>CHAM</v>
      </c>
    </row>
    <row r="144">
      <c r="A144" s="131">
        <f>IFERROR(__xludf.DUMMYFUNCTION("""COMPUTED_VALUE"""),143.0)</f>
        <v>143</v>
      </c>
      <c r="B144" s="131"/>
      <c r="C144" s="131">
        <f>IFERROR(__xludf.DUMMYFUNCTION("""COMPUTED_VALUE"""),140.0)</f>
        <v>140</v>
      </c>
      <c r="D144" s="131" t="b">
        <f>IFERROR(__xludf.DUMMYFUNCTION("""COMPUTED_VALUE"""),FALSE)</f>
        <v>0</v>
      </c>
      <c r="E144" s="109" t="str">
        <f>IFERROR(__xludf.DUMMYFUNCTION("""COMPUTED_VALUE"""),"AQUINO")</f>
        <v>AQUINO</v>
      </c>
      <c r="F144" s="109" t="str">
        <f>IFERROR(__xludf.DUMMYFUNCTION("""COMPUTED_VALUE"""),"JOANNA")</f>
        <v>JOANNA</v>
      </c>
    </row>
    <row r="145">
      <c r="A145" s="131">
        <f>IFERROR(__xludf.DUMMYFUNCTION("""COMPUTED_VALUE"""),144.0)</f>
        <v>144</v>
      </c>
      <c r="B145" s="131"/>
      <c r="C145" s="131">
        <f>IFERROR(__xludf.DUMMYFUNCTION("""COMPUTED_VALUE"""),140.0)</f>
        <v>140</v>
      </c>
      <c r="D145" s="131" t="b">
        <f>IFERROR(__xludf.DUMMYFUNCTION("""COMPUTED_VALUE"""),FALSE)</f>
        <v>0</v>
      </c>
      <c r="E145" s="109" t="str">
        <f>IFERROR(__xludf.DUMMYFUNCTION("""COMPUTED_VALUE"""),"ARANDA")</f>
        <v>ARANDA</v>
      </c>
      <c r="F145" s="109" t="str">
        <f>IFERROR(__xludf.DUMMYFUNCTION("""COMPUTED_VALUE"""),"ALEXANDRA")</f>
        <v>ALEXANDRA</v>
      </c>
    </row>
    <row r="146">
      <c r="A146" s="131">
        <f>IFERROR(__xludf.DUMMYFUNCTION("""COMPUTED_VALUE"""),145.0)</f>
        <v>145</v>
      </c>
      <c r="B146" s="131"/>
      <c r="C146" s="131">
        <f>IFERROR(__xludf.DUMMYFUNCTION("""COMPUTED_VALUE"""),140.0)</f>
        <v>140</v>
      </c>
      <c r="D146" s="131" t="b">
        <f>IFERROR(__xludf.DUMMYFUNCTION("""COMPUTED_VALUE"""),FALSE)</f>
        <v>0</v>
      </c>
      <c r="E146" s="109" t="str">
        <f>IFERROR(__xludf.DUMMYFUNCTION("""COMPUTED_VALUE"""),"CARAAN")</f>
        <v>CARAAN</v>
      </c>
      <c r="F146" s="109" t="str">
        <f>IFERROR(__xludf.DUMMYFUNCTION("""COMPUTED_VALUE"""),"CATHLINE")</f>
        <v>CATHLINE</v>
      </c>
    </row>
    <row r="147">
      <c r="A147" s="131">
        <f>IFERROR(__xludf.DUMMYFUNCTION("""COMPUTED_VALUE"""),146.0)</f>
        <v>146</v>
      </c>
      <c r="B147" s="131"/>
      <c r="C147" s="131">
        <f>IFERROR(__xludf.DUMMYFUNCTION("""COMPUTED_VALUE"""),140.0)</f>
        <v>140</v>
      </c>
      <c r="D147" s="131" t="b">
        <f>IFERROR(__xludf.DUMMYFUNCTION("""COMPUTED_VALUE"""),FALSE)</f>
        <v>0</v>
      </c>
      <c r="E147" s="109" t="str">
        <f>IFERROR(__xludf.DUMMYFUNCTION("""COMPUTED_VALUE"""),"CASTILLO")</f>
        <v>CASTILLO</v>
      </c>
      <c r="F147" s="109" t="str">
        <f>IFERROR(__xludf.DUMMYFUNCTION("""COMPUTED_VALUE"""),"JASIEL")</f>
        <v>JASIEL</v>
      </c>
    </row>
    <row r="148">
      <c r="A148" s="131">
        <f>IFERROR(__xludf.DUMMYFUNCTION("""COMPUTED_VALUE"""),147.0)</f>
        <v>147</v>
      </c>
      <c r="B148" s="131"/>
      <c r="C148" s="131">
        <f>IFERROR(__xludf.DUMMYFUNCTION("""COMPUTED_VALUE"""),140.0)</f>
        <v>140</v>
      </c>
      <c r="D148" s="131" t="b">
        <f>IFERROR(__xludf.DUMMYFUNCTION("""COMPUTED_VALUE"""),FALSE)</f>
        <v>0</v>
      </c>
      <c r="E148" s="109" t="str">
        <f>IFERROR(__xludf.DUMMYFUNCTION("""COMPUTED_VALUE"""),"CEA")</f>
        <v>CEA</v>
      </c>
      <c r="F148" s="109" t="str">
        <f>IFERROR(__xludf.DUMMYFUNCTION("""COMPUTED_VALUE"""),"DIANA")</f>
        <v>DIANA</v>
      </c>
    </row>
    <row r="149">
      <c r="A149" s="131">
        <f>IFERROR(__xludf.DUMMYFUNCTION("""COMPUTED_VALUE"""),148.0)</f>
        <v>148</v>
      </c>
      <c r="B149" s="131"/>
      <c r="C149" s="131">
        <f>IFERROR(__xludf.DUMMYFUNCTION("""COMPUTED_VALUE"""),140.0)</f>
        <v>140</v>
      </c>
      <c r="D149" s="131" t="b">
        <f>IFERROR(__xludf.DUMMYFUNCTION("""COMPUTED_VALUE"""),FALSE)</f>
        <v>0</v>
      </c>
      <c r="E149" s="109" t="str">
        <f>IFERROR(__xludf.DUMMYFUNCTION("""COMPUTED_VALUE"""),"CHUA")</f>
        <v>CHUA</v>
      </c>
      <c r="F149" s="109" t="str">
        <f>IFERROR(__xludf.DUMMYFUNCTION("""COMPUTED_VALUE"""),"PJ")</f>
        <v>PJ</v>
      </c>
    </row>
    <row r="150">
      <c r="A150" s="131">
        <f>IFERROR(__xludf.DUMMYFUNCTION("""COMPUTED_VALUE"""),149.0)</f>
        <v>149</v>
      </c>
      <c r="B150" s="131"/>
      <c r="C150" s="131">
        <f>IFERROR(__xludf.DUMMYFUNCTION("""COMPUTED_VALUE"""),140.0)</f>
        <v>140</v>
      </c>
      <c r="D150" s="131" t="b">
        <f>IFERROR(__xludf.DUMMYFUNCTION("""COMPUTED_VALUE"""),FALSE)</f>
        <v>0</v>
      </c>
      <c r="E150" s="109" t="str">
        <f>IFERROR(__xludf.DUMMYFUNCTION("""COMPUTED_VALUE"""),"DIZON")</f>
        <v>DIZON</v>
      </c>
      <c r="F150" s="109" t="str">
        <f>IFERROR(__xludf.DUMMYFUNCTION("""COMPUTED_VALUE"""),"ARRA")</f>
        <v>ARRA</v>
      </c>
    </row>
    <row r="151">
      <c r="A151" s="131">
        <f>IFERROR(__xludf.DUMMYFUNCTION("""COMPUTED_VALUE"""),150.0)</f>
        <v>150</v>
      </c>
      <c r="B151" s="131"/>
      <c r="C151" s="131">
        <f>IFERROR(__xludf.DUMMYFUNCTION("""COMPUTED_VALUE"""),140.0)</f>
        <v>140</v>
      </c>
      <c r="D151" s="131" t="b">
        <f>IFERROR(__xludf.DUMMYFUNCTION("""COMPUTED_VALUE"""),FALSE)</f>
        <v>0</v>
      </c>
      <c r="E151" s="109" t="str">
        <f>IFERROR(__xludf.DUMMYFUNCTION("""COMPUTED_VALUE"""),"ECLEVIA")</f>
        <v>ECLEVIA</v>
      </c>
      <c r="F151" s="109" t="str">
        <f>IFERROR(__xludf.DUMMYFUNCTION("""COMPUTED_VALUE"""),"ANGELICA")</f>
        <v>ANGELICA</v>
      </c>
    </row>
    <row r="152">
      <c r="A152" s="131">
        <f>IFERROR(__xludf.DUMMYFUNCTION("""COMPUTED_VALUE"""),151.0)</f>
        <v>151</v>
      </c>
      <c r="B152" s="131"/>
      <c r="C152" s="131">
        <f>IFERROR(__xludf.DUMMYFUNCTION("""COMPUTED_VALUE"""),140.0)</f>
        <v>140</v>
      </c>
      <c r="D152" s="131" t="b">
        <f>IFERROR(__xludf.DUMMYFUNCTION("""COMPUTED_VALUE"""),FALSE)</f>
        <v>0</v>
      </c>
      <c r="E152" s="109" t="str">
        <f>IFERROR(__xludf.DUMMYFUNCTION("""COMPUTED_VALUE"""),"FELIPE")</f>
        <v>FELIPE</v>
      </c>
      <c r="F152" s="109" t="str">
        <f>IFERROR(__xludf.DUMMYFUNCTION("""COMPUTED_VALUE"""),"JAIMIE")</f>
        <v>JAIMIE</v>
      </c>
    </row>
    <row r="153">
      <c r="A153" s="131">
        <f>IFERROR(__xludf.DUMMYFUNCTION("""COMPUTED_VALUE"""),152.0)</f>
        <v>152</v>
      </c>
      <c r="B153" s="131"/>
      <c r="C153" s="131">
        <f>IFERROR(__xludf.DUMMYFUNCTION("""COMPUTED_VALUE"""),140.0)</f>
        <v>140</v>
      </c>
      <c r="D153" s="131" t="b">
        <f>IFERROR(__xludf.DUMMYFUNCTION("""COMPUTED_VALUE"""),FALSE)</f>
        <v>0</v>
      </c>
      <c r="E153" s="109" t="str">
        <f>IFERROR(__xludf.DUMMYFUNCTION("""COMPUTED_VALUE"""),"FERNANDEZ")</f>
        <v>FERNANDEZ</v>
      </c>
      <c r="F153" s="109" t="str">
        <f>IFERROR(__xludf.DUMMYFUNCTION("""COMPUTED_VALUE"""),"SHARMAINE")</f>
        <v>SHARMAINE</v>
      </c>
    </row>
    <row r="154">
      <c r="A154" s="131">
        <f>IFERROR(__xludf.DUMMYFUNCTION("""COMPUTED_VALUE"""),153.0)</f>
        <v>153</v>
      </c>
      <c r="B154" s="131"/>
      <c r="C154" s="131">
        <f>IFERROR(__xludf.DUMMYFUNCTION("""COMPUTED_VALUE"""),140.0)</f>
        <v>140</v>
      </c>
      <c r="D154" s="131" t="b">
        <f>IFERROR(__xludf.DUMMYFUNCTION("""COMPUTED_VALUE"""),FALSE)</f>
        <v>0</v>
      </c>
      <c r="E154" s="109" t="str">
        <f>IFERROR(__xludf.DUMMYFUNCTION("""COMPUTED_VALUE"""),"FILIO")</f>
        <v>FILIO</v>
      </c>
      <c r="F154" s="109" t="str">
        <f>IFERROR(__xludf.DUMMYFUNCTION("""COMPUTED_VALUE"""),"DAISY")</f>
        <v>DAISY</v>
      </c>
    </row>
    <row r="155">
      <c r="A155" s="131">
        <f>IFERROR(__xludf.DUMMYFUNCTION("""COMPUTED_VALUE"""),154.0)</f>
        <v>154</v>
      </c>
      <c r="B155" s="131"/>
      <c r="C155" s="131">
        <f>IFERROR(__xludf.DUMMYFUNCTION("""COMPUTED_VALUE"""),140.0)</f>
        <v>140</v>
      </c>
      <c r="D155" s="131" t="b">
        <f>IFERROR(__xludf.DUMMYFUNCTION("""COMPUTED_VALUE"""),FALSE)</f>
        <v>0</v>
      </c>
      <c r="E155" s="109" t="str">
        <f>IFERROR(__xludf.DUMMYFUNCTION("""COMPUTED_VALUE"""),"FILIO")</f>
        <v>FILIO</v>
      </c>
      <c r="F155" s="109" t="str">
        <f>IFERROR(__xludf.DUMMYFUNCTION("""COMPUTED_VALUE"""),"JENNY")</f>
        <v>JENNY</v>
      </c>
    </row>
    <row r="156">
      <c r="A156" s="131">
        <f>IFERROR(__xludf.DUMMYFUNCTION("""COMPUTED_VALUE"""),155.0)</f>
        <v>155</v>
      </c>
      <c r="B156" s="131"/>
      <c r="C156" s="131">
        <f>IFERROR(__xludf.DUMMYFUNCTION("""COMPUTED_VALUE"""),140.0)</f>
        <v>140</v>
      </c>
      <c r="D156" s="131" t="b">
        <f>IFERROR(__xludf.DUMMYFUNCTION("""COMPUTED_VALUE"""),FALSE)</f>
        <v>0</v>
      </c>
      <c r="E156" s="109" t="str">
        <f>IFERROR(__xludf.DUMMYFUNCTION("""COMPUTED_VALUE"""),"FLORO")</f>
        <v>FLORO</v>
      </c>
      <c r="F156" s="109" t="str">
        <f>IFERROR(__xludf.DUMMYFUNCTION("""COMPUTED_VALUE"""),"JUSTINE")</f>
        <v>JUSTINE</v>
      </c>
    </row>
    <row r="157">
      <c r="A157" s="131">
        <f>IFERROR(__xludf.DUMMYFUNCTION("""COMPUTED_VALUE"""),156.0)</f>
        <v>156</v>
      </c>
      <c r="B157" s="131"/>
      <c r="C157" s="131">
        <f>IFERROR(__xludf.DUMMYFUNCTION("""COMPUTED_VALUE"""),140.0)</f>
        <v>140</v>
      </c>
      <c r="D157" s="131" t="b">
        <f>IFERROR(__xludf.DUMMYFUNCTION("""COMPUTED_VALUE"""),FALSE)</f>
        <v>0</v>
      </c>
      <c r="E157" s="109" t="str">
        <f>IFERROR(__xludf.DUMMYFUNCTION("""COMPUTED_VALUE"""),"FLORO")</f>
        <v>FLORO</v>
      </c>
      <c r="F157" s="109" t="str">
        <f>IFERROR(__xludf.DUMMYFUNCTION("""COMPUTED_VALUE"""),"MICA")</f>
        <v>MICA</v>
      </c>
    </row>
    <row r="158">
      <c r="A158" s="131">
        <f>IFERROR(__xludf.DUMMYFUNCTION("""COMPUTED_VALUE"""),157.0)</f>
        <v>157</v>
      </c>
      <c r="B158" s="131"/>
      <c r="C158" s="131">
        <f>IFERROR(__xludf.DUMMYFUNCTION("""COMPUTED_VALUE"""),140.0)</f>
        <v>140</v>
      </c>
      <c r="D158" s="131" t="b">
        <f>IFERROR(__xludf.DUMMYFUNCTION("""COMPUTED_VALUE"""),FALSE)</f>
        <v>0</v>
      </c>
      <c r="E158" s="109" t="str">
        <f>IFERROR(__xludf.DUMMYFUNCTION("""COMPUTED_VALUE"""),"FRANCISCO")</f>
        <v>FRANCISCO</v>
      </c>
      <c r="F158" s="109" t="str">
        <f>IFERROR(__xludf.DUMMYFUNCTION("""COMPUTED_VALUE"""),"RAMILYN")</f>
        <v>RAMILYN</v>
      </c>
    </row>
    <row r="159">
      <c r="A159" s="131">
        <f>IFERROR(__xludf.DUMMYFUNCTION("""COMPUTED_VALUE"""),158.0)</f>
        <v>158</v>
      </c>
      <c r="B159" s="131"/>
      <c r="C159" s="131">
        <f>IFERROR(__xludf.DUMMYFUNCTION("""COMPUTED_VALUE"""),140.0)</f>
        <v>140</v>
      </c>
      <c r="D159" s="131" t="b">
        <f>IFERROR(__xludf.DUMMYFUNCTION("""COMPUTED_VALUE"""),FALSE)</f>
        <v>0</v>
      </c>
      <c r="E159" s="109" t="str">
        <f>IFERROR(__xludf.DUMMYFUNCTION("""COMPUTED_VALUE"""),"GEMOTO")</f>
        <v>GEMOTO</v>
      </c>
      <c r="F159" s="109" t="str">
        <f>IFERROR(__xludf.DUMMYFUNCTION("""COMPUTED_VALUE"""),"JASMINE")</f>
        <v>JASMINE</v>
      </c>
    </row>
    <row r="160">
      <c r="A160" s="131">
        <f>IFERROR(__xludf.DUMMYFUNCTION("""COMPUTED_VALUE"""),159.0)</f>
        <v>159</v>
      </c>
      <c r="B160" s="131"/>
      <c r="C160" s="131">
        <f>IFERROR(__xludf.DUMMYFUNCTION("""COMPUTED_VALUE"""),140.0)</f>
        <v>140</v>
      </c>
      <c r="D160" s="131" t="b">
        <f>IFERROR(__xludf.DUMMYFUNCTION("""COMPUTED_VALUE"""),FALSE)</f>
        <v>0</v>
      </c>
      <c r="E160" s="109" t="str">
        <f>IFERROR(__xludf.DUMMYFUNCTION("""COMPUTED_VALUE"""),"LABAYNE")</f>
        <v>LABAYNE</v>
      </c>
      <c r="F160" s="109" t="str">
        <f>IFERROR(__xludf.DUMMYFUNCTION("""COMPUTED_VALUE"""),"GRACE")</f>
        <v>GRACE</v>
      </c>
    </row>
    <row r="161">
      <c r="A161" s="131">
        <f>IFERROR(__xludf.DUMMYFUNCTION("""COMPUTED_VALUE"""),160.0)</f>
        <v>160</v>
      </c>
      <c r="B161" s="131"/>
      <c r="C161" s="131">
        <f>IFERROR(__xludf.DUMMYFUNCTION("""COMPUTED_VALUE"""),140.0)</f>
        <v>140</v>
      </c>
      <c r="D161" s="131" t="b">
        <f>IFERROR(__xludf.DUMMYFUNCTION("""COMPUTED_VALUE"""),FALSE)</f>
        <v>0</v>
      </c>
      <c r="E161" s="109" t="str">
        <f>IFERROR(__xludf.DUMMYFUNCTION("""COMPUTED_VALUE"""),"OCEMAN")</f>
        <v>OCEMAN</v>
      </c>
      <c r="F161" s="109" t="str">
        <f>IFERROR(__xludf.DUMMYFUNCTION("""COMPUTED_VALUE"""),"RAI-RAI")</f>
        <v>RAI-RAI</v>
      </c>
    </row>
    <row r="162">
      <c r="A162" s="131">
        <f>IFERROR(__xludf.DUMMYFUNCTION("""COMPUTED_VALUE"""),161.0)</f>
        <v>161</v>
      </c>
      <c r="B162" s="131"/>
      <c r="C162" s="131">
        <f>IFERROR(__xludf.DUMMYFUNCTION("""COMPUTED_VALUE"""),140.0)</f>
        <v>140</v>
      </c>
      <c r="D162" s="131" t="b">
        <f>IFERROR(__xludf.DUMMYFUNCTION("""COMPUTED_VALUE"""),FALSE)</f>
        <v>0</v>
      </c>
      <c r="E162" s="109" t="str">
        <f>IFERROR(__xludf.DUMMYFUNCTION("""COMPUTED_VALUE"""),"ORQUIA")</f>
        <v>ORQUIA</v>
      </c>
      <c r="F162" s="109" t="str">
        <f>IFERROR(__xludf.DUMMYFUNCTION("""COMPUTED_VALUE"""),"KEZA")</f>
        <v>KEZA</v>
      </c>
    </row>
    <row r="163">
      <c r="A163" s="131">
        <f>IFERROR(__xludf.DUMMYFUNCTION("""COMPUTED_VALUE"""),162.0)</f>
        <v>162</v>
      </c>
      <c r="B163" s="131"/>
      <c r="C163" s="131">
        <f>IFERROR(__xludf.DUMMYFUNCTION("""COMPUTED_VALUE"""),140.0)</f>
        <v>140</v>
      </c>
      <c r="D163" s="131" t="b">
        <f>IFERROR(__xludf.DUMMYFUNCTION("""COMPUTED_VALUE"""),FALSE)</f>
        <v>0</v>
      </c>
      <c r="E163" s="109" t="str">
        <f>IFERROR(__xludf.DUMMYFUNCTION("""COMPUTED_VALUE"""),"PERALTA")</f>
        <v>PERALTA</v>
      </c>
      <c r="F163" s="109" t="str">
        <f>IFERROR(__xludf.DUMMYFUNCTION("""COMPUTED_VALUE"""),"YEN")</f>
        <v>YEN</v>
      </c>
    </row>
    <row r="164">
      <c r="A164" s="131">
        <f>IFERROR(__xludf.DUMMYFUNCTION("""COMPUTED_VALUE"""),163.0)</f>
        <v>163</v>
      </c>
      <c r="B164" s="131"/>
      <c r="C164" s="131">
        <f>IFERROR(__xludf.DUMMYFUNCTION("""COMPUTED_VALUE"""),140.0)</f>
        <v>140</v>
      </c>
      <c r="D164" s="131" t="b">
        <f>IFERROR(__xludf.DUMMYFUNCTION("""COMPUTED_VALUE"""),FALSE)</f>
        <v>0</v>
      </c>
      <c r="E164" s="109" t="str">
        <f>IFERROR(__xludf.DUMMYFUNCTION("""COMPUTED_VALUE"""),"TAN SANCHEZ")</f>
        <v>TAN SANCHEZ</v>
      </c>
      <c r="F164" s="109" t="str">
        <f>IFERROR(__xludf.DUMMYFUNCTION("""COMPUTED_VALUE"""),"MARY KHAYE")</f>
        <v>MARY KHAYE</v>
      </c>
    </row>
    <row r="165">
      <c r="A165" s="131">
        <f>IFERROR(__xludf.DUMMYFUNCTION("""COMPUTED_VALUE"""),164.0)</f>
        <v>164</v>
      </c>
      <c r="B165" s="131"/>
      <c r="C165" s="131">
        <f>IFERROR(__xludf.DUMMYFUNCTION("""COMPUTED_VALUE"""),140.0)</f>
        <v>140</v>
      </c>
      <c r="D165" s="131" t="b">
        <f>IFERROR(__xludf.DUMMYFUNCTION("""COMPUTED_VALUE"""),FALSE)</f>
        <v>0</v>
      </c>
      <c r="E165" s="109" t="str">
        <f>IFERROR(__xludf.DUMMYFUNCTION("""COMPUTED_VALUE"""),"TANDUL")</f>
        <v>TANDUL</v>
      </c>
      <c r="F165" s="109" t="str">
        <f>IFERROR(__xludf.DUMMYFUNCTION("""COMPUTED_VALUE"""),"ELAIJAH")</f>
        <v>ELAIJAH</v>
      </c>
    </row>
    <row r="166">
      <c r="A166" s="131">
        <f>IFERROR(__xludf.DUMMYFUNCTION("""COMPUTED_VALUE"""),165.0)</f>
        <v>165</v>
      </c>
      <c r="B166" s="131"/>
      <c r="C166" s="131">
        <f>IFERROR(__xludf.DUMMYFUNCTION("""COMPUTED_VALUE"""),140.0)</f>
        <v>140</v>
      </c>
      <c r="D166" s="131" t="b">
        <f>IFERROR(__xludf.DUMMYFUNCTION("""COMPUTED_VALUE"""),FALSE)</f>
        <v>0</v>
      </c>
      <c r="E166" s="109" t="str">
        <f>IFERROR(__xludf.DUMMYFUNCTION("""COMPUTED_VALUE"""),"VILLONES")</f>
        <v>VILLONES</v>
      </c>
      <c r="F166" s="109" t="str">
        <f>IFERROR(__xludf.DUMMYFUNCTION("""COMPUTED_VALUE"""),"RHEA")</f>
        <v>RHEA</v>
      </c>
    </row>
    <row r="167">
      <c r="A167" s="131">
        <f>IFERROR(__xludf.DUMMYFUNCTION("""COMPUTED_VALUE"""),166.0)</f>
        <v>166</v>
      </c>
      <c r="B167" s="131"/>
      <c r="C167" s="131"/>
      <c r="D167" s="131" t="b">
        <f>IFERROR(__xludf.DUMMYFUNCTION("""COMPUTED_VALUE"""),FALSE)</f>
        <v>0</v>
      </c>
      <c r="E167" s="131"/>
      <c r="F167" s="131"/>
    </row>
    <row r="168">
      <c r="A168" s="131">
        <f>IFERROR(__xludf.DUMMYFUNCTION("""COMPUTED_VALUE"""),167.0)</f>
        <v>167</v>
      </c>
      <c r="B168" s="131"/>
      <c r="C168" s="131">
        <f>IFERROR(__xludf.DUMMYFUNCTION("""COMPUTED_VALUE"""),167.0)</f>
        <v>167</v>
      </c>
      <c r="D168" s="131" t="b">
        <f>IFERROR(__xludf.DUMMYFUNCTION("""COMPUTED_VALUE"""),TRUE)</f>
        <v>1</v>
      </c>
      <c r="E168" s="105" t="str">
        <f>IFERROR(__xludf.DUMMYFUNCTION("""COMPUTED_VALUE"""),"DE-DIOS")</f>
        <v>DE-DIOS</v>
      </c>
      <c r="F168" s="105" t="str">
        <f>IFERROR(__xludf.DUMMYFUNCTION("""COMPUTED_VALUE"""),"JAY-EL")</f>
        <v>JAY-EL</v>
      </c>
      <c r="G168" s="90" t="s">
        <v>4</v>
      </c>
      <c r="L168" s="90" t="b">
        <v>1</v>
      </c>
    </row>
    <row r="169">
      <c r="A169" s="131">
        <f>IFERROR(__xludf.DUMMYFUNCTION("""COMPUTED_VALUE"""),168.0)</f>
        <v>168</v>
      </c>
      <c r="B169" s="131"/>
      <c r="C169" s="131">
        <f>IFERROR(__xludf.DUMMYFUNCTION("""COMPUTED_VALUE"""),167.0)</f>
        <v>167</v>
      </c>
      <c r="D169" s="131" t="b">
        <f>IFERROR(__xludf.DUMMYFUNCTION("""COMPUTED_VALUE"""),FALSE)</f>
        <v>0</v>
      </c>
      <c r="E169" s="107" t="str">
        <f>IFERROR(__xludf.DUMMYFUNCTION("""COMPUTED_VALUE"""),"BARONGGO")</f>
        <v>BARONGGO</v>
      </c>
      <c r="F169" s="107" t="str">
        <f>IFERROR(__xludf.DUMMYFUNCTION("""COMPUTED_VALUE"""),"FRANK")</f>
        <v>FRANK</v>
      </c>
    </row>
    <row r="170">
      <c r="A170" s="131">
        <f>IFERROR(__xludf.DUMMYFUNCTION("""COMPUTED_VALUE"""),169.0)</f>
        <v>169</v>
      </c>
      <c r="B170" s="131"/>
      <c r="C170" s="131">
        <f>IFERROR(__xludf.DUMMYFUNCTION("""COMPUTED_VALUE"""),167.0)</f>
        <v>167</v>
      </c>
      <c r="D170" s="131" t="b">
        <f>IFERROR(__xludf.DUMMYFUNCTION("""COMPUTED_VALUE"""),FALSE)</f>
        <v>0</v>
      </c>
      <c r="E170" s="107" t="str">
        <f>IFERROR(__xludf.DUMMYFUNCTION("""COMPUTED_VALUE"""),"ABENOJAR")</f>
        <v>ABENOJAR</v>
      </c>
      <c r="F170" s="107" t="str">
        <f>IFERROR(__xludf.DUMMYFUNCTION("""COMPUTED_VALUE"""),"CLIFFORD")</f>
        <v>CLIFFORD</v>
      </c>
    </row>
    <row r="171">
      <c r="A171" s="131">
        <f>IFERROR(__xludf.DUMMYFUNCTION("""COMPUTED_VALUE"""),170.0)</f>
        <v>170</v>
      </c>
      <c r="B171" s="131"/>
      <c r="C171" s="131">
        <f>IFERROR(__xludf.DUMMYFUNCTION("""COMPUTED_VALUE"""),167.0)</f>
        <v>167</v>
      </c>
      <c r="D171" s="131" t="b">
        <f>IFERROR(__xludf.DUMMYFUNCTION("""COMPUTED_VALUE"""),FALSE)</f>
        <v>0</v>
      </c>
      <c r="E171" s="107" t="str">
        <f>IFERROR(__xludf.DUMMYFUNCTION("""COMPUTED_VALUE"""),"ABUS")</f>
        <v>ABUS</v>
      </c>
      <c r="F171" s="107" t="str">
        <f>IFERROR(__xludf.DUMMYFUNCTION("""COMPUTED_VALUE"""),"RV PETER")</f>
        <v>RV PETER</v>
      </c>
    </row>
    <row r="172">
      <c r="A172" s="131">
        <f>IFERROR(__xludf.DUMMYFUNCTION("""COMPUTED_VALUE"""),171.0)</f>
        <v>171</v>
      </c>
      <c r="B172" s="131"/>
      <c r="C172" s="131">
        <f>IFERROR(__xludf.DUMMYFUNCTION("""COMPUTED_VALUE"""),167.0)</f>
        <v>167</v>
      </c>
      <c r="D172" s="131" t="b">
        <f>IFERROR(__xludf.DUMMYFUNCTION("""COMPUTED_VALUE"""),FALSE)</f>
        <v>0</v>
      </c>
      <c r="E172" s="107" t="str">
        <f>IFERROR(__xludf.DUMMYFUNCTION("""COMPUTED_VALUE"""),"ANTONIO")</f>
        <v>ANTONIO</v>
      </c>
      <c r="F172" s="107" t="str">
        <f>IFERROR(__xludf.DUMMYFUNCTION("""COMPUTED_VALUE"""),"DON")</f>
        <v>DON</v>
      </c>
    </row>
    <row r="173">
      <c r="A173" s="131">
        <f>IFERROR(__xludf.DUMMYFUNCTION("""COMPUTED_VALUE"""),172.0)</f>
        <v>172</v>
      </c>
      <c r="B173" s="131"/>
      <c r="C173" s="131">
        <f>IFERROR(__xludf.DUMMYFUNCTION("""COMPUTED_VALUE"""),167.0)</f>
        <v>167</v>
      </c>
      <c r="D173" s="131" t="b">
        <f>IFERROR(__xludf.DUMMYFUNCTION("""COMPUTED_VALUE"""),FALSE)</f>
        <v>0</v>
      </c>
      <c r="E173" s="107" t="str">
        <f>IFERROR(__xludf.DUMMYFUNCTION("""COMPUTED_VALUE"""),"BERDIN")</f>
        <v>BERDIN</v>
      </c>
      <c r="F173" s="107" t="str">
        <f>IFERROR(__xludf.DUMMYFUNCTION("""COMPUTED_VALUE"""),"KURT")</f>
        <v>KURT</v>
      </c>
    </row>
    <row r="174">
      <c r="A174" s="131">
        <f>IFERROR(__xludf.DUMMYFUNCTION("""COMPUTED_VALUE"""),173.0)</f>
        <v>173</v>
      </c>
      <c r="B174" s="131"/>
      <c r="C174" s="131">
        <f>IFERROR(__xludf.DUMMYFUNCTION("""COMPUTED_VALUE"""),167.0)</f>
        <v>167</v>
      </c>
      <c r="D174" s="131" t="b">
        <f>IFERROR(__xludf.DUMMYFUNCTION("""COMPUTED_VALUE"""),FALSE)</f>
        <v>0</v>
      </c>
      <c r="E174" s="107" t="str">
        <f>IFERROR(__xludf.DUMMYFUNCTION("""COMPUTED_VALUE"""),"CALUBIRAN")</f>
        <v>CALUBIRAN</v>
      </c>
      <c r="F174" s="107" t="str">
        <f>IFERROR(__xludf.DUMMYFUNCTION("""COMPUTED_VALUE"""),"JOEL")</f>
        <v>JOEL</v>
      </c>
    </row>
    <row r="175">
      <c r="A175" s="131">
        <f>IFERROR(__xludf.DUMMYFUNCTION("""COMPUTED_VALUE"""),174.0)</f>
        <v>174</v>
      </c>
      <c r="B175" s="131"/>
      <c r="C175" s="131">
        <f>IFERROR(__xludf.DUMMYFUNCTION("""COMPUTED_VALUE"""),167.0)</f>
        <v>167</v>
      </c>
      <c r="D175" s="131" t="b">
        <f>IFERROR(__xludf.DUMMYFUNCTION("""COMPUTED_VALUE"""),FALSE)</f>
        <v>0</v>
      </c>
      <c r="E175" s="107" t="str">
        <f>IFERROR(__xludf.DUMMYFUNCTION("""COMPUTED_VALUE"""),"CARANGAN")</f>
        <v>CARANGAN</v>
      </c>
      <c r="F175" s="107" t="str">
        <f>IFERROR(__xludf.DUMMYFUNCTION("""COMPUTED_VALUE"""),"LANCE")</f>
        <v>LANCE</v>
      </c>
      <c r="G175" s="90" t="s">
        <v>4</v>
      </c>
      <c r="L175" s="90" t="b">
        <v>1</v>
      </c>
    </row>
    <row r="176">
      <c r="A176" s="131">
        <f>IFERROR(__xludf.DUMMYFUNCTION("""COMPUTED_VALUE"""),175.0)</f>
        <v>175</v>
      </c>
      <c r="B176" s="131"/>
      <c r="C176" s="131">
        <f>IFERROR(__xludf.DUMMYFUNCTION("""COMPUTED_VALUE"""),167.0)</f>
        <v>167</v>
      </c>
      <c r="D176" s="131" t="b">
        <f>IFERROR(__xludf.DUMMYFUNCTION("""COMPUTED_VALUE"""),FALSE)</f>
        <v>0</v>
      </c>
      <c r="E176" s="107" t="str">
        <f>IFERROR(__xludf.DUMMYFUNCTION("""COMPUTED_VALUE"""),"CASINUSIMAN")</f>
        <v>CASINUSIMAN</v>
      </c>
      <c r="F176" s="107" t="str">
        <f>IFERROR(__xludf.DUMMYFUNCTION("""COMPUTED_VALUE"""),"RAINER")</f>
        <v>RAINER</v>
      </c>
    </row>
    <row r="177">
      <c r="A177" s="131">
        <f>IFERROR(__xludf.DUMMYFUNCTION("""COMPUTED_VALUE"""),176.0)</f>
        <v>176</v>
      </c>
      <c r="B177" s="131"/>
      <c r="C177" s="131">
        <f>IFERROR(__xludf.DUMMYFUNCTION("""COMPUTED_VALUE"""),167.0)</f>
        <v>167</v>
      </c>
      <c r="D177" s="131" t="b">
        <f>IFERROR(__xludf.DUMMYFUNCTION("""COMPUTED_VALUE"""),FALSE)</f>
        <v>0</v>
      </c>
      <c r="E177" s="107" t="str">
        <f>IFERROR(__xludf.DUMMYFUNCTION("""COMPUTED_VALUE"""),"CORVERA")</f>
        <v>CORVERA</v>
      </c>
      <c r="F177" s="107" t="str">
        <f>IFERROR(__xludf.DUMMYFUNCTION("""COMPUTED_VALUE"""),"FLORENCE")</f>
        <v>FLORENCE</v>
      </c>
    </row>
    <row r="178">
      <c r="A178" s="131">
        <f>IFERROR(__xludf.DUMMYFUNCTION("""COMPUTED_VALUE"""),177.0)</f>
        <v>177</v>
      </c>
      <c r="B178" s="131"/>
      <c r="C178" s="131">
        <f>IFERROR(__xludf.DUMMYFUNCTION("""COMPUTED_VALUE"""),167.0)</f>
        <v>167</v>
      </c>
      <c r="D178" s="131" t="b">
        <f>IFERROR(__xludf.DUMMYFUNCTION("""COMPUTED_VALUE"""),FALSE)</f>
        <v>0</v>
      </c>
      <c r="E178" s="107" t="str">
        <f>IFERROR(__xludf.DUMMYFUNCTION("""COMPUTED_VALUE"""),"DABALOS")</f>
        <v>DABALOS</v>
      </c>
      <c r="F178" s="107" t="str">
        <f>IFERROR(__xludf.DUMMYFUNCTION("""COMPUTED_VALUE"""),"MERVIN")</f>
        <v>MERVIN</v>
      </c>
      <c r="G178" s="90" t="s">
        <v>4</v>
      </c>
      <c r="L178" s="90" t="b">
        <v>1</v>
      </c>
    </row>
    <row r="179">
      <c r="A179" s="131">
        <f>IFERROR(__xludf.DUMMYFUNCTION("""COMPUTED_VALUE"""),178.0)</f>
        <v>178</v>
      </c>
      <c r="B179" s="131"/>
      <c r="C179" s="131">
        <f>IFERROR(__xludf.DUMMYFUNCTION("""COMPUTED_VALUE"""),167.0)</f>
        <v>167</v>
      </c>
      <c r="D179" s="131" t="b">
        <f>IFERROR(__xludf.DUMMYFUNCTION("""COMPUTED_VALUE"""),FALSE)</f>
        <v>0</v>
      </c>
      <c r="E179" s="107" t="str">
        <f>IFERROR(__xludf.DUMMYFUNCTION("""COMPUTED_VALUE"""),"DATO")</f>
        <v>DATO</v>
      </c>
      <c r="F179" s="107" t="str">
        <f>IFERROR(__xludf.DUMMYFUNCTION("""COMPUTED_VALUE"""),"JOHN AL")</f>
        <v>JOHN AL</v>
      </c>
    </row>
    <row r="180">
      <c r="A180" s="131">
        <f>IFERROR(__xludf.DUMMYFUNCTION("""COMPUTED_VALUE"""),179.0)</f>
        <v>179</v>
      </c>
      <c r="B180" s="131"/>
      <c r="C180" s="131">
        <f>IFERROR(__xludf.DUMMYFUNCTION("""COMPUTED_VALUE"""),167.0)</f>
        <v>167</v>
      </c>
      <c r="D180" s="131" t="b">
        <f>IFERROR(__xludf.DUMMYFUNCTION("""COMPUTED_VALUE"""),FALSE)</f>
        <v>0</v>
      </c>
      <c r="E180" s="107" t="str">
        <f>IFERROR(__xludf.DUMMYFUNCTION("""COMPUTED_VALUE"""),"DELA CRUZ")</f>
        <v>DELA CRUZ</v>
      </c>
      <c r="F180" s="107" t="str">
        <f>IFERROR(__xludf.DUMMYFUNCTION("""COMPUTED_VALUE"""),"DYLAN")</f>
        <v>DYLAN</v>
      </c>
    </row>
    <row r="181">
      <c r="A181" s="131">
        <f>IFERROR(__xludf.DUMMYFUNCTION("""COMPUTED_VALUE"""),180.0)</f>
        <v>180</v>
      </c>
      <c r="B181" s="131"/>
      <c r="C181" s="131">
        <f>IFERROR(__xludf.DUMMYFUNCTION("""COMPUTED_VALUE"""),167.0)</f>
        <v>167</v>
      </c>
      <c r="D181" s="131" t="b">
        <f>IFERROR(__xludf.DUMMYFUNCTION("""COMPUTED_VALUE"""),FALSE)</f>
        <v>0</v>
      </c>
      <c r="E181" s="107" t="str">
        <f>IFERROR(__xludf.DUMMYFUNCTION("""COMPUTED_VALUE"""),"DELA PEÑA")</f>
        <v>DELA PEÑA</v>
      </c>
      <c r="F181" s="107" t="str">
        <f>IFERROR(__xludf.DUMMYFUNCTION("""COMPUTED_VALUE"""),"ACEL")</f>
        <v>ACEL</v>
      </c>
    </row>
    <row r="182">
      <c r="A182" s="131">
        <f>IFERROR(__xludf.DUMMYFUNCTION("""COMPUTED_VALUE"""),181.0)</f>
        <v>181</v>
      </c>
      <c r="B182" s="131"/>
      <c r="C182" s="131">
        <f>IFERROR(__xludf.DUMMYFUNCTION("""COMPUTED_VALUE"""),167.0)</f>
        <v>167</v>
      </c>
      <c r="D182" s="131" t="b">
        <f>IFERROR(__xludf.DUMMYFUNCTION("""COMPUTED_VALUE"""),FALSE)</f>
        <v>0</v>
      </c>
      <c r="E182" s="107" t="str">
        <f>IFERROR(__xludf.DUMMYFUNCTION("""COMPUTED_VALUE"""),"DELECTOR")</f>
        <v>DELECTOR</v>
      </c>
      <c r="F182" s="107" t="str">
        <f>IFERROR(__xludf.DUMMYFUNCTION("""COMPUTED_VALUE"""),"FRANCIS CRISTEL")</f>
        <v>FRANCIS CRISTEL</v>
      </c>
    </row>
    <row r="183">
      <c r="A183" s="131">
        <f>IFERROR(__xludf.DUMMYFUNCTION("""COMPUTED_VALUE"""),182.0)</f>
        <v>182</v>
      </c>
      <c r="B183" s="131"/>
      <c r="C183" s="131">
        <f>IFERROR(__xludf.DUMMYFUNCTION("""COMPUTED_VALUE"""),167.0)</f>
        <v>167</v>
      </c>
      <c r="D183" s="131" t="b">
        <f>IFERROR(__xludf.DUMMYFUNCTION("""COMPUTED_VALUE"""),FALSE)</f>
        <v>0</v>
      </c>
      <c r="E183" s="107" t="str">
        <f>IFERROR(__xludf.DUMMYFUNCTION("""COMPUTED_VALUE"""),"DELECTOR")</f>
        <v>DELECTOR</v>
      </c>
      <c r="F183" s="107" t="str">
        <f>IFERROR(__xludf.DUMMYFUNCTION("""COMPUTED_VALUE"""),"FRANZINE CARLO")</f>
        <v>FRANZINE CARLO</v>
      </c>
    </row>
    <row r="184">
      <c r="A184" s="131">
        <f>IFERROR(__xludf.DUMMYFUNCTION("""COMPUTED_VALUE"""),183.0)</f>
        <v>183</v>
      </c>
      <c r="B184" s="131"/>
      <c r="C184" s="131">
        <f>IFERROR(__xludf.DUMMYFUNCTION("""COMPUTED_VALUE"""),167.0)</f>
        <v>167</v>
      </c>
      <c r="D184" s="131" t="b">
        <f>IFERROR(__xludf.DUMMYFUNCTION("""COMPUTED_VALUE"""),FALSE)</f>
        <v>0</v>
      </c>
      <c r="E184" s="107" t="str">
        <f>IFERROR(__xludf.DUMMYFUNCTION("""COMPUTED_VALUE"""),"FRONDA")</f>
        <v>FRONDA</v>
      </c>
      <c r="F184" s="107" t="str">
        <f>IFERROR(__xludf.DUMMYFUNCTION("""COMPUTED_VALUE"""),"ED")</f>
        <v>ED</v>
      </c>
    </row>
    <row r="185">
      <c r="A185" s="131">
        <f>IFERROR(__xludf.DUMMYFUNCTION("""COMPUTED_VALUE"""),184.0)</f>
        <v>184</v>
      </c>
      <c r="B185" s="131"/>
      <c r="C185" s="131">
        <f>IFERROR(__xludf.DUMMYFUNCTION("""COMPUTED_VALUE"""),167.0)</f>
        <v>167</v>
      </c>
      <c r="D185" s="131" t="b">
        <f>IFERROR(__xludf.DUMMYFUNCTION("""COMPUTED_VALUE"""),FALSE)</f>
        <v>0</v>
      </c>
      <c r="E185" s="107" t="str">
        <f>IFERROR(__xludf.DUMMYFUNCTION("""COMPUTED_VALUE"""),"GELICAME")</f>
        <v>GELICAME</v>
      </c>
      <c r="F185" s="107" t="str">
        <f>IFERROR(__xludf.DUMMYFUNCTION("""COMPUTED_VALUE"""),"ALJHUN")</f>
        <v>ALJHUN</v>
      </c>
      <c r="G185" s="90" t="s">
        <v>4</v>
      </c>
      <c r="L185" s="90" t="b">
        <v>1</v>
      </c>
    </row>
    <row r="186">
      <c r="A186" s="131">
        <f>IFERROR(__xludf.DUMMYFUNCTION("""COMPUTED_VALUE"""),185.0)</f>
        <v>185</v>
      </c>
      <c r="B186" s="131"/>
      <c r="C186" s="131">
        <f>IFERROR(__xludf.DUMMYFUNCTION("""COMPUTED_VALUE"""),167.0)</f>
        <v>167</v>
      </c>
      <c r="D186" s="131" t="b">
        <f>IFERROR(__xludf.DUMMYFUNCTION("""COMPUTED_VALUE"""),FALSE)</f>
        <v>0</v>
      </c>
      <c r="E186" s="107" t="str">
        <f>IFERROR(__xludf.DUMMYFUNCTION("""COMPUTED_VALUE"""),"LABAYNE")</f>
        <v>LABAYNE</v>
      </c>
      <c r="F186" s="107" t="str">
        <f>IFERROR(__xludf.DUMMYFUNCTION("""COMPUTED_VALUE"""),"JOSHUA")</f>
        <v>JOSHUA</v>
      </c>
    </row>
    <row r="187">
      <c r="A187" s="131">
        <f>IFERROR(__xludf.DUMMYFUNCTION("""COMPUTED_VALUE"""),186.0)</f>
        <v>186</v>
      </c>
      <c r="B187" s="131"/>
      <c r="C187" s="131">
        <f>IFERROR(__xludf.DUMMYFUNCTION("""COMPUTED_VALUE"""),167.0)</f>
        <v>167</v>
      </c>
      <c r="D187" s="131" t="b">
        <f>IFERROR(__xludf.DUMMYFUNCTION("""COMPUTED_VALUE"""),FALSE)</f>
        <v>0</v>
      </c>
      <c r="E187" s="107" t="str">
        <f>IFERROR(__xludf.DUMMYFUNCTION("""COMPUTED_VALUE"""),"LABAYNE")</f>
        <v>LABAYNE</v>
      </c>
      <c r="F187" s="107" t="str">
        <f>IFERROR(__xludf.DUMMYFUNCTION("""COMPUTED_VALUE"""),"MARK")</f>
        <v>MARK</v>
      </c>
    </row>
    <row r="188">
      <c r="A188" s="131">
        <f>IFERROR(__xludf.DUMMYFUNCTION("""COMPUTED_VALUE"""),187.0)</f>
        <v>187</v>
      </c>
      <c r="B188" s="131"/>
      <c r="C188" s="131">
        <f>IFERROR(__xludf.DUMMYFUNCTION("""COMPUTED_VALUE"""),167.0)</f>
        <v>167</v>
      </c>
      <c r="D188" s="131" t="b">
        <f>IFERROR(__xludf.DUMMYFUNCTION("""COMPUTED_VALUE"""),FALSE)</f>
        <v>0</v>
      </c>
      <c r="E188" s="107" t="str">
        <f>IFERROR(__xludf.DUMMYFUNCTION("""COMPUTED_VALUE"""),"LABAYNE")</f>
        <v>LABAYNE</v>
      </c>
      <c r="F188" s="107" t="str">
        <f>IFERROR(__xludf.DUMMYFUNCTION("""COMPUTED_VALUE"""),"JAMES")</f>
        <v>JAMES</v>
      </c>
    </row>
    <row r="189">
      <c r="A189" s="131">
        <f>IFERROR(__xludf.DUMMYFUNCTION("""COMPUTED_VALUE"""),188.0)</f>
        <v>188</v>
      </c>
      <c r="B189" s="131"/>
      <c r="C189" s="131">
        <f>IFERROR(__xludf.DUMMYFUNCTION("""COMPUTED_VALUE"""),167.0)</f>
        <v>167</v>
      </c>
      <c r="D189" s="131" t="b">
        <f>IFERROR(__xludf.DUMMYFUNCTION("""COMPUTED_VALUE"""),FALSE)</f>
        <v>0</v>
      </c>
      <c r="E189" s="107" t="str">
        <f>IFERROR(__xludf.DUMMYFUNCTION("""COMPUTED_VALUE"""),"LLORENTE")</f>
        <v>LLORENTE</v>
      </c>
      <c r="F189" s="107" t="str">
        <f>IFERROR(__xludf.DUMMYFUNCTION("""COMPUTED_VALUE"""),"MILLS")</f>
        <v>MILLS</v>
      </c>
    </row>
    <row r="190">
      <c r="A190" s="131">
        <f>IFERROR(__xludf.DUMMYFUNCTION("""COMPUTED_VALUE"""),189.0)</f>
        <v>189</v>
      </c>
      <c r="B190" s="131"/>
      <c r="C190" s="131">
        <f>IFERROR(__xludf.DUMMYFUNCTION("""COMPUTED_VALUE"""),167.0)</f>
        <v>167</v>
      </c>
      <c r="D190" s="131" t="b">
        <f>IFERROR(__xludf.DUMMYFUNCTION("""COMPUTED_VALUE"""),FALSE)</f>
        <v>0</v>
      </c>
      <c r="E190" s="107" t="str">
        <f>IFERROR(__xludf.DUMMYFUNCTION("""COMPUTED_VALUE"""),"MANUEL")</f>
        <v>MANUEL</v>
      </c>
      <c r="F190" s="107" t="str">
        <f>IFERROR(__xludf.DUMMYFUNCTION("""COMPUTED_VALUE"""),"JOHN MARK")</f>
        <v>JOHN MARK</v>
      </c>
    </row>
    <row r="191">
      <c r="A191" s="131">
        <f>IFERROR(__xludf.DUMMYFUNCTION("""COMPUTED_VALUE"""),190.0)</f>
        <v>190</v>
      </c>
      <c r="B191" s="131"/>
      <c r="C191" s="131">
        <f>IFERROR(__xludf.DUMMYFUNCTION("""COMPUTED_VALUE"""),167.0)</f>
        <v>167</v>
      </c>
      <c r="D191" s="131" t="b">
        <f>IFERROR(__xludf.DUMMYFUNCTION("""COMPUTED_VALUE"""),FALSE)</f>
        <v>0</v>
      </c>
      <c r="E191" s="107" t="str">
        <f>IFERROR(__xludf.DUMMYFUNCTION("""COMPUTED_VALUE"""),"MENDOZA")</f>
        <v>MENDOZA</v>
      </c>
      <c r="F191" s="107" t="str">
        <f>IFERROR(__xludf.DUMMYFUNCTION("""COMPUTED_VALUE"""),"JM")</f>
        <v>JM</v>
      </c>
    </row>
    <row r="192">
      <c r="A192" s="131">
        <f>IFERROR(__xludf.DUMMYFUNCTION("""COMPUTED_VALUE"""),191.0)</f>
        <v>191</v>
      </c>
      <c r="B192" s="131"/>
      <c r="C192" s="131">
        <f>IFERROR(__xludf.DUMMYFUNCTION("""COMPUTED_VALUE"""),167.0)</f>
        <v>167</v>
      </c>
      <c r="D192" s="131" t="b">
        <f>IFERROR(__xludf.DUMMYFUNCTION("""COMPUTED_VALUE"""),FALSE)</f>
        <v>0</v>
      </c>
      <c r="E192" s="107" t="str">
        <f>IFERROR(__xludf.DUMMYFUNCTION("""COMPUTED_VALUE"""),"MOLINA")</f>
        <v>MOLINA</v>
      </c>
      <c r="F192" s="107" t="str">
        <f>IFERROR(__xludf.DUMMYFUNCTION("""COMPUTED_VALUE"""),"ADRIAN")</f>
        <v>ADRIAN</v>
      </c>
    </row>
    <row r="193">
      <c r="A193" s="131">
        <f>IFERROR(__xludf.DUMMYFUNCTION("""COMPUTED_VALUE"""),192.0)</f>
        <v>192</v>
      </c>
      <c r="B193" s="131"/>
      <c r="C193" s="131">
        <f>IFERROR(__xludf.DUMMYFUNCTION("""COMPUTED_VALUE"""),167.0)</f>
        <v>167</v>
      </c>
      <c r="D193" s="131" t="b">
        <f>IFERROR(__xludf.DUMMYFUNCTION("""COMPUTED_VALUE"""),FALSE)</f>
        <v>0</v>
      </c>
      <c r="E193" s="107" t="str">
        <f>IFERROR(__xludf.DUMMYFUNCTION("""COMPUTED_VALUE"""),"MONTECER")</f>
        <v>MONTECER</v>
      </c>
      <c r="F193" s="107" t="str">
        <f>IFERROR(__xludf.DUMMYFUNCTION("""COMPUTED_VALUE"""),"RYAN")</f>
        <v>RYAN</v>
      </c>
    </row>
    <row r="194">
      <c r="A194" s="131">
        <f>IFERROR(__xludf.DUMMYFUNCTION("""COMPUTED_VALUE"""),193.0)</f>
        <v>193</v>
      </c>
      <c r="B194" s="131"/>
      <c r="C194" s="131">
        <f>IFERROR(__xludf.DUMMYFUNCTION("""COMPUTED_VALUE"""),167.0)</f>
        <v>167</v>
      </c>
      <c r="D194" s="131" t="b">
        <f>IFERROR(__xludf.DUMMYFUNCTION("""COMPUTED_VALUE"""),FALSE)</f>
        <v>0</v>
      </c>
      <c r="E194" s="107" t="str">
        <f>IFERROR(__xludf.DUMMYFUNCTION("""COMPUTED_VALUE"""),"MOSQUITO")</f>
        <v>MOSQUITO</v>
      </c>
      <c r="F194" s="107" t="str">
        <f>IFERROR(__xludf.DUMMYFUNCTION("""COMPUTED_VALUE"""),"JOHN MARK")</f>
        <v>JOHN MARK</v>
      </c>
    </row>
    <row r="195">
      <c r="A195" s="131">
        <f>IFERROR(__xludf.DUMMYFUNCTION("""COMPUTED_VALUE"""),194.0)</f>
        <v>194</v>
      </c>
      <c r="B195" s="131"/>
      <c r="C195" s="131">
        <f>IFERROR(__xludf.DUMMYFUNCTION("""COMPUTED_VALUE"""),167.0)</f>
        <v>167</v>
      </c>
      <c r="D195" s="131" t="b">
        <f>IFERROR(__xludf.DUMMYFUNCTION("""COMPUTED_VALUE"""),FALSE)</f>
        <v>0</v>
      </c>
      <c r="E195" s="107" t="str">
        <f>IFERROR(__xludf.DUMMYFUNCTION("""COMPUTED_VALUE"""),"PASCUAL")</f>
        <v>PASCUAL</v>
      </c>
      <c r="F195" s="107" t="str">
        <f>IFERROR(__xludf.DUMMYFUNCTION("""COMPUTED_VALUE"""),"KIOSKE")</f>
        <v>KIOSKE</v>
      </c>
    </row>
    <row r="196">
      <c r="A196" s="131">
        <f>IFERROR(__xludf.DUMMYFUNCTION("""COMPUTED_VALUE"""),195.0)</f>
        <v>195</v>
      </c>
      <c r="B196" s="131"/>
      <c r="C196" s="131">
        <f>IFERROR(__xludf.DUMMYFUNCTION("""COMPUTED_VALUE"""),167.0)</f>
        <v>167</v>
      </c>
      <c r="D196" s="131" t="b">
        <f>IFERROR(__xludf.DUMMYFUNCTION("""COMPUTED_VALUE"""),FALSE)</f>
        <v>0</v>
      </c>
      <c r="E196" s="107" t="str">
        <f>IFERROR(__xludf.DUMMYFUNCTION("""COMPUTED_VALUE"""),"PERALTA")</f>
        <v>PERALTA</v>
      </c>
      <c r="F196" s="107" t="str">
        <f>IFERROR(__xludf.DUMMYFUNCTION("""COMPUTED_VALUE"""),"MARION")</f>
        <v>MARION</v>
      </c>
    </row>
    <row r="197">
      <c r="A197" s="131">
        <f>IFERROR(__xludf.DUMMYFUNCTION("""COMPUTED_VALUE"""),196.0)</f>
        <v>196</v>
      </c>
      <c r="B197" s="131"/>
      <c r="C197" s="131">
        <f>IFERROR(__xludf.DUMMYFUNCTION("""COMPUTED_VALUE"""),167.0)</f>
        <v>167</v>
      </c>
      <c r="D197" s="131" t="b">
        <f>IFERROR(__xludf.DUMMYFUNCTION("""COMPUTED_VALUE"""),FALSE)</f>
        <v>0</v>
      </c>
      <c r="E197" s="107" t="str">
        <f>IFERROR(__xludf.DUMMYFUNCTION("""COMPUTED_VALUE"""),"RANOLA")</f>
        <v>RANOLA</v>
      </c>
      <c r="F197" s="107" t="str">
        <f>IFERROR(__xludf.DUMMYFUNCTION("""COMPUTED_VALUE"""),"JOHN GABRIELLE P.")</f>
        <v>JOHN GABRIELLE P.</v>
      </c>
    </row>
    <row r="198">
      <c r="A198" s="131">
        <f>IFERROR(__xludf.DUMMYFUNCTION("""COMPUTED_VALUE"""),197.0)</f>
        <v>197</v>
      </c>
      <c r="B198" s="131"/>
      <c r="C198" s="131">
        <f>IFERROR(__xludf.DUMMYFUNCTION("""COMPUTED_VALUE"""),167.0)</f>
        <v>167</v>
      </c>
      <c r="D198" s="131" t="b">
        <f>IFERROR(__xludf.DUMMYFUNCTION("""COMPUTED_VALUE"""),FALSE)</f>
        <v>0</v>
      </c>
      <c r="E198" s="107" t="str">
        <f>IFERROR(__xludf.DUMMYFUNCTION("""COMPUTED_VALUE"""),"REMOPALOS")</f>
        <v>REMOPALOS</v>
      </c>
      <c r="F198" s="107" t="str">
        <f>IFERROR(__xludf.DUMMYFUNCTION("""COMPUTED_VALUE"""),"ZION")</f>
        <v>ZION</v>
      </c>
      <c r="G198" s="90" t="s">
        <v>4</v>
      </c>
      <c r="L198" s="90" t="b">
        <v>1</v>
      </c>
    </row>
    <row r="199">
      <c r="A199" s="131">
        <f>IFERROR(__xludf.DUMMYFUNCTION("""COMPUTED_VALUE"""),198.0)</f>
        <v>198</v>
      </c>
      <c r="B199" s="131"/>
      <c r="C199" s="131">
        <f>IFERROR(__xludf.DUMMYFUNCTION("""COMPUTED_VALUE"""),167.0)</f>
        <v>167</v>
      </c>
      <c r="D199" s="131" t="b">
        <f>IFERROR(__xludf.DUMMYFUNCTION("""COMPUTED_VALUE"""),FALSE)</f>
        <v>0</v>
      </c>
      <c r="E199" s="107" t="str">
        <f>IFERROR(__xludf.DUMMYFUNCTION("""COMPUTED_VALUE"""),"ROSAL")</f>
        <v>ROSAL</v>
      </c>
      <c r="F199" s="107" t="str">
        <f>IFERROR(__xludf.DUMMYFUNCTION("""COMPUTED_VALUE"""),"CYRUS JOSEPH")</f>
        <v>CYRUS JOSEPH</v>
      </c>
    </row>
    <row r="200">
      <c r="A200" s="131">
        <f>IFERROR(__xludf.DUMMYFUNCTION("""COMPUTED_VALUE"""),199.0)</f>
        <v>199</v>
      </c>
      <c r="B200" s="131"/>
      <c r="C200" s="131">
        <f>IFERROR(__xludf.DUMMYFUNCTION("""COMPUTED_VALUE"""),167.0)</f>
        <v>167</v>
      </c>
      <c r="D200" s="131" t="b">
        <f>IFERROR(__xludf.DUMMYFUNCTION("""COMPUTED_VALUE"""),FALSE)</f>
        <v>0</v>
      </c>
      <c r="E200" s="107" t="str">
        <f>IFERROR(__xludf.DUMMYFUNCTION("""COMPUTED_VALUE"""),"SAMONTANES")</f>
        <v>SAMONTANES</v>
      </c>
      <c r="F200" s="107" t="str">
        <f>IFERROR(__xludf.DUMMYFUNCTION("""COMPUTED_VALUE"""),"DAVID")</f>
        <v>DAVID</v>
      </c>
    </row>
    <row r="201">
      <c r="A201" s="131">
        <f>IFERROR(__xludf.DUMMYFUNCTION("""COMPUTED_VALUE"""),200.0)</f>
        <v>200</v>
      </c>
      <c r="B201" s="131"/>
      <c r="C201" s="131">
        <f>IFERROR(__xludf.DUMMYFUNCTION("""COMPUTED_VALUE"""),167.0)</f>
        <v>167</v>
      </c>
      <c r="D201" s="131" t="b">
        <f>IFERROR(__xludf.DUMMYFUNCTION("""COMPUTED_VALUE"""),FALSE)</f>
        <v>0</v>
      </c>
      <c r="E201" s="107" t="str">
        <f>IFERROR(__xludf.DUMMYFUNCTION("""COMPUTED_VALUE"""),"SISON")</f>
        <v>SISON</v>
      </c>
      <c r="F201" s="107" t="str">
        <f>IFERROR(__xludf.DUMMYFUNCTION("""COMPUTED_VALUE"""),"RAVEN JAZZ")</f>
        <v>RAVEN JAZZ</v>
      </c>
    </row>
    <row r="202">
      <c r="A202" s="131">
        <f>IFERROR(__xludf.DUMMYFUNCTION("""COMPUTED_VALUE"""),201.0)</f>
        <v>201</v>
      </c>
      <c r="B202" s="131"/>
      <c r="C202" s="131">
        <f>IFERROR(__xludf.DUMMYFUNCTION("""COMPUTED_VALUE"""),167.0)</f>
        <v>167</v>
      </c>
      <c r="D202" s="131" t="b">
        <f>IFERROR(__xludf.DUMMYFUNCTION("""COMPUTED_VALUE"""),FALSE)</f>
        <v>0</v>
      </c>
      <c r="E202" s="107" t="str">
        <f>IFERROR(__xludf.DUMMYFUNCTION("""COMPUTED_VALUE"""),"SOMERA")</f>
        <v>SOMERA</v>
      </c>
      <c r="F202" s="107" t="str">
        <f>IFERROR(__xludf.DUMMYFUNCTION("""COMPUTED_VALUE"""),"MICHAEL")</f>
        <v>MICHAEL</v>
      </c>
    </row>
    <row r="203">
      <c r="A203" s="131">
        <f>IFERROR(__xludf.DUMMYFUNCTION("""COMPUTED_VALUE"""),202.0)</f>
        <v>202</v>
      </c>
      <c r="B203" s="131"/>
      <c r="C203" s="131">
        <f>IFERROR(__xludf.DUMMYFUNCTION("""COMPUTED_VALUE"""),167.0)</f>
        <v>167</v>
      </c>
      <c r="D203" s="131" t="b">
        <f>IFERROR(__xludf.DUMMYFUNCTION("""COMPUTED_VALUE"""),FALSE)</f>
        <v>0</v>
      </c>
      <c r="E203" s="107" t="str">
        <f>IFERROR(__xludf.DUMMYFUNCTION("""COMPUTED_VALUE"""),"TAMIDLES")</f>
        <v>TAMIDLES</v>
      </c>
      <c r="F203" s="107" t="str">
        <f>IFERROR(__xludf.DUMMYFUNCTION("""COMPUTED_VALUE"""),"KARL")</f>
        <v>KARL</v>
      </c>
      <c r="G203" s="90" t="s">
        <v>4</v>
      </c>
      <c r="L203" s="90" t="b">
        <v>1</v>
      </c>
    </row>
    <row r="204">
      <c r="A204" s="131">
        <f>IFERROR(__xludf.DUMMYFUNCTION("""COMPUTED_VALUE"""),203.0)</f>
        <v>203</v>
      </c>
      <c r="B204" s="131"/>
      <c r="C204" s="131">
        <f>IFERROR(__xludf.DUMMYFUNCTION("""COMPUTED_VALUE"""),167.0)</f>
        <v>167</v>
      </c>
      <c r="D204" s="131" t="b">
        <f>IFERROR(__xludf.DUMMYFUNCTION("""COMPUTED_VALUE"""),FALSE)</f>
        <v>0</v>
      </c>
      <c r="E204" s="107" t="str">
        <f>IFERROR(__xludf.DUMMYFUNCTION("""COMPUTED_VALUE"""),"TAN")</f>
        <v>TAN</v>
      </c>
      <c r="F204" s="107" t="str">
        <f>IFERROR(__xludf.DUMMYFUNCTION("""COMPUTED_VALUE"""),"RAMON")</f>
        <v>RAMON</v>
      </c>
    </row>
    <row r="205">
      <c r="A205" s="131">
        <f>IFERROR(__xludf.DUMMYFUNCTION("""COMPUTED_VALUE"""),204.0)</f>
        <v>204</v>
      </c>
      <c r="B205" s="131"/>
      <c r="C205" s="131">
        <f>IFERROR(__xludf.DUMMYFUNCTION("""COMPUTED_VALUE"""),167.0)</f>
        <v>167</v>
      </c>
      <c r="D205" s="131" t="b">
        <f>IFERROR(__xludf.DUMMYFUNCTION("""COMPUTED_VALUE"""),FALSE)</f>
        <v>0</v>
      </c>
      <c r="E205" s="116" t="str">
        <f>IFERROR(__xludf.DUMMYFUNCTION("""COMPUTED_VALUE"""),"TOLEDO")</f>
        <v>TOLEDO</v>
      </c>
      <c r="F205" s="107" t="str">
        <f>IFERROR(__xludf.DUMMYFUNCTION("""COMPUTED_VALUE"""),"ASZHER")</f>
        <v>ASZHER</v>
      </c>
    </row>
    <row r="206">
      <c r="A206" s="131">
        <f>IFERROR(__xludf.DUMMYFUNCTION("""COMPUTED_VALUE"""),205.0)</f>
        <v>205</v>
      </c>
      <c r="B206" s="131"/>
      <c r="C206" s="131">
        <f>IFERROR(__xludf.DUMMYFUNCTION("""COMPUTED_VALUE"""),167.0)</f>
        <v>167</v>
      </c>
      <c r="D206" s="131" t="b">
        <f>IFERROR(__xludf.DUMMYFUNCTION("""COMPUTED_VALUE"""),FALSE)</f>
        <v>0</v>
      </c>
      <c r="E206" s="107" t="str">
        <f>IFERROR(__xludf.DUMMYFUNCTION("""COMPUTED_VALUE"""),"TAMIDLES")</f>
        <v>TAMIDLES</v>
      </c>
      <c r="F206" s="107" t="str">
        <f>IFERROR(__xludf.DUMMYFUNCTION("""COMPUTED_VALUE"""),"ZHAIRON")</f>
        <v>ZHAIRON</v>
      </c>
    </row>
    <row r="207">
      <c r="A207" s="131">
        <f>IFERROR(__xludf.DUMMYFUNCTION("""COMPUTED_VALUE"""),206.0)</f>
        <v>206</v>
      </c>
      <c r="B207" s="131"/>
      <c r="C207" s="131">
        <f>IFERROR(__xludf.DUMMYFUNCTION("""COMPUTED_VALUE"""),167.0)</f>
        <v>167</v>
      </c>
      <c r="D207" s="131" t="b">
        <f>IFERROR(__xludf.DUMMYFUNCTION("""COMPUTED_VALUE"""),FALSE)</f>
        <v>0</v>
      </c>
      <c r="E207" s="107" t="str">
        <f>IFERROR(__xludf.DUMMYFUNCTION("""COMPUTED_VALUE"""),"VERTUDAZO")</f>
        <v>VERTUDAZO</v>
      </c>
      <c r="F207" s="107" t="str">
        <f>IFERROR(__xludf.DUMMYFUNCTION("""COMPUTED_VALUE"""),"KENNETH")</f>
        <v>KENNETH</v>
      </c>
    </row>
    <row r="208">
      <c r="A208" s="131">
        <f>IFERROR(__xludf.DUMMYFUNCTION("""COMPUTED_VALUE"""),207.0)</f>
        <v>207</v>
      </c>
      <c r="B208" s="131"/>
      <c r="C208" s="131">
        <f>IFERROR(__xludf.DUMMYFUNCTION("""COMPUTED_VALUE"""),167.0)</f>
        <v>167</v>
      </c>
      <c r="D208" s="131" t="b">
        <f>IFERROR(__xludf.DUMMYFUNCTION("""COMPUTED_VALUE"""),FALSE)</f>
        <v>0</v>
      </c>
      <c r="E208" s="107" t="str">
        <f>IFERROR(__xludf.DUMMYFUNCTION("""COMPUTED_VALUE"""),"VILLARUEL")</f>
        <v>VILLARUEL</v>
      </c>
      <c r="F208" s="107" t="str">
        <f>IFERROR(__xludf.DUMMYFUNCTION("""COMPUTED_VALUE"""),"KIAN")</f>
        <v>KIAN</v>
      </c>
    </row>
    <row r="209">
      <c r="A209" s="131">
        <f>IFERROR(__xludf.DUMMYFUNCTION("""COMPUTED_VALUE"""),208.0)</f>
        <v>208</v>
      </c>
      <c r="B209" s="131"/>
      <c r="C209" s="131">
        <f>IFERROR(__xludf.DUMMYFUNCTION("""COMPUTED_VALUE"""),167.0)</f>
        <v>167</v>
      </c>
      <c r="D209" s="131" t="b">
        <f>IFERROR(__xludf.DUMMYFUNCTION("""COMPUTED_VALUE"""),FALSE)</f>
        <v>0</v>
      </c>
      <c r="E209" s="107" t="str">
        <f>IFERROR(__xludf.DUMMYFUNCTION("""COMPUTED_VALUE"""),"VILLARUEL")</f>
        <v>VILLARUEL</v>
      </c>
      <c r="F209" s="107" t="str">
        <f>IFERROR(__xludf.DUMMYFUNCTION("""COMPUTED_VALUE"""),"KYLE")</f>
        <v>KYLE</v>
      </c>
    </row>
    <row r="210">
      <c r="A210" s="131">
        <f>IFERROR(__xludf.DUMMYFUNCTION("""COMPUTED_VALUE"""),209.0)</f>
        <v>209</v>
      </c>
      <c r="B210" s="131"/>
      <c r="C210" s="131">
        <f>IFERROR(__xludf.DUMMYFUNCTION("""COMPUTED_VALUE"""),167.0)</f>
        <v>167</v>
      </c>
      <c r="D210" s="131" t="b">
        <f>IFERROR(__xludf.DUMMYFUNCTION("""COMPUTED_VALUE"""),FALSE)</f>
        <v>0</v>
      </c>
      <c r="E210" s="118" t="str">
        <f>IFERROR(__xludf.DUMMYFUNCTION("""COMPUTED_VALUE"""),"PADLAN")</f>
        <v>PADLAN</v>
      </c>
      <c r="F210" s="107" t="str">
        <f>IFERROR(__xludf.DUMMYFUNCTION("""COMPUTED_VALUE"""),"STEPHEN")</f>
        <v>STEPHEN</v>
      </c>
    </row>
    <row r="211">
      <c r="A211" s="131">
        <f>IFERROR(__xludf.DUMMYFUNCTION("""COMPUTED_VALUE"""),210.0)</f>
        <v>210</v>
      </c>
      <c r="B211" s="131"/>
      <c r="C211" s="131">
        <f>IFERROR(__xludf.DUMMYFUNCTION("""COMPUTED_VALUE"""),167.0)</f>
        <v>167</v>
      </c>
      <c r="D211" s="131" t="b">
        <f>IFERROR(__xludf.DUMMYFUNCTION("""COMPUTED_VALUE"""),FALSE)</f>
        <v>0</v>
      </c>
      <c r="E211" s="118"/>
      <c r="F211" s="107" t="str">
        <f>IFERROR(__xludf.DUMMYFUNCTION("""COMPUTED_VALUE"""),"SIMON")</f>
        <v>SIMON</v>
      </c>
    </row>
    <row r="212">
      <c r="A212" s="131">
        <f>IFERROR(__xludf.DUMMYFUNCTION("""COMPUTED_VALUE"""),211.0)</f>
        <v>211</v>
      </c>
      <c r="B212" s="131"/>
      <c r="C212" s="131">
        <f>IFERROR(__xludf.DUMMYFUNCTION("""COMPUTED_VALUE"""),167.0)</f>
        <v>167</v>
      </c>
      <c r="D212" s="131" t="b">
        <f>IFERROR(__xludf.DUMMYFUNCTION("""COMPUTED_VALUE"""),FALSE)</f>
        <v>0</v>
      </c>
      <c r="E212" s="118"/>
      <c r="F212" s="107" t="str">
        <f>IFERROR(__xludf.DUMMYFUNCTION("""COMPUTED_VALUE"""),"NICO")</f>
        <v>NICO</v>
      </c>
    </row>
    <row r="213">
      <c r="A213" s="131">
        <f>IFERROR(__xludf.DUMMYFUNCTION("""COMPUTED_VALUE"""),212.0)</f>
        <v>212</v>
      </c>
      <c r="B213" s="131"/>
      <c r="C213" s="131">
        <f>IFERROR(__xludf.DUMMYFUNCTION("""COMPUTED_VALUE"""),167.0)</f>
        <v>167</v>
      </c>
      <c r="D213" s="131" t="b">
        <f>IFERROR(__xludf.DUMMYFUNCTION("""COMPUTED_VALUE"""),FALSE)</f>
        <v>0</v>
      </c>
      <c r="E213" s="118"/>
      <c r="F213" s="107" t="str">
        <f>IFERROR(__xludf.DUMMYFUNCTION("""COMPUTED_VALUE"""),"JERVISH")</f>
        <v>JERVISH</v>
      </c>
    </row>
    <row r="214">
      <c r="A214" s="131">
        <f>IFERROR(__xludf.DUMMYFUNCTION("""COMPUTED_VALUE"""),213.0)</f>
        <v>213</v>
      </c>
      <c r="B214" s="131"/>
      <c r="C214" s="131">
        <f>IFERROR(__xludf.DUMMYFUNCTION("""COMPUTED_VALUE"""),23.0)</f>
        <v>23</v>
      </c>
      <c r="D214" s="131" t="b">
        <f>IFERROR(__xludf.DUMMYFUNCTION("""COMPUTED_VALUE"""),TRUE)</f>
        <v>1</v>
      </c>
      <c r="E214" s="119" t="str">
        <f>IFERROR(__xludf.DUMMYFUNCTION("""COMPUTED_VALUE"""),"UDAUNDO")</f>
        <v>UDAUNDO</v>
      </c>
      <c r="F214" s="119" t="str">
        <f>IFERROR(__xludf.DUMMYFUNCTION("""COMPUTED_VALUE"""),"RINOA MAE")</f>
        <v>RINOA MAE</v>
      </c>
      <c r="G214" s="90" t="s">
        <v>4</v>
      </c>
      <c r="I214" s="90" t="s">
        <v>4</v>
      </c>
      <c r="L214" s="90" t="b">
        <v>1</v>
      </c>
      <c r="N214" s="90" t="b">
        <v>1</v>
      </c>
    </row>
    <row r="215">
      <c r="A215" s="131">
        <f>IFERROR(__xludf.DUMMYFUNCTION("""COMPUTED_VALUE"""),214.0)</f>
        <v>214</v>
      </c>
      <c r="B215" s="131"/>
      <c r="C215" s="131">
        <f>IFERROR(__xludf.DUMMYFUNCTION("""COMPUTED_VALUE"""),23.0)</f>
        <v>23</v>
      </c>
      <c r="D215" s="131" t="b">
        <f>IFERROR(__xludf.DUMMYFUNCTION("""COMPUTED_VALUE"""),FALSE)</f>
        <v>0</v>
      </c>
      <c r="E215" s="107" t="str">
        <f>IFERROR(__xludf.DUMMYFUNCTION("""COMPUTED_VALUE"""),"CASERO")</f>
        <v>CASERO</v>
      </c>
      <c r="F215" s="107" t="str">
        <f>IFERROR(__xludf.DUMMYFUNCTION("""COMPUTED_VALUE"""),"AALIYAH")</f>
        <v>AALIYAH</v>
      </c>
    </row>
    <row r="216">
      <c r="A216" s="131">
        <f>IFERROR(__xludf.DUMMYFUNCTION("""COMPUTED_VALUE"""),215.0)</f>
        <v>215</v>
      </c>
      <c r="B216" s="131"/>
      <c r="C216" s="131">
        <f>IFERROR(__xludf.DUMMYFUNCTION("""COMPUTED_VALUE"""),23.0)</f>
        <v>23</v>
      </c>
      <c r="D216" s="131" t="b">
        <f>IFERROR(__xludf.DUMMYFUNCTION("""COMPUTED_VALUE"""),FALSE)</f>
        <v>0</v>
      </c>
      <c r="E216" s="107" t="str">
        <f>IFERROR(__xludf.DUMMYFUNCTION("""COMPUTED_VALUE"""),"CELASES")</f>
        <v>CELASES</v>
      </c>
      <c r="F216" s="107" t="str">
        <f>IFERROR(__xludf.DUMMYFUNCTION("""COMPUTED_VALUE"""),"SOFIA")</f>
        <v>SOFIA</v>
      </c>
    </row>
    <row r="217">
      <c r="A217" s="131">
        <f>IFERROR(__xludf.DUMMYFUNCTION("""COMPUTED_VALUE"""),216.0)</f>
        <v>216</v>
      </c>
      <c r="B217" s="131"/>
      <c r="C217" s="131">
        <f>IFERROR(__xludf.DUMMYFUNCTION("""COMPUTED_VALUE"""),23.0)</f>
        <v>23</v>
      </c>
      <c r="D217" s="131" t="b">
        <f>IFERROR(__xludf.DUMMYFUNCTION("""COMPUTED_VALUE"""),FALSE)</f>
        <v>0</v>
      </c>
      <c r="E217" s="107" t="str">
        <f>IFERROR(__xludf.DUMMYFUNCTION("""COMPUTED_VALUE"""),"LACONSAY")</f>
        <v>LACONSAY</v>
      </c>
      <c r="F217" s="107" t="str">
        <f>IFERROR(__xludf.DUMMYFUNCTION("""COMPUTED_VALUE"""),"MAIYA")</f>
        <v>MAIYA</v>
      </c>
      <c r="G217" s="90" t="s">
        <v>4</v>
      </c>
      <c r="L217" s="90" t="b">
        <v>1</v>
      </c>
    </row>
    <row r="218">
      <c r="A218" s="131">
        <f>IFERROR(__xludf.DUMMYFUNCTION("""COMPUTED_VALUE"""),217.0)</f>
        <v>217</v>
      </c>
      <c r="B218" s="131"/>
      <c r="C218" s="131">
        <f>IFERROR(__xludf.DUMMYFUNCTION("""COMPUTED_VALUE"""),23.0)</f>
        <v>23</v>
      </c>
      <c r="D218" s="131" t="b">
        <f>IFERROR(__xludf.DUMMYFUNCTION("""COMPUTED_VALUE"""),FALSE)</f>
        <v>0</v>
      </c>
      <c r="E218" s="107" t="str">
        <f>IFERROR(__xludf.DUMMYFUNCTION("""COMPUTED_VALUE"""),"MADLANGAWA")</f>
        <v>MADLANGAWA</v>
      </c>
      <c r="F218" s="107" t="str">
        <f>IFERROR(__xludf.DUMMYFUNCTION("""COMPUTED_VALUE"""),"INGRID")</f>
        <v>INGRID</v>
      </c>
    </row>
    <row r="219">
      <c r="A219" s="131">
        <f>IFERROR(__xludf.DUMMYFUNCTION("""COMPUTED_VALUE"""),218.0)</f>
        <v>218</v>
      </c>
      <c r="B219" s="131"/>
      <c r="C219" s="131">
        <f>IFERROR(__xludf.DUMMYFUNCTION("""COMPUTED_VALUE"""),23.0)</f>
        <v>23</v>
      </c>
      <c r="D219" s="131" t="b">
        <f>IFERROR(__xludf.DUMMYFUNCTION("""COMPUTED_VALUE"""),FALSE)</f>
        <v>0</v>
      </c>
      <c r="E219" s="107" t="str">
        <f>IFERROR(__xludf.DUMMYFUNCTION("""COMPUTED_VALUE"""),"MALAGOTNOT")</f>
        <v>MALAGOTNOT</v>
      </c>
      <c r="F219" s="107" t="str">
        <f>IFERROR(__xludf.DUMMYFUNCTION("""COMPUTED_VALUE"""),"PHOEBE")</f>
        <v>PHOEBE</v>
      </c>
    </row>
    <row r="220">
      <c r="A220" s="131">
        <f>IFERROR(__xludf.DUMMYFUNCTION("""COMPUTED_VALUE"""),219.0)</f>
        <v>219</v>
      </c>
      <c r="B220" s="131"/>
      <c r="C220" s="131">
        <f>IFERROR(__xludf.DUMMYFUNCTION("""COMPUTED_VALUE"""),23.0)</f>
        <v>23</v>
      </c>
      <c r="D220" s="131" t="b">
        <f>IFERROR(__xludf.DUMMYFUNCTION("""COMPUTED_VALUE"""),FALSE)</f>
        <v>0</v>
      </c>
      <c r="E220" s="107" t="str">
        <f>IFERROR(__xludf.DUMMYFUNCTION("""COMPUTED_VALUE"""),"MALOLOY-ON")</f>
        <v>MALOLOY-ON</v>
      </c>
      <c r="F220" s="107" t="str">
        <f>IFERROR(__xludf.DUMMYFUNCTION("""COMPUTED_VALUE"""),"EUNICE")</f>
        <v>EUNICE</v>
      </c>
    </row>
    <row r="221">
      <c r="A221" s="131">
        <f>IFERROR(__xludf.DUMMYFUNCTION("""COMPUTED_VALUE"""),220.0)</f>
        <v>220</v>
      </c>
      <c r="B221" s="131"/>
      <c r="C221" s="131">
        <f>IFERROR(__xludf.DUMMYFUNCTION("""COMPUTED_VALUE"""),23.0)</f>
        <v>23</v>
      </c>
      <c r="D221" s="131" t="b">
        <f>IFERROR(__xludf.DUMMYFUNCTION("""COMPUTED_VALUE"""),FALSE)</f>
        <v>0</v>
      </c>
      <c r="E221" s="107" t="str">
        <f>IFERROR(__xludf.DUMMYFUNCTION("""COMPUTED_VALUE"""),"OBASAN")</f>
        <v>OBASAN</v>
      </c>
      <c r="F221" s="107" t="str">
        <f>IFERROR(__xludf.DUMMYFUNCTION("""COMPUTED_VALUE"""),"AUDREY")</f>
        <v>AUDREY</v>
      </c>
    </row>
    <row r="222">
      <c r="A222" s="131">
        <f>IFERROR(__xludf.DUMMYFUNCTION("""COMPUTED_VALUE"""),221.0)</f>
        <v>221</v>
      </c>
      <c r="B222" s="131"/>
      <c r="C222" s="131">
        <f>IFERROR(__xludf.DUMMYFUNCTION("""COMPUTED_VALUE"""),23.0)</f>
        <v>23</v>
      </c>
      <c r="D222" s="131" t="b">
        <f>IFERROR(__xludf.DUMMYFUNCTION("""COMPUTED_VALUE"""),FALSE)</f>
        <v>0</v>
      </c>
      <c r="E222" s="107" t="str">
        <f>IFERROR(__xludf.DUMMYFUNCTION("""COMPUTED_VALUE"""),"OBASAN")</f>
        <v>OBASAN</v>
      </c>
      <c r="F222" s="107" t="str">
        <f>IFERROR(__xludf.DUMMYFUNCTION("""COMPUTED_VALUE"""),"ACEZZY")</f>
        <v>ACEZZY</v>
      </c>
    </row>
    <row r="223">
      <c r="A223" s="131">
        <f>IFERROR(__xludf.DUMMYFUNCTION("""COMPUTED_VALUE"""),222.0)</f>
        <v>222</v>
      </c>
      <c r="B223" s="131"/>
      <c r="C223" s="131">
        <f>IFERROR(__xludf.DUMMYFUNCTION("""COMPUTED_VALUE"""),23.0)</f>
        <v>23</v>
      </c>
      <c r="D223" s="131" t="b">
        <f>IFERROR(__xludf.DUMMYFUNCTION("""COMPUTED_VALUE"""),FALSE)</f>
        <v>0</v>
      </c>
      <c r="E223" s="107" t="str">
        <f>IFERROR(__xludf.DUMMYFUNCTION("""COMPUTED_VALUE"""),"OBASAN")</f>
        <v>OBASAN</v>
      </c>
      <c r="F223" s="107" t="str">
        <f>IFERROR(__xludf.DUMMYFUNCTION("""COMPUTED_VALUE"""),"AYESHA")</f>
        <v>AYESHA</v>
      </c>
    </row>
    <row r="224">
      <c r="A224" s="131">
        <f>IFERROR(__xludf.DUMMYFUNCTION("""COMPUTED_VALUE"""),223.0)</f>
        <v>223</v>
      </c>
      <c r="B224" s="131"/>
      <c r="C224" s="131">
        <f>IFERROR(__xludf.DUMMYFUNCTION("""COMPUTED_VALUE"""),23.0)</f>
        <v>23</v>
      </c>
      <c r="D224" s="131" t="b">
        <f>IFERROR(__xludf.DUMMYFUNCTION("""COMPUTED_VALUE"""),FALSE)</f>
        <v>0</v>
      </c>
      <c r="E224" s="107" t="str">
        <f>IFERROR(__xludf.DUMMYFUNCTION("""COMPUTED_VALUE"""),"PACSON")</f>
        <v>PACSON</v>
      </c>
      <c r="F224" s="107" t="str">
        <f>IFERROR(__xludf.DUMMYFUNCTION("""COMPUTED_VALUE"""),"KAYTE")</f>
        <v>KAYTE</v>
      </c>
    </row>
    <row r="225">
      <c r="A225" s="131">
        <f>IFERROR(__xludf.DUMMYFUNCTION("""COMPUTED_VALUE"""),224.0)</f>
        <v>224</v>
      </c>
      <c r="B225" s="131"/>
      <c r="C225" s="131">
        <f>IFERROR(__xludf.DUMMYFUNCTION("""COMPUTED_VALUE"""),23.0)</f>
        <v>23</v>
      </c>
      <c r="D225" s="131" t="b">
        <f>IFERROR(__xludf.DUMMYFUNCTION("""COMPUTED_VALUE"""),FALSE)</f>
        <v>0</v>
      </c>
      <c r="E225" s="107" t="str">
        <f>IFERROR(__xludf.DUMMYFUNCTION("""COMPUTED_VALUE"""),"PACSON")</f>
        <v>PACSON</v>
      </c>
      <c r="F225" s="107" t="str">
        <f>IFERROR(__xludf.DUMMYFUNCTION("""COMPUTED_VALUE"""),"MICAELLA")</f>
        <v>MICAELLA</v>
      </c>
    </row>
    <row r="226">
      <c r="A226" s="131">
        <f>IFERROR(__xludf.DUMMYFUNCTION("""COMPUTED_VALUE"""),225.0)</f>
        <v>225</v>
      </c>
      <c r="B226" s="131"/>
      <c r="C226" s="131">
        <f>IFERROR(__xludf.DUMMYFUNCTION("""COMPUTED_VALUE"""),23.0)</f>
        <v>23</v>
      </c>
      <c r="D226" s="131" t="b">
        <f>IFERROR(__xludf.DUMMYFUNCTION("""COMPUTED_VALUE"""),FALSE)</f>
        <v>0</v>
      </c>
      <c r="E226" s="107" t="str">
        <f>IFERROR(__xludf.DUMMYFUNCTION("""COMPUTED_VALUE"""),"RETAMAR")</f>
        <v>RETAMAR</v>
      </c>
      <c r="F226" s="107" t="str">
        <f>IFERROR(__xludf.DUMMYFUNCTION("""COMPUTED_VALUE"""),"JASMINE")</f>
        <v>JASMINE</v>
      </c>
    </row>
    <row r="227">
      <c r="A227" s="131">
        <f>IFERROR(__xludf.DUMMYFUNCTION("""COMPUTED_VALUE"""),226.0)</f>
        <v>226</v>
      </c>
      <c r="B227" s="131"/>
      <c r="C227" s="131">
        <f>IFERROR(__xludf.DUMMYFUNCTION("""COMPUTED_VALUE"""),23.0)</f>
        <v>23</v>
      </c>
      <c r="D227" s="131" t="b">
        <f>IFERROR(__xludf.DUMMYFUNCTION("""COMPUTED_VALUE"""),FALSE)</f>
        <v>0</v>
      </c>
      <c r="E227" s="107" t="str">
        <f>IFERROR(__xludf.DUMMYFUNCTION("""COMPUTED_VALUE"""),"ROGACION")</f>
        <v>ROGACION</v>
      </c>
      <c r="F227" s="107" t="str">
        <f>IFERROR(__xludf.DUMMYFUNCTION("""COMPUTED_VALUE"""),"LYKA")</f>
        <v>LYKA</v>
      </c>
    </row>
    <row r="228">
      <c r="A228" s="131">
        <f>IFERROR(__xludf.DUMMYFUNCTION("""COMPUTED_VALUE"""),227.0)</f>
        <v>227</v>
      </c>
      <c r="B228" s="131"/>
      <c r="C228" s="131">
        <f>IFERROR(__xludf.DUMMYFUNCTION("""COMPUTED_VALUE"""),23.0)</f>
        <v>23</v>
      </c>
      <c r="D228" s="131" t="b">
        <f>IFERROR(__xludf.DUMMYFUNCTION("""COMPUTED_VALUE"""),FALSE)</f>
        <v>0</v>
      </c>
      <c r="E228" s="107" t="str">
        <f>IFERROR(__xludf.DUMMYFUNCTION("""COMPUTED_VALUE"""),"TINGSON")</f>
        <v>TINGSON</v>
      </c>
      <c r="F228" s="107" t="str">
        <f>IFERROR(__xludf.DUMMYFUNCTION("""COMPUTED_VALUE"""),"JANELLE")</f>
        <v>JANELLE</v>
      </c>
    </row>
    <row r="229">
      <c r="A229" s="131">
        <f>IFERROR(__xludf.DUMMYFUNCTION("""COMPUTED_VALUE"""),228.0)</f>
        <v>228</v>
      </c>
      <c r="B229" s="131"/>
      <c r="C229" s="131">
        <f>IFERROR(__xludf.DUMMYFUNCTION("""COMPUTED_VALUE"""),23.0)</f>
        <v>23</v>
      </c>
      <c r="D229" s="131" t="b">
        <f>IFERROR(__xludf.DUMMYFUNCTION("""COMPUTED_VALUE"""),FALSE)</f>
        <v>0</v>
      </c>
      <c r="E229" s="107" t="str">
        <f>IFERROR(__xludf.DUMMYFUNCTION("""COMPUTED_VALUE"""),"TOLEDO")</f>
        <v>TOLEDO</v>
      </c>
      <c r="F229" s="115" t="str">
        <f>IFERROR(__xludf.DUMMYFUNCTION("""COMPUTED_VALUE"""),"AKIZSAH")</f>
        <v>AKIZSAH</v>
      </c>
      <c r="G229" s="90" t="s">
        <v>4</v>
      </c>
      <c r="I229" s="90" t="s">
        <v>4</v>
      </c>
      <c r="L229" s="90" t="b">
        <v>1</v>
      </c>
      <c r="N229" s="90" t="b">
        <v>1</v>
      </c>
    </row>
    <row r="230">
      <c r="A230" s="131">
        <f>IFERROR(__xludf.DUMMYFUNCTION("""COMPUTED_VALUE"""),229.0)</f>
        <v>229</v>
      </c>
      <c r="B230" s="131"/>
      <c r="C230" s="131">
        <f>IFERROR(__xludf.DUMMYFUNCTION("""COMPUTED_VALUE"""),23.0)</f>
        <v>23</v>
      </c>
      <c r="D230" s="131" t="b">
        <f>IFERROR(__xludf.DUMMYFUNCTION("""COMPUTED_VALUE"""),FALSE)</f>
        <v>0</v>
      </c>
      <c r="E230" s="107" t="str">
        <f>IFERROR(__xludf.DUMMYFUNCTION("""COMPUTED_VALUE"""),"UDAUNDO")</f>
        <v>UDAUNDO</v>
      </c>
      <c r="F230" s="107" t="str">
        <f>IFERROR(__xludf.DUMMYFUNCTION("""COMPUTED_VALUE"""),"ELLA")</f>
        <v>ELLA</v>
      </c>
    </row>
    <row r="231">
      <c r="A231" s="131">
        <f>IFERROR(__xludf.DUMMYFUNCTION("""COMPUTED_VALUE"""),230.0)</f>
        <v>230</v>
      </c>
      <c r="B231" s="131"/>
      <c r="C231" s="131">
        <f>IFERROR(__xludf.DUMMYFUNCTION("""COMPUTED_VALUE"""),1.0)</f>
        <v>1</v>
      </c>
      <c r="D231" s="131" t="b">
        <f>IFERROR(__xludf.DUMMYFUNCTION("""COMPUTED_VALUE"""),FALSE)</f>
        <v>0</v>
      </c>
      <c r="E231" s="131" t="str">
        <f>IFERROR(__xludf.DUMMYFUNCTION("""COMPUTED_VALUE"""),"ROMUALDO")</f>
        <v>ROMUALDO</v>
      </c>
      <c r="F231" s="131" t="str">
        <f>IFERROR(__xludf.DUMMYFUNCTION("""COMPUTED_VALUE"""),"AC")</f>
        <v>AC</v>
      </c>
    </row>
    <row r="232">
      <c r="A232" s="131">
        <f>IFERROR(__xludf.DUMMYFUNCTION("""COMPUTED_VALUE"""),231.0)</f>
        <v>231</v>
      </c>
      <c r="B232" s="131"/>
      <c r="C232" s="131">
        <f>IFERROR(__xludf.DUMMYFUNCTION("""COMPUTED_VALUE"""),1.0)</f>
        <v>1</v>
      </c>
      <c r="D232" s="131" t="b">
        <f>IFERROR(__xludf.DUMMYFUNCTION("""COMPUTED_VALUE"""),FALSE)</f>
        <v>0</v>
      </c>
      <c r="E232" s="131" t="str">
        <f>IFERROR(__xludf.DUMMYFUNCTION("""COMPUTED_VALUE"""),"SEBASTIAN")</f>
        <v>SEBASTIAN</v>
      </c>
      <c r="F232" s="131" t="str">
        <f>IFERROR(__xludf.DUMMYFUNCTION("""COMPUTED_VALUE"""),"NEHEMIAH")</f>
        <v>NEHEMIAH</v>
      </c>
    </row>
    <row r="233">
      <c r="A233" s="131">
        <f>IFERROR(__xludf.DUMMYFUNCTION("""COMPUTED_VALUE"""),232.0)</f>
        <v>232</v>
      </c>
      <c r="B233" s="131"/>
      <c r="C233" s="131">
        <f>IFERROR(__xludf.DUMMYFUNCTION("""COMPUTED_VALUE"""),1.0)</f>
        <v>1</v>
      </c>
      <c r="D233" s="131" t="b">
        <f>IFERROR(__xludf.DUMMYFUNCTION("""COMPUTED_VALUE"""),FALSE)</f>
        <v>0</v>
      </c>
      <c r="E233" s="131" t="str">
        <f>IFERROR(__xludf.DUMMYFUNCTION("""COMPUTED_VALUE"""),"GINONGALA")</f>
        <v>GINONGALA</v>
      </c>
      <c r="F233" s="131" t="str">
        <f>IFERROR(__xludf.DUMMYFUNCTION("""COMPUTED_VALUE"""),"HANNAH MAE")</f>
        <v>HANNAH MAE</v>
      </c>
    </row>
    <row r="234">
      <c r="A234" s="131">
        <f>IFERROR(__xludf.DUMMYFUNCTION("""COMPUTED_VALUE"""),233.0)</f>
        <v>233</v>
      </c>
      <c r="B234" s="131"/>
      <c r="C234" s="131">
        <f>IFERROR(__xludf.DUMMYFUNCTION("""COMPUTED_VALUE"""),76.0)</f>
        <v>76</v>
      </c>
      <c r="D234" s="131" t="b">
        <f>IFERROR(__xludf.DUMMYFUNCTION("""COMPUTED_VALUE"""),FALSE)</f>
        <v>0</v>
      </c>
      <c r="E234" s="131" t="str">
        <f>IFERROR(__xludf.DUMMYFUNCTION("""COMPUTED_VALUE"""),"NIONES")</f>
        <v>NIONES</v>
      </c>
      <c r="F234" s="131" t="str">
        <f>IFERROR(__xludf.DUMMYFUNCTION("""COMPUTED_VALUE"""),"LOUIS")</f>
        <v>LOUIS</v>
      </c>
    </row>
    <row r="235">
      <c r="A235" s="131">
        <f>IFERROR(__xludf.DUMMYFUNCTION("""COMPUTED_VALUE"""),234.0)</f>
        <v>234</v>
      </c>
      <c r="B235" s="131"/>
      <c r="C235" s="131">
        <f>IFERROR(__xludf.DUMMYFUNCTION("""COMPUTED_VALUE"""),76.0)</f>
        <v>76</v>
      </c>
      <c r="D235" s="131" t="b">
        <f>IFERROR(__xludf.DUMMYFUNCTION("""COMPUTED_VALUE"""),FALSE)</f>
        <v>0</v>
      </c>
      <c r="E235" s="131" t="str">
        <f>IFERROR(__xludf.DUMMYFUNCTION("""COMPUTED_VALUE"""),"ACA")</f>
        <v>ACA</v>
      </c>
      <c r="F235" s="131" t="str">
        <f>IFERROR(__xludf.DUMMYFUNCTION("""COMPUTED_VALUE"""),"ELIJAH")</f>
        <v>ELIJAH</v>
      </c>
    </row>
    <row r="236">
      <c r="A236" s="131">
        <f>IFERROR(__xludf.DUMMYFUNCTION("""COMPUTED_VALUE"""),235.0)</f>
        <v>235</v>
      </c>
      <c r="B236" s="131"/>
      <c r="C236" s="131">
        <f>IFERROR(__xludf.DUMMYFUNCTION("""COMPUTED_VALUE"""),120.0)</f>
        <v>120</v>
      </c>
      <c r="D236" s="131" t="b">
        <f>IFERROR(__xludf.DUMMYFUNCTION("""COMPUTED_VALUE"""),FALSE)</f>
        <v>0</v>
      </c>
      <c r="E236" s="131" t="str">
        <f>IFERROR(__xludf.DUMMYFUNCTION("""COMPUTED_VALUE"""),"CERBETO")</f>
        <v>CERBETO</v>
      </c>
      <c r="F236" s="131" t="str">
        <f>IFERROR(__xludf.DUMMYFUNCTION("""COMPUTED_VALUE"""),"AIVANNE")</f>
        <v>AIVANNE</v>
      </c>
    </row>
    <row r="237">
      <c r="A237" s="131">
        <f>IFERROR(__xludf.DUMMYFUNCTION("""COMPUTED_VALUE"""),236.0)</f>
        <v>236</v>
      </c>
      <c r="B237" s="131"/>
      <c r="C237" s="131">
        <f>IFERROR(__xludf.DUMMYFUNCTION("""COMPUTED_VALUE"""),120.0)</f>
        <v>120</v>
      </c>
      <c r="D237" s="131" t="b">
        <f>IFERROR(__xludf.DUMMYFUNCTION("""COMPUTED_VALUE"""),FALSE)</f>
        <v>0</v>
      </c>
      <c r="E237" s="131" t="str">
        <f>IFERROR(__xludf.DUMMYFUNCTION("""COMPUTED_VALUE"""),"PARAZO")</f>
        <v>PARAZO</v>
      </c>
      <c r="F237" s="131" t="str">
        <f>IFERROR(__xludf.DUMMYFUNCTION("""COMPUTED_VALUE"""),"CJ")</f>
        <v>CJ</v>
      </c>
      <c r="I237" s="90" t="s">
        <v>4</v>
      </c>
    </row>
    <row r="238">
      <c r="A238" s="131">
        <f>IFERROR(__xludf.DUMMYFUNCTION("""COMPUTED_VALUE"""),237.0)</f>
        <v>237</v>
      </c>
      <c r="B238" s="131"/>
      <c r="C238" s="131">
        <f>IFERROR(__xludf.DUMMYFUNCTION("""COMPUTED_VALUE"""),120.0)</f>
        <v>120</v>
      </c>
      <c r="D238" s="131" t="b">
        <f>IFERROR(__xludf.DUMMYFUNCTION("""COMPUTED_VALUE"""),FALSE)</f>
        <v>0</v>
      </c>
      <c r="E238" s="131" t="str">
        <f>IFERROR(__xludf.DUMMYFUNCTION("""COMPUTED_VALUE"""),"AWA-AW")</f>
        <v>AWA-AW</v>
      </c>
      <c r="F238" s="131" t="str">
        <f>IFERROR(__xludf.DUMMYFUNCTION("""COMPUTED_VALUE"""),"CARL")</f>
        <v>CARL</v>
      </c>
      <c r="I238" s="90" t="s">
        <v>4</v>
      </c>
    </row>
    <row r="239">
      <c r="A239" s="131">
        <f>IFERROR(__xludf.DUMMYFUNCTION("""COMPUTED_VALUE"""),238.0)</f>
        <v>238</v>
      </c>
      <c r="B239" s="131"/>
      <c r="C239" s="131">
        <f>IFERROR(__xludf.DUMMYFUNCTION("""COMPUTED_VALUE"""),23.0)</f>
        <v>23</v>
      </c>
      <c r="D239" s="131" t="b">
        <f>IFERROR(__xludf.DUMMYFUNCTION("""COMPUTED_VALUE"""),FALSE)</f>
        <v>0</v>
      </c>
      <c r="E239" s="131" t="str">
        <f>IFERROR(__xludf.DUMMYFUNCTION("""COMPUTED_VALUE"""),"ALAYON")</f>
        <v>ALAYON</v>
      </c>
      <c r="F239" s="131" t="str">
        <f>IFERROR(__xludf.DUMMYFUNCTION("""COMPUTED_VALUE"""),"PATRICIA")</f>
        <v>PATRICIA</v>
      </c>
      <c r="G239" s="90" t="s">
        <v>4</v>
      </c>
      <c r="I239" s="90" t="s">
        <v>4</v>
      </c>
      <c r="L239" s="90" t="b">
        <v>1</v>
      </c>
      <c r="N239" s="90" t="b">
        <v>1</v>
      </c>
    </row>
    <row r="240">
      <c r="A240" s="131">
        <f>IFERROR(__xludf.DUMMYFUNCTION("""COMPUTED_VALUE"""),239.0)</f>
        <v>239</v>
      </c>
      <c r="B240" s="131"/>
      <c r="C240" s="131">
        <f>IFERROR(__xludf.DUMMYFUNCTION("""COMPUTED_VALUE"""),23.0)</f>
        <v>23</v>
      </c>
      <c r="D240" s="131" t="b">
        <f>IFERROR(__xludf.DUMMYFUNCTION("""COMPUTED_VALUE"""),FALSE)</f>
        <v>0</v>
      </c>
      <c r="E240" s="131" t="str">
        <f>IFERROR(__xludf.DUMMYFUNCTION("""COMPUTED_VALUE"""),"UDAUNDO")</f>
        <v>UDAUNDO</v>
      </c>
      <c r="F240" s="131" t="str">
        <f>IFERROR(__xludf.DUMMYFUNCTION("""COMPUTED_VALUE"""),"MICA ELLA")</f>
        <v>MICA ELLA</v>
      </c>
      <c r="G240" s="90" t="s">
        <v>4</v>
      </c>
      <c r="I240" s="90" t="s">
        <v>4</v>
      </c>
      <c r="L240" s="90" t="b">
        <v>1</v>
      </c>
      <c r="N240" s="90" t="b">
        <v>1</v>
      </c>
    </row>
    <row r="241">
      <c r="A241" s="131">
        <f>IFERROR(__xludf.DUMMYFUNCTION("""COMPUTED_VALUE"""),240.0)</f>
        <v>240</v>
      </c>
      <c r="B241" s="131"/>
      <c r="C241" s="131">
        <f>IFERROR(__xludf.DUMMYFUNCTION("""COMPUTED_VALUE"""),23.0)</f>
        <v>23</v>
      </c>
      <c r="D241" s="131" t="b">
        <f>IFERROR(__xludf.DUMMYFUNCTION("""COMPUTED_VALUE"""),FALSE)</f>
        <v>0</v>
      </c>
      <c r="E241" s="131" t="str">
        <f>IFERROR(__xludf.DUMMYFUNCTION("""COMPUTED_VALUE"""),"CALUBIRAN")</f>
        <v>CALUBIRAN</v>
      </c>
      <c r="F241" s="131" t="str">
        <f>IFERROR(__xludf.DUMMYFUNCTION("""COMPUTED_VALUE"""),"JACKIELYN")</f>
        <v>JACKIELYN</v>
      </c>
    </row>
    <row r="242">
      <c r="A242" s="131">
        <f>IFERROR(__xludf.DUMMYFUNCTION("""COMPUTED_VALUE"""),241.0)</f>
        <v>241</v>
      </c>
      <c r="B242" s="131"/>
      <c r="C242" s="131">
        <f>IFERROR(__xludf.DUMMYFUNCTION("""COMPUTED_VALUE"""),23.0)</f>
        <v>23</v>
      </c>
      <c r="D242" s="131" t="b">
        <f>IFERROR(__xludf.DUMMYFUNCTION("""COMPUTED_VALUE"""),FALSE)</f>
        <v>0</v>
      </c>
      <c r="E242" s="131" t="str">
        <f>IFERROR(__xludf.DUMMYFUNCTION("""COMPUTED_VALUE"""),"MATAMIS")</f>
        <v>MATAMIS</v>
      </c>
      <c r="F242" s="131" t="str">
        <f>IFERROR(__xludf.DUMMYFUNCTION("""COMPUTED_VALUE"""),"JEAH G.")</f>
        <v>JEAH G.</v>
      </c>
    </row>
    <row r="243">
      <c r="A243" s="131">
        <f>IFERROR(__xludf.DUMMYFUNCTION("""COMPUTED_VALUE"""),242.0)</f>
        <v>242</v>
      </c>
      <c r="B243" s="131"/>
      <c r="C243" s="131">
        <f>IFERROR(__xludf.DUMMYFUNCTION("""COMPUTED_VALUE"""),23.0)</f>
        <v>23</v>
      </c>
      <c r="D243" s="131" t="b">
        <f>IFERROR(__xludf.DUMMYFUNCTION("""COMPUTED_VALUE"""),FALSE)</f>
        <v>0</v>
      </c>
      <c r="E243" s="131" t="str">
        <f>IFERROR(__xludf.DUMMYFUNCTION("""COMPUTED_VALUE"""),"MATAMIS")</f>
        <v>MATAMIS</v>
      </c>
      <c r="F243" s="131" t="str">
        <f>IFERROR(__xludf.DUMMYFUNCTION("""COMPUTED_VALUE"""),"JANELA")</f>
        <v>JANELA</v>
      </c>
    </row>
    <row r="244">
      <c r="A244" s="131">
        <f>IFERROR(__xludf.DUMMYFUNCTION("""COMPUTED_VALUE"""),243.0)</f>
        <v>243</v>
      </c>
      <c r="B244" s="131"/>
      <c r="C244" s="131">
        <f>IFERROR(__xludf.DUMMYFUNCTION("""COMPUTED_VALUE"""),23.0)</f>
        <v>23</v>
      </c>
      <c r="D244" s="131" t="b">
        <f>IFERROR(__xludf.DUMMYFUNCTION("""COMPUTED_VALUE"""),FALSE)</f>
        <v>0</v>
      </c>
      <c r="E244" s="131" t="str">
        <f>IFERROR(__xludf.DUMMYFUNCTION("""COMPUTED_VALUE"""),"GALANG")</f>
        <v>GALANG</v>
      </c>
      <c r="F244" s="131" t="str">
        <f>IFERROR(__xludf.DUMMYFUNCTION("""COMPUTED_VALUE"""),"MAGGA")</f>
        <v>MAGGA</v>
      </c>
    </row>
    <row r="245">
      <c r="A245" s="131">
        <f>IFERROR(__xludf.DUMMYFUNCTION("""COMPUTED_VALUE"""),244.0)</f>
        <v>244</v>
      </c>
      <c r="B245" s="131"/>
      <c r="C245" s="131">
        <f>IFERROR(__xludf.DUMMYFUNCTION("""COMPUTED_VALUE"""),244.0)</f>
        <v>244</v>
      </c>
      <c r="D245" s="131" t="b">
        <f>IFERROR(__xludf.DUMMYFUNCTION("""COMPUTED_VALUE"""),TRUE)</f>
        <v>1</v>
      </c>
      <c r="E245" s="131" t="str">
        <f>IFERROR(__xludf.DUMMYFUNCTION("""COMPUTED_VALUE"""),"ORQUIA")</f>
        <v>ORQUIA</v>
      </c>
      <c r="F245" s="131" t="str">
        <f>IFERROR(__xludf.DUMMYFUNCTION("""COMPUTED_VALUE"""),"HANNA ")</f>
        <v>HANNA </v>
      </c>
    </row>
    <row r="246">
      <c r="A246" s="131">
        <f>IFERROR(__xludf.DUMMYFUNCTION("""COMPUTED_VALUE"""),245.0)</f>
        <v>245</v>
      </c>
      <c r="B246" s="131"/>
      <c r="C246" s="131">
        <f>IFERROR(__xludf.DUMMYFUNCTION("""COMPUTED_VALUE"""),244.0)</f>
        <v>244</v>
      </c>
      <c r="D246" s="131" t="b">
        <f>IFERROR(__xludf.DUMMYFUNCTION("""COMPUTED_VALUE"""),FALSE)</f>
        <v>0</v>
      </c>
      <c r="E246" s="131" t="str">
        <f>IFERROR(__xludf.DUMMYFUNCTION("""COMPUTED_VALUE"""),"DEL ROSARIO")</f>
        <v>DEL ROSARIO</v>
      </c>
      <c r="F246" s="131" t="str">
        <f>IFERROR(__xludf.DUMMYFUNCTION("""COMPUTED_VALUE"""),"GRACE")</f>
        <v>GRACE</v>
      </c>
    </row>
    <row r="247">
      <c r="A247" s="131">
        <f>IFERROR(__xludf.DUMMYFUNCTION("""COMPUTED_VALUE"""),246.0)</f>
        <v>246</v>
      </c>
      <c r="B247" s="131"/>
      <c r="C247" s="131">
        <f>IFERROR(__xludf.DUMMYFUNCTION("""COMPUTED_VALUE"""),244.0)</f>
        <v>244</v>
      </c>
      <c r="D247" s="131" t="b">
        <f>IFERROR(__xludf.DUMMYFUNCTION("""COMPUTED_VALUE"""),FALSE)</f>
        <v>0</v>
      </c>
      <c r="E247" s="131" t="str">
        <f>IFERROR(__xludf.DUMMYFUNCTION("""COMPUTED_VALUE"""),"CODILLA")</f>
        <v>CODILLA</v>
      </c>
      <c r="F247" s="131" t="str">
        <f>IFERROR(__xludf.DUMMYFUNCTION("""COMPUTED_VALUE"""),"JANNA")</f>
        <v>JANNA</v>
      </c>
    </row>
    <row r="248">
      <c r="A248" s="131">
        <f>IFERROR(__xludf.DUMMYFUNCTION("""COMPUTED_VALUE"""),247.0)</f>
        <v>247</v>
      </c>
      <c r="B248" s="131"/>
      <c r="C248" s="131">
        <f>IFERROR(__xludf.DUMMYFUNCTION("""COMPUTED_VALUE"""),244.0)</f>
        <v>244</v>
      </c>
      <c r="D248" s="131" t="b">
        <f>IFERROR(__xludf.DUMMYFUNCTION("""COMPUTED_VALUE"""),FALSE)</f>
        <v>0</v>
      </c>
      <c r="E248" s="131" t="str">
        <f>IFERROR(__xludf.DUMMYFUNCTION("""COMPUTED_VALUE"""),"WALATH")</f>
        <v>WALATH</v>
      </c>
      <c r="F248" s="131" t="str">
        <f>IFERROR(__xludf.DUMMYFUNCTION("""COMPUTED_VALUE"""),"AILEEN")</f>
        <v>AILEEN</v>
      </c>
    </row>
    <row r="249">
      <c r="A249" s="131">
        <f>IFERROR(__xludf.DUMMYFUNCTION("""COMPUTED_VALUE"""),248.0)</f>
        <v>248</v>
      </c>
      <c r="B249" s="131"/>
      <c r="C249" s="131">
        <f>IFERROR(__xludf.DUMMYFUNCTION("""COMPUTED_VALUE"""),244.0)</f>
        <v>244</v>
      </c>
      <c r="D249" s="131" t="b">
        <f>IFERROR(__xludf.DUMMYFUNCTION("""COMPUTED_VALUE"""),FALSE)</f>
        <v>0</v>
      </c>
      <c r="E249" s="131" t="str">
        <f>IFERROR(__xludf.DUMMYFUNCTION("""COMPUTED_VALUE"""),"FULLON")</f>
        <v>FULLON</v>
      </c>
      <c r="F249" s="131" t="str">
        <f>IFERROR(__xludf.DUMMYFUNCTION("""COMPUTED_VALUE"""),"SARAH")</f>
        <v>SARAH</v>
      </c>
    </row>
    <row r="250">
      <c r="A250" s="131">
        <f>IFERROR(__xludf.DUMMYFUNCTION("""COMPUTED_VALUE"""),249.0)</f>
        <v>249</v>
      </c>
      <c r="B250" s="131"/>
      <c r="C250" s="131">
        <f>IFERROR(__xludf.DUMMYFUNCTION("""COMPUTED_VALUE"""),244.0)</f>
        <v>244</v>
      </c>
      <c r="D250" s="131" t="b">
        <f>IFERROR(__xludf.DUMMYFUNCTION("""COMPUTED_VALUE"""),FALSE)</f>
        <v>0</v>
      </c>
      <c r="E250" s="131" t="str">
        <f>IFERROR(__xludf.DUMMYFUNCTION("""COMPUTED_VALUE"""),"MONTERDE")</f>
        <v>MONTERDE</v>
      </c>
      <c r="F250" s="131" t="str">
        <f>IFERROR(__xludf.DUMMYFUNCTION("""COMPUTED_VALUE"""),"BELLE")</f>
        <v>BELLE</v>
      </c>
    </row>
    <row r="251">
      <c r="A251" s="131">
        <f>IFERROR(__xludf.DUMMYFUNCTION("""COMPUTED_VALUE"""),250.0)</f>
        <v>250</v>
      </c>
      <c r="B251" s="131"/>
      <c r="C251" s="131">
        <f>IFERROR(__xludf.DUMMYFUNCTION("""COMPUTED_VALUE"""),167.0)</f>
        <v>167</v>
      </c>
      <c r="D251" s="131"/>
      <c r="E251" s="131" t="str">
        <f>IFERROR(__xludf.DUMMYFUNCTION("""COMPUTED_VALUE"""),"RAUSO")</f>
        <v>RAUSO</v>
      </c>
      <c r="F251" s="131" t="str">
        <f>IFERROR(__xludf.DUMMYFUNCTION("""COMPUTED_VALUE"""),"STEVE")</f>
        <v>STEVE</v>
      </c>
      <c r="G251" s="133" t="s">
        <v>4</v>
      </c>
      <c r="H251" s="133"/>
      <c r="I251" s="133"/>
      <c r="J251" s="133"/>
      <c r="K251" s="133"/>
      <c r="L251" s="133" t="b">
        <v>1</v>
      </c>
      <c r="M251" s="133"/>
      <c r="N251" s="133"/>
      <c r="O251" s="133"/>
      <c r="P251" s="133"/>
    </row>
    <row r="252">
      <c r="A252" s="131">
        <f>IFERROR(__xludf.DUMMYFUNCTION("""COMPUTED_VALUE"""),251.0)</f>
        <v>251</v>
      </c>
      <c r="B252" s="131"/>
      <c r="C252" s="131">
        <f>IFERROR(__xludf.DUMMYFUNCTION("""COMPUTED_VALUE"""),167.0)</f>
        <v>167</v>
      </c>
      <c r="D252" s="131" t="b">
        <f>IFERROR(__xludf.DUMMYFUNCTION("""COMPUTED_VALUE"""),FALSE)</f>
        <v>0</v>
      </c>
      <c r="E252" s="131" t="str">
        <f>IFERROR(__xludf.DUMMYFUNCTION("""COMPUTED_VALUE"""),"LIBRES")</f>
        <v>LIBRES</v>
      </c>
      <c r="F252" s="131" t="str">
        <f>IFERROR(__xludf.DUMMYFUNCTION("""COMPUTED_VALUE"""),"GABRIEL")</f>
        <v>GABRIEL</v>
      </c>
    </row>
    <row r="253">
      <c r="A253" s="131">
        <f>IFERROR(__xludf.DUMMYFUNCTION("""COMPUTED_VALUE"""),252.0)</f>
        <v>252</v>
      </c>
      <c r="B253" s="131"/>
      <c r="C253" s="131">
        <f>IFERROR(__xludf.DUMMYFUNCTION("""COMPUTED_VALUE"""),167.0)</f>
        <v>167</v>
      </c>
      <c r="D253" s="131" t="b">
        <f>IFERROR(__xludf.DUMMYFUNCTION("""COMPUTED_VALUE"""),FALSE)</f>
        <v>0</v>
      </c>
      <c r="E253" s="131" t="str">
        <f>IFERROR(__xludf.DUMMYFUNCTION("""COMPUTED_VALUE"""),"PARONGAN")</f>
        <v>PARONGAN</v>
      </c>
      <c r="F253" s="131" t="str">
        <f>IFERROR(__xludf.DUMMYFUNCTION("""COMPUTED_VALUE"""),"KIAN")</f>
        <v>KIAN</v>
      </c>
    </row>
    <row r="254">
      <c r="A254" s="131">
        <f>IFERROR(__xludf.DUMMYFUNCTION("""COMPUTED_VALUE"""),253.0)</f>
        <v>253</v>
      </c>
      <c r="B254" s="131"/>
      <c r="C254" s="131">
        <f>IFERROR(__xludf.DUMMYFUNCTION("""COMPUTED_VALUE"""),167.0)</f>
        <v>167</v>
      </c>
      <c r="D254" s="131" t="b">
        <f>IFERROR(__xludf.DUMMYFUNCTION("""COMPUTED_VALUE"""),FALSE)</f>
        <v>0</v>
      </c>
      <c r="E254" s="131" t="str">
        <f>IFERROR(__xludf.DUMMYFUNCTION("""COMPUTED_VALUE"""),"RACCA")</f>
        <v>RACCA</v>
      </c>
      <c r="F254" s="131" t="str">
        <f>IFERROR(__xludf.DUMMYFUNCTION("""COMPUTED_VALUE"""),"GRANT EL")</f>
        <v>GRANT EL</v>
      </c>
    </row>
    <row r="255">
      <c r="A255" s="131">
        <f>IFERROR(__xludf.DUMMYFUNCTION("""COMPUTED_VALUE"""),254.0)</f>
        <v>254</v>
      </c>
      <c r="B255" s="131"/>
      <c r="C255" s="131">
        <f>IFERROR(__xludf.DUMMYFUNCTION("""COMPUTED_VALUE"""),23.0)</f>
        <v>23</v>
      </c>
      <c r="D255" s="131" t="b">
        <f>IFERROR(__xludf.DUMMYFUNCTION("""COMPUTED_VALUE"""),FALSE)</f>
        <v>0</v>
      </c>
      <c r="E255" s="131" t="str">
        <f>IFERROR(__xludf.DUMMYFUNCTION("""COMPUTED_VALUE"""),"MATAMIS")</f>
        <v>MATAMIS</v>
      </c>
      <c r="F255" s="131" t="str">
        <f>IFERROR(__xludf.DUMMYFUNCTION("""COMPUTED_VALUE"""),"SEYVEL")</f>
        <v>SEYVEL</v>
      </c>
    </row>
    <row r="256">
      <c r="A256" s="131">
        <f>IFERROR(__xludf.DUMMYFUNCTION("""COMPUTED_VALUE"""),257.0)</f>
        <v>257</v>
      </c>
      <c r="B256" s="131"/>
      <c r="C256" s="131">
        <f>IFERROR(__xludf.DUMMYFUNCTION("""COMPUTED_VALUE"""),23.0)</f>
        <v>23</v>
      </c>
      <c r="D256" s="131" t="b">
        <f>IFERROR(__xludf.DUMMYFUNCTION("""COMPUTED_VALUE"""),FALSE)</f>
        <v>0</v>
      </c>
      <c r="E256" s="131" t="str">
        <f>IFERROR(__xludf.DUMMYFUNCTION("""COMPUTED_VALUE"""),"PARCAREY")</f>
        <v>PARCAREY</v>
      </c>
      <c r="F256" s="131" t="str">
        <f>IFERROR(__xludf.DUMMYFUNCTION("""COMPUTED_VALUE"""),"MARZETTI")</f>
        <v>MARZETTI</v>
      </c>
    </row>
    <row r="257">
      <c r="A257" s="131">
        <f>IFERROR(__xludf.DUMMYFUNCTION("""COMPUTED_VALUE"""),256.0)</f>
        <v>256</v>
      </c>
      <c r="B257" s="131"/>
      <c r="C257" s="131">
        <f>IFERROR(__xludf.DUMMYFUNCTION("""COMPUTED_VALUE"""),23.0)</f>
        <v>23</v>
      </c>
      <c r="D257" s="131" t="b">
        <f>IFERROR(__xludf.DUMMYFUNCTION("""COMPUTED_VALUE"""),FALSE)</f>
        <v>0</v>
      </c>
      <c r="E257" s="96" t="str">
        <f>IFERROR(__xludf.DUMMYFUNCTION("""COMPUTED_VALUE"""),"AGSALUD")</f>
        <v>AGSALUD</v>
      </c>
      <c r="F257" s="96" t="str">
        <f>IFERROR(__xludf.DUMMYFUNCTION("""COMPUTED_VALUE"""),"ROSE MARIE")</f>
        <v>ROSE MARIE</v>
      </c>
    </row>
    <row r="258">
      <c r="A258" s="131">
        <f>IFERROR(__xludf.DUMMYFUNCTION("""COMPUTED_VALUE"""),259.0)</f>
        <v>259</v>
      </c>
      <c r="B258" s="131"/>
      <c r="C258" s="131">
        <f>IFERROR(__xludf.DUMMYFUNCTION("""COMPUTED_VALUE"""),167.0)</f>
        <v>167</v>
      </c>
      <c r="D258" s="131"/>
      <c r="E258" s="96" t="str">
        <f>IFERROR(__xludf.DUMMYFUNCTION("""COMPUTED_VALUE"""),"Gelicame")</f>
        <v>Gelicame</v>
      </c>
      <c r="F258" s="96" t="str">
        <f>IFERROR(__xludf.DUMMYFUNCTION("""COMPUTED_VALUE"""),"Aljun")</f>
        <v>Aljun</v>
      </c>
    </row>
    <row r="259">
      <c r="A259" s="131">
        <f>IFERROR(__xludf.DUMMYFUNCTION("""COMPUTED_VALUE"""),260.0)</f>
        <v>260</v>
      </c>
      <c r="B259" s="131"/>
      <c r="C259" s="131">
        <f>IFERROR(__xludf.DUMMYFUNCTION("""COMPUTED_VALUE"""),167.0)</f>
        <v>167</v>
      </c>
      <c r="D259" s="131"/>
      <c r="E259" s="96" t="str">
        <f>IFERROR(__xludf.DUMMYFUNCTION("""COMPUTED_VALUE"""),"Valera")</f>
        <v>Valera</v>
      </c>
      <c r="F259" s="96" t="str">
        <f>IFERROR(__xludf.DUMMYFUNCTION("""COMPUTED_VALUE"""),"Edward Luis")</f>
        <v>Edward Luis</v>
      </c>
    </row>
    <row r="260">
      <c r="A260" s="131">
        <f>IFERROR(__xludf.DUMMYFUNCTION("""COMPUTED_VALUE"""),261.0)</f>
        <v>261</v>
      </c>
      <c r="B260" s="131"/>
      <c r="C260" s="131">
        <f>IFERROR(__xludf.DUMMYFUNCTION("""COMPUTED_VALUE"""),23.0)</f>
        <v>23</v>
      </c>
      <c r="D260" s="131"/>
      <c r="E260" s="96" t="str">
        <f>IFERROR(__xludf.DUMMYFUNCTION("""COMPUTED_VALUE"""),"CERBETO")</f>
        <v>CERBETO</v>
      </c>
      <c r="F260" s="96" t="str">
        <f>IFERROR(__xludf.DUMMYFUNCTION("""COMPUTED_VALUE"""),"AIFHA")</f>
        <v>AIFHA</v>
      </c>
      <c r="G260" s="90" t="s">
        <v>4</v>
      </c>
      <c r="H260" s="90" t="b">
        <v>0</v>
      </c>
      <c r="I260" s="90" t="b">
        <v>0</v>
      </c>
      <c r="J260" s="90" t="b">
        <v>0</v>
      </c>
      <c r="K260" s="90" t="b">
        <v>0</v>
      </c>
      <c r="L260" s="90" t="b">
        <v>1</v>
      </c>
      <c r="M260" s="90" t="b">
        <v>0</v>
      </c>
      <c r="N260" s="90" t="b">
        <v>0</v>
      </c>
      <c r="O260" s="90" t="b">
        <v>0</v>
      </c>
      <c r="P260" s="90" t="b">
        <v>0</v>
      </c>
    </row>
    <row r="261">
      <c r="A261" s="131">
        <f>IFERROR(__xludf.DUMMYFUNCTION("""COMPUTED_VALUE"""),262.0)</f>
        <v>262</v>
      </c>
      <c r="B261" s="131"/>
      <c r="C261" s="131">
        <f>IFERROR(__xludf.DUMMYFUNCTION("""COMPUTED_VALUE"""),23.0)</f>
        <v>23</v>
      </c>
      <c r="D261" s="131"/>
      <c r="E261" s="96" t="str">
        <f>IFERROR(__xludf.DUMMYFUNCTION("""COMPUTED_VALUE"""),"PARCAREY")</f>
        <v>PARCAREY</v>
      </c>
      <c r="F261" s="96" t="str">
        <f>IFERROR(__xludf.DUMMYFUNCTION("""COMPUTED_VALUE"""),"MARZETTI")</f>
        <v>MARZETTI</v>
      </c>
      <c r="G261" s="90" t="s">
        <v>4</v>
      </c>
      <c r="H261" s="90" t="b">
        <v>0</v>
      </c>
      <c r="I261" s="90" t="s">
        <v>4</v>
      </c>
      <c r="J261" s="90" t="b">
        <v>0</v>
      </c>
      <c r="K261" s="90" t="b">
        <v>0</v>
      </c>
      <c r="L261" s="90" t="b">
        <v>1</v>
      </c>
      <c r="M261" s="90" t="b">
        <v>0</v>
      </c>
      <c r="N261" s="90" t="b">
        <v>1</v>
      </c>
      <c r="O261" s="90" t="b">
        <v>0</v>
      </c>
      <c r="P261" s="90" t="b">
        <v>0</v>
      </c>
    </row>
    <row r="262">
      <c r="A262" s="131">
        <f>IFERROR(__xludf.DUMMYFUNCTION("""COMPUTED_VALUE"""),263.0)</f>
        <v>263</v>
      </c>
      <c r="B262" s="131"/>
      <c r="C262" s="131">
        <f>IFERROR(__xludf.DUMMYFUNCTION("""COMPUTED_VALUE"""),1.0)</f>
        <v>1</v>
      </c>
      <c r="D262" s="131"/>
      <c r="E262" s="96" t="str">
        <f>IFERROR(__xludf.DUMMYFUNCTION("""COMPUTED_VALUE"""),"MABAO")</f>
        <v>MABAO</v>
      </c>
      <c r="F262" s="96" t="str">
        <f>IFERROR(__xludf.DUMMYFUNCTION("""COMPUTED_VALUE"""),"ROSELYN")</f>
        <v>ROSELYN</v>
      </c>
      <c r="G262" s="90" t="b">
        <v>0</v>
      </c>
      <c r="H262" s="90" t="b">
        <v>0</v>
      </c>
      <c r="I262" s="90" t="s">
        <v>4</v>
      </c>
      <c r="J262" s="90" t="b">
        <v>0</v>
      </c>
      <c r="K262" s="90" t="b">
        <v>0</v>
      </c>
      <c r="L262" s="90" t="b">
        <v>0</v>
      </c>
      <c r="M262" s="90" t="b">
        <v>0</v>
      </c>
      <c r="N262" s="90" t="b">
        <v>1</v>
      </c>
      <c r="O262" s="90" t="b">
        <v>0</v>
      </c>
      <c r="P262" s="90" t="b">
        <v>0</v>
      </c>
    </row>
    <row r="263">
      <c r="A263" s="131">
        <f>IFERROR(__xludf.DUMMYFUNCTION("""COMPUTED_VALUE"""),264.0)</f>
        <v>264</v>
      </c>
      <c r="B263" s="131"/>
      <c r="C263" s="131">
        <f>IFERROR(__xludf.DUMMYFUNCTION("""COMPUTED_VALUE"""),167.0)</f>
        <v>167</v>
      </c>
      <c r="D263" s="131"/>
      <c r="E263" s="96" t="str">
        <f>IFERROR(__xludf.DUMMYFUNCTION("""COMPUTED_VALUE"""),"VALERA")</f>
        <v>VALERA</v>
      </c>
      <c r="F263" s="96" t="str">
        <f>IFERROR(__xludf.DUMMYFUNCTION("""COMPUTED_VALUE"""),"ELY")</f>
        <v>ELY</v>
      </c>
      <c r="G263" s="93" t="s">
        <v>4</v>
      </c>
      <c r="H263" s="93" t="b">
        <v>0</v>
      </c>
      <c r="I263" s="93" t="b">
        <v>0</v>
      </c>
      <c r="J263" s="93" t="b">
        <v>0</v>
      </c>
      <c r="K263" s="93" t="b">
        <v>0</v>
      </c>
      <c r="L263" s="93" t="b">
        <v>1</v>
      </c>
      <c r="M263" s="93" t="b">
        <v>0</v>
      </c>
      <c r="N263" s="93" t="b">
        <v>0</v>
      </c>
      <c r="O263" s="93" t="b">
        <v>0</v>
      </c>
      <c r="P263" s="93" t="b">
        <v>0</v>
      </c>
    </row>
    <row r="264">
      <c r="A264" s="131">
        <f>IFERROR(__xludf.DUMMYFUNCTION("""COMPUTED_VALUE"""),265.0)</f>
        <v>265</v>
      </c>
      <c r="B264" s="131"/>
      <c r="C264" s="131">
        <f>IFERROR(__xludf.DUMMYFUNCTION("""COMPUTED_VALUE"""),167.0)</f>
        <v>167</v>
      </c>
      <c r="D264" s="131"/>
      <c r="E264" s="96" t="str">
        <f>IFERROR(__xludf.DUMMYFUNCTION("""COMPUTED_VALUE"""),"RAUSO")</f>
        <v>RAUSO</v>
      </c>
      <c r="F264" s="96" t="str">
        <f>IFERROR(__xludf.DUMMYFUNCTION("""COMPUTED_VALUE"""),"GABRIEL")</f>
        <v>GABRIEL</v>
      </c>
      <c r="G264" s="90" t="s">
        <v>4</v>
      </c>
      <c r="H264" s="90" t="b">
        <v>0</v>
      </c>
      <c r="I264" s="90" t="b">
        <v>0</v>
      </c>
      <c r="J264" s="90" t="b">
        <v>0</v>
      </c>
      <c r="K264" s="90" t="b">
        <v>0</v>
      </c>
      <c r="L264" s="90" t="b">
        <v>1</v>
      </c>
      <c r="M264" s="90" t="b">
        <v>0</v>
      </c>
      <c r="N264" s="90" t="b">
        <v>0</v>
      </c>
      <c r="O264" s="90" t="b">
        <v>0</v>
      </c>
      <c r="P264" s="90" t="b">
        <v>0</v>
      </c>
    </row>
    <row r="265">
      <c r="A265" s="131"/>
      <c r="B265" s="131"/>
      <c r="C265" s="131"/>
      <c r="D265" s="131"/>
      <c r="E265" s="96"/>
      <c r="F265" s="96"/>
    </row>
    <row r="266">
      <c r="A266" s="131">
        <f>IFERROR(__xludf.DUMMYFUNCTION("""COMPUTED_VALUE"""),1230.0)</f>
        <v>1230</v>
      </c>
      <c r="B266" s="131"/>
      <c r="C266" s="131">
        <f>IFERROR(__xludf.DUMMYFUNCTION("""COMPUTED_VALUE"""),1230.0)</f>
        <v>1230</v>
      </c>
      <c r="D266" s="131" t="b">
        <f>IFERROR(__xludf.DUMMYFUNCTION("""COMPUTED_VALUE"""),TRUE)</f>
        <v>1</v>
      </c>
      <c r="E266" s="96" t="str">
        <f>IFERROR(__xludf.DUMMYFUNCTION("""COMPUTED_VALUE"""),"CALUALHATIAN")</f>
        <v>CALUALHATIAN</v>
      </c>
      <c r="F266" s="96" t="str">
        <f>IFERROR(__xludf.DUMMYFUNCTION("""COMPUTED_VALUE"""),"DANTE")</f>
        <v>DANTE</v>
      </c>
    </row>
    <row r="267">
      <c r="A267" s="131">
        <f>IFERROR(__xludf.DUMMYFUNCTION("""COMPUTED_VALUE"""),1231.0)</f>
        <v>1231</v>
      </c>
      <c r="B267" s="131"/>
      <c r="C267" s="131">
        <f>IFERROR(__xludf.DUMMYFUNCTION("""COMPUTED_VALUE"""),1230.0)</f>
        <v>1230</v>
      </c>
      <c r="D267" s="131"/>
      <c r="E267" s="97" t="str">
        <f>IFERROR(__xludf.DUMMYFUNCTION("""COMPUTED_VALUE"""),"A.")</f>
        <v>A.</v>
      </c>
      <c r="F267" s="97" t="str">
        <f>IFERROR(__xludf.DUMMYFUNCTION("""COMPUTED_VALUE"""),"BONG")</f>
        <v>BONG</v>
      </c>
    </row>
    <row r="268">
      <c r="A268" s="131">
        <f>IFERROR(__xludf.DUMMYFUNCTION("""COMPUTED_VALUE"""),1232.0)</f>
        <v>1232</v>
      </c>
      <c r="B268" s="131"/>
      <c r="C268" s="131">
        <f>IFERROR(__xludf.DUMMYFUNCTION("""COMPUTED_VALUE"""),1230.0)</f>
        <v>1230</v>
      </c>
      <c r="D268" s="131"/>
      <c r="E268" s="96" t="str">
        <f>IFERROR(__xludf.DUMMYFUNCTION("""COMPUTED_VALUE"""),"SALAC")</f>
        <v>SALAC</v>
      </c>
      <c r="F268" s="96" t="str">
        <f>IFERROR(__xludf.DUMMYFUNCTION("""COMPUTED_VALUE"""),"ROMEO")</f>
        <v>ROMEO</v>
      </c>
    </row>
    <row r="269">
      <c r="A269" s="131">
        <f>IFERROR(__xludf.DUMMYFUNCTION("""COMPUTED_VALUE"""),1233.0)</f>
        <v>1233</v>
      </c>
      <c r="B269" s="131"/>
      <c r="C269" s="131">
        <f>IFERROR(__xludf.DUMMYFUNCTION("""COMPUTED_VALUE"""),1230.0)</f>
        <v>1230</v>
      </c>
      <c r="D269" s="131"/>
      <c r="E269" s="96" t="str">
        <f>IFERROR(__xludf.DUMMYFUNCTION("""COMPUTED_VALUE"""),"GREGORIO")</f>
        <v>GREGORIO</v>
      </c>
      <c r="F269" s="96" t="str">
        <f>IFERROR(__xludf.DUMMYFUNCTION("""COMPUTED_VALUE"""),"MARLOU")</f>
        <v>MARLOU</v>
      </c>
    </row>
    <row r="270">
      <c r="A270" s="131">
        <f>IFERROR(__xludf.DUMMYFUNCTION("""COMPUTED_VALUE"""),1234.0)</f>
        <v>1234</v>
      </c>
      <c r="B270" s="131"/>
      <c r="C270" s="131">
        <f>IFERROR(__xludf.DUMMYFUNCTION("""COMPUTED_VALUE"""),1230.0)</f>
        <v>1230</v>
      </c>
      <c r="D270" s="131"/>
      <c r="E270" s="96" t="str">
        <f>IFERROR(__xludf.DUMMYFUNCTION("""COMPUTED_VALUE"""),"SOMERA")</f>
        <v>SOMERA</v>
      </c>
      <c r="F270" s="96" t="str">
        <f>IFERROR(__xludf.DUMMYFUNCTION("""COMPUTED_VALUE"""),"JAY")</f>
        <v>JAY</v>
      </c>
    </row>
    <row r="271">
      <c r="A271" s="131">
        <f>IFERROR(__xludf.DUMMYFUNCTION("""COMPUTED_VALUE"""),1235.0)</f>
        <v>1235</v>
      </c>
      <c r="B271" s="131"/>
      <c r="C271" s="131">
        <f>IFERROR(__xludf.DUMMYFUNCTION("""COMPUTED_VALUE"""),1230.0)</f>
        <v>1230</v>
      </c>
      <c r="D271" s="131"/>
      <c r="E271" s="96" t="str">
        <f>IFERROR(__xludf.DUMMYFUNCTION("""COMPUTED_VALUE"""),"MALIWAT")</f>
        <v>MALIWAT</v>
      </c>
      <c r="F271" s="96" t="str">
        <f>IFERROR(__xludf.DUMMYFUNCTION("""COMPUTED_VALUE"""),"LEO")</f>
        <v>LEO</v>
      </c>
    </row>
    <row r="272">
      <c r="A272" s="131"/>
      <c r="B272" s="131"/>
      <c r="C272" s="131"/>
      <c r="D272" s="131"/>
      <c r="E272" s="96"/>
      <c r="F272" s="96"/>
    </row>
    <row r="273">
      <c r="A273" s="131">
        <f>IFERROR(__xludf.DUMMYFUNCTION("""COMPUTED_VALUE"""),1236.0)</f>
        <v>1236</v>
      </c>
      <c r="B273" s="131"/>
      <c r="C273" s="131">
        <f>IFERROR(__xludf.DUMMYFUNCTION("""COMPUTED_VALUE"""),1236.0)</f>
        <v>1236</v>
      </c>
      <c r="D273" s="131" t="b">
        <f>IFERROR(__xludf.DUMMYFUNCTION("""COMPUTED_VALUE"""),TRUE)</f>
        <v>1</v>
      </c>
      <c r="E273" s="96" t="str">
        <f>IFERROR(__xludf.DUMMYFUNCTION("""COMPUTED_VALUE"""),"RETAMAR")</f>
        <v>RETAMAR</v>
      </c>
      <c r="F273" s="96" t="str">
        <f>IFERROR(__xludf.DUMMYFUNCTION("""COMPUTED_VALUE"""),"ELENA")</f>
        <v>ELENA</v>
      </c>
    </row>
    <row r="274">
      <c r="A274" s="131">
        <f>IFERROR(__xludf.DUMMYFUNCTION("""COMPUTED_VALUE"""),1237.0)</f>
        <v>1237</v>
      </c>
      <c r="B274" s="131"/>
      <c r="C274" s="131">
        <f>IFERROR(__xludf.DUMMYFUNCTION("""COMPUTED_VALUE"""),1236.0)</f>
        <v>1236</v>
      </c>
      <c r="D274" s="131"/>
      <c r="E274" s="98" t="str">
        <f>IFERROR(__xludf.DUMMYFUNCTION("""COMPUTED_VALUE"""),"VILLA")</f>
        <v>VILLA</v>
      </c>
      <c r="F274" s="96" t="str">
        <f>IFERROR(__xludf.DUMMYFUNCTION("""COMPUTED_VALUE"""),"WENG NIONES")</f>
        <v>WENG NIONES</v>
      </c>
    </row>
    <row r="275">
      <c r="A275" s="131">
        <f>IFERROR(__xludf.DUMMYFUNCTION("""COMPUTED_VALUE"""),1238.0)</f>
        <v>1238</v>
      </c>
      <c r="B275" s="131"/>
      <c r="C275" s="131">
        <f>IFERROR(__xludf.DUMMYFUNCTION("""COMPUTED_VALUE"""),1236.0)</f>
        <v>1236</v>
      </c>
      <c r="D275" s="131"/>
      <c r="E275" s="99" t="str">
        <f>IFERROR(__xludf.DUMMYFUNCTION("""COMPUTED_VALUE"""),"V")</f>
        <v>V</v>
      </c>
      <c r="F275" s="99" t="str">
        <f>IFERROR(__xludf.DUMMYFUNCTION("""COMPUTED_VALUE"""),"ROSE")</f>
        <v>ROSE</v>
      </c>
    </row>
    <row r="276">
      <c r="A276" s="131">
        <f>IFERROR(__xludf.DUMMYFUNCTION("""COMPUTED_VALUE"""),1239.0)</f>
        <v>1239</v>
      </c>
      <c r="B276" s="131"/>
      <c r="C276" s="131">
        <f>IFERROR(__xludf.DUMMYFUNCTION("""COMPUTED_VALUE"""),1236.0)</f>
        <v>1236</v>
      </c>
      <c r="D276" s="131"/>
      <c r="E276" s="100" t="str">
        <f>IFERROR(__xludf.DUMMYFUNCTION("""COMPUTED_VALUE"""),"DATO")</f>
        <v>DATO</v>
      </c>
      <c r="F276" s="100" t="str">
        <f>IFERROR(__xludf.DUMMYFUNCTION("""COMPUTED_VALUE"""),"EVELYN")</f>
        <v>EVELYN</v>
      </c>
    </row>
    <row r="277">
      <c r="A277" s="131">
        <f>IFERROR(__xludf.DUMMYFUNCTION("""COMPUTED_VALUE"""),1240.0)</f>
        <v>1240</v>
      </c>
      <c r="B277" s="131"/>
      <c r="C277" s="131">
        <f>IFERROR(__xludf.DUMMYFUNCTION("""COMPUTED_VALUE"""),1236.0)</f>
        <v>1236</v>
      </c>
      <c r="D277" s="131"/>
      <c r="E277" s="100"/>
      <c r="F277" s="100" t="str">
        <f>IFERROR(__xludf.DUMMYFUNCTION("""COMPUTED_VALUE"""),"ELIZABETH")</f>
        <v>ELIZABETH</v>
      </c>
    </row>
    <row r="278">
      <c r="A278" s="131">
        <f>IFERROR(__xludf.DUMMYFUNCTION("""COMPUTED_VALUE"""),1241.0)</f>
        <v>1241</v>
      </c>
      <c r="B278" s="131"/>
      <c r="C278" s="131">
        <f>IFERROR(__xludf.DUMMYFUNCTION("""COMPUTED_VALUE"""),1236.0)</f>
        <v>1236</v>
      </c>
      <c r="D278" s="131"/>
      <c r="E278" s="100"/>
      <c r="F278" s="100" t="str">
        <f>IFERROR(__xludf.DUMMYFUNCTION("""COMPUTED_VALUE"""),"WINNIE")</f>
        <v>WINNIE</v>
      </c>
    </row>
    <row r="279">
      <c r="A279" s="131">
        <f>IFERROR(__xludf.DUMMYFUNCTION("""COMPUTED_VALUE"""),1242.0)</f>
        <v>1242</v>
      </c>
      <c r="B279" s="131"/>
      <c r="C279" s="131">
        <f>IFERROR(__xludf.DUMMYFUNCTION("""COMPUTED_VALUE"""),1236.0)</f>
        <v>1236</v>
      </c>
      <c r="D279" s="131"/>
      <c r="E279" s="100"/>
      <c r="F279" s="100" t="str">
        <f>IFERROR(__xludf.DUMMYFUNCTION("""COMPUTED_VALUE"""),"MALOU")</f>
        <v>MALOU</v>
      </c>
    </row>
    <row r="280">
      <c r="A280" s="131">
        <f>IFERROR(__xludf.DUMMYFUNCTION("""COMPUTED_VALUE"""),1243.0)</f>
        <v>1243</v>
      </c>
      <c r="B280" s="131"/>
      <c r="C280" s="131">
        <f>IFERROR(__xludf.DUMMYFUNCTION("""COMPUTED_VALUE"""),1236.0)</f>
        <v>1236</v>
      </c>
      <c r="D280" s="131"/>
      <c r="E280" s="100" t="str">
        <f>IFERROR(__xludf.DUMMYFUNCTION("""COMPUTED_VALUE"""),"TOLEDO")</f>
        <v>TOLEDO</v>
      </c>
      <c r="F280" s="100" t="str">
        <f>IFERROR(__xludf.DUMMYFUNCTION("""COMPUTED_VALUE"""),"MAYE")</f>
        <v>MAYE</v>
      </c>
    </row>
    <row r="281">
      <c r="A281" s="131">
        <f>IFERROR(__xludf.DUMMYFUNCTION("""COMPUTED_VALUE"""),1244.0)</f>
        <v>1244</v>
      </c>
      <c r="B281" s="131"/>
      <c r="C281" s="131">
        <f>IFERROR(__xludf.DUMMYFUNCTION("""COMPUTED_VALUE"""),1236.0)</f>
        <v>1236</v>
      </c>
      <c r="D281" s="131"/>
      <c r="E281" s="100" t="str">
        <f>IFERROR(__xludf.DUMMYFUNCTION("""COMPUTED_VALUE"""),"LIM")</f>
        <v>LIM</v>
      </c>
      <c r="F281" s="100" t="str">
        <f>IFERROR(__xludf.DUMMYFUNCTION("""COMPUTED_VALUE"""),"GRACE")</f>
        <v>GRACE</v>
      </c>
    </row>
    <row r="282">
      <c r="A282" s="131">
        <f>IFERROR(__xludf.DUMMYFUNCTION("""COMPUTED_VALUE"""),1245.0)</f>
        <v>1245</v>
      </c>
      <c r="B282" s="131"/>
      <c r="C282" s="131">
        <f>IFERROR(__xludf.DUMMYFUNCTION("""COMPUTED_VALUE"""),1236.0)</f>
        <v>1236</v>
      </c>
      <c r="D282" s="131"/>
      <c r="E282" s="100" t="str">
        <f>IFERROR(__xludf.DUMMYFUNCTION("""COMPUTED_VALUE"""),"CALUALHATIAN")</f>
        <v>CALUALHATIAN</v>
      </c>
      <c r="F282" s="100" t="str">
        <f>IFERROR(__xludf.DUMMYFUNCTION("""COMPUTED_VALUE"""),"ADELAIDA")</f>
        <v>ADELAIDA</v>
      </c>
    </row>
    <row r="283">
      <c r="A283" s="131">
        <f>IFERROR(__xludf.DUMMYFUNCTION("""COMPUTED_VALUE"""),1246.0)</f>
        <v>1246</v>
      </c>
      <c r="B283" s="131"/>
      <c r="C283" s="131">
        <f>IFERROR(__xludf.DUMMYFUNCTION("""COMPUTED_VALUE"""),1236.0)</f>
        <v>1236</v>
      </c>
      <c r="D283" s="131"/>
      <c r="E283" s="101" t="str">
        <f>IFERROR(__xludf.DUMMYFUNCTION("""COMPUTED_VALUE"""),"CALUALHATIAN")</f>
        <v>CALUALHATIAN</v>
      </c>
      <c r="F283" s="101" t="str">
        <f>IFERROR(__xludf.DUMMYFUNCTION("""COMPUTED_VALUE"""),"DAHNA")</f>
        <v>DAHNA</v>
      </c>
    </row>
    <row r="284">
      <c r="A284" s="131">
        <f>IFERROR(__xludf.DUMMYFUNCTION("""COMPUTED_VALUE"""),1247.0)</f>
        <v>1247</v>
      </c>
      <c r="B284" s="131"/>
      <c r="C284" s="131">
        <f>IFERROR(__xludf.DUMMYFUNCTION("""COMPUTED_VALUE"""),1236.0)</f>
        <v>1236</v>
      </c>
      <c r="D284" s="131"/>
      <c r="E284" s="100" t="str">
        <f>IFERROR(__xludf.DUMMYFUNCTION("""COMPUTED_VALUE"""),"SEXON")</f>
        <v>SEXON</v>
      </c>
      <c r="F284" s="100" t="str">
        <f>IFERROR(__xludf.DUMMYFUNCTION("""COMPUTED_VALUE"""),"MARILYN")</f>
        <v>MARILYN</v>
      </c>
    </row>
    <row r="285">
      <c r="A285" s="131">
        <f>IFERROR(__xludf.DUMMYFUNCTION("""COMPUTED_VALUE"""),1248.0)</f>
        <v>1248</v>
      </c>
      <c r="B285" s="131"/>
      <c r="C285" s="131">
        <f>IFERROR(__xludf.DUMMYFUNCTION("""COMPUTED_VALUE"""),1236.0)</f>
        <v>1236</v>
      </c>
      <c r="D285" s="131"/>
      <c r="E285" s="100" t="str">
        <f>IFERROR(__xludf.DUMMYFUNCTION("""COMPUTED_VALUE"""),"CALUALHATIAN")</f>
        <v>CALUALHATIAN</v>
      </c>
      <c r="F285" s="100" t="str">
        <f>IFERROR(__xludf.DUMMYFUNCTION("""COMPUTED_VALUE"""),"DANIKKA")</f>
        <v>DANIKKA</v>
      </c>
    </row>
    <row r="286">
      <c r="A286" s="131">
        <f>IFERROR(__xludf.DUMMYFUNCTION("""COMPUTED_VALUE"""),1249.0)</f>
        <v>1249</v>
      </c>
      <c r="B286" s="131"/>
      <c r="C286" s="131">
        <f>IFERROR(__xludf.DUMMYFUNCTION("""COMPUTED_VALUE"""),1236.0)</f>
        <v>1236</v>
      </c>
      <c r="D286" s="131"/>
      <c r="E286" s="102" t="str">
        <f>IFERROR(__xludf.DUMMYFUNCTION("""COMPUTED_VALUE"""),"CODILLA")</f>
        <v>CODILLA</v>
      </c>
      <c r="F286" s="102" t="str">
        <f>IFERROR(__xludf.DUMMYFUNCTION("""COMPUTED_VALUE"""),"CORY")</f>
        <v>CORY</v>
      </c>
    </row>
    <row r="287">
      <c r="A287" s="131">
        <f>IFERROR(__xludf.DUMMYFUNCTION("""COMPUTED_VALUE"""),1250.0)</f>
        <v>1250</v>
      </c>
      <c r="B287" s="131"/>
      <c r="C287" s="131">
        <f>IFERROR(__xludf.DUMMYFUNCTION("""COMPUTED_VALUE"""),1236.0)</f>
        <v>1236</v>
      </c>
      <c r="D287" s="131"/>
      <c r="E287" s="103" t="str">
        <f>IFERROR(__xludf.DUMMYFUNCTION("""COMPUTED_VALUE"""),"LANGITAN")</f>
        <v>LANGITAN</v>
      </c>
      <c r="F287" s="103" t="str">
        <f>IFERROR(__xludf.DUMMYFUNCTION("""COMPUTED_VALUE"""),"SARAH")</f>
        <v>SARAH</v>
      </c>
    </row>
    <row r="288">
      <c r="A288" s="131">
        <f>IFERROR(__xludf.DUMMYFUNCTION("""COMPUTED_VALUE"""),1251.0)</f>
        <v>1251</v>
      </c>
      <c r="B288" s="131"/>
      <c r="C288" s="131">
        <f>IFERROR(__xludf.DUMMYFUNCTION("""COMPUTED_VALUE"""),1236.0)</f>
        <v>1236</v>
      </c>
      <c r="D288" s="131"/>
      <c r="E288" s="103" t="str">
        <f>IFERROR(__xludf.DUMMYFUNCTION("""COMPUTED_VALUE"""),"LACONSAY")</f>
        <v>LACONSAY</v>
      </c>
      <c r="F288" s="103" t="str">
        <f>IFERROR(__xludf.DUMMYFUNCTION("""COMPUTED_VALUE"""),"MA. LOURDES")</f>
        <v>MA. LOURDES</v>
      </c>
    </row>
    <row r="289">
      <c r="A289" s="131">
        <f>IFERROR(__xludf.DUMMYFUNCTION("""COMPUTED_VALUE"""),1252.0)</f>
        <v>1252</v>
      </c>
      <c r="B289" s="131"/>
      <c r="C289" s="131">
        <f>IFERROR(__xludf.DUMMYFUNCTION("""COMPUTED_VALUE"""),1236.0)</f>
        <v>1236</v>
      </c>
      <c r="D289" s="131"/>
      <c r="E289" s="102" t="str">
        <f>IFERROR(__xludf.DUMMYFUNCTION("""COMPUTED_VALUE"""),"LACONSAY")</f>
        <v>LACONSAY</v>
      </c>
      <c r="F289" s="103" t="str">
        <f>IFERROR(__xludf.DUMMYFUNCTION("""COMPUTED_VALUE"""),"MA. ELENA")</f>
        <v>MA. ELENA</v>
      </c>
    </row>
    <row r="290">
      <c r="A290" s="131">
        <f>IFERROR(__xludf.DUMMYFUNCTION("""COMPUTED_VALUE"""),1253.0)</f>
        <v>1253</v>
      </c>
      <c r="B290" s="131"/>
      <c r="C290" s="131">
        <f>IFERROR(__xludf.DUMMYFUNCTION("""COMPUTED_VALUE"""),1236.0)</f>
        <v>1236</v>
      </c>
      <c r="D290" s="131"/>
      <c r="E290" s="103" t="str">
        <f>IFERROR(__xludf.DUMMYFUNCTION("""COMPUTED_VALUE"""),"MENOSO")</f>
        <v>MENOSO</v>
      </c>
      <c r="F290" s="103" t="str">
        <f>IFERROR(__xludf.DUMMYFUNCTION("""COMPUTED_VALUE"""),"DANICA")</f>
        <v>DANICA</v>
      </c>
    </row>
    <row r="291">
      <c r="A291" s="131">
        <f>IFERROR(__xludf.DUMMYFUNCTION("""COMPUTED_VALUE"""),1254.0)</f>
        <v>1254</v>
      </c>
      <c r="B291" s="131"/>
      <c r="C291" s="131">
        <f>IFERROR(__xludf.DUMMYFUNCTION("""COMPUTED_VALUE"""),1236.0)</f>
        <v>1236</v>
      </c>
      <c r="D291" s="131"/>
      <c r="E291" s="103"/>
      <c r="F291" s="103" t="str">
        <f>IFERROR(__xludf.DUMMYFUNCTION("""COMPUTED_VALUE"""),"AGNES")</f>
        <v>AGNES</v>
      </c>
    </row>
    <row r="292">
      <c r="A292" s="131"/>
      <c r="B292" s="131"/>
      <c r="C292" s="131"/>
      <c r="D292" s="131"/>
      <c r="E292" s="103"/>
      <c r="F292" s="103"/>
    </row>
    <row r="293">
      <c r="A293" s="131">
        <f>IFERROR(__xludf.DUMMYFUNCTION("""COMPUTED_VALUE"""),1255.0)</f>
        <v>1255</v>
      </c>
      <c r="B293" s="131"/>
      <c r="C293" s="131">
        <f>IFERROR(__xludf.DUMMYFUNCTION("""COMPUTED_VALUE"""),1255.0)</f>
        <v>1255</v>
      </c>
      <c r="D293" s="131" t="b">
        <f>IFERROR(__xludf.DUMMYFUNCTION("""COMPUTED_VALUE"""),TRUE)</f>
        <v>1</v>
      </c>
      <c r="E293" s="103" t="str">
        <f>IFERROR(__xludf.DUMMYFUNCTION("""COMPUTED_VALUE"""),"VERTODAZO")</f>
        <v>VERTODAZO</v>
      </c>
      <c r="F293" s="103" t="str">
        <f>IFERROR(__xludf.DUMMYFUNCTION("""COMPUTED_VALUE"""),"MONETH")</f>
        <v>MONETH</v>
      </c>
    </row>
    <row r="294">
      <c r="A294" s="131">
        <f>IFERROR(__xludf.DUMMYFUNCTION("""COMPUTED_VALUE"""),1256.0)</f>
        <v>1256</v>
      </c>
      <c r="B294" s="131"/>
      <c r="C294" s="131">
        <f>IFERROR(__xludf.DUMMYFUNCTION("""COMPUTED_VALUE"""),1255.0)</f>
        <v>1255</v>
      </c>
      <c r="D294" s="131"/>
      <c r="E294" s="103" t="str">
        <f>IFERROR(__xludf.DUMMYFUNCTION("""COMPUTED_VALUE"""),"SOMERA")</f>
        <v>SOMERA</v>
      </c>
      <c r="F294" s="103" t="str">
        <f>IFERROR(__xludf.DUMMYFUNCTION("""COMPUTED_VALUE"""),"CHA")</f>
        <v>CHA</v>
      </c>
    </row>
    <row r="295">
      <c r="A295" s="131">
        <f>IFERROR(__xludf.DUMMYFUNCTION("""COMPUTED_VALUE"""),1257.0)</f>
        <v>1257</v>
      </c>
      <c r="B295" s="131"/>
      <c r="C295" s="131">
        <f>IFERROR(__xludf.DUMMYFUNCTION("""COMPUTED_VALUE"""),1255.0)</f>
        <v>1255</v>
      </c>
      <c r="D295" s="131"/>
      <c r="E295" s="103" t="str">
        <f>IFERROR(__xludf.DUMMYFUNCTION("""COMPUTED_VALUE"""),"MAGDUAY")</f>
        <v>MAGDUAY</v>
      </c>
      <c r="F295" s="103" t="str">
        <f>IFERROR(__xludf.DUMMYFUNCTION("""COMPUTED_VALUE"""),"HEIDEE")</f>
        <v>HEIDEE</v>
      </c>
    </row>
    <row r="296">
      <c r="A296" s="131">
        <f>IFERROR(__xludf.DUMMYFUNCTION("""COMPUTED_VALUE"""),1258.0)</f>
        <v>1258</v>
      </c>
      <c r="B296" s="131"/>
      <c r="C296" s="131">
        <f>IFERROR(__xludf.DUMMYFUNCTION("""COMPUTED_VALUE"""),1255.0)</f>
        <v>1255</v>
      </c>
      <c r="D296" s="131"/>
      <c r="E296" s="103" t="str">
        <f>IFERROR(__xludf.DUMMYFUNCTION("""COMPUTED_VALUE"""),"TANDUL")</f>
        <v>TANDUL</v>
      </c>
      <c r="F296" s="103" t="str">
        <f>IFERROR(__xludf.DUMMYFUNCTION("""COMPUTED_VALUE"""),"RAQUEL")</f>
        <v>RAQUEL</v>
      </c>
    </row>
    <row r="297">
      <c r="A297" s="131">
        <f>IFERROR(__xludf.DUMMYFUNCTION("""COMPUTED_VALUE"""),1259.0)</f>
        <v>1259</v>
      </c>
      <c r="B297" s="131"/>
      <c r="C297" s="131">
        <f>IFERROR(__xludf.DUMMYFUNCTION("""COMPUTED_VALUE"""),1255.0)</f>
        <v>1255</v>
      </c>
      <c r="D297" s="131"/>
      <c r="E297" s="103" t="str">
        <f>IFERROR(__xludf.DUMMYFUNCTION("""COMPUTED_VALUE"""),"ARTICULO")</f>
        <v>ARTICULO</v>
      </c>
      <c r="F297" s="103" t="str">
        <f>IFERROR(__xludf.DUMMYFUNCTION("""COMPUTED_VALUE"""),"LEILA M.")</f>
        <v>LEILA M.</v>
      </c>
    </row>
    <row r="298">
      <c r="A298" s="131">
        <f>IFERROR(__xludf.DUMMYFUNCTION("""COMPUTED_VALUE"""),1260.0)</f>
        <v>1260</v>
      </c>
      <c r="B298" s="131"/>
      <c r="C298" s="131">
        <f>IFERROR(__xludf.DUMMYFUNCTION("""COMPUTED_VALUE"""),1255.0)</f>
        <v>1255</v>
      </c>
      <c r="D298" s="131"/>
      <c r="E298" s="103" t="str">
        <f>IFERROR(__xludf.DUMMYFUNCTION("""COMPUTED_VALUE"""),"BALDONADO")</f>
        <v>BALDONADO</v>
      </c>
      <c r="F298" s="103" t="str">
        <f>IFERROR(__xludf.DUMMYFUNCTION("""COMPUTED_VALUE"""),"JULIETA")</f>
        <v>JULIETA</v>
      </c>
    </row>
    <row r="299">
      <c r="A299" s="131">
        <f>IFERROR(__xludf.DUMMYFUNCTION("""COMPUTED_VALUE"""),1261.0)</f>
        <v>1261</v>
      </c>
      <c r="B299" s="131"/>
      <c r="C299" s="131">
        <f>IFERROR(__xludf.DUMMYFUNCTION("""COMPUTED_VALUE"""),1255.0)</f>
        <v>1255</v>
      </c>
      <c r="D299" s="131"/>
      <c r="E299" s="103" t="str">
        <f>IFERROR(__xludf.DUMMYFUNCTION("""COMPUTED_VALUE"""),"CARLOS")</f>
        <v>CARLOS</v>
      </c>
      <c r="F299" s="103" t="str">
        <f>IFERROR(__xludf.DUMMYFUNCTION("""COMPUTED_VALUE"""),"ANTONETTE M.")</f>
        <v>ANTONETTE M.</v>
      </c>
    </row>
    <row r="300">
      <c r="A300" s="131">
        <f>IFERROR(__xludf.DUMMYFUNCTION("""COMPUTED_VALUE"""),1262.0)</f>
        <v>1262</v>
      </c>
      <c r="B300" s="131"/>
      <c r="C300" s="131">
        <f>IFERROR(__xludf.DUMMYFUNCTION("""COMPUTED_VALUE"""),1255.0)</f>
        <v>1255</v>
      </c>
      <c r="D300" s="131"/>
      <c r="E300" s="103" t="str">
        <f>IFERROR(__xludf.DUMMYFUNCTION("""COMPUTED_VALUE"""),"INCARNATION")</f>
        <v>INCARNATION</v>
      </c>
      <c r="F300" s="103" t="str">
        <f>IFERROR(__xludf.DUMMYFUNCTION("""COMPUTED_VALUE"""),"LUCILA")</f>
        <v>LUCILA</v>
      </c>
    </row>
    <row r="301">
      <c r="A301" s="131">
        <f>IFERROR(__xludf.DUMMYFUNCTION("""COMPUTED_VALUE"""),1263.0)</f>
        <v>1263</v>
      </c>
      <c r="B301" s="131"/>
      <c r="C301" s="131">
        <f>IFERROR(__xludf.DUMMYFUNCTION("""COMPUTED_VALUE"""),1255.0)</f>
        <v>1255</v>
      </c>
      <c r="D301" s="131"/>
      <c r="E301" s="103" t="str">
        <f>IFERROR(__xludf.DUMMYFUNCTION("""COMPUTED_VALUE"""),"MAGAT")</f>
        <v>MAGAT</v>
      </c>
      <c r="F301" s="103" t="str">
        <f>IFERROR(__xludf.DUMMYFUNCTION("""COMPUTED_VALUE"""),"SYLVIA")</f>
        <v>SYLVIA</v>
      </c>
    </row>
    <row r="302">
      <c r="A302" s="131">
        <f>IFERROR(__xludf.DUMMYFUNCTION("""COMPUTED_VALUE"""),1264.0)</f>
        <v>1264</v>
      </c>
      <c r="B302" s="131"/>
      <c r="C302" s="131">
        <f>IFERROR(__xludf.DUMMYFUNCTION("""COMPUTED_VALUE"""),1255.0)</f>
        <v>1255</v>
      </c>
      <c r="D302" s="131"/>
      <c r="E302" s="103" t="str">
        <f>IFERROR(__xludf.DUMMYFUNCTION("""COMPUTED_VALUE"""),"MAGAT")</f>
        <v>MAGAT</v>
      </c>
      <c r="F302" s="103" t="str">
        <f>IFERROR(__xludf.DUMMYFUNCTION("""COMPUTED_VALUE"""),"JOSEPHINA")</f>
        <v>JOSEPHINA</v>
      </c>
    </row>
    <row r="303">
      <c r="A303" s="131">
        <f>IFERROR(__xludf.DUMMYFUNCTION("""COMPUTED_VALUE"""),1265.0)</f>
        <v>1265</v>
      </c>
      <c r="B303" s="131"/>
      <c r="C303" s="131">
        <f>IFERROR(__xludf.DUMMYFUNCTION("""COMPUTED_VALUE"""),1255.0)</f>
        <v>1255</v>
      </c>
      <c r="D303" s="131"/>
      <c r="E303" s="103" t="str">
        <f>IFERROR(__xludf.DUMMYFUNCTION("""COMPUTED_VALUE"""),"VILLARTA")</f>
        <v>VILLARTA</v>
      </c>
      <c r="F303" s="103" t="str">
        <f>IFERROR(__xludf.DUMMYFUNCTION("""COMPUTED_VALUE"""),"JESSICA")</f>
        <v>JESSICA</v>
      </c>
    </row>
    <row r="304">
      <c r="A304" s="131">
        <f>IFERROR(__xludf.DUMMYFUNCTION("""COMPUTED_VALUE"""),1266.0)</f>
        <v>1266</v>
      </c>
      <c r="B304" s="131"/>
      <c r="C304" s="131">
        <f>IFERROR(__xludf.DUMMYFUNCTION("""COMPUTED_VALUE"""),1255.0)</f>
        <v>1255</v>
      </c>
      <c r="D304" s="131"/>
      <c r="E304" s="99" t="str">
        <f>IFERROR(__xludf.DUMMYFUNCTION("""COMPUTED_VALUE"""),"MORAL")</f>
        <v>MORAL</v>
      </c>
      <c r="F304" s="99" t="str">
        <f>IFERROR(__xludf.DUMMYFUNCTION("""COMPUTED_VALUE"""),"LUCHELLE")</f>
        <v>LUCHELLE</v>
      </c>
    </row>
    <row r="305">
      <c r="A305" s="131">
        <f>IFERROR(__xludf.DUMMYFUNCTION("""COMPUTED_VALUE"""),1267.0)</f>
        <v>1267</v>
      </c>
      <c r="B305" s="131"/>
      <c r="C305" s="131">
        <f>IFERROR(__xludf.DUMMYFUNCTION("""COMPUTED_VALUE"""),1255.0)</f>
        <v>1255</v>
      </c>
      <c r="D305" s="131"/>
      <c r="E305" s="100" t="str">
        <f>IFERROR(__xludf.DUMMYFUNCTION("""COMPUTED_VALUE"""),"BRUSOLA")</f>
        <v>BRUSOLA</v>
      </c>
      <c r="F305" s="100" t="str">
        <f>IFERROR(__xludf.DUMMYFUNCTION("""COMPUTED_VALUE"""),"MERLY")</f>
        <v>MERLY</v>
      </c>
    </row>
    <row r="306">
      <c r="A306" s="131">
        <f>IFERROR(__xludf.DUMMYFUNCTION("""COMPUTED_VALUE"""),1268.0)</f>
        <v>1268</v>
      </c>
      <c r="B306" s="131"/>
      <c r="C306" s="131">
        <f>IFERROR(__xludf.DUMMYFUNCTION("""COMPUTED_VALUE"""),1255.0)</f>
        <v>1255</v>
      </c>
      <c r="D306" s="131"/>
      <c r="E306" s="100" t="str">
        <f>IFERROR(__xludf.DUMMYFUNCTION("""COMPUTED_VALUE"""),"TARINAY")</f>
        <v>TARINAY</v>
      </c>
      <c r="F306" s="100" t="str">
        <f>IFERROR(__xludf.DUMMYFUNCTION("""COMPUTED_VALUE"""),"MARILYN")</f>
        <v>MARILYN</v>
      </c>
    </row>
    <row r="307">
      <c r="A307" s="131">
        <f>IFERROR(__xludf.DUMMYFUNCTION("""COMPUTED_VALUE"""),1269.0)</f>
        <v>1269</v>
      </c>
      <c r="B307" s="131"/>
      <c r="C307" s="131">
        <f>IFERROR(__xludf.DUMMYFUNCTION("""COMPUTED_VALUE"""),1255.0)</f>
        <v>1255</v>
      </c>
      <c r="D307" s="131"/>
      <c r="E307" s="100" t="str">
        <f>IFERROR(__xludf.DUMMYFUNCTION("""COMPUTED_VALUE"""),"VARGAS")</f>
        <v>VARGAS</v>
      </c>
      <c r="F307" s="100" t="str">
        <f>IFERROR(__xludf.DUMMYFUNCTION("""COMPUTED_VALUE"""),"VILMA")</f>
        <v>VILMA</v>
      </c>
    </row>
    <row r="308">
      <c r="A308" s="131">
        <f>IFERROR(__xludf.DUMMYFUNCTION("""COMPUTED_VALUE"""),1270.0)</f>
        <v>1270</v>
      </c>
      <c r="B308" s="131"/>
      <c r="C308" s="131">
        <f>IFERROR(__xludf.DUMMYFUNCTION("""COMPUTED_VALUE"""),1255.0)</f>
        <v>1255</v>
      </c>
      <c r="D308" s="131"/>
      <c r="E308" s="100" t="str">
        <f>IFERROR(__xludf.DUMMYFUNCTION("""COMPUTED_VALUE"""),"GAPAS")</f>
        <v>GAPAS</v>
      </c>
      <c r="F308" s="100" t="str">
        <f>IFERROR(__xludf.DUMMYFUNCTION("""COMPUTED_VALUE"""),"EDITH")</f>
        <v>EDITH</v>
      </c>
    </row>
    <row r="309">
      <c r="A309" s="131">
        <f>IFERROR(__xludf.DUMMYFUNCTION("""COMPUTED_VALUE"""),1271.0)</f>
        <v>1271</v>
      </c>
      <c r="B309" s="131"/>
      <c r="C309" s="131">
        <f>IFERROR(__xludf.DUMMYFUNCTION("""COMPUTED_VALUE"""),1255.0)</f>
        <v>1255</v>
      </c>
      <c r="D309" s="131"/>
      <c r="E309" s="100" t="str">
        <f>IFERROR(__xludf.DUMMYFUNCTION("""COMPUTED_VALUE"""),"PACHECO")</f>
        <v>PACHECO</v>
      </c>
      <c r="F309" s="100" t="str">
        <f>IFERROR(__xludf.DUMMYFUNCTION("""COMPUTED_VALUE"""),"CAROLINE")</f>
        <v>CAROLINE</v>
      </c>
    </row>
    <row r="310">
      <c r="A310" s="131">
        <f>IFERROR(__xludf.DUMMYFUNCTION("""COMPUTED_VALUE"""),1272.0)</f>
        <v>1272</v>
      </c>
      <c r="B310" s="131"/>
      <c r="C310" s="131">
        <f>IFERROR(__xludf.DUMMYFUNCTION("""COMPUTED_VALUE"""),1255.0)</f>
        <v>1255</v>
      </c>
      <c r="D310" s="131"/>
      <c r="E310" s="100" t="str">
        <f>IFERROR(__xludf.DUMMYFUNCTION("""COMPUTED_VALUE"""),"BACOSA")</f>
        <v>BACOSA</v>
      </c>
      <c r="F310" s="100" t="str">
        <f>IFERROR(__xludf.DUMMYFUNCTION("""COMPUTED_VALUE"""),"MAIDA")</f>
        <v>MAIDA</v>
      </c>
    </row>
    <row r="311">
      <c r="A311" s="131">
        <f>IFERROR(__xludf.DUMMYFUNCTION("""COMPUTED_VALUE"""),1273.0)</f>
        <v>1273</v>
      </c>
      <c r="B311" s="131"/>
      <c r="C311" s="131">
        <f>IFERROR(__xludf.DUMMYFUNCTION("""COMPUTED_VALUE"""),1255.0)</f>
        <v>1255</v>
      </c>
      <c r="D311" s="131"/>
      <c r="E311" s="100" t="str">
        <f>IFERROR(__xludf.DUMMYFUNCTION("""COMPUTED_VALUE"""),"LIM")</f>
        <v>LIM</v>
      </c>
      <c r="F311" s="100" t="str">
        <f>IFERROR(__xludf.DUMMYFUNCTION("""COMPUTED_VALUE"""),"LANIE")</f>
        <v>LANIE</v>
      </c>
    </row>
    <row r="312">
      <c r="A312" s="131">
        <f>IFERROR(__xludf.DUMMYFUNCTION("""COMPUTED_VALUE"""),1274.0)</f>
        <v>1274</v>
      </c>
      <c r="B312" s="131"/>
      <c r="C312" s="131">
        <f>IFERROR(__xludf.DUMMYFUNCTION("""COMPUTED_VALUE"""),1255.0)</f>
        <v>1255</v>
      </c>
      <c r="D312" s="131"/>
      <c r="E312" s="100" t="str">
        <f>IFERROR(__xludf.DUMMYFUNCTION("""COMPUTED_VALUE"""),"DELA VEGA")</f>
        <v>DELA VEGA</v>
      </c>
      <c r="F312" s="100" t="str">
        <f>IFERROR(__xludf.DUMMYFUNCTION("""COMPUTED_VALUE"""),"MAVIC")</f>
        <v>MAVIC</v>
      </c>
    </row>
    <row r="313">
      <c r="A313" s="131">
        <f>IFERROR(__xludf.DUMMYFUNCTION("""COMPUTED_VALUE"""),1275.0)</f>
        <v>1275</v>
      </c>
      <c r="B313" s="131"/>
      <c r="C313" s="131">
        <f>IFERROR(__xludf.DUMMYFUNCTION("""COMPUTED_VALUE"""),1255.0)</f>
        <v>1255</v>
      </c>
      <c r="D313" s="131"/>
      <c r="E313" s="100"/>
      <c r="F313" s="100" t="str">
        <f>IFERROR(__xludf.DUMMYFUNCTION("""COMPUTED_VALUE"""),"MILA M.")</f>
        <v>MILA M.</v>
      </c>
    </row>
    <row r="314">
      <c r="A314" s="131">
        <f>IFERROR(__xludf.DUMMYFUNCTION("""COMPUTED_VALUE"""),1276.0)</f>
        <v>1276</v>
      </c>
      <c r="B314" s="131"/>
      <c r="C314" s="131">
        <f>IFERROR(__xludf.DUMMYFUNCTION("""COMPUTED_VALUE"""),1230.0)</f>
        <v>1230</v>
      </c>
      <c r="D314" s="131"/>
      <c r="E314" s="100" t="str">
        <f>IFERROR(__xludf.DUMMYFUNCTION("""COMPUTED_VALUE"""),"TANDUL")</f>
        <v>TANDUL</v>
      </c>
      <c r="F314" s="100" t="str">
        <f>IFERROR(__xludf.DUMMYFUNCTION("""COMPUTED_VALUE"""),"ED")</f>
        <v>ED</v>
      </c>
    </row>
    <row r="315">
      <c r="A315" s="131">
        <f>IFERROR(__xludf.DUMMYFUNCTION("""COMPUTED_VALUE"""),1277.0)</f>
        <v>1277</v>
      </c>
      <c r="B315" s="131"/>
      <c r="C315" s="131">
        <f>IFERROR(__xludf.DUMMYFUNCTION("""COMPUTED_VALUE"""),1230.0)</f>
        <v>1230</v>
      </c>
      <c r="D315" s="131"/>
      <c r="E315" s="99" t="str">
        <f>IFERROR(__xludf.DUMMYFUNCTION("""COMPUTED_VALUE"""),"VILLA")</f>
        <v>VILLA</v>
      </c>
      <c r="F315" s="99" t="str">
        <f>IFERROR(__xludf.DUMMYFUNCTION("""COMPUTED_VALUE"""),"EDWARD")</f>
        <v>EDWARD</v>
      </c>
    </row>
    <row r="316">
      <c r="A316" s="131">
        <f>IFERROR(__xludf.DUMMYFUNCTION("""COMPUTED_VALUE"""),1278.0)</f>
        <v>1278</v>
      </c>
      <c r="B316" s="131"/>
      <c r="C316" s="131">
        <f>IFERROR(__xludf.DUMMYFUNCTION("""COMPUTED_VALUE"""),1230.0)</f>
        <v>1230</v>
      </c>
      <c r="D316" s="131"/>
      <c r="E316" s="100" t="str">
        <f>IFERROR(__xludf.DUMMYFUNCTION("""COMPUTED_VALUE"""),"RETAMAR")</f>
        <v>RETAMAR</v>
      </c>
      <c r="F316" s="100" t="str">
        <f>IFERROR(__xludf.DUMMYFUNCTION("""COMPUTED_VALUE"""),"GLEN")</f>
        <v>GLEN</v>
      </c>
    </row>
    <row r="317">
      <c r="A317" s="131">
        <f>IFERROR(__xludf.DUMMYFUNCTION("""COMPUTED_VALUE"""),1279.0)</f>
        <v>1279</v>
      </c>
      <c r="B317" s="131"/>
      <c r="C317" s="131">
        <f>IFERROR(__xludf.DUMMYFUNCTION("""COMPUTED_VALUE"""),1230.0)</f>
        <v>1230</v>
      </c>
      <c r="D317" s="131"/>
      <c r="E317" s="100" t="str">
        <f>IFERROR(__xludf.DUMMYFUNCTION("""COMPUTED_VALUE"""),"PASAYLON")</f>
        <v>PASAYLON</v>
      </c>
      <c r="F317" s="100" t="str">
        <f>IFERROR(__xludf.DUMMYFUNCTION("""COMPUTED_VALUE"""),"RAYMOND")</f>
        <v>RAYMOND</v>
      </c>
    </row>
    <row r="318">
      <c r="A318" s="131">
        <f>IFERROR(__xludf.DUMMYFUNCTION("""COMPUTED_VALUE"""),1280.0)</f>
        <v>1280</v>
      </c>
      <c r="B318" s="131"/>
      <c r="C318" s="131">
        <f>IFERROR(__xludf.DUMMYFUNCTION("""COMPUTED_VALUE"""),1230.0)</f>
        <v>1230</v>
      </c>
      <c r="D318" s="131"/>
      <c r="E318" s="100" t="str">
        <f>IFERROR(__xludf.DUMMYFUNCTION("""COMPUTED_VALUE"""),"CODILLA")</f>
        <v>CODILLA</v>
      </c>
      <c r="F318" s="100" t="str">
        <f>IFERROR(__xludf.DUMMYFUNCTION("""COMPUTED_VALUE"""),"JONNEL")</f>
        <v>JONNEL</v>
      </c>
    </row>
    <row r="319">
      <c r="A319" s="131">
        <f>IFERROR(__xludf.DUMMYFUNCTION("""COMPUTED_VALUE"""),1281.0)</f>
        <v>1281</v>
      </c>
      <c r="B319" s="131"/>
      <c r="C319" s="131">
        <f>IFERROR(__xludf.DUMMYFUNCTION("""COMPUTED_VALUE"""),1230.0)</f>
        <v>1230</v>
      </c>
      <c r="D319" s="131"/>
      <c r="E319" s="100" t="str">
        <f>IFERROR(__xludf.DUMMYFUNCTION("""COMPUTED_VALUE"""),"AZUL")</f>
        <v>AZUL</v>
      </c>
      <c r="F319" s="100" t="str">
        <f>IFERROR(__xludf.DUMMYFUNCTION("""COMPUTED_VALUE"""),"BENIE")</f>
        <v>BENIE</v>
      </c>
    </row>
    <row r="320">
      <c r="A320" s="131">
        <f>IFERROR(__xludf.DUMMYFUNCTION("""COMPUTED_VALUE"""),1282.0)</f>
        <v>1282</v>
      </c>
      <c r="B320" s="131"/>
      <c r="C320" s="131">
        <f>IFERROR(__xludf.DUMMYFUNCTION("""COMPUTED_VALUE"""),1230.0)</f>
        <v>1230</v>
      </c>
      <c r="D320" s="131"/>
      <c r="E320" s="100" t="str">
        <f>IFERROR(__xludf.DUMMYFUNCTION("""COMPUTED_VALUE"""),"E.")</f>
        <v>E.</v>
      </c>
      <c r="F320" s="100" t="str">
        <f>IFERROR(__xludf.DUMMYFUNCTION("""COMPUTED_VALUE"""),"MANNY")</f>
        <v>MANNY</v>
      </c>
    </row>
    <row r="321">
      <c r="A321" s="131"/>
      <c r="B321" s="131"/>
      <c r="C321" s="131"/>
      <c r="D321" s="131"/>
      <c r="E321" s="100"/>
      <c r="F321" s="100"/>
    </row>
    <row r="322">
      <c r="A322" s="131">
        <f>IFERROR(__xludf.DUMMYFUNCTION("""COMPUTED_VALUE"""),1283.0)</f>
        <v>1283</v>
      </c>
      <c r="B322" s="131"/>
      <c r="C322" s="131">
        <f>IFERROR(__xludf.DUMMYFUNCTION("""COMPUTED_VALUE"""),1283.0)</f>
        <v>1283</v>
      </c>
      <c r="D322" s="131" t="b">
        <f>IFERROR(__xludf.DUMMYFUNCTION("""COMPUTED_VALUE"""),TRUE)</f>
        <v>1</v>
      </c>
      <c r="E322" s="101" t="str">
        <f>IFERROR(__xludf.DUMMYFUNCTION("""COMPUTED_VALUE"""),"LIM")</f>
        <v>LIM</v>
      </c>
      <c r="F322" s="101" t="str">
        <f>IFERROR(__xludf.DUMMYFUNCTION("""COMPUTED_VALUE"""),"MARLINA")</f>
        <v>MARLINA</v>
      </c>
    </row>
    <row r="323">
      <c r="A323" s="131"/>
      <c r="B323" s="131"/>
      <c r="C323" s="131"/>
      <c r="D323" s="131"/>
      <c r="E323" s="101"/>
      <c r="F323" s="101"/>
    </row>
    <row r="324">
      <c r="A324" s="131"/>
      <c r="B324" s="131"/>
      <c r="C324" s="131"/>
      <c r="D324" s="131"/>
      <c r="E324" s="101"/>
      <c r="F324" s="101"/>
    </row>
    <row r="325">
      <c r="A325" s="131"/>
      <c r="B325" s="131"/>
      <c r="C325" s="131"/>
      <c r="D325" s="131"/>
      <c r="E325" s="101"/>
      <c r="F325" s="101"/>
    </row>
    <row r="326">
      <c r="A326" s="131"/>
      <c r="B326" s="131"/>
      <c r="C326" s="131"/>
      <c r="D326" s="131"/>
      <c r="E326" s="101"/>
      <c r="F326" s="101"/>
    </row>
    <row r="327">
      <c r="A327" s="131"/>
      <c r="B327" s="131"/>
      <c r="C327" s="131"/>
      <c r="D327" s="131"/>
      <c r="E327" s="105"/>
      <c r="F327" s="105"/>
    </row>
    <row r="328">
      <c r="A328" s="131"/>
      <c r="B328" s="131"/>
      <c r="C328" s="131"/>
      <c r="D328" s="131"/>
      <c r="E328" s="106"/>
      <c r="F328" s="106"/>
    </row>
    <row r="329">
      <c r="A329" s="131"/>
      <c r="B329" s="131"/>
      <c r="C329" s="131"/>
      <c r="D329" s="131"/>
      <c r="E329" s="107"/>
      <c r="F329" s="107"/>
    </row>
    <row r="330">
      <c r="A330" s="131"/>
      <c r="B330" s="131"/>
      <c r="C330" s="131"/>
      <c r="D330" s="131"/>
      <c r="E330" s="107"/>
      <c r="F330" s="107"/>
    </row>
    <row r="331">
      <c r="A331" s="131"/>
      <c r="B331" s="131"/>
      <c r="C331" s="131"/>
      <c r="D331" s="131"/>
      <c r="E331" s="108"/>
      <c r="F331" s="108"/>
    </row>
    <row r="332">
      <c r="A332" s="131"/>
      <c r="B332" s="131"/>
      <c r="C332" s="131"/>
      <c r="D332" s="131"/>
      <c r="E332" s="107"/>
      <c r="F332" s="107"/>
    </row>
    <row r="333">
      <c r="A333" s="131"/>
      <c r="B333" s="131"/>
      <c r="C333" s="131"/>
      <c r="D333" s="131"/>
      <c r="E333" s="106"/>
      <c r="F333" s="106"/>
    </row>
    <row r="334">
      <c r="A334" s="131"/>
      <c r="B334" s="131"/>
      <c r="C334" s="131"/>
      <c r="D334" s="131"/>
      <c r="E334" s="107"/>
      <c r="F334" s="107"/>
    </row>
    <row r="335">
      <c r="A335" s="131"/>
      <c r="B335" s="131"/>
      <c r="C335" s="131"/>
      <c r="D335" s="131"/>
      <c r="E335" s="107"/>
      <c r="F335" s="107"/>
    </row>
    <row r="336">
      <c r="A336" s="131"/>
      <c r="B336" s="131"/>
      <c r="C336" s="131"/>
      <c r="D336" s="131"/>
      <c r="E336" s="107"/>
      <c r="F336" s="107"/>
    </row>
    <row r="337">
      <c r="A337" s="131"/>
      <c r="B337" s="131"/>
      <c r="C337" s="131"/>
      <c r="D337" s="131"/>
      <c r="E337" s="107"/>
      <c r="F337" s="107"/>
    </row>
    <row r="338">
      <c r="A338" s="131"/>
      <c r="B338" s="131"/>
      <c r="C338" s="131"/>
      <c r="D338" s="131"/>
      <c r="E338" s="106"/>
      <c r="F338" s="106"/>
    </row>
    <row r="339">
      <c r="A339" s="131"/>
      <c r="B339" s="131"/>
      <c r="C339" s="131"/>
      <c r="D339" s="131"/>
      <c r="E339" s="107"/>
      <c r="F339" s="107"/>
    </row>
    <row r="340">
      <c r="A340" s="131"/>
      <c r="B340" s="131"/>
      <c r="C340" s="131"/>
      <c r="D340" s="131"/>
      <c r="E340" s="109"/>
      <c r="F340" s="109"/>
    </row>
    <row r="341">
      <c r="A341" s="131"/>
      <c r="B341" s="131"/>
      <c r="C341" s="131"/>
      <c r="D341" s="131"/>
      <c r="E341" s="110"/>
      <c r="F341" s="110"/>
    </row>
    <row r="342">
      <c r="A342" s="131"/>
      <c r="B342" s="131"/>
      <c r="C342" s="131"/>
      <c r="D342" s="131"/>
      <c r="E342" s="110"/>
      <c r="F342" s="110"/>
    </row>
    <row r="343">
      <c r="A343" s="131"/>
      <c r="B343" s="131"/>
      <c r="C343" s="131"/>
      <c r="D343" s="131"/>
      <c r="E343" s="111"/>
      <c r="F343" s="111"/>
    </row>
    <row r="344">
      <c r="A344" s="131"/>
      <c r="B344" s="131"/>
      <c r="C344" s="131"/>
      <c r="D344" s="131"/>
      <c r="E344" s="112"/>
      <c r="F344" s="112"/>
    </row>
    <row r="345">
      <c r="A345" s="131"/>
      <c r="B345" s="131"/>
      <c r="C345" s="131"/>
      <c r="D345" s="131"/>
      <c r="E345" s="112"/>
      <c r="F345" s="112"/>
    </row>
    <row r="346">
      <c r="A346" s="131"/>
      <c r="B346" s="131"/>
      <c r="C346" s="131"/>
      <c r="D346" s="131"/>
      <c r="E346" s="112"/>
      <c r="F346" s="112"/>
    </row>
    <row r="347">
      <c r="A347" s="131"/>
      <c r="B347" s="131"/>
      <c r="C347" s="131"/>
      <c r="D347" s="131"/>
      <c r="E347" s="112"/>
      <c r="F347" s="112"/>
    </row>
    <row r="348">
      <c r="A348" s="131"/>
      <c r="B348" s="131"/>
      <c r="C348" s="131"/>
      <c r="D348" s="131"/>
      <c r="E348" s="113"/>
      <c r="F348" s="110"/>
    </row>
    <row r="349">
      <c r="A349" s="131"/>
      <c r="B349" s="131"/>
      <c r="C349" s="131"/>
      <c r="D349" s="131"/>
      <c r="E349" s="114"/>
      <c r="F349" s="114"/>
    </row>
    <row r="350">
      <c r="A350" s="131"/>
      <c r="B350" s="131"/>
      <c r="C350" s="131"/>
      <c r="D350" s="131"/>
      <c r="E350" s="114"/>
      <c r="F350" s="114"/>
    </row>
    <row r="351">
      <c r="A351" s="131"/>
      <c r="B351" s="131"/>
      <c r="C351" s="131"/>
      <c r="D351" s="131"/>
      <c r="E351" s="114"/>
      <c r="F351" s="114"/>
    </row>
    <row r="352">
      <c r="A352" s="131"/>
      <c r="B352" s="131"/>
      <c r="C352" s="131"/>
      <c r="D352" s="131"/>
      <c r="E352" s="114"/>
      <c r="F352" s="114"/>
    </row>
    <row r="353">
      <c r="A353" s="131"/>
      <c r="B353" s="131"/>
      <c r="C353" s="131"/>
      <c r="D353" s="131"/>
      <c r="E353" s="114"/>
      <c r="F353" s="114"/>
    </row>
    <row r="354">
      <c r="A354" s="131"/>
      <c r="B354" s="131"/>
      <c r="C354" s="131"/>
      <c r="D354" s="131"/>
      <c r="E354" s="114"/>
      <c r="F354" s="114"/>
    </row>
    <row r="355">
      <c r="A355" s="131"/>
      <c r="B355" s="131"/>
      <c r="C355" s="131"/>
      <c r="D355" s="131"/>
      <c r="E355" s="114"/>
      <c r="F355" s="114"/>
    </row>
    <row r="356">
      <c r="A356" s="131"/>
      <c r="B356" s="131"/>
      <c r="C356" s="131"/>
      <c r="D356" s="131"/>
      <c r="E356" s="114"/>
      <c r="F356" s="114"/>
    </row>
    <row r="357">
      <c r="A357" s="131"/>
      <c r="B357" s="131"/>
      <c r="C357" s="131"/>
      <c r="D357" s="131"/>
      <c r="E357" s="114"/>
      <c r="F357" s="114"/>
    </row>
    <row r="358">
      <c r="A358" s="131"/>
      <c r="B358" s="131"/>
      <c r="C358" s="131"/>
      <c r="D358" s="131"/>
      <c r="E358" s="114"/>
      <c r="F358" s="114"/>
    </row>
    <row r="359">
      <c r="A359" s="131"/>
      <c r="B359" s="131"/>
      <c r="C359" s="131"/>
      <c r="D359" s="131"/>
      <c r="E359" s="114"/>
      <c r="F359" s="114"/>
    </row>
    <row r="360">
      <c r="A360" s="131"/>
      <c r="B360" s="131"/>
      <c r="C360" s="131"/>
      <c r="D360" s="131"/>
      <c r="E360" s="114"/>
      <c r="F360" s="114"/>
    </row>
    <row r="361">
      <c r="A361" s="131"/>
      <c r="B361" s="131"/>
      <c r="C361" s="131"/>
      <c r="D361" s="131"/>
      <c r="E361" s="114"/>
      <c r="F361" s="114"/>
    </row>
    <row r="362">
      <c r="A362" s="131"/>
      <c r="B362" s="131"/>
      <c r="C362" s="131"/>
      <c r="D362" s="131"/>
      <c r="E362" s="114"/>
      <c r="F362" s="114"/>
    </row>
    <row r="363">
      <c r="A363" s="131"/>
      <c r="B363" s="131"/>
      <c r="C363" s="131"/>
      <c r="D363" s="131"/>
      <c r="E363" s="114"/>
      <c r="F363" s="114"/>
    </row>
    <row r="364">
      <c r="A364" s="131"/>
      <c r="B364" s="131"/>
      <c r="C364" s="131"/>
      <c r="D364" s="131"/>
      <c r="E364" s="114"/>
      <c r="F364" s="114"/>
    </row>
    <row r="365">
      <c r="A365" s="131"/>
      <c r="B365" s="131"/>
      <c r="C365" s="131"/>
      <c r="D365" s="131"/>
      <c r="E365" s="114"/>
      <c r="F365" s="114"/>
    </row>
    <row r="366">
      <c r="A366" s="131"/>
      <c r="B366" s="131"/>
      <c r="C366" s="131"/>
      <c r="D366" s="131"/>
      <c r="E366" s="114"/>
      <c r="F366" s="114"/>
    </row>
    <row r="367">
      <c r="A367" s="131"/>
      <c r="B367" s="131"/>
      <c r="C367" s="131"/>
      <c r="D367" s="131"/>
      <c r="E367" s="114"/>
      <c r="F367" s="114"/>
    </row>
    <row r="368">
      <c r="A368" s="131"/>
      <c r="B368" s="131"/>
      <c r="C368" s="131"/>
      <c r="D368" s="131"/>
      <c r="E368" s="114"/>
      <c r="F368" s="114"/>
    </row>
    <row r="369">
      <c r="A369" s="131"/>
      <c r="B369" s="131"/>
      <c r="C369" s="131"/>
      <c r="D369" s="131"/>
      <c r="E369" s="131"/>
      <c r="F369" s="131"/>
    </row>
    <row r="370">
      <c r="A370" s="131"/>
      <c r="B370" s="131"/>
      <c r="C370" s="131"/>
      <c r="D370" s="131"/>
      <c r="E370" s="105"/>
      <c r="F370" s="105"/>
    </row>
    <row r="371">
      <c r="A371" s="131"/>
      <c r="B371" s="131"/>
      <c r="C371" s="131"/>
      <c r="D371" s="131"/>
      <c r="E371" s="115"/>
      <c r="F371" s="107"/>
    </row>
    <row r="372">
      <c r="A372" s="131"/>
      <c r="B372" s="131"/>
      <c r="C372" s="131"/>
      <c r="D372" s="131"/>
      <c r="E372" s="107"/>
      <c r="F372" s="107"/>
    </row>
    <row r="373">
      <c r="A373" s="131"/>
      <c r="B373" s="131"/>
      <c r="C373" s="131"/>
      <c r="D373" s="131"/>
      <c r="E373" s="116"/>
      <c r="F373" s="107"/>
    </row>
    <row r="374">
      <c r="A374" s="131"/>
      <c r="B374" s="131"/>
      <c r="C374" s="131"/>
      <c r="D374" s="131"/>
      <c r="E374" s="107"/>
      <c r="F374" s="107"/>
    </row>
    <row r="375">
      <c r="A375" s="131"/>
      <c r="B375" s="131"/>
      <c r="C375" s="131"/>
      <c r="D375" s="131"/>
      <c r="E375" s="107"/>
      <c r="F375" s="107"/>
    </row>
    <row r="376">
      <c r="A376" s="131"/>
      <c r="B376" s="131"/>
      <c r="C376" s="131"/>
      <c r="D376" s="131"/>
      <c r="E376" s="107"/>
      <c r="F376" s="107"/>
    </row>
    <row r="377">
      <c r="A377" s="131"/>
      <c r="B377" s="131"/>
      <c r="C377" s="131"/>
      <c r="D377" s="131"/>
      <c r="E377" s="107"/>
      <c r="F377" s="107"/>
    </row>
    <row r="378">
      <c r="A378" s="131"/>
      <c r="B378" s="131"/>
      <c r="C378" s="131"/>
      <c r="D378" s="131"/>
      <c r="E378" s="107"/>
      <c r="F378" s="107"/>
    </row>
    <row r="379">
      <c r="A379" s="131"/>
      <c r="B379" s="131"/>
      <c r="C379" s="131"/>
      <c r="D379" s="131"/>
      <c r="E379" s="107"/>
      <c r="F379" s="107"/>
    </row>
    <row r="380">
      <c r="A380" s="131"/>
      <c r="B380" s="131"/>
      <c r="C380" s="131"/>
      <c r="D380" s="131"/>
      <c r="E380" s="107"/>
      <c r="F380" s="107"/>
    </row>
    <row r="381">
      <c r="A381" s="131"/>
      <c r="B381" s="131"/>
      <c r="C381" s="131"/>
      <c r="D381" s="131"/>
      <c r="E381" s="107"/>
      <c r="F381" s="107"/>
    </row>
    <row r="382">
      <c r="A382" s="131"/>
      <c r="B382" s="131"/>
      <c r="C382" s="131"/>
      <c r="D382" s="131"/>
      <c r="E382" s="107"/>
      <c r="F382" s="107"/>
    </row>
    <row r="383">
      <c r="A383" s="131"/>
      <c r="B383" s="131"/>
      <c r="C383" s="131"/>
      <c r="D383" s="131"/>
      <c r="E383" s="107"/>
      <c r="F383" s="107"/>
    </row>
    <row r="384">
      <c r="A384" s="131"/>
      <c r="B384" s="131"/>
      <c r="C384" s="131"/>
      <c r="D384" s="131"/>
      <c r="E384" s="107"/>
      <c r="F384" s="107"/>
    </row>
    <row r="385">
      <c r="A385" s="131"/>
      <c r="B385" s="131"/>
      <c r="C385" s="131"/>
      <c r="D385" s="131"/>
      <c r="E385" s="107"/>
      <c r="F385" s="107"/>
    </row>
    <row r="386">
      <c r="A386" s="131"/>
      <c r="B386" s="131"/>
      <c r="C386" s="131"/>
      <c r="D386" s="131"/>
      <c r="E386" s="107"/>
      <c r="F386" s="107"/>
    </row>
    <row r="387">
      <c r="A387" s="131"/>
      <c r="B387" s="131"/>
      <c r="C387" s="131"/>
      <c r="D387" s="131"/>
      <c r="E387" s="107"/>
      <c r="F387" s="107"/>
    </row>
    <row r="388">
      <c r="A388" s="131"/>
      <c r="B388" s="131"/>
      <c r="C388" s="131"/>
      <c r="D388" s="131"/>
      <c r="E388" s="98"/>
      <c r="F388" s="107"/>
    </row>
    <row r="389">
      <c r="A389" s="131"/>
      <c r="B389" s="131"/>
      <c r="C389" s="131"/>
      <c r="D389" s="131"/>
      <c r="E389" s="131"/>
      <c r="F389" s="131"/>
    </row>
    <row r="390">
      <c r="A390" s="131"/>
      <c r="B390" s="131"/>
      <c r="C390" s="131"/>
      <c r="D390" s="131"/>
      <c r="E390" s="105"/>
      <c r="F390" s="105"/>
    </row>
    <row r="391">
      <c r="A391" s="131"/>
      <c r="B391" s="131"/>
      <c r="C391" s="131"/>
      <c r="D391" s="131"/>
      <c r="E391" s="109"/>
      <c r="F391" s="109"/>
    </row>
    <row r="392">
      <c r="A392" s="131"/>
      <c r="B392" s="131"/>
      <c r="C392" s="131"/>
      <c r="D392" s="131"/>
      <c r="E392" s="109"/>
      <c r="F392" s="109"/>
    </row>
    <row r="393">
      <c r="A393" s="131"/>
      <c r="B393" s="131"/>
      <c r="C393" s="131"/>
      <c r="D393" s="131"/>
      <c r="E393" s="109"/>
      <c r="F393" s="109"/>
    </row>
    <row r="394">
      <c r="A394" s="131"/>
      <c r="B394" s="131"/>
      <c r="C394" s="131"/>
      <c r="D394" s="131"/>
      <c r="E394" s="109"/>
      <c r="F394" s="109"/>
    </row>
    <row r="395">
      <c r="A395" s="131"/>
      <c r="B395" s="131"/>
      <c r="C395" s="131"/>
      <c r="D395" s="131"/>
      <c r="E395" s="109"/>
      <c r="F395" s="109"/>
    </row>
    <row r="396">
      <c r="A396" s="131"/>
      <c r="B396" s="131"/>
      <c r="C396" s="131"/>
      <c r="D396" s="131"/>
      <c r="E396" s="109"/>
      <c r="F396" s="109"/>
    </row>
    <row r="397">
      <c r="A397" s="131"/>
      <c r="B397" s="131"/>
      <c r="C397" s="131"/>
      <c r="D397" s="131"/>
      <c r="E397" s="109"/>
      <c r="F397" s="109"/>
    </row>
    <row r="398">
      <c r="A398" s="131"/>
      <c r="B398" s="131"/>
      <c r="C398" s="131"/>
      <c r="D398" s="131"/>
      <c r="E398" s="109"/>
      <c r="F398" s="109"/>
    </row>
    <row r="399">
      <c r="A399" s="131"/>
      <c r="B399" s="131"/>
      <c r="C399" s="131"/>
      <c r="D399" s="131"/>
      <c r="E399" s="109"/>
      <c r="F399" s="109"/>
    </row>
    <row r="400">
      <c r="A400" s="131"/>
      <c r="B400" s="131"/>
      <c r="C400" s="131"/>
      <c r="D400" s="131"/>
      <c r="E400" s="109"/>
      <c r="F400" s="109"/>
    </row>
    <row r="401">
      <c r="A401" s="131"/>
      <c r="B401" s="131"/>
      <c r="C401" s="131"/>
      <c r="D401" s="131"/>
      <c r="E401" s="109"/>
      <c r="F401" s="109"/>
    </row>
    <row r="402">
      <c r="A402" s="131"/>
      <c r="B402" s="131"/>
      <c r="C402" s="131"/>
      <c r="D402" s="131"/>
      <c r="E402" s="109"/>
      <c r="F402" s="109"/>
    </row>
    <row r="403">
      <c r="A403" s="131"/>
      <c r="B403" s="131"/>
      <c r="C403" s="131"/>
      <c r="D403" s="131"/>
      <c r="E403" s="109"/>
      <c r="F403" s="109"/>
    </row>
    <row r="404">
      <c r="A404" s="131"/>
      <c r="B404" s="131"/>
      <c r="C404" s="131"/>
      <c r="D404" s="131"/>
      <c r="E404" s="109"/>
      <c r="F404" s="109"/>
    </row>
    <row r="405">
      <c r="A405" s="131"/>
      <c r="B405" s="131"/>
      <c r="C405" s="131"/>
      <c r="D405" s="131"/>
      <c r="E405" s="109"/>
      <c r="F405" s="109"/>
    </row>
    <row r="406">
      <c r="A406" s="131"/>
      <c r="B406" s="131"/>
      <c r="C406" s="131"/>
      <c r="D406" s="131"/>
      <c r="E406" s="109"/>
      <c r="F406" s="109"/>
    </row>
    <row r="407">
      <c r="A407" s="131"/>
      <c r="B407" s="131"/>
      <c r="C407" s="131"/>
      <c r="D407" s="131"/>
      <c r="E407" s="109"/>
      <c r="F407" s="109"/>
    </row>
    <row r="408">
      <c r="A408" s="131"/>
      <c r="B408" s="131"/>
      <c r="C408" s="131"/>
      <c r="D408" s="131"/>
      <c r="E408" s="109"/>
      <c r="F408" s="109"/>
    </row>
    <row r="409">
      <c r="A409" s="131"/>
      <c r="B409" s="131"/>
      <c r="C409" s="131"/>
      <c r="D409" s="131"/>
      <c r="E409" s="109"/>
      <c r="F409" s="109"/>
    </row>
    <row r="410">
      <c r="A410" s="131"/>
      <c r="B410" s="131"/>
      <c r="C410" s="131"/>
      <c r="D410" s="131"/>
      <c r="E410" s="109"/>
      <c r="F410" s="109"/>
    </row>
    <row r="411">
      <c r="A411" s="131"/>
      <c r="B411" s="131"/>
      <c r="C411" s="131"/>
      <c r="D411" s="131"/>
      <c r="E411" s="109"/>
      <c r="F411" s="109"/>
    </row>
    <row r="412">
      <c r="A412" s="131"/>
      <c r="B412" s="131"/>
      <c r="C412" s="131"/>
      <c r="D412" s="131"/>
      <c r="E412" s="109"/>
      <c r="F412" s="109"/>
    </row>
    <row r="413">
      <c r="A413" s="131"/>
      <c r="B413" s="131"/>
      <c r="C413" s="131"/>
      <c r="D413" s="131"/>
      <c r="E413" s="109"/>
      <c r="F413" s="109"/>
    </row>
    <row r="414">
      <c r="A414" s="131"/>
      <c r="B414" s="131"/>
      <c r="C414" s="131"/>
      <c r="D414" s="131"/>
      <c r="E414" s="109"/>
      <c r="F414" s="109"/>
    </row>
    <row r="415">
      <c r="A415" s="131"/>
      <c r="B415" s="131"/>
      <c r="C415" s="131"/>
      <c r="D415" s="131"/>
      <c r="E415" s="109"/>
      <c r="F415" s="109"/>
    </row>
    <row r="416">
      <c r="A416" s="131"/>
      <c r="B416" s="131"/>
      <c r="C416" s="131"/>
      <c r="D416" s="131"/>
      <c r="E416" s="131"/>
      <c r="F416" s="131"/>
    </row>
    <row r="417">
      <c r="A417" s="131"/>
      <c r="B417" s="131"/>
      <c r="C417" s="131"/>
      <c r="D417" s="131"/>
      <c r="E417" s="105"/>
      <c r="F417" s="105"/>
    </row>
    <row r="418">
      <c r="A418" s="131"/>
      <c r="B418" s="131"/>
      <c r="C418" s="131"/>
      <c r="D418" s="131"/>
      <c r="E418" s="107"/>
      <c r="F418" s="107"/>
    </row>
    <row r="419">
      <c r="A419" s="131"/>
      <c r="B419" s="131"/>
      <c r="C419" s="131"/>
      <c r="D419" s="131"/>
      <c r="E419" s="107"/>
      <c r="F419" s="107"/>
    </row>
    <row r="420">
      <c r="A420" s="131"/>
      <c r="B420" s="131"/>
      <c r="C420" s="131"/>
      <c r="D420" s="131"/>
      <c r="E420" s="107"/>
      <c r="F420" s="107"/>
    </row>
    <row r="421">
      <c r="A421" s="131"/>
      <c r="B421" s="131"/>
      <c r="C421" s="131"/>
      <c r="D421" s="131"/>
      <c r="E421" s="107"/>
      <c r="F421" s="107"/>
    </row>
    <row r="422">
      <c r="A422" s="131"/>
      <c r="B422" s="131"/>
      <c r="C422" s="131"/>
      <c r="D422" s="131"/>
      <c r="E422" s="107"/>
      <c r="F422" s="107"/>
    </row>
    <row r="423">
      <c r="A423" s="131"/>
      <c r="B423" s="131"/>
      <c r="C423" s="131"/>
      <c r="D423" s="131"/>
      <c r="E423" s="107"/>
      <c r="F423" s="107"/>
    </row>
    <row r="424">
      <c r="A424" s="131"/>
      <c r="B424" s="131"/>
      <c r="C424" s="131"/>
      <c r="D424" s="131"/>
      <c r="E424" s="107"/>
      <c r="F424" s="107"/>
    </row>
    <row r="425">
      <c r="A425" s="131"/>
      <c r="B425" s="131"/>
      <c r="C425" s="131"/>
      <c r="D425" s="131"/>
      <c r="E425" s="107"/>
      <c r="F425" s="107"/>
    </row>
    <row r="426">
      <c r="A426" s="131"/>
      <c r="B426" s="131"/>
      <c r="C426" s="131"/>
      <c r="D426" s="131"/>
      <c r="E426" s="107"/>
      <c r="F426" s="107"/>
    </row>
    <row r="427">
      <c r="A427" s="131"/>
      <c r="B427" s="131"/>
      <c r="C427" s="131"/>
      <c r="D427" s="131"/>
      <c r="E427" s="107"/>
      <c r="F427" s="107"/>
    </row>
    <row r="428">
      <c r="A428" s="131"/>
      <c r="B428" s="131"/>
      <c r="C428" s="131"/>
      <c r="D428" s="131"/>
      <c r="E428" s="107"/>
      <c r="F428" s="107"/>
    </row>
    <row r="429">
      <c r="A429" s="131"/>
      <c r="B429" s="131"/>
      <c r="C429" s="131"/>
      <c r="D429" s="131"/>
      <c r="E429" s="107"/>
      <c r="F429" s="107"/>
    </row>
    <row r="430">
      <c r="A430" s="131"/>
      <c r="B430" s="131"/>
      <c r="C430" s="131"/>
      <c r="D430" s="131"/>
      <c r="E430" s="107"/>
      <c r="F430" s="107"/>
    </row>
    <row r="431">
      <c r="A431" s="131"/>
      <c r="B431" s="131"/>
      <c r="C431" s="131"/>
      <c r="D431" s="131"/>
      <c r="E431" s="107"/>
      <c r="F431" s="107"/>
    </row>
    <row r="432">
      <c r="A432" s="131"/>
      <c r="B432" s="131"/>
      <c r="C432" s="131"/>
      <c r="D432" s="131"/>
      <c r="E432" s="107"/>
      <c r="F432" s="107"/>
    </row>
    <row r="433">
      <c r="A433" s="131"/>
      <c r="B433" s="131"/>
      <c r="C433" s="131"/>
      <c r="D433" s="131"/>
      <c r="E433" s="107"/>
      <c r="F433" s="107"/>
    </row>
    <row r="434">
      <c r="A434" s="131"/>
      <c r="B434" s="131"/>
      <c r="C434" s="131"/>
      <c r="D434" s="131"/>
      <c r="E434" s="107"/>
      <c r="F434" s="107"/>
    </row>
    <row r="435">
      <c r="A435" s="131"/>
      <c r="B435" s="131"/>
      <c r="C435" s="131"/>
      <c r="D435" s="131"/>
      <c r="E435" s="107"/>
      <c r="F435" s="107"/>
    </row>
    <row r="436">
      <c r="A436" s="131"/>
      <c r="B436" s="131"/>
      <c r="C436" s="131"/>
      <c r="D436" s="131"/>
      <c r="E436" s="107"/>
      <c r="F436" s="107"/>
    </row>
    <row r="437">
      <c r="A437" s="131"/>
      <c r="B437" s="131"/>
      <c r="C437" s="131"/>
      <c r="D437" s="131"/>
      <c r="E437" s="107"/>
      <c r="F437" s="107"/>
    </row>
    <row r="438">
      <c r="A438" s="131"/>
      <c r="B438" s="131"/>
      <c r="C438" s="131"/>
      <c r="D438" s="131"/>
      <c r="E438" s="107"/>
      <c r="F438" s="107"/>
    </row>
    <row r="439">
      <c r="A439" s="131"/>
      <c r="B439" s="131"/>
      <c r="C439" s="131"/>
      <c r="D439" s="131"/>
      <c r="E439" s="107"/>
      <c r="F439" s="107"/>
    </row>
    <row r="440">
      <c r="A440" s="131"/>
      <c r="B440" s="131"/>
      <c r="C440" s="131"/>
      <c r="D440" s="131"/>
      <c r="E440" s="107"/>
      <c r="F440" s="107"/>
    </row>
    <row r="441">
      <c r="A441" s="131"/>
      <c r="B441" s="131"/>
      <c r="C441" s="131"/>
      <c r="D441" s="131"/>
      <c r="E441" s="107"/>
      <c r="F441" s="107"/>
    </row>
    <row r="442">
      <c r="A442" s="131"/>
      <c r="B442" s="131"/>
      <c r="C442" s="131"/>
      <c r="D442" s="131"/>
      <c r="E442" s="107"/>
      <c r="F442" s="107"/>
    </row>
    <row r="443">
      <c r="A443" s="131"/>
      <c r="B443" s="131"/>
      <c r="C443" s="131"/>
      <c r="D443" s="131"/>
      <c r="E443" s="107"/>
      <c r="F443" s="107"/>
    </row>
    <row r="444">
      <c r="A444" s="131"/>
      <c r="B444" s="131"/>
      <c r="C444" s="131"/>
      <c r="D444" s="131"/>
      <c r="E444" s="107"/>
      <c r="F444" s="107"/>
    </row>
    <row r="445">
      <c r="A445" s="131"/>
      <c r="B445" s="131"/>
      <c r="C445" s="131"/>
      <c r="D445" s="131"/>
      <c r="E445" s="107"/>
      <c r="F445" s="107"/>
    </row>
    <row r="446">
      <c r="A446" s="131"/>
      <c r="B446" s="131"/>
      <c r="C446" s="131"/>
      <c r="D446" s="131"/>
      <c r="E446" s="107"/>
      <c r="F446" s="107"/>
    </row>
    <row r="447">
      <c r="A447" s="131"/>
      <c r="B447" s="131"/>
      <c r="C447" s="131"/>
      <c r="D447" s="131"/>
      <c r="E447" s="107"/>
      <c r="F447" s="107"/>
    </row>
    <row r="448">
      <c r="A448" s="131"/>
      <c r="B448" s="131"/>
      <c r="C448" s="131"/>
      <c r="D448" s="131"/>
      <c r="E448" s="107"/>
      <c r="F448" s="107"/>
    </row>
    <row r="449">
      <c r="A449" s="131"/>
      <c r="B449" s="131"/>
      <c r="C449" s="131"/>
      <c r="D449" s="131"/>
      <c r="E449" s="107"/>
      <c r="F449" s="107"/>
    </row>
    <row r="450">
      <c r="A450" s="131"/>
      <c r="B450" s="131"/>
      <c r="C450" s="131"/>
      <c r="D450" s="131"/>
      <c r="E450" s="107"/>
      <c r="F450" s="107"/>
    </row>
    <row r="451">
      <c r="A451" s="131"/>
      <c r="B451" s="131"/>
      <c r="C451" s="131"/>
      <c r="D451" s="131"/>
      <c r="E451" s="107"/>
      <c r="F451" s="107"/>
    </row>
    <row r="452">
      <c r="A452" s="131"/>
      <c r="B452" s="131"/>
      <c r="C452" s="131"/>
      <c r="D452" s="131"/>
      <c r="E452" s="107"/>
      <c r="F452" s="107"/>
    </row>
    <row r="453">
      <c r="A453" s="131"/>
      <c r="B453" s="131"/>
      <c r="C453" s="131"/>
      <c r="D453" s="131"/>
      <c r="E453" s="107"/>
      <c r="F453" s="107"/>
    </row>
    <row r="454">
      <c r="A454" s="131"/>
      <c r="B454" s="131"/>
      <c r="C454" s="131"/>
      <c r="D454" s="131"/>
      <c r="E454" s="116"/>
      <c r="F454" s="107"/>
    </row>
    <row r="455">
      <c r="A455" s="131"/>
      <c r="B455" s="131"/>
      <c r="C455" s="131"/>
      <c r="D455" s="131"/>
      <c r="E455" s="107"/>
      <c r="F455" s="107"/>
    </row>
    <row r="456">
      <c r="A456" s="131"/>
      <c r="B456" s="131"/>
      <c r="C456" s="131"/>
      <c r="D456" s="131"/>
      <c r="E456" s="107"/>
      <c r="F456" s="107"/>
    </row>
    <row r="457">
      <c r="A457" s="131"/>
      <c r="B457" s="131"/>
      <c r="C457" s="131"/>
      <c r="D457" s="131"/>
      <c r="E457" s="107"/>
      <c r="F457" s="107"/>
    </row>
    <row r="458">
      <c r="A458" s="131"/>
      <c r="B458" s="131"/>
      <c r="C458" s="131"/>
      <c r="D458" s="131"/>
      <c r="E458" s="107"/>
      <c r="F458" s="107"/>
    </row>
    <row r="459">
      <c r="A459" s="131"/>
      <c r="B459" s="131"/>
      <c r="C459" s="131"/>
      <c r="D459" s="131"/>
      <c r="E459" s="118"/>
      <c r="F459" s="107"/>
    </row>
    <row r="460">
      <c r="A460" s="131"/>
      <c r="B460" s="131"/>
      <c r="C460" s="131"/>
      <c r="D460" s="131"/>
      <c r="E460" s="118"/>
      <c r="F460" s="107"/>
    </row>
    <row r="461">
      <c r="A461" s="131"/>
      <c r="B461" s="131"/>
      <c r="C461" s="131"/>
      <c r="D461" s="131"/>
      <c r="E461" s="118"/>
      <c r="F461" s="107"/>
    </row>
    <row r="462">
      <c r="A462" s="131"/>
      <c r="B462" s="131"/>
      <c r="C462" s="131"/>
      <c r="D462" s="131"/>
      <c r="E462" s="118"/>
      <c r="F462" s="107"/>
    </row>
    <row r="463">
      <c r="A463" s="131"/>
      <c r="B463" s="131"/>
      <c r="C463" s="131"/>
      <c r="D463" s="131"/>
      <c r="E463" s="119"/>
      <c r="F463" s="119"/>
    </row>
    <row r="464">
      <c r="A464" s="131"/>
      <c r="B464" s="131"/>
      <c r="C464" s="131"/>
      <c r="D464" s="131"/>
      <c r="E464" s="107"/>
      <c r="F464" s="107"/>
    </row>
    <row r="465">
      <c r="A465" s="131"/>
      <c r="B465" s="131"/>
      <c r="C465" s="131"/>
      <c r="D465" s="131"/>
      <c r="E465" s="107"/>
      <c r="F465" s="107"/>
    </row>
    <row r="466">
      <c r="A466" s="131"/>
      <c r="B466" s="131"/>
      <c r="C466" s="131"/>
      <c r="D466" s="131"/>
      <c r="E466" s="107"/>
      <c r="F466" s="107"/>
    </row>
    <row r="467">
      <c r="A467" s="131"/>
      <c r="B467" s="131"/>
      <c r="C467" s="131"/>
      <c r="D467" s="131"/>
      <c r="E467" s="107"/>
      <c r="F467" s="107"/>
    </row>
    <row r="468">
      <c r="A468" s="131"/>
      <c r="B468" s="131"/>
      <c r="C468" s="131"/>
      <c r="D468" s="131"/>
      <c r="E468" s="107"/>
      <c r="F468" s="107"/>
    </row>
    <row r="469">
      <c r="A469" s="131"/>
      <c r="B469" s="131"/>
      <c r="C469" s="131"/>
      <c r="D469" s="131"/>
      <c r="E469" s="107"/>
      <c r="F469" s="107"/>
    </row>
    <row r="470">
      <c r="A470" s="131"/>
      <c r="B470" s="131"/>
      <c r="C470" s="131"/>
      <c r="D470" s="131"/>
      <c r="E470" s="107"/>
      <c r="F470" s="107"/>
    </row>
    <row r="471">
      <c r="A471" s="131"/>
      <c r="B471" s="131"/>
      <c r="C471" s="131"/>
      <c r="D471" s="131"/>
      <c r="E471" s="107"/>
      <c r="F471" s="107"/>
    </row>
    <row r="472">
      <c r="A472" s="131"/>
      <c r="B472" s="131"/>
      <c r="C472" s="131"/>
      <c r="D472" s="131"/>
      <c r="E472" s="107"/>
      <c r="F472" s="107"/>
    </row>
    <row r="473">
      <c r="A473" s="131"/>
      <c r="B473" s="131"/>
      <c r="C473" s="131"/>
      <c r="D473" s="131"/>
      <c r="E473" s="107"/>
      <c r="F473" s="107"/>
    </row>
    <row r="474">
      <c r="A474" s="131"/>
      <c r="B474" s="131"/>
      <c r="C474" s="131"/>
      <c r="D474" s="131"/>
      <c r="E474" s="107"/>
      <c r="F474" s="107"/>
    </row>
    <row r="475">
      <c r="A475" s="131"/>
      <c r="B475" s="131"/>
      <c r="C475" s="131"/>
      <c r="D475" s="131"/>
      <c r="E475" s="107"/>
      <c r="F475" s="107"/>
    </row>
    <row r="476">
      <c r="A476" s="131"/>
      <c r="B476" s="131"/>
      <c r="C476" s="131"/>
      <c r="D476" s="131"/>
      <c r="E476" s="107"/>
      <c r="F476" s="107"/>
    </row>
    <row r="477">
      <c r="A477" s="131"/>
      <c r="B477" s="131"/>
      <c r="C477" s="131"/>
      <c r="D477" s="131"/>
      <c r="E477" s="107"/>
      <c r="F477" s="107"/>
    </row>
    <row r="478">
      <c r="A478" s="131"/>
      <c r="B478" s="131"/>
      <c r="C478" s="131"/>
      <c r="D478" s="131"/>
      <c r="E478" s="107"/>
      <c r="F478" s="115"/>
    </row>
    <row r="479">
      <c r="A479" s="131"/>
      <c r="B479" s="131"/>
      <c r="C479" s="131"/>
      <c r="D479" s="131"/>
      <c r="E479" s="107"/>
      <c r="F479" s="107"/>
    </row>
    <row r="480">
      <c r="A480" s="131"/>
      <c r="B480" s="131"/>
      <c r="C480" s="131"/>
      <c r="D480" s="131"/>
      <c r="E480" s="131"/>
      <c r="F480" s="131"/>
    </row>
    <row r="481">
      <c r="A481" s="131"/>
      <c r="B481" s="131"/>
      <c r="C481" s="131"/>
      <c r="D481" s="131"/>
      <c r="E481" s="131"/>
      <c r="F481" s="131"/>
    </row>
    <row r="482">
      <c r="A482" s="131"/>
      <c r="B482" s="131"/>
      <c r="C482" s="131"/>
      <c r="D482" s="131"/>
      <c r="E482" s="131"/>
      <c r="F482" s="131"/>
    </row>
    <row r="483">
      <c r="A483" s="131"/>
      <c r="B483" s="131"/>
      <c r="C483" s="131"/>
      <c r="D483" s="131"/>
      <c r="E483" s="131"/>
      <c r="F483" s="131"/>
    </row>
    <row r="484">
      <c r="A484" s="131"/>
      <c r="B484" s="131"/>
      <c r="C484" s="131"/>
      <c r="D484" s="131"/>
      <c r="E484" s="131"/>
      <c r="F484" s="131"/>
    </row>
    <row r="485">
      <c r="A485" s="131"/>
      <c r="B485" s="131"/>
      <c r="C485" s="131"/>
      <c r="D485" s="131"/>
      <c r="E485" s="131"/>
      <c r="F485" s="131"/>
    </row>
    <row r="486">
      <c r="A486" s="131"/>
      <c r="B486" s="131"/>
      <c r="C486" s="131"/>
      <c r="D486" s="131"/>
      <c r="E486" s="131"/>
      <c r="F486" s="131"/>
    </row>
    <row r="487">
      <c r="A487" s="131"/>
      <c r="B487" s="131"/>
      <c r="C487" s="131"/>
      <c r="D487" s="131"/>
      <c r="E487" s="131"/>
      <c r="F487" s="131"/>
    </row>
    <row r="488">
      <c r="A488" s="131"/>
      <c r="B488" s="131"/>
      <c r="C488" s="131"/>
      <c r="D488" s="131"/>
      <c r="E488" s="131"/>
      <c r="F488" s="131"/>
    </row>
    <row r="489">
      <c r="A489" s="131"/>
      <c r="B489" s="131"/>
      <c r="C489" s="131"/>
      <c r="D489" s="131"/>
      <c r="E489" s="131"/>
      <c r="F489" s="131"/>
    </row>
    <row r="490">
      <c r="A490" s="131"/>
      <c r="B490" s="131"/>
      <c r="C490" s="131"/>
      <c r="D490" s="131"/>
      <c r="E490" s="131"/>
      <c r="F490" s="131"/>
    </row>
    <row r="491">
      <c r="A491" s="131"/>
      <c r="B491" s="131"/>
      <c r="C491" s="131"/>
      <c r="D491" s="131"/>
      <c r="E491" s="131"/>
      <c r="F491" s="131"/>
    </row>
    <row r="492">
      <c r="A492" s="131"/>
      <c r="B492" s="131"/>
      <c r="C492" s="131"/>
      <c r="D492" s="131"/>
      <c r="E492" s="131"/>
      <c r="F492" s="131"/>
    </row>
    <row r="493">
      <c r="A493" s="131"/>
      <c r="B493" s="131"/>
      <c r="C493" s="131"/>
      <c r="D493" s="131"/>
      <c r="E493" s="131"/>
      <c r="F493" s="131"/>
    </row>
    <row r="494">
      <c r="A494" s="131"/>
      <c r="B494" s="131"/>
      <c r="C494" s="131"/>
      <c r="D494" s="131"/>
      <c r="E494" s="131"/>
      <c r="F494" s="131"/>
    </row>
    <row r="495">
      <c r="A495" s="131"/>
      <c r="B495" s="131"/>
      <c r="C495" s="131"/>
      <c r="D495" s="131"/>
      <c r="E495" s="131"/>
      <c r="F495" s="131"/>
    </row>
    <row r="496">
      <c r="A496" s="131"/>
      <c r="B496" s="131"/>
      <c r="C496" s="131"/>
      <c r="D496" s="131"/>
      <c r="E496" s="131"/>
      <c r="F496" s="131"/>
    </row>
    <row r="497">
      <c r="A497" s="131"/>
      <c r="B497" s="131"/>
      <c r="C497" s="131"/>
      <c r="D497" s="131"/>
      <c r="E497" s="131"/>
      <c r="F497" s="131"/>
    </row>
    <row r="498">
      <c r="A498" s="131"/>
      <c r="B498" s="131"/>
      <c r="C498" s="131"/>
      <c r="D498" s="131"/>
      <c r="E498" s="131"/>
      <c r="F498" s="131"/>
    </row>
    <row r="499">
      <c r="A499" s="131"/>
      <c r="B499" s="131"/>
      <c r="C499" s="131"/>
      <c r="D499" s="131"/>
      <c r="E499" s="131"/>
      <c r="F499" s="131"/>
    </row>
    <row r="500">
      <c r="A500" s="86"/>
      <c r="B500" s="87"/>
      <c r="C500" s="131"/>
      <c r="D500" s="131"/>
      <c r="E500" s="131"/>
      <c r="F500" s="131"/>
      <c r="G500" s="88"/>
      <c r="L500" s="88"/>
      <c r="Q500" s="89"/>
    </row>
    <row r="501">
      <c r="A501" s="131"/>
      <c r="B501" s="131"/>
      <c r="C501" s="131"/>
      <c r="D501" s="131"/>
      <c r="E501" s="131"/>
      <c r="F501" s="131"/>
      <c r="G501" s="91"/>
      <c r="H501" s="92"/>
      <c r="I501" s="92"/>
      <c r="J501" s="93"/>
      <c r="K501" s="93"/>
      <c r="L501" s="93"/>
      <c r="M501" s="93"/>
      <c r="N501" s="93"/>
      <c r="O501" s="93"/>
      <c r="P501" s="93"/>
      <c r="Q501" s="90"/>
      <c r="R501" s="90"/>
      <c r="S501" s="90"/>
      <c r="T501" s="90"/>
      <c r="U501" s="90"/>
      <c r="V501" s="90"/>
      <c r="W501" s="90"/>
    </row>
    <row r="502">
      <c r="A502" s="131"/>
      <c r="B502" s="131"/>
      <c r="C502" s="131"/>
      <c r="D502" s="131"/>
      <c r="E502" s="94"/>
      <c r="F502" s="94"/>
    </row>
    <row r="503">
      <c r="A503" s="131"/>
      <c r="B503" s="131"/>
      <c r="C503" s="131"/>
      <c r="D503" s="131"/>
      <c r="E503" s="95"/>
      <c r="F503" s="96"/>
    </row>
    <row r="504">
      <c r="A504" s="131"/>
      <c r="B504" s="131"/>
      <c r="C504" s="131"/>
      <c r="D504" s="131"/>
      <c r="E504" s="95"/>
      <c r="F504" s="96"/>
    </row>
    <row r="505">
      <c r="A505" s="131"/>
      <c r="B505" s="131"/>
      <c r="C505" s="131"/>
      <c r="D505" s="131"/>
      <c r="E505" s="96"/>
      <c r="F505" s="96"/>
    </row>
    <row r="506">
      <c r="A506" s="131"/>
      <c r="B506" s="131"/>
      <c r="C506" s="131"/>
      <c r="D506" s="131"/>
      <c r="E506" s="96"/>
      <c r="F506" s="96"/>
    </row>
    <row r="507">
      <c r="A507" s="131"/>
      <c r="B507" s="131"/>
      <c r="C507" s="131"/>
      <c r="D507" s="131"/>
      <c r="E507" s="96"/>
      <c r="F507" s="96"/>
    </row>
    <row r="508">
      <c r="A508" s="131"/>
      <c r="B508" s="131"/>
      <c r="C508" s="131"/>
      <c r="D508" s="131"/>
      <c r="E508" s="96"/>
      <c r="F508" s="96"/>
    </row>
    <row r="509">
      <c r="A509" s="131"/>
      <c r="B509" s="131"/>
      <c r="C509" s="131"/>
      <c r="D509" s="131"/>
      <c r="E509" s="96"/>
      <c r="F509" s="96"/>
    </row>
    <row r="510">
      <c r="A510" s="131"/>
      <c r="B510" s="131"/>
      <c r="C510" s="131"/>
      <c r="D510" s="131"/>
      <c r="E510" s="96"/>
      <c r="F510" s="96"/>
    </row>
    <row r="511">
      <c r="A511" s="131"/>
      <c r="B511" s="131"/>
      <c r="C511" s="131"/>
      <c r="D511" s="131"/>
      <c r="E511" s="96"/>
      <c r="F511" s="96"/>
    </row>
    <row r="512">
      <c r="A512" s="131"/>
      <c r="B512" s="131"/>
      <c r="C512" s="131"/>
      <c r="D512" s="131"/>
      <c r="E512" s="96"/>
      <c r="F512" s="96"/>
    </row>
    <row r="513">
      <c r="A513" s="131"/>
      <c r="B513" s="131"/>
      <c r="C513" s="131"/>
      <c r="D513" s="131"/>
      <c r="E513" s="96"/>
      <c r="F513" s="96"/>
    </row>
    <row r="514">
      <c r="A514" s="131"/>
      <c r="B514" s="131"/>
      <c r="C514" s="131"/>
      <c r="D514" s="131"/>
      <c r="E514" s="96"/>
      <c r="F514" s="96"/>
    </row>
    <row r="515">
      <c r="A515" s="131"/>
      <c r="B515" s="131"/>
      <c r="C515" s="131"/>
      <c r="D515" s="131"/>
      <c r="E515" s="96"/>
      <c r="F515" s="96"/>
    </row>
    <row r="516">
      <c r="A516" s="131"/>
      <c r="B516" s="131"/>
      <c r="C516" s="131"/>
      <c r="D516" s="131"/>
      <c r="E516" s="97"/>
      <c r="F516" s="97"/>
    </row>
    <row r="517">
      <c r="A517" s="131"/>
      <c r="B517" s="131"/>
      <c r="C517" s="131"/>
      <c r="D517" s="131"/>
      <c r="E517" s="96"/>
      <c r="F517" s="96"/>
    </row>
    <row r="518">
      <c r="A518" s="131"/>
      <c r="B518" s="131"/>
      <c r="C518" s="131"/>
      <c r="D518" s="131"/>
      <c r="E518" s="96"/>
      <c r="F518" s="96"/>
    </row>
    <row r="519">
      <c r="A519" s="131"/>
      <c r="B519" s="131"/>
      <c r="C519" s="131"/>
      <c r="D519" s="131"/>
      <c r="E519" s="96"/>
      <c r="F519" s="96"/>
    </row>
    <row r="520">
      <c r="A520" s="131"/>
      <c r="B520" s="131"/>
      <c r="C520" s="131"/>
      <c r="D520" s="131"/>
      <c r="E520" s="96"/>
      <c r="F520" s="96"/>
    </row>
    <row r="521">
      <c r="A521" s="131"/>
      <c r="B521" s="131"/>
      <c r="C521" s="131"/>
      <c r="D521" s="131"/>
      <c r="E521" s="96"/>
      <c r="F521" s="96"/>
    </row>
    <row r="522">
      <c r="A522" s="131"/>
      <c r="B522" s="131"/>
      <c r="C522" s="131"/>
      <c r="D522" s="131"/>
      <c r="E522" s="96"/>
      <c r="F522" s="96"/>
    </row>
    <row r="523">
      <c r="A523" s="131"/>
      <c r="B523" s="131"/>
      <c r="C523" s="131"/>
      <c r="D523" s="131"/>
      <c r="E523" s="98"/>
      <c r="F523" s="96"/>
    </row>
    <row r="524">
      <c r="A524" s="131"/>
      <c r="B524" s="131"/>
      <c r="C524" s="131"/>
      <c r="D524" s="131"/>
      <c r="E524" s="99"/>
      <c r="F524" s="99"/>
    </row>
    <row r="525">
      <c r="A525" s="131"/>
      <c r="B525" s="131"/>
      <c r="C525" s="131"/>
      <c r="D525" s="131"/>
      <c r="E525" s="100"/>
      <c r="F525" s="100"/>
    </row>
    <row r="526">
      <c r="A526" s="131"/>
      <c r="B526" s="131"/>
      <c r="C526" s="131"/>
      <c r="D526" s="131"/>
      <c r="E526" s="100"/>
      <c r="F526" s="100"/>
    </row>
    <row r="527">
      <c r="A527" s="131"/>
      <c r="B527" s="131"/>
      <c r="C527" s="131"/>
      <c r="D527" s="131"/>
      <c r="E527" s="100"/>
      <c r="F527" s="100"/>
    </row>
    <row r="528">
      <c r="A528" s="131"/>
      <c r="B528" s="131"/>
      <c r="C528" s="131"/>
      <c r="D528" s="131"/>
      <c r="E528" s="100"/>
      <c r="F528" s="100"/>
    </row>
    <row r="529">
      <c r="A529" s="131"/>
      <c r="B529" s="131"/>
      <c r="C529" s="131"/>
      <c r="D529" s="131"/>
      <c r="E529" s="100"/>
      <c r="F529" s="100"/>
    </row>
    <row r="530">
      <c r="A530" s="131"/>
      <c r="B530" s="131"/>
      <c r="C530" s="131"/>
      <c r="D530" s="131"/>
      <c r="E530" s="100"/>
      <c r="F530" s="100"/>
    </row>
    <row r="531">
      <c r="A531" s="131"/>
      <c r="B531" s="131"/>
      <c r="C531" s="131"/>
      <c r="D531" s="131"/>
      <c r="E531" s="100"/>
      <c r="F531" s="100"/>
    </row>
    <row r="532">
      <c r="A532" s="131"/>
      <c r="B532" s="131"/>
      <c r="C532" s="131"/>
      <c r="D532" s="131"/>
      <c r="E532" s="101"/>
      <c r="F532" s="101"/>
    </row>
    <row r="533">
      <c r="A533" s="131"/>
      <c r="B533" s="131"/>
      <c r="C533" s="131"/>
      <c r="D533" s="131"/>
      <c r="E533" s="100"/>
      <c r="F533" s="100"/>
    </row>
    <row r="534">
      <c r="A534" s="131"/>
      <c r="B534" s="131"/>
      <c r="C534" s="131"/>
      <c r="D534" s="131"/>
      <c r="E534" s="100"/>
      <c r="F534" s="100"/>
    </row>
    <row r="535">
      <c r="A535" s="131"/>
      <c r="B535" s="131"/>
      <c r="C535" s="131"/>
      <c r="D535" s="131"/>
      <c r="E535" s="102"/>
      <c r="F535" s="102"/>
    </row>
    <row r="536">
      <c r="A536" s="131"/>
      <c r="B536" s="131"/>
      <c r="C536" s="131"/>
      <c r="D536" s="131"/>
      <c r="E536" s="103"/>
      <c r="F536" s="103"/>
    </row>
    <row r="537">
      <c r="A537" s="131"/>
      <c r="B537" s="131"/>
      <c r="C537" s="131"/>
      <c r="D537" s="131"/>
      <c r="E537" s="103"/>
      <c r="F537" s="103"/>
    </row>
    <row r="538">
      <c r="A538" s="131"/>
      <c r="B538" s="131"/>
      <c r="C538" s="131"/>
      <c r="D538" s="131"/>
      <c r="E538" s="102"/>
      <c r="F538" s="103"/>
    </row>
    <row r="539">
      <c r="A539" s="131"/>
      <c r="B539" s="131"/>
      <c r="C539" s="131"/>
      <c r="D539" s="131"/>
      <c r="E539" s="103"/>
      <c r="F539" s="103"/>
    </row>
    <row r="540">
      <c r="A540" s="131"/>
      <c r="B540" s="131"/>
      <c r="C540" s="131"/>
      <c r="D540" s="131"/>
      <c r="E540" s="103"/>
      <c r="F540" s="103"/>
    </row>
    <row r="541">
      <c r="A541" s="131"/>
      <c r="B541" s="131"/>
      <c r="C541" s="131"/>
      <c r="D541" s="131"/>
      <c r="E541" s="103"/>
      <c r="F541" s="103"/>
    </row>
    <row r="542">
      <c r="A542" s="131"/>
      <c r="B542" s="131"/>
      <c r="C542" s="131"/>
      <c r="D542" s="131"/>
      <c r="E542" s="103"/>
      <c r="F542" s="103"/>
    </row>
    <row r="543">
      <c r="A543" s="131"/>
      <c r="B543" s="131"/>
      <c r="C543" s="131"/>
      <c r="D543" s="131"/>
      <c r="E543" s="103"/>
      <c r="F543" s="103"/>
    </row>
    <row r="544">
      <c r="A544" s="131"/>
      <c r="B544" s="131"/>
      <c r="C544" s="131"/>
      <c r="D544" s="131"/>
      <c r="E544" s="103"/>
      <c r="F544" s="103"/>
    </row>
    <row r="545">
      <c r="A545" s="131"/>
      <c r="B545" s="131"/>
      <c r="C545" s="131"/>
      <c r="D545" s="131"/>
      <c r="E545" s="103"/>
      <c r="F545" s="103"/>
    </row>
    <row r="546">
      <c r="A546" s="131"/>
      <c r="B546" s="131"/>
      <c r="C546" s="131"/>
      <c r="D546" s="131"/>
      <c r="E546" s="103"/>
      <c r="F546" s="103"/>
    </row>
    <row r="547">
      <c r="A547" s="131"/>
      <c r="B547" s="131"/>
      <c r="C547" s="131"/>
      <c r="D547" s="131"/>
      <c r="E547" s="103"/>
      <c r="F547" s="103"/>
    </row>
    <row r="548">
      <c r="A548" s="131"/>
      <c r="B548" s="131"/>
      <c r="C548" s="131"/>
      <c r="D548" s="131"/>
      <c r="E548" s="103"/>
      <c r="F548" s="103"/>
    </row>
    <row r="549">
      <c r="A549" s="131"/>
      <c r="B549" s="131"/>
      <c r="C549" s="131"/>
      <c r="D549" s="131"/>
      <c r="E549" s="103"/>
      <c r="F549" s="103"/>
    </row>
    <row r="550">
      <c r="A550" s="131"/>
      <c r="B550" s="131"/>
      <c r="C550" s="131"/>
      <c r="D550" s="131"/>
      <c r="E550" s="103"/>
      <c r="F550" s="103"/>
    </row>
    <row r="551">
      <c r="A551" s="131"/>
      <c r="B551" s="131"/>
      <c r="C551" s="131"/>
      <c r="D551" s="131"/>
      <c r="E551" s="103"/>
      <c r="F551" s="103"/>
    </row>
    <row r="552">
      <c r="A552" s="131"/>
      <c r="B552" s="131"/>
      <c r="C552" s="131"/>
      <c r="D552" s="131"/>
      <c r="E552" s="103"/>
      <c r="F552" s="103"/>
    </row>
    <row r="553">
      <c r="A553" s="131"/>
      <c r="B553" s="131"/>
      <c r="C553" s="131"/>
      <c r="D553" s="131"/>
      <c r="E553" s="99"/>
      <c r="F553" s="99"/>
    </row>
    <row r="554">
      <c r="A554" s="131"/>
      <c r="B554" s="131"/>
      <c r="C554" s="131"/>
      <c r="D554" s="131"/>
      <c r="E554" s="100"/>
      <c r="F554" s="100"/>
    </row>
    <row r="555">
      <c r="A555" s="131"/>
      <c r="B555" s="131"/>
      <c r="C555" s="131"/>
      <c r="D555" s="131"/>
      <c r="E555" s="100"/>
      <c r="F555" s="100"/>
    </row>
    <row r="556">
      <c r="A556" s="131"/>
      <c r="B556" s="131"/>
      <c r="C556" s="131"/>
      <c r="D556" s="131"/>
      <c r="E556" s="100"/>
      <c r="F556" s="100"/>
    </row>
    <row r="557">
      <c r="A557" s="131"/>
      <c r="B557" s="131"/>
      <c r="C557" s="131"/>
      <c r="D557" s="131"/>
      <c r="E557" s="100"/>
      <c r="F557" s="100"/>
    </row>
    <row r="558">
      <c r="A558" s="131"/>
      <c r="B558" s="131"/>
      <c r="C558" s="131"/>
      <c r="D558" s="131"/>
      <c r="E558" s="100"/>
      <c r="F558" s="100"/>
    </row>
    <row r="559">
      <c r="A559" s="131"/>
      <c r="B559" s="131"/>
      <c r="C559" s="131"/>
      <c r="D559" s="131"/>
      <c r="E559" s="100"/>
      <c r="F559" s="100"/>
    </row>
    <row r="560">
      <c r="A560" s="131"/>
      <c r="B560" s="131"/>
      <c r="C560" s="131"/>
      <c r="D560" s="131"/>
      <c r="E560" s="100"/>
      <c r="F560" s="100"/>
    </row>
    <row r="561">
      <c r="A561" s="131"/>
      <c r="B561" s="131"/>
      <c r="C561" s="131"/>
      <c r="D561" s="131"/>
      <c r="E561" s="100"/>
      <c r="F561" s="100"/>
    </row>
    <row r="562">
      <c r="A562" s="131"/>
      <c r="B562" s="131"/>
      <c r="C562" s="131"/>
      <c r="D562" s="131"/>
      <c r="E562" s="100"/>
      <c r="F562" s="100"/>
    </row>
    <row r="563">
      <c r="A563" s="131"/>
      <c r="B563" s="131"/>
      <c r="C563" s="131"/>
      <c r="D563" s="131"/>
      <c r="E563" s="100"/>
      <c r="F563" s="100"/>
    </row>
    <row r="564">
      <c r="A564" s="131"/>
      <c r="B564" s="131"/>
      <c r="C564" s="131"/>
      <c r="D564" s="131"/>
      <c r="E564" s="99"/>
      <c r="F564" s="99"/>
    </row>
    <row r="565">
      <c r="A565" s="131"/>
      <c r="B565" s="131"/>
      <c r="C565" s="131"/>
      <c r="D565" s="131"/>
      <c r="E565" s="100"/>
      <c r="F565" s="100"/>
    </row>
    <row r="566">
      <c r="A566" s="131"/>
      <c r="B566" s="131"/>
      <c r="C566" s="131"/>
      <c r="D566" s="131"/>
      <c r="E566" s="100"/>
      <c r="F566" s="100"/>
    </row>
    <row r="567">
      <c r="A567" s="131"/>
      <c r="B567" s="131"/>
      <c r="C567" s="131"/>
      <c r="D567" s="131"/>
      <c r="E567" s="100"/>
      <c r="F567" s="100"/>
    </row>
    <row r="568">
      <c r="A568" s="131"/>
      <c r="B568" s="131"/>
      <c r="C568" s="131"/>
      <c r="D568" s="131"/>
      <c r="E568" s="100"/>
      <c r="F568" s="100"/>
    </row>
    <row r="569">
      <c r="A569" s="131"/>
      <c r="B569" s="131"/>
      <c r="C569" s="131"/>
      <c r="D569" s="131"/>
      <c r="E569" s="100"/>
      <c r="F569" s="100"/>
    </row>
    <row r="570">
      <c r="A570" s="131"/>
      <c r="B570" s="131"/>
      <c r="C570" s="131"/>
      <c r="D570" s="131"/>
      <c r="E570" s="100"/>
      <c r="F570" s="100"/>
    </row>
    <row r="571">
      <c r="A571" s="131"/>
      <c r="B571" s="131"/>
      <c r="C571" s="131"/>
      <c r="D571" s="131"/>
      <c r="E571" s="101"/>
      <c r="F571" s="101"/>
    </row>
    <row r="572">
      <c r="A572" s="131"/>
      <c r="B572" s="131"/>
      <c r="C572" s="131"/>
      <c r="D572" s="131"/>
      <c r="E572" s="101"/>
      <c r="F572" s="101"/>
    </row>
    <row r="573">
      <c r="A573" s="131"/>
      <c r="B573" s="131"/>
      <c r="C573" s="131"/>
      <c r="D573" s="131"/>
      <c r="E573" s="101"/>
      <c r="F573" s="101"/>
    </row>
    <row r="574">
      <c r="A574" s="131"/>
      <c r="B574" s="131"/>
      <c r="C574" s="131"/>
      <c r="D574" s="131"/>
      <c r="E574" s="101"/>
      <c r="F574" s="101"/>
    </row>
    <row r="575">
      <c r="A575" s="131"/>
      <c r="B575" s="131"/>
      <c r="C575" s="131"/>
      <c r="D575" s="131"/>
      <c r="E575" s="101"/>
      <c r="F575" s="101"/>
    </row>
    <row r="576">
      <c r="A576" s="131"/>
      <c r="B576" s="131"/>
      <c r="C576" s="131"/>
      <c r="D576" s="131"/>
      <c r="E576" s="101"/>
      <c r="F576" s="101"/>
    </row>
    <row r="577">
      <c r="A577" s="131"/>
      <c r="B577" s="131"/>
      <c r="C577" s="131"/>
      <c r="D577" s="131"/>
      <c r="E577" s="105"/>
      <c r="F577" s="105"/>
    </row>
    <row r="578">
      <c r="A578" s="131"/>
      <c r="B578" s="131"/>
      <c r="C578" s="131"/>
      <c r="D578" s="131"/>
      <c r="E578" s="106"/>
      <c r="F578" s="106"/>
    </row>
    <row r="579">
      <c r="A579" s="131"/>
      <c r="B579" s="131"/>
      <c r="C579" s="131"/>
      <c r="D579" s="131"/>
      <c r="E579" s="107"/>
      <c r="F579" s="107"/>
    </row>
    <row r="580">
      <c r="A580" s="131"/>
      <c r="B580" s="131"/>
      <c r="C580" s="131"/>
      <c r="D580" s="131"/>
      <c r="E580" s="107"/>
      <c r="F580" s="107"/>
    </row>
    <row r="581">
      <c r="A581" s="131"/>
      <c r="B581" s="131"/>
      <c r="C581" s="131"/>
      <c r="D581" s="131"/>
      <c r="E581" s="108"/>
      <c r="F581" s="108"/>
    </row>
    <row r="582">
      <c r="A582" s="131"/>
      <c r="B582" s="131"/>
      <c r="C582" s="131"/>
      <c r="D582" s="131"/>
      <c r="E582" s="107"/>
      <c r="F582" s="107"/>
    </row>
    <row r="583">
      <c r="A583" s="131"/>
      <c r="B583" s="131"/>
      <c r="C583" s="131"/>
      <c r="D583" s="131"/>
      <c r="E583" s="106"/>
      <c r="F583" s="106"/>
    </row>
    <row r="584">
      <c r="A584" s="131"/>
      <c r="B584" s="131"/>
      <c r="C584" s="131"/>
      <c r="D584" s="131"/>
      <c r="E584" s="107"/>
      <c r="F584" s="107"/>
    </row>
    <row r="585">
      <c r="A585" s="131"/>
      <c r="B585" s="131"/>
      <c r="C585" s="131"/>
      <c r="D585" s="131"/>
      <c r="E585" s="107"/>
      <c r="F585" s="107"/>
    </row>
    <row r="586">
      <c r="A586" s="131"/>
      <c r="B586" s="131"/>
      <c r="C586" s="131"/>
      <c r="D586" s="131"/>
      <c r="E586" s="107"/>
      <c r="F586" s="107"/>
    </row>
    <row r="587">
      <c r="A587" s="131"/>
      <c r="B587" s="131"/>
      <c r="C587" s="131"/>
      <c r="D587" s="131"/>
      <c r="E587" s="107"/>
      <c r="F587" s="107"/>
    </row>
    <row r="588">
      <c r="A588" s="131"/>
      <c r="B588" s="131"/>
      <c r="C588" s="131"/>
      <c r="D588" s="131"/>
      <c r="E588" s="106"/>
      <c r="F588" s="106"/>
    </row>
    <row r="589">
      <c r="A589" s="131"/>
      <c r="B589" s="131"/>
      <c r="C589" s="131"/>
      <c r="D589" s="131"/>
      <c r="E589" s="107"/>
      <c r="F589" s="107"/>
    </row>
    <row r="590">
      <c r="A590" s="131"/>
      <c r="B590" s="131"/>
      <c r="C590" s="131"/>
      <c r="D590" s="131"/>
      <c r="E590" s="109"/>
      <c r="F590" s="109"/>
    </row>
    <row r="591">
      <c r="A591" s="131"/>
      <c r="B591" s="131"/>
      <c r="C591" s="131"/>
      <c r="D591" s="131"/>
      <c r="E591" s="110"/>
      <c r="F591" s="110"/>
    </row>
    <row r="592">
      <c r="A592" s="131"/>
      <c r="B592" s="131"/>
      <c r="C592" s="131"/>
      <c r="D592" s="131"/>
      <c r="E592" s="110"/>
      <c r="F592" s="110"/>
    </row>
    <row r="593">
      <c r="A593" s="131"/>
      <c r="B593" s="131"/>
      <c r="C593" s="131"/>
      <c r="D593" s="131"/>
      <c r="E593" s="111"/>
      <c r="F593" s="111"/>
    </row>
    <row r="594">
      <c r="A594" s="131"/>
      <c r="B594" s="131"/>
      <c r="C594" s="131"/>
      <c r="D594" s="131"/>
      <c r="E594" s="112"/>
      <c r="F594" s="112"/>
    </row>
    <row r="595">
      <c r="A595" s="131"/>
      <c r="B595" s="131"/>
      <c r="C595" s="131"/>
      <c r="D595" s="131"/>
      <c r="E595" s="112"/>
      <c r="F595" s="112"/>
    </row>
    <row r="596">
      <c r="A596" s="131"/>
      <c r="B596" s="131"/>
      <c r="C596" s="131"/>
      <c r="D596" s="131"/>
      <c r="E596" s="112"/>
      <c r="F596" s="112"/>
    </row>
    <row r="597">
      <c r="A597" s="131"/>
      <c r="B597" s="131"/>
      <c r="C597" s="131"/>
      <c r="D597" s="131"/>
      <c r="E597" s="112"/>
      <c r="F597" s="112"/>
    </row>
    <row r="598">
      <c r="A598" s="131"/>
      <c r="B598" s="131"/>
      <c r="C598" s="131"/>
      <c r="D598" s="131"/>
      <c r="E598" s="113"/>
      <c r="F598" s="110"/>
    </row>
    <row r="599">
      <c r="A599" s="131"/>
      <c r="B599" s="131"/>
      <c r="C599" s="131"/>
      <c r="D599" s="131"/>
      <c r="E599" s="114"/>
      <c r="F599" s="114"/>
    </row>
    <row r="600">
      <c r="A600" s="131"/>
      <c r="B600" s="131"/>
      <c r="C600" s="131"/>
      <c r="D600" s="131"/>
      <c r="E600" s="114"/>
      <c r="F600" s="114"/>
    </row>
    <row r="601">
      <c r="A601" s="131"/>
      <c r="B601" s="131"/>
      <c r="C601" s="131"/>
      <c r="D601" s="131"/>
      <c r="E601" s="114"/>
      <c r="F601" s="114"/>
    </row>
    <row r="602">
      <c r="A602" s="131"/>
      <c r="B602" s="131"/>
      <c r="C602" s="131"/>
      <c r="D602" s="131"/>
      <c r="E602" s="114"/>
      <c r="F602" s="114"/>
    </row>
    <row r="603">
      <c r="A603" s="131"/>
      <c r="B603" s="131"/>
      <c r="C603" s="131"/>
      <c r="D603" s="131"/>
      <c r="E603" s="114"/>
      <c r="F603" s="114"/>
    </row>
    <row r="604">
      <c r="A604" s="131"/>
      <c r="B604" s="131"/>
      <c r="C604" s="131"/>
      <c r="D604" s="131"/>
      <c r="E604" s="114"/>
      <c r="F604" s="114"/>
    </row>
    <row r="605">
      <c r="A605" s="131"/>
      <c r="B605" s="131"/>
      <c r="C605" s="131"/>
      <c r="D605" s="131"/>
      <c r="E605" s="114"/>
      <c r="F605" s="114"/>
    </row>
    <row r="606">
      <c r="A606" s="131"/>
      <c r="B606" s="131"/>
      <c r="C606" s="131"/>
      <c r="D606" s="131"/>
      <c r="E606" s="114"/>
      <c r="F606" s="114"/>
    </row>
    <row r="607">
      <c r="A607" s="131"/>
      <c r="B607" s="131"/>
      <c r="C607" s="131"/>
      <c r="D607" s="131"/>
      <c r="E607" s="114"/>
      <c r="F607" s="114"/>
    </row>
    <row r="608">
      <c r="A608" s="131"/>
      <c r="B608" s="131"/>
      <c r="C608" s="131"/>
      <c r="D608" s="131"/>
      <c r="E608" s="114"/>
      <c r="F608" s="114"/>
    </row>
    <row r="609">
      <c r="A609" s="131"/>
      <c r="B609" s="131"/>
      <c r="C609" s="131"/>
      <c r="D609" s="131"/>
      <c r="E609" s="114"/>
      <c r="F609" s="114"/>
    </row>
    <row r="610">
      <c r="A610" s="131"/>
      <c r="B610" s="131"/>
      <c r="C610" s="131"/>
      <c r="D610" s="131"/>
      <c r="E610" s="114"/>
      <c r="F610" s="114"/>
    </row>
    <row r="611">
      <c r="A611" s="131"/>
      <c r="B611" s="131"/>
      <c r="C611" s="131"/>
      <c r="D611" s="131"/>
      <c r="E611" s="114"/>
      <c r="F611" s="114"/>
    </row>
    <row r="612">
      <c r="A612" s="131"/>
      <c r="B612" s="131"/>
      <c r="C612" s="131"/>
      <c r="D612" s="131"/>
      <c r="E612" s="114"/>
      <c r="F612" s="114"/>
    </row>
    <row r="613">
      <c r="A613" s="131"/>
      <c r="B613" s="131"/>
      <c r="C613" s="131"/>
      <c r="D613" s="131"/>
      <c r="E613" s="114"/>
      <c r="F613" s="114"/>
    </row>
    <row r="614">
      <c r="A614" s="131"/>
      <c r="B614" s="131"/>
      <c r="C614" s="131"/>
      <c r="D614" s="131"/>
      <c r="E614" s="114"/>
      <c r="F614" s="114"/>
    </row>
    <row r="615">
      <c r="A615" s="131"/>
      <c r="B615" s="131"/>
      <c r="C615" s="131"/>
      <c r="D615" s="131"/>
      <c r="E615" s="114"/>
      <c r="F615" s="114"/>
    </row>
    <row r="616">
      <c r="A616" s="131"/>
      <c r="B616" s="131"/>
      <c r="C616" s="131"/>
      <c r="D616" s="131"/>
      <c r="E616" s="114"/>
      <c r="F616" s="114"/>
    </row>
    <row r="617">
      <c r="A617" s="131"/>
      <c r="B617" s="131"/>
      <c r="C617" s="131"/>
      <c r="D617" s="131"/>
      <c r="E617" s="114"/>
      <c r="F617" s="114"/>
    </row>
    <row r="618">
      <c r="A618" s="131"/>
      <c r="B618" s="131"/>
      <c r="C618" s="131"/>
      <c r="D618" s="131"/>
      <c r="E618" s="114"/>
      <c r="F618" s="114"/>
    </row>
    <row r="619">
      <c r="A619" s="131"/>
      <c r="B619" s="131"/>
      <c r="C619" s="131"/>
      <c r="D619" s="131"/>
      <c r="E619" s="131"/>
      <c r="F619" s="131"/>
    </row>
    <row r="620">
      <c r="A620" s="131"/>
      <c r="B620" s="131"/>
      <c r="C620" s="131"/>
      <c r="D620" s="131"/>
      <c r="E620" s="105"/>
      <c r="F620" s="105"/>
    </row>
    <row r="621">
      <c r="A621" s="131"/>
      <c r="B621" s="131"/>
      <c r="C621" s="131"/>
      <c r="D621" s="131"/>
      <c r="E621" s="115"/>
      <c r="F621" s="107"/>
    </row>
    <row r="622">
      <c r="A622" s="131"/>
      <c r="B622" s="131"/>
      <c r="C622" s="131"/>
      <c r="D622" s="131"/>
      <c r="E622" s="107"/>
      <c r="F622" s="107"/>
    </row>
    <row r="623">
      <c r="A623" s="131"/>
      <c r="B623" s="131"/>
      <c r="C623" s="131"/>
      <c r="D623" s="131"/>
      <c r="E623" s="116"/>
      <c r="F623" s="107"/>
    </row>
    <row r="624">
      <c r="A624" s="131"/>
      <c r="B624" s="131"/>
      <c r="C624" s="131"/>
      <c r="D624" s="131"/>
      <c r="E624" s="107"/>
      <c r="F624" s="107"/>
    </row>
    <row r="625">
      <c r="A625" s="131"/>
      <c r="B625" s="131"/>
      <c r="C625" s="131"/>
      <c r="D625" s="131"/>
      <c r="E625" s="107"/>
      <c r="F625" s="107"/>
    </row>
    <row r="626">
      <c r="A626" s="131"/>
      <c r="B626" s="131"/>
      <c r="C626" s="131"/>
      <c r="D626" s="131"/>
      <c r="E626" s="107"/>
      <c r="F626" s="107"/>
    </row>
    <row r="627">
      <c r="A627" s="131"/>
      <c r="B627" s="131"/>
      <c r="C627" s="131"/>
      <c r="D627" s="131"/>
      <c r="E627" s="107"/>
      <c r="F627" s="107"/>
    </row>
    <row r="628">
      <c r="A628" s="131"/>
      <c r="B628" s="131"/>
      <c r="C628" s="131"/>
      <c r="D628" s="131"/>
      <c r="E628" s="107"/>
      <c r="F628" s="107"/>
    </row>
    <row r="629">
      <c r="A629" s="131"/>
      <c r="B629" s="131"/>
      <c r="C629" s="131"/>
      <c r="D629" s="131"/>
      <c r="E629" s="107"/>
      <c r="F629" s="107"/>
    </row>
    <row r="630">
      <c r="A630" s="131"/>
      <c r="B630" s="131"/>
      <c r="C630" s="131"/>
      <c r="D630" s="131"/>
      <c r="E630" s="107"/>
      <c r="F630" s="107"/>
    </row>
    <row r="631">
      <c r="A631" s="131"/>
      <c r="B631" s="131"/>
      <c r="C631" s="131"/>
      <c r="D631" s="131"/>
      <c r="E631" s="107"/>
      <c r="F631" s="107"/>
    </row>
    <row r="632">
      <c r="A632" s="131"/>
      <c r="B632" s="131"/>
      <c r="C632" s="131"/>
      <c r="D632" s="131"/>
      <c r="E632" s="107"/>
      <c r="F632" s="107"/>
    </row>
    <row r="633">
      <c r="A633" s="131"/>
      <c r="B633" s="131"/>
      <c r="C633" s="131"/>
      <c r="D633" s="131"/>
      <c r="E633" s="107"/>
      <c r="F633" s="107"/>
    </row>
    <row r="634">
      <c r="A634" s="131"/>
      <c r="B634" s="131"/>
      <c r="C634" s="131"/>
      <c r="D634" s="131"/>
      <c r="E634" s="107"/>
      <c r="F634" s="107"/>
    </row>
    <row r="635">
      <c r="A635" s="131"/>
      <c r="B635" s="131"/>
      <c r="C635" s="131"/>
      <c r="D635" s="131"/>
      <c r="E635" s="107"/>
      <c r="F635" s="107"/>
    </row>
    <row r="636">
      <c r="A636" s="131"/>
      <c r="B636" s="131"/>
      <c r="C636" s="131"/>
      <c r="D636" s="131"/>
      <c r="E636" s="107"/>
      <c r="F636" s="107"/>
    </row>
    <row r="637">
      <c r="A637" s="131"/>
      <c r="B637" s="131"/>
      <c r="C637" s="131"/>
      <c r="D637" s="131"/>
      <c r="E637" s="107"/>
      <c r="F637" s="107"/>
    </row>
    <row r="638">
      <c r="A638" s="131"/>
      <c r="B638" s="131"/>
      <c r="C638" s="131"/>
      <c r="D638" s="131"/>
      <c r="E638" s="98"/>
      <c r="F638" s="107"/>
    </row>
    <row r="639">
      <c r="A639" s="131"/>
      <c r="B639" s="131"/>
      <c r="C639" s="131"/>
      <c r="D639" s="131"/>
      <c r="E639" s="131"/>
      <c r="F639" s="131"/>
    </row>
    <row r="640">
      <c r="A640" s="131"/>
      <c r="B640" s="131"/>
      <c r="C640" s="131"/>
      <c r="D640" s="131"/>
      <c r="E640" s="105"/>
      <c r="F640" s="105"/>
    </row>
    <row r="641">
      <c r="A641" s="131"/>
      <c r="B641" s="131"/>
      <c r="C641" s="131"/>
      <c r="D641" s="131"/>
      <c r="E641" s="109"/>
      <c r="F641" s="109"/>
    </row>
    <row r="642">
      <c r="A642" s="131"/>
      <c r="B642" s="131"/>
      <c r="C642" s="131"/>
      <c r="D642" s="131"/>
      <c r="E642" s="109"/>
      <c r="F642" s="109"/>
    </row>
    <row r="643">
      <c r="A643" s="131"/>
      <c r="B643" s="131"/>
      <c r="C643" s="131"/>
      <c r="D643" s="131"/>
      <c r="E643" s="109"/>
      <c r="F643" s="109"/>
    </row>
    <row r="644">
      <c r="A644" s="131"/>
      <c r="B644" s="131"/>
      <c r="C644" s="131"/>
      <c r="D644" s="131"/>
      <c r="E644" s="109"/>
      <c r="F644" s="109"/>
    </row>
    <row r="645">
      <c r="A645" s="131"/>
      <c r="B645" s="131"/>
      <c r="C645" s="131"/>
      <c r="D645" s="131"/>
      <c r="E645" s="109"/>
      <c r="F645" s="109"/>
    </row>
    <row r="646">
      <c r="A646" s="131"/>
      <c r="B646" s="131"/>
      <c r="C646" s="131"/>
      <c r="D646" s="131"/>
      <c r="E646" s="109"/>
      <c r="F646" s="109"/>
    </row>
    <row r="647">
      <c r="A647" s="131"/>
      <c r="B647" s="131"/>
      <c r="C647" s="131"/>
      <c r="D647" s="131"/>
      <c r="E647" s="109"/>
      <c r="F647" s="109"/>
    </row>
    <row r="648">
      <c r="A648" s="131"/>
      <c r="B648" s="131"/>
      <c r="C648" s="131"/>
      <c r="D648" s="131"/>
      <c r="E648" s="109"/>
      <c r="F648" s="109"/>
    </row>
    <row r="649">
      <c r="A649" s="131"/>
      <c r="B649" s="131"/>
      <c r="C649" s="131"/>
      <c r="D649" s="131"/>
      <c r="E649" s="109"/>
      <c r="F649" s="109"/>
    </row>
    <row r="650">
      <c r="A650" s="131"/>
      <c r="B650" s="131"/>
      <c r="C650" s="131"/>
      <c r="D650" s="131"/>
      <c r="E650" s="109"/>
      <c r="F650" s="109"/>
    </row>
    <row r="651">
      <c r="A651" s="131"/>
      <c r="B651" s="131"/>
      <c r="C651" s="131"/>
      <c r="D651" s="131"/>
      <c r="E651" s="109"/>
      <c r="F651" s="109"/>
    </row>
    <row r="652">
      <c r="A652" s="131"/>
      <c r="B652" s="131"/>
      <c r="C652" s="131"/>
      <c r="D652" s="131"/>
      <c r="E652" s="109"/>
      <c r="F652" s="109"/>
    </row>
    <row r="653">
      <c r="A653" s="131"/>
      <c r="B653" s="131"/>
      <c r="C653" s="131"/>
      <c r="D653" s="131"/>
      <c r="E653" s="109"/>
      <c r="F653" s="109"/>
    </row>
    <row r="654">
      <c r="A654" s="131"/>
      <c r="B654" s="131"/>
      <c r="C654" s="131"/>
      <c r="D654" s="131"/>
      <c r="E654" s="109"/>
      <c r="F654" s="109"/>
    </row>
    <row r="655">
      <c r="A655" s="131"/>
      <c r="B655" s="131"/>
      <c r="C655" s="131"/>
      <c r="D655" s="131"/>
      <c r="E655" s="109"/>
      <c r="F655" s="109"/>
    </row>
    <row r="656">
      <c r="A656" s="131"/>
      <c r="B656" s="131"/>
      <c r="C656" s="131"/>
      <c r="D656" s="131"/>
      <c r="E656" s="109"/>
      <c r="F656" s="109"/>
    </row>
    <row r="657">
      <c r="A657" s="131"/>
      <c r="B657" s="131"/>
      <c r="C657" s="131"/>
      <c r="D657" s="131"/>
      <c r="E657" s="109"/>
      <c r="F657" s="109"/>
    </row>
    <row r="658">
      <c r="A658" s="131"/>
      <c r="B658" s="131"/>
      <c r="C658" s="131"/>
      <c r="D658" s="131"/>
      <c r="E658" s="109"/>
      <c r="F658" s="109"/>
    </row>
    <row r="659">
      <c r="A659" s="131"/>
      <c r="B659" s="131"/>
      <c r="C659" s="131"/>
      <c r="D659" s="131"/>
      <c r="E659" s="109"/>
      <c r="F659" s="109"/>
    </row>
    <row r="660">
      <c r="A660" s="131"/>
      <c r="B660" s="131"/>
      <c r="C660" s="131"/>
      <c r="D660" s="131"/>
      <c r="E660" s="109"/>
      <c r="F660" s="109"/>
    </row>
    <row r="661">
      <c r="A661" s="131"/>
      <c r="B661" s="131"/>
      <c r="C661" s="131"/>
      <c r="D661" s="131"/>
      <c r="E661" s="109"/>
      <c r="F661" s="109"/>
    </row>
    <row r="662">
      <c r="A662" s="131"/>
      <c r="B662" s="131"/>
      <c r="C662" s="131"/>
      <c r="D662" s="131"/>
      <c r="E662" s="109"/>
      <c r="F662" s="109"/>
    </row>
    <row r="663">
      <c r="A663" s="131"/>
      <c r="B663" s="131"/>
      <c r="C663" s="131"/>
      <c r="D663" s="131"/>
      <c r="E663" s="109"/>
      <c r="F663" s="109"/>
    </row>
    <row r="664">
      <c r="A664" s="131"/>
      <c r="B664" s="131"/>
      <c r="C664" s="131"/>
      <c r="D664" s="131"/>
      <c r="E664" s="109"/>
      <c r="F664" s="109"/>
    </row>
    <row r="665">
      <c r="A665" s="131"/>
      <c r="B665" s="131"/>
      <c r="C665" s="131"/>
      <c r="D665" s="131"/>
      <c r="E665" s="109"/>
      <c r="F665" s="109"/>
    </row>
    <row r="666">
      <c r="A666" s="131"/>
      <c r="B666" s="131"/>
      <c r="C666" s="131"/>
      <c r="D666" s="131"/>
      <c r="E666" s="131"/>
      <c r="F666" s="131"/>
    </row>
    <row r="667">
      <c r="A667" s="131"/>
      <c r="B667" s="131"/>
      <c r="C667" s="131"/>
      <c r="D667" s="131"/>
      <c r="E667" s="105"/>
      <c r="F667" s="105"/>
    </row>
    <row r="668">
      <c r="A668" s="131"/>
      <c r="B668" s="131"/>
      <c r="C668" s="131"/>
      <c r="D668" s="131"/>
      <c r="E668" s="107"/>
      <c r="F668" s="107"/>
    </row>
    <row r="669">
      <c r="A669" s="131"/>
      <c r="B669" s="131"/>
      <c r="C669" s="131"/>
      <c r="D669" s="131"/>
      <c r="E669" s="107"/>
      <c r="F669" s="107"/>
    </row>
    <row r="670">
      <c r="A670" s="131"/>
      <c r="B670" s="131"/>
      <c r="C670" s="131"/>
      <c r="D670" s="131"/>
      <c r="E670" s="107"/>
      <c r="F670" s="107"/>
    </row>
    <row r="671">
      <c r="A671" s="131"/>
      <c r="B671" s="131"/>
      <c r="C671" s="131"/>
      <c r="D671" s="131"/>
      <c r="E671" s="107"/>
      <c r="F671" s="107"/>
    </row>
    <row r="672">
      <c r="A672" s="131"/>
      <c r="B672" s="131"/>
      <c r="C672" s="131"/>
      <c r="D672" s="131"/>
      <c r="E672" s="107"/>
      <c r="F672" s="107"/>
    </row>
    <row r="673">
      <c r="A673" s="131"/>
      <c r="B673" s="131"/>
      <c r="C673" s="131"/>
      <c r="D673" s="131"/>
      <c r="E673" s="107"/>
      <c r="F673" s="107"/>
    </row>
    <row r="674">
      <c r="A674" s="131"/>
      <c r="B674" s="131"/>
      <c r="C674" s="131"/>
      <c r="D674" s="131"/>
      <c r="E674" s="107"/>
      <c r="F674" s="107"/>
    </row>
    <row r="675">
      <c r="A675" s="131"/>
      <c r="B675" s="131"/>
      <c r="C675" s="131"/>
      <c r="D675" s="131"/>
      <c r="E675" s="107"/>
      <c r="F675" s="107"/>
    </row>
    <row r="676">
      <c r="A676" s="131"/>
      <c r="B676" s="131"/>
      <c r="C676" s="131"/>
      <c r="D676" s="131"/>
      <c r="E676" s="107"/>
      <c r="F676" s="107"/>
    </row>
    <row r="677">
      <c r="A677" s="131"/>
      <c r="B677" s="131"/>
      <c r="C677" s="131"/>
      <c r="D677" s="131"/>
      <c r="E677" s="107"/>
      <c r="F677" s="107"/>
    </row>
    <row r="678">
      <c r="A678" s="131"/>
      <c r="B678" s="131"/>
      <c r="C678" s="131"/>
      <c r="D678" s="131"/>
      <c r="E678" s="107"/>
      <c r="F678" s="107"/>
    </row>
    <row r="679">
      <c r="A679" s="131"/>
      <c r="B679" s="131"/>
      <c r="C679" s="131"/>
      <c r="D679" s="131"/>
      <c r="E679" s="107"/>
      <c r="F679" s="107"/>
    </row>
    <row r="680">
      <c r="A680" s="131"/>
      <c r="B680" s="131"/>
      <c r="C680" s="131"/>
      <c r="D680" s="131"/>
      <c r="E680" s="107"/>
      <c r="F680" s="107"/>
    </row>
    <row r="681">
      <c r="A681" s="131"/>
      <c r="B681" s="131"/>
      <c r="C681" s="131"/>
      <c r="D681" s="131"/>
      <c r="E681" s="107"/>
      <c r="F681" s="107"/>
    </row>
    <row r="682">
      <c r="A682" s="131"/>
      <c r="B682" s="131"/>
      <c r="C682" s="131"/>
      <c r="D682" s="131"/>
      <c r="E682" s="107"/>
      <c r="F682" s="107"/>
    </row>
    <row r="683">
      <c r="A683" s="131"/>
      <c r="B683" s="131"/>
      <c r="C683" s="131"/>
      <c r="D683" s="131"/>
      <c r="E683" s="107"/>
      <c r="F683" s="107"/>
    </row>
    <row r="684">
      <c r="A684" s="131"/>
      <c r="B684" s="131"/>
      <c r="C684" s="131"/>
      <c r="D684" s="131"/>
      <c r="E684" s="107"/>
      <c r="F684" s="107"/>
    </row>
    <row r="685">
      <c r="A685" s="131"/>
      <c r="B685" s="131"/>
      <c r="C685" s="131"/>
      <c r="D685" s="131"/>
      <c r="E685" s="107"/>
      <c r="F685" s="107"/>
    </row>
    <row r="686">
      <c r="A686" s="131"/>
      <c r="B686" s="131"/>
      <c r="C686" s="131"/>
      <c r="D686" s="131"/>
      <c r="E686" s="107"/>
      <c r="F686" s="107"/>
    </row>
    <row r="687">
      <c r="A687" s="131"/>
      <c r="B687" s="131"/>
      <c r="C687" s="131"/>
      <c r="D687" s="131"/>
      <c r="E687" s="107"/>
      <c r="F687" s="107"/>
    </row>
    <row r="688">
      <c r="A688" s="131"/>
      <c r="B688" s="131"/>
      <c r="C688" s="131"/>
      <c r="D688" s="131"/>
      <c r="E688" s="107"/>
      <c r="F688" s="107"/>
    </row>
    <row r="689">
      <c r="A689" s="131"/>
      <c r="B689" s="131"/>
      <c r="C689" s="131"/>
      <c r="D689" s="131"/>
      <c r="E689" s="107"/>
      <c r="F689" s="107"/>
    </row>
    <row r="690">
      <c r="A690" s="131"/>
      <c r="B690" s="131"/>
      <c r="C690" s="131"/>
      <c r="D690" s="131"/>
      <c r="E690" s="107"/>
      <c r="F690" s="107"/>
    </row>
    <row r="691">
      <c r="A691" s="131"/>
      <c r="B691" s="131"/>
      <c r="C691" s="131"/>
      <c r="D691" s="131"/>
      <c r="E691" s="107"/>
      <c r="F691" s="107"/>
    </row>
    <row r="692">
      <c r="A692" s="131"/>
      <c r="B692" s="131"/>
      <c r="C692" s="131"/>
      <c r="D692" s="131"/>
      <c r="E692" s="107"/>
      <c r="F692" s="107"/>
    </row>
    <row r="693">
      <c r="A693" s="131"/>
      <c r="B693" s="131"/>
      <c r="C693" s="131"/>
      <c r="D693" s="131"/>
      <c r="E693" s="107"/>
      <c r="F693" s="107"/>
    </row>
    <row r="694">
      <c r="A694" s="131"/>
      <c r="B694" s="131"/>
      <c r="C694" s="131"/>
      <c r="D694" s="131"/>
      <c r="E694" s="107"/>
      <c r="F694" s="107"/>
    </row>
    <row r="695">
      <c r="A695" s="131"/>
      <c r="B695" s="131"/>
      <c r="C695" s="131"/>
      <c r="D695" s="131"/>
      <c r="E695" s="107"/>
      <c r="F695" s="107"/>
    </row>
    <row r="696">
      <c r="A696" s="131"/>
      <c r="B696" s="131"/>
      <c r="C696" s="131"/>
      <c r="D696" s="131"/>
      <c r="E696" s="107"/>
      <c r="F696" s="107"/>
    </row>
    <row r="697">
      <c r="A697" s="131"/>
      <c r="B697" s="131"/>
      <c r="C697" s="131"/>
      <c r="D697" s="131"/>
      <c r="E697" s="107"/>
      <c r="F697" s="107"/>
    </row>
    <row r="698">
      <c r="A698" s="131"/>
      <c r="B698" s="131"/>
      <c r="C698" s="131"/>
      <c r="D698" s="131"/>
      <c r="E698" s="107"/>
      <c r="F698" s="107"/>
    </row>
    <row r="699">
      <c r="A699" s="131"/>
      <c r="B699" s="131"/>
      <c r="C699" s="131"/>
      <c r="D699" s="131"/>
      <c r="E699" s="107"/>
      <c r="F699" s="107"/>
    </row>
    <row r="700">
      <c r="A700" s="131"/>
      <c r="B700" s="131"/>
      <c r="C700" s="131"/>
      <c r="D700" s="131"/>
      <c r="E700" s="107"/>
      <c r="F700" s="107"/>
    </row>
    <row r="701">
      <c r="A701" s="131"/>
      <c r="B701" s="131"/>
      <c r="C701" s="131"/>
      <c r="D701" s="131"/>
      <c r="E701" s="107"/>
      <c r="F701" s="107"/>
    </row>
    <row r="702">
      <c r="A702" s="131"/>
      <c r="B702" s="131"/>
      <c r="C702" s="131"/>
      <c r="D702" s="131"/>
      <c r="E702" s="107"/>
      <c r="F702" s="107"/>
    </row>
    <row r="703">
      <c r="A703" s="131"/>
      <c r="B703" s="131"/>
      <c r="C703" s="131"/>
      <c r="D703" s="131"/>
      <c r="E703" s="107"/>
      <c r="F703" s="107"/>
    </row>
    <row r="704">
      <c r="A704" s="131"/>
      <c r="B704" s="131"/>
      <c r="C704" s="131"/>
      <c r="D704" s="131"/>
      <c r="E704" s="116"/>
      <c r="F704" s="107"/>
    </row>
    <row r="705">
      <c r="A705" s="131"/>
      <c r="B705" s="131"/>
      <c r="C705" s="131"/>
      <c r="D705" s="131"/>
      <c r="E705" s="107"/>
      <c r="F705" s="107"/>
    </row>
    <row r="706">
      <c r="A706" s="131"/>
      <c r="B706" s="131"/>
      <c r="C706" s="131"/>
      <c r="D706" s="131"/>
      <c r="E706" s="107"/>
      <c r="F706" s="107"/>
    </row>
    <row r="707">
      <c r="A707" s="131"/>
      <c r="B707" s="131"/>
      <c r="C707" s="131"/>
      <c r="D707" s="131"/>
      <c r="E707" s="107"/>
      <c r="F707" s="107"/>
    </row>
    <row r="708">
      <c r="A708" s="131"/>
      <c r="B708" s="131"/>
      <c r="C708" s="131"/>
      <c r="D708" s="131"/>
      <c r="E708" s="107"/>
      <c r="F708" s="107"/>
    </row>
    <row r="709">
      <c r="A709" s="131"/>
      <c r="B709" s="131"/>
      <c r="C709" s="131"/>
      <c r="D709" s="131"/>
      <c r="E709" s="118"/>
      <c r="F709" s="107"/>
    </row>
    <row r="710">
      <c r="A710" s="131"/>
      <c r="B710" s="131"/>
      <c r="C710" s="131"/>
      <c r="D710" s="131"/>
      <c r="E710" s="118"/>
      <c r="F710" s="107"/>
    </row>
    <row r="711">
      <c r="A711" s="131"/>
      <c r="B711" s="131"/>
      <c r="C711" s="131"/>
      <c r="D711" s="131"/>
      <c r="E711" s="118"/>
      <c r="F711" s="107"/>
    </row>
    <row r="712">
      <c r="A712" s="131"/>
      <c r="B712" s="131"/>
      <c r="C712" s="131"/>
      <c r="D712" s="131"/>
      <c r="E712" s="118"/>
      <c r="F712" s="107"/>
    </row>
    <row r="713">
      <c r="A713" s="131"/>
      <c r="B713" s="131"/>
      <c r="C713" s="131"/>
      <c r="D713" s="131"/>
      <c r="E713" s="119"/>
      <c r="F713" s="119"/>
    </row>
    <row r="714">
      <c r="A714" s="131"/>
      <c r="B714" s="131"/>
      <c r="C714" s="131"/>
      <c r="D714" s="131"/>
      <c r="E714" s="107"/>
      <c r="F714" s="107"/>
    </row>
    <row r="715">
      <c r="A715" s="131"/>
      <c r="B715" s="131"/>
      <c r="C715" s="131"/>
      <c r="D715" s="131"/>
      <c r="E715" s="107"/>
      <c r="F715" s="107"/>
    </row>
    <row r="716">
      <c r="A716" s="131"/>
      <c r="B716" s="131"/>
      <c r="C716" s="131"/>
      <c r="D716" s="131"/>
      <c r="E716" s="107"/>
      <c r="F716" s="107"/>
    </row>
    <row r="717">
      <c r="A717" s="131"/>
      <c r="B717" s="131"/>
      <c r="C717" s="131"/>
      <c r="D717" s="131"/>
      <c r="E717" s="107"/>
      <c r="F717" s="107"/>
    </row>
    <row r="718">
      <c r="A718" s="131"/>
      <c r="B718" s="131"/>
      <c r="C718" s="131"/>
      <c r="D718" s="131"/>
      <c r="E718" s="107"/>
      <c r="F718" s="107"/>
    </row>
    <row r="719">
      <c r="A719" s="131"/>
      <c r="B719" s="131"/>
      <c r="C719" s="131"/>
      <c r="D719" s="131"/>
      <c r="E719" s="107"/>
      <c r="F719" s="107"/>
    </row>
    <row r="720">
      <c r="A720" s="131"/>
      <c r="B720" s="131"/>
      <c r="C720" s="131"/>
      <c r="D720" s="131"/>
      <c r="E720" s="107"/>
      <c r="F720" s="107"/>
    </row>
    <row r="721">
      <c r="A721" s="131"/>
      <c r="B721" s="131"/>
      <c r="C721" s="131"/>
      <c r="D721" s="131"/>
      <c r="E721" s="107"/>
      <c r="F721" s="107"/>
    </row>
    <row r="722">
      <c r="A722" s="131"/>
      <c r="B722" s="131"/>
      <c r="C722" s="131"/>
      <c r="D722" s="131"/>
      <c r="E722" s="107"/>
      <c r="F722" s="107"/>
    </row>
    <row r="723">
      <c r="A723" s="131"/>
      <c r="B723" s="131"/>
      <c r="C723" s="131"/>
      <c r="D723" s="131"/>
      <c r="E723" s="107"/>
      <c r="F723" s="107"/>
    </row>
    <row r="724">
      <c r="A724" s="131"/>
      <c r="B724" s="131"/>
      <c r="C724" s="131"/>
      <c r="D724" s="131"/>
      <c r="E724" s="107"/>
      <c r="F724" s="107"/>
    </row>
    <row r="725">
      <c r="A725" s="131"/>
      <c r="B725" s="131"/>
      <c r="C725" s="131"/>
      <c r="D725" s="131"/>
      <c r="E725" s="107"/>
      <c r="F725" s="107"/>
    </row>
    <row r="726">
      <c r="A726" s="131"/>
      <c r="B726" s="131"/>
      <c r="C726" s="131"/>
      <c r="D726" s="131"/>
      <c r="E726" s="107"/>
      <c r="F726" s="107"/>
    </row>
    <row r="727">
      <c r="A727" s="131"/>
      <c r="B727" s="131"/>
      <c r="C727" s="131"/>
      <c r="D727" s="131"/>
      <c r="E727" s="107"/>
      <c r="F727" s="107"/>
    </row>
    <row r="728">
      <c r="A728" s="131"/>
      <c r="B728" s="131"/>
      <c r="C728" s="131"/>
      <c r="D728" s="131"/>
      <c r="E728" s="107"/>
      <c r="F728" s="115"/>
    </row>
    <row r="729">
      <c r="A729" s="131"/>
      <c r="B729" s="131"/>
      <c r="C729" s="131"/>
      <c r="D729" s="131"/>
      <c r="E729" s="107"/>
      <c r="F729" s="107"/>
    </row>
    <row r="730">
      <c r="A730" s="131"/>
      <c r="B730" s="131"/>
      <c r="C730" s="131"/>
      <c r="D730" s="131"/>
      <c r="E730" s="131"/>
      <c r="F730" s="131"/>
    </row>
    <row r="731">
      <c r="A731" s="131"/>
      <c r="B731" s="131"/>
      <c r="C731" s="131"/>
      <c r="D731" s="131"/>
      <c r="E731" s="131"/>
      <c r="F731" s="131"/>
    </row>
    <row r="732">
      <c r="A732" s="131"/>
      <c r="B732" s="131"/>
      <c r="C732" s="131"/>
      <c r="D732" s="131"/>
      <c r="E732" s="131"/>
      <c r="F732" s="131"/>
    </row>
    <row r="733">
      <c r="A733" s="131"/>
      <c r="B733" s="131"/>
      <c r="C733" s="131"/>
      <c r="D733" s="131"/>
      <c r="E733" s="131"/>
      <c r="F733" s="131"/>
    </row>
    <row r="734">
      <c r="A734" s="131"/>
      <c r="B734" s="131"/>
      <c r="C734" s="131"/>
      <c r="D734" s="131"/>
      <c r="E734" s="131"/>
      <c r="F734" s="131"/>
    </row>
    <row r="735">
      <c r="A735" s="131"/>
      <c r="B735" s="131"/>
      <c r="C735" s="131"/>
      <c r="D735" s="131"/>
      <c r="E735" s="131"/>
      <c r="F735" s="131"/>
    </row>
    <row r="736">
      <c r="A736" s="131"/>
      <c r="B736" s="131"/>
      <c r="C736" s="131"/>
      <c r="D736" s="131"/>
      <c r="E736" s="131"/>
      <c r="F736" s="131"/>
    </row>
    <row r="737">
      <c r="A737" s="131"/>
      <c r="B737" s="131"/>
      <c r="C737" s="131"/>
      <c r="D737" s="131"/>
      <c r="E737" s="131"/>
      <c r="F737" s="131"/>
    </row>
    <row r="738">
      <c r="A738" s="131"/>
      <c r="B738" s="131"/>
      <c r="C738" s="131"/>
      <c r="D738" s="131"/>
      <c r="E738" s="131"/>
      <c r="F738" s="131"/>
    </row>
    <row r="739">
      <c r="A739" s="131"/>
      <c r="B739" s="131"/>
      <c r="C739" s="131"/>
      <c r="D739" s="131"/>
      <c r="E739" s="131"/>
      <c r="F739" s="131"/>
    </row>
    <row r="740">
      <c r="A740" s="131"/>
      <c r="B740" s="131"/>
      <c r="C740" s="131"/>
      <c r="D740" s="131"/>
      <c r="E740" s="131"/>
      <c r="F740" s="131"/>
    </row>
    <row r="741">
      <c r="A741" s="131"/>
      <c r="B741" s="131"/>
      <c r="C741" s="131"/>
      <c r="D741" s="131"/>
      <c r="E741" s="131"/>
      <c r="F741" s="131"/>
    </row>
    <row r="742">
      <c r="A742" s="131"/>
      <c r="B742" s="131"/>
      <c r="C742" s="131"/>
      <c r="D742" s="131"/>
      <c r="E742" s="131"/>
      <c r="F742" s="131"/>
    </row>
    <row r="743">
      <c r="A743" s="131"/>
      <c r="B743" s="131"/>
      <c r="C743" s="131"/>
      <c r="D743" s="131"/>
      <c r="E743" s="131"/>
      <c r="F743" s="131"/>
    </row>
    <row r="744">
      <c r="A744" s="131"/>
      <c r="B744" s="131"/>
      <c r="C744" s="131"/>
      <c r="D744" s="131"/>
      <c r="E744" s="131"/>
      <c r="F744" s="131"/>
    </row>
    <row r="745">
      <c r="A745" s="131"/>
      <c r="B745" s="131"/>
      <c r="C745" s="131"/>
      <c r="D745" s="131"/>
      <c r="E745" s="131"/>
      <c r="F745" s="131"/>
    </row>
    <row r="746">
      <c r="A746" s="131"/>
      <c r="B746" s="131"/>
      <c r="C746" s="131"/>
      <c r="D746" s="131"/>
      <c r="E746" s="131"/>
      <c r="F746" s="131"/>
    </row>
    <row r="747">
      <c r="A747" s="131"/>
      <c r="B747" s="131"/>
      <c r="C747" s="131"/>
      <c r="D747" s="131"/>
      <c r="E747" s="131"/>
      <c r="F747" s="131"/>
    </row>
    <row r="748">
      <c r="A748" s="131"/>
      <c r="B748" s="131"/>
      <c r="C748" s="131"/>
      <c r="D748" s="131"/>
      <c r="E748" s="131"/>
      <c r="F748" s="131"/>
    </row>
    <row r="749">
      <c r="A749" s="131"/>
      <c r="B749" s="131"/>
      <c r="C749" s="131"/>
      <c r="D749" s="131"/>
      <c r="E749" s="131"/>
      <c r="F749" s="131"/>
    </row>
    <row r="750">
      <c r="A750" s="131"/>
      <c r="B750" s="131"/>
      <c r="C750" s="131"/>
      <c r="D750" s="131"/>
      <c r="E750" s="110"/>
      <c r="F750" s="110"/>
    </row>
    <row r="751">
      <c r="A751" s="131"/>
      <c r="B751" s="131"/>
      <c r="C751" s="131"/>
      <c r="D751" s="131"/>
      <c r="E751" s="111"/>
      <c r="F751" s="111"/>
    </row>
    <row r="752">
      <c r="A752" s="86"/>
      <c r="B752" s="87"/>
      <c r="C752" s="131"/>
      <c r="D752" s="131"/>
      <c r="E752" s="131"/>
      <c r="F752" s="131"/>
      <c r="G752" s="88"/>
      <c r="L752" s="88"/>
      <c r="Q752" s="89"/>
    </row>
    <row r="753">
      <c r="A753" s="131"/>
      <c r="B753" s="131"/>
      <c r="C753" s="131"/>
      <c r="D753" s="131"/>
      <c r="E753" s="131"/>
      <c r="F753" s="131"/>
      <c r="G753" s="91"/>
      <c r="H753" s="92"/>
      <c r="I753" s="92"/>
      <c r="J753" s="93"/>
      <c r="K753" s="93"/>
      <c r="L753" s="93"/>
      <c r="M753" s="93"/>
      <c r="N753" s="93"/>
      <c r="O753" s="93"/>
      <c r="P753" s="93"/>
      <c r="Q753" s="90"/>
      <c r="R753" s="90"/>
      <c r="S753" s="90"/>
      <c r="T753" s="90"/>
      <c r="U753" s="90"/>
      <c r="V753" s="90"/>
      <c r="W753" s="90"/>
    </row>
    <row r="754">
      <c r="A754" s="131"/>
      <c r="B754" s="131"/>
      <c r="C754" s="131"/>
      <c r="D754" s="131"/>
      <c r="E754" s="94"/>
      <c r="F754" s="94"/>
    </row>
    <row r="755">
      <c r="A755" s="131"/>
      <c r="B755" s="131"/>
      <c r="C755" s="131"/>
      <c r="D755" s="131"/>
      <c r="E755" s="95"/>
      <c r="F755" s="96"/>
    </row>
    <row r="756">
      <c r="A756" s="131"/>
      <c r="B756" s="131"/>
      <c r="C756" s="131"/>
      <c r="D756" s="131"/>
      <c r="E756" s="95"/>
      <c r="F756" s="96"/>
    </row>
    <row r="757">
      <c r="A757" s="131"/>
      <c r="B757" s="131"/>
      <c r="C757" s="131"/>
      <c r="D757" s="131"/>
      <c r="E757" s="96"/>
      <c r="F757" s="96"/>
    </row>
    <row r="758">
      <c r="A758" s="131"/>
      <c r="B758" s="131"/>
      <c r="C758" s="131"/>
      <c r="D758" s="131"/>
      <c r="E758" s="96"/>
      <c r="F758" s="96"/>
    </row>
    <row r="759">
      <c r="A759" s="131"/>
      <c r="B759" s="131"/>
      <c r="C759" s="131"/>
      <c r="D759" s="131"/>
      <c r="E759" s="96"/>
      <c r="F759" s="96"/>
    </row>
    <row r="760">
      <c r="A760" s="131"/>
      <c r="B760" s="131"/>
      <c r="C760" s="131"/>
      <c r="D760" s="131"/>
      <c r="E760" s="96"/>
      <c r="F760" s="96"/>
    </row>
    <row r="761">
      <c r="A761" s="131"/>
      <c r="B761" s="131"/>
      <c r="C761" s="131"/>
      <c r="D761" s="131"/>
      <c r="E761" s="96"/>
      <c r="F761" s="96"/>
    </row>
    <row r="762">
      <c r="A762" s="131"/>
      <c r="B762" s="131"/>
      <c r="C762" s="131"/>
      <c r="D762" s="131"/>
      <c r="E762" s="96"/>
      <c r="F762" s="96"/>
    </row>
    <row r="763">
      <c r="A763" s="131"/>
      <c r="B763" s="131"/>
      <c r="C763" s="131"/>
      <c r="D763" s="131"/>
      <c r="E763" s="96"/>
      <c r="F763" s="96"/>
    </row>
    <row r="764">
      <c r="A764" s="131"/>
      <c r="B764" s="131"/>
      <c r="C764" s="131"/>
      <c r="D764" s="131"/>
      <c r="E764" s="96"/>
      <c r="F764" s="96"/>
    </row>
    <row r="765">
      <c r="A765" s="131"/>
      <c r="B765" s="131"/>
      <c r="C765" s="131"/>
      <c r="D765" s="131"/>
      <c r="E765" s="96"/>
      <c r="F765" s="96"/>
    </row>
    <row r="766">
      <c r="A766" s="131"/>
      <c r="B766" s="131"/>
      <c r="C766" s="131"/>
      <c r="D766" s="131"/>
      <c r="E766" s="96"/>
      <c r="F766" s="96"/>
    </row>
    <row r="767">
      <c r="A767" s="131"/>
      <c r="B767" s="131"/>
      <c r="C767" s="131"/>
      <c r="D767" s="131"/>
      <c r="E767" s="96"/>
      <c r="F767" s="96"/>
    </row>
    <row r="768">
      <c r="A768" s="131"/>
      <c r="B768" s="131"/>
      <c r="C768" s="131"/>
      <c r="D768" s="131"/>
      <c r="E768" s="97"/>
      <c r="F768" s="97"/>
    </row>
    <row r="769">
      <c r="A769" s="131"/>
      <c r="B769" s="131"/>
      <c r="C769" s="131"/>
      <c r="D769" s="131"/>
      <c r="E769" s="96"/>
      <c r="F769" s="96"/>
    </row>
    <row r="770">
      <c r="A770" s="131"/>
      <c r="B770" s="131"/>
      <c r="C770" s="131"/>
      <c r="D770" s="131"/>
      <c r="E770" s="96"/>
      <c r="F770" s="96"/>
    </row>
    <row r="771">
      <c r="A771" s="131"/>
      <c r="B771" s="131"/>
      <c r="C771" s="131"/>
      <c r="D771" s="131"/>
      <c r="E771" s="96"/>
      <c r="F771" s="96"/>
    </row>
    <row r="772">
      <c r="A772" s="131"/>
      <c r="B772" s="131"/>
      <c r="C772" s="131"/>
      <c r="D772" s="131"/>
      <c r="E772" s="96"/>
      <c r="F772" s="96"/>
    </row>
    <row r="773">
      <c r="A773" s="131"/>
      <c r="B773" s="131"/>
      <c r="C773" s="131"/>
      <c r="D773" s="131"/>
      <c r="E773" s="96"/>
      <c r="F773" s="96"/>
    </row>
    <row r="774">
      <c r="A774" s="131"/>
      <c r="B774" s="131"/>
      <c r="C774" s="131"/>
      <c r="D774" s="131"/>
      <c r="E774" s="96"/>
      <c r="F774" s="96"/>
    </row>
    <row r="775">
      <c r="A775" s="131"/>
      <c r="B775" s="131"/>
      <c r="C775" s="131"/>
      <c r="D775" s="131"/>
      <c r="E775" s="98"/>
      <c r="F775" s="96"/>
    </row>
    <row r="776">
      <c r="A776" s="131"/>
      <c r="B776" s="131"/>
      <c r="C776" s="131"/>
      <c r="D776" s="131"/>
      <c r="E776" s="99"/>
      <c r="F776" s="99"/>
    </row>
    <row r="777">
      <c r="A777" s="131"/>
      <c r="B777" s="131"/>
      <c r="C777" s="131"/>
      <c r="D777" s="131"/>
      <c r="E777" s="100"/>
      <c r="F777" s="100"/>
    </row>
    <row r="778">
      <c r="A778" s="131"/>
      <c r="B778" s="131"/>
      <c r="C778" s="131"/>
      <c r="D778" s="131"/>
      <c r="E778" s="100"/>
      <c r="F778" s="100"/>
    </row>
    <row r="779">
      <c r="A779" s="131"/>
      <c r="B779" s="131"/>
      <c r="C779" s="131"/>
      <c r="D779" s="131"/>
      <c r="E779" s="100"/>
      <c r="F779" s="100"/>
    </row>
    <row r="780">
      <c r="A780" s="131"/>
      <c r="B780" s="131"/>
      <c r="C780" s="131"/>
      <c r="D780" s="131"/>
      <c r="E780" s="100"/>
      <c r="F780" s="100"/>
    </row>
    <row r="781">
      <c r="A781" s="131"/>
      <c r="B781" s="131"/>
      <c r="C781" s="131"/>
      <c r="D781" s="131"/>
      <c r="E781" s="100"/>
      <c r="F781" s="100"/>
    </row>
    <row r="782">
      <c r="A782" s="131"/>
      <c r="B782" s="131"/>
      <c r="C782" s="131"/>
      <c r="D782" s="131"/>
      <c r="E782" s="100"/>
      <c r="F782" s="100"/>
    </row>
    <row r="783">
      <c r="A783" s="131"/>
      <c r="B783" s="131"/>
      <c r="C783" s="131"/>
      <c r="D783" s="131"/>
      <c r="E783" s="100"/>
      <c r="F783" s="100"/>
    </row>
    <row r="784">
      <c r="A784" s="131"/>
      <c r="B784" s="131"/>
      <c r="C784" s="131"/>
      <c r="D784" s="131"/>
      <c r="E784" s="101"/>
      <c r="F784" s="101"/>
    </row>
    <row r="785">
      <c r="A785" s="131"/>
      <c r="B785" s="131"/>
      <c r="C785" s="131"/>
      <c r="D785" s="131"/>
      <c r="E785" s="100"/>
      <c r="F785" s="100"/>
    </row>
    <row r="786">
      <c r="A786" s="131"/>
      <c r="B786" s="131"/>
      <c r="C786" s="131"/>
      <c r="D786" s="131"/>
      <c r="E786" s="100"/>
      <c r="F786" s="100"/>
    </row>
    <row r="787">
      <c r="A787" s="131"/>
      <c r="B787" s="131"/>
      <c r="C787" s="131"/>
      <c r="D787" s="131"/>
      <c r="E787" s="102"/>
      <c r="F787" s="102"/>
    </row>
    <row r="788">
      <c r="A788" s="131"/>
      <c r="B788" s="131"/>
      <c r="C788" s="131"/>
      <c r="D788" s="131"/>
      <c r="E788" s="103"/>
      <c r="F788" s="103"/>
    </row>
    <row r="789">
      <c r="A789" s="131"/>
      <c r="B789" s="131"/>
      <c r="C789" s="131"/>
      <c r="D789" s="131"/>
      <c r="E789" s="103"/>
      <c r="F789" s="103"/>
    </row>
    <row r="790">
      <c r="A790" s="131"/>
      <c r="B790" s="131"/>
      <c r="C790" s="131"/>
      <c r="D790" s="131"/>
      <c r="E790" s="102"/>
      <c r="F790" s="103"/>
    </row>
    <row r="791">
      <c r="A791" s="131"/>
      <c r="B791" s="131"/>
      <c r="C791" s="131"/>
      <c r="D791" s="131"/>
      <c r="E791" s="103"/>
      <c r="F791" s="103"/>
    </row>
    <row r="792">
      <c r="A792" s="131"/>
      <c r="B792" s="131"/>
      <c r="C792" s="131"/>
      <c r="D792" s="131"/>
      <c r="E792" s="103"/>
      <c r="F792" s="103"/>
    </row>
    <row r="793">
      <c r="A793" s="131"/>
      <c r="B793" s="131"/>
      <c r="C793" s="131"/>
      <c r="D793" s="131"/>
      <c r="E793" s="103"/>
      <c r="F793" s="103"/>
    </row>
    <row r="794">
      <c r="A794" s="131"/>
      <c r="B794" s="131"/>
      <c r="C794" s="131"/>
      <c r="D794" s="131"/>
      <c r="E794" s="103"/>
      <c r="F794" s="103"/>
    </row>
    <row r="795">
      <c r="A795" s="131"/>
      <c r="B795" s="131"/>
      <c r="C795" s="131"/>
      <c r="D795" s="131"/>
      <c r="E795" s="103"/>
      <c r="F795" s="103"/>
    </row>
    <row r="796">
      <c r="A796" s="131"/>
      <c r="B796" s="131"/>
      <c r="C796" s="131"/>
      <c r="D796" s="131"/>
      <c r="E796" s="103"/>
      <c r="F796" s="103"/>
    </row>
    <row r="797">
      <c r="A797" s="131"/>
      <c r="B797" s="131"/>
      <c r="C797" s="131"/>
      <c r="D797" s="131"/>
      <c r="E797" s="103"/>
      <c r="F797" s="103"/>
    </row>
    <row r="798">
      <c r="A798" s="131"/>
      <c r="B798" s="131"/>
      <c r="C798" s="131"/>
      <c r="D798" s="131"/>
      <c r="E798" s="103"/>
      <c r="F798" s="103"/>
    </row>
    <row r="799">
      <c r="A799" s="131"/>
      <c r="B799" s="131"/>
      <c r="C799" s="131"/>
      <c r="D799" s="131"/>
      <c r="E799" s="103"/>
      <c r="F799" s="103"/>
    </row>
    <row r="800">
      <c r="A800" s="131"/>
      <c r="B800" s="131"/>
      <c r="C800" s="131"/>
      <c r="D800" s="131"/>
      <c r="E800" s="103"/>
      <c r="F800" s="103"/>
    </row>
    <row r="801">
      <c r="A801" s="131"/>
      <c r="B801" s="131"/>
      <c r="C801" s="131"/>
      <c r="D801" s="131"/>
      <c r="E801" s="103"/>
      <c r="F801" s="103"/>
    </row>
    <row r="802">
      <c r="A802" s="131"/>
      <c r="B802" s="131"/>
      <c r="C802" s="131"/>
      <c r="D802" s="131"/>
      <c r="E802" s="103"/>
      <c r="F802" s="103"/>
    </row>
    <row r="803">
      <c r="A803" s="131"/>
      <c r="B803" s="131"/>
      <c r="C803" s="131"/>
      <c r="D803" s="131"/>
      <c r="E803" s="103"/>
      <c r="F803" s="103"/>
    </row>
    <row r="804">
      <c r="A804" s="131"/>
      <c r="B804" s="131"/>
      <c r="C804" s="131"/>
      <c r="D804" s="131"/>
      <c r="E804" s="103"/>
      <c r="F804" s="103"/>
    </row>
    <row r="805">
      <c r="A805" s="131"/>
      <c r="B805" s="131"/>
      <c r="C805" s="131"/>
      <c r="D805" s="131"/>
      <c r="E805" s="99"/>
      <c r="F805" s="99"/>
    </row>
    <row r="806">
      <c r="A806" s="131"/>
      <c r="B806" s="131"/>
      <c r="C806" s="131"/>
      <c r="D806" s="131"/>
      <c r="E806" s="100"/>
      <c r="F806" s="100"/>
    </row>
    <row r="807">
      <c r="A807" s="131"/>
      <c r="B807" s="131"/>
      <c r="C807" s="131"/>
      <c r="D807" s="131"/>
      <c r="E807" s="100"/>
      <c r="F807" s="100"/>
    </row>
    <row r="808">
      <c r="A808" s="131"/>
      <c r="B808" s="131"/>
      <c r="C808" s="131"/>
      <c r="D808" s="131"/>
      <c r="E808" s="100"/>
      <c r="F808" s="100"/>
    </row>
    <row r="809">
      <c r="A809" s="131"/>
      <c r="B809" s="131"/>
      <c r="C809" s="131"/>
      <c r="D809" s="131"/>
      <c r="E809" s="100"/>
      <c r="F809" s="100"/>
    </row>
    <row r="810">
      <c r="A810" s="131"/>
      <c r="B810" s="131"/>
      <c r="C810" s="131"/>
      <c r="D810" s="131"/>
      <c r="E810" s="100"/>
      <c r="F810" s="100"/>
    </row>
    <row r="811">
      <c r="A811" s="131"/>
      <c r="B811" s="131"/>
      <c r="C811" s="131"/>
      <c r="D811" s="131"/>
      <c r="E811" s="100"/>
      <c r="F811" s="100"/>
    </row>
    <row r="812">
      <c r="A812" s="131"/>
      <c r="B812" s="131"/>
      <c r="C812" s="131"/>
      <c r="D812" s="131"/>
      <c r="E812" s="100"/>
      <c r="F812" s="100"/>
    </row>
    <row r="813">
      <c r="A813" s="131"/>
      <c r="B813" s="131"/>
      <c r="C813" s="131"/>
      <c r="D813" s="131"/>
      <c r="E813" s="100"/>
      <c r="F813" s="100"/>
    </row>
    <row r="814">
      <c r="A814" s="131"/>
      <c r="B814" s="131"/>
      <c r="C814" s="131"/>
      <c r="D814" s="131"/>
      <c r="E814" s="100"/>
      <c r="F814" s="100"/>
    </row>
    <row r="815">
      <c r="A815" s="131"/>
      <c r="B815" s="131"/>
      <c r="C815" s="131"/>
      <c r="D815" s="131"/>
      <c r="E815" s="100"/>
      <c r="F815" s="100"/>
    </row>
    <row r="816">
      <c r="A816" s="131"/>
      <c r="B816" s="131"/>
      <c r="C816" s="131"/>
      <c r="D816" s="131"/>
      <c r="E816" s="99"/>
      <c r="F816" s="99"/>
    </row>
    <row r="817">
      <c r="A817" s="131"/>
      <c r="B817" s="131"/>
      <c r="C817" s="131"/>
      <c r="D817" s="131"/>
      <c r="E817" s="100"/>
      <c r="F817" s="100"/>
    </row>
    <row r="818">
      <c r="A818" s="131"/>
      <c r="B818" s="131"/>
      <c r="C818" s="131"/>
      <c r="D818" s="131"/>
      <c r="E818" s="100"/>
      <c r="F818" s="100"/>
    </row>
    <row r="819">
      <c r="A819" s="131"/>
      <c r="B819" s="131"/>
      <c r="C819" s="131"/>
      <c r="D819" s="131"/>
      <c r="E819" s="100"/>
      <c r="F819" s="100"/>
    </row>
    <row r="820">
      <c r="A820" s="131"/>
      <c r="B820" s="131"/>
      <c r="C820" s="131"/>
      <c r="D820" s="131"/>
      <c r="E820" s="100"/>
      <c r="F820" s="100"/>
    </row>
    <row r="821">
      <c r="A821" s="131"/>
      <c r="B821" s="131"/>
      <c r="C821" s="131"/>
      <c r="D821" s="131"/>
      <c r="E821" s="100"/>
      <c r="F821" s="100"/>
    </row>
    <row r="822">
      <c r="A822" s="131"/>
      <c r="B822" s="131"/>
      <c r="C822" s="131"/>
      <c r="D822" s="131"/>
      <c r="E822" s="100"/>
      <c r="F822" s="100"/>
    </row>
    <row r="823">
      <c r="A823" s="131"/>
      <c r="B823" s="131"/>
      <c r="C823" s="131"/>
      <c r="D823" s="131"/>
      <c r="E823" s="101"/>
      <c r="F823" s="101"/>
    </row>
    <row r="824">
      <c r="A824" s="131"/>
      <c r="B824" s="131"/>
      <c r="C824" s="131"/>
      <c r="D824" s="131"/>
      <c r="E824" s="101"/>
      <c r="F824" s="101"/>
    </row>
    <row r="825">
      <c r="A825" s="131"/>
      <c r="B825" s="131"/>
      <c r="C825" s="131"/>
      <c r="D825" s="131"/>
      <c r="E825" s="101"/>
      <c r="F825" s="101"/>
    </row>
    <row r="826">
      <c r="A826" s="131"/>
      <c r="B826" s="131"/>
      <c r="C826" s="131"/>
      <c r="D826" s="131"/>
      <c r="E826" s="101"/>
      <c r="F826" s="101"/>
    </row>
    <row r="827">
      <c r="A827" s="131"/>
      <c r="B827" s="131"/>
      <c r="C827" s="131"/>
      <c r="D827" s="131"/>
      <c r="E827" s="101"/>
      <c r="F827" s="101"/>
    </row>
    <row r="828">
      <c r="A828" s="131"/>
      <c r="B828" s="131"/>
      <c r="C828" s="131"/>
      <c r="D828" s="131"/>
      <c r="E828" s="101"/>
      <c r="F828" s="101"/>
    </row>
    <row r="829">
      <c r="A829" s="131"/>
      <c r="B829" s="131"/>
      <c r="C829" s="131"/>
      <c r="D829" s="131"/>
      <c r="E829" s="105"/>
      <c r="F829" s="105"/>
    </row>
    <row r="830">
      <c r="A830" s="131"/>
      <c r="B830" s="131"/>
      <c r="C830" s="131"/>
      <c r="D830" s="131"/>
      <c r="E830" s="106"/>
      <c r="F830" s="106"/>
    </row>
    <row r="831">
      <c r="A831" s="131"/>
      <c r="B831" s="131"/>
      <c r="C831" s="131"/>
      <c r="D831" s="131"/>
      <c r="E831" s="107"/>
      <c r="F831" s="107"/>
    </row>
    <row r="832">
      <c r="A832" s="131"/>
      <c r="B832" s="131"/>
      <c r="C832" s="131"/>
      <c r="D832" s="131"/>
      <c r="E832" s="107"/>
      <c r="F832" s="107"/>
    </row>
    <row r="833">
      <c r="A833" s="131"/>
      <c r="B833" s="131"/>
      <c r="C833" s="131"/>
      <c r="D833" s="131"/>
      <c r="E833" s="108"/>
      <c r="F833" s="108"/>
    </row>
    <row r="834">
      <c r="A834" s="131"/>
      <c r="B834" s="131"/>
      <c r="C834" s="131"/>
      <c r="D834" s="131"/>
      <c r="E834" s="107"/>
      <c r="F834" s="107"/>
    </row>
    <row r="835">
      <c r="A835" s="131"/>
      <c r="B835" s="131"/>
      <c r="C835" s="131"/>
      <c r="D835" s="131"/>
      <c r="E835" s="106"/>
      <c r="F835" s="106"/>
    </row>
    <row r="836">
      <c r="A836" s="131"/>
      <c r="B836" s="131"/>
      <c r="C836" s="131"/>
      <c r="D836" s="131"/>
      <c r="E836" s="107"/>
      <c r="F836" s="107"/>
    </row>
    <row r="837">
      <c r="A837" s="131"/>
      <c r="B837" s="131"/>
      <c r="C837" s="131"/>
      <c r="D837" s="131"/>
      <c r="E837" s="107"/>
      <c r="F837" s="107"/>
    </row>
    <row r="838">
      <c r="A838" s="131"/>
      <c r="B838" s="131"/>
      <c r="C838" s="131"/>
      <c r="D838" s="131"/>
      <c r="E838" s="107"/>
      <c r="F838" s="107"/>
    </row>
    <row r="839">
      <c r="A839" s="131"/>
      <c r="B839" s="131"/>
      <c r="C839" s="131"/>
      <c r="D839" s="131"/>
      <c r="E839" s="107"/>
      <c r="F839" s="107"/>
    </row>
    <row r="840">
      <c r="A840" s="131"/>
      <c r="B840" s="131"/>
      <c r="C840" s="131"/>
      <c r="D840" s="131"/>
      <c r="E840" s="106"/>
      <c r="F840" s="106"/>
    </row>
    <row r="841">
      <c r="A841" s="131"/>
      <c r="B841" s="131"/>
      <c r="C841" s="131"/>
      <c r="D841" s="131"/>
      <c r="E841" s="107"/>
      <c r="F841" s="107"/>
    </row>
    <row r="842">
      <c r="A842" s="131"/>
      <c r="B842" s="131"/>
      <c r="C842" s="131"/>
      <c r="D842" s="131"/>
      <c r="E842" s="109"/>
      <c r="F842" s="109"/>
    </row>
    <row r="843">
      <c r="A843" s="131"/>
      <c r="B843" s="131"/>
      <c r="C843" s="131"/>
      <c r="D843" s="131"/>
      <c r="E843" s="110"/>
      <c r="F843" s="110"/>
    </row>
    <row r="844">
      <c r="A844" s="131"/>
      <c r="B844" s="131"/>
      <c r="C844" s="131"/>
      <c r="D844" s="131"/>
      <c r="E844" s="110"/>
      <c r="F844" s="110"/>
    </row>
    <row r="845">
      <c r="A845" s="131"/>
      <c r="B845" s="131"/>
      <c r="C845" s="131"/>
      <c r="D845" s="131"/>
      <c r="E845" s="111"/>
      <c r="F845" s="111"/>
    </row>
    <row r="846">
      <c r="A846" s="86"/>
      <c r="B846" s="87"/>
      <c r="C846" s="131"/>
      <c r="D846" s="131"/>
      <c r="E846" s="131"/>
      <c r="F846" s="131"/>
      <c r="G846" s="121"/>
      <c r="H846" s="13"/>
      <c r="I846" s="13"/>
      <c r="J846" s="13"/>
      <c r="K846" s="14"/>
      <c r="L846" s="121"/>
      <c r="M846" s="13"/>
      <c r="N846" s="13"/>
      <c r="O846" s="13"/>
      <c r="P846" s="14"/>
      <c r="Q846" s="122"/>
      <c r="R846" s="13"/>
      <c r="S846" s="13"/>
      <c r="T846" s="13"/>
      <c r="U846" s="13"/>
      <c r="V846" s="13"/>
      <c r="W846" s="14"/>
    </row>
    <row r="847">
      <c r="A847" s="131"/>
      <c r="B847" s="131"/>
      <c r="C847" s="131"/>
      <c r="D847" s="131"/>
      <c r="E847" s="131"/>
      <c r="F847" s="131"/>
      <c r="G847" s="123"/>
      <c r="H847" s="124"/>
      <c r="I847" s="124"/>
      <c r="J847" s="125"/>
      <c r="K847" s="125"/>
      <c r="L847" s="126"/>
      <c r="M847" s="125"/>
      <c r="N847" s="125"/>
      <c r="O847" s="125"/>
      <c r="P847" s="127"/>
      <c r="Q847" s="128"/>
      <c r="R847" s="129"/>
      <c r="S847" s="129"/>
      <c r="T847" s="129"/>
      <c r="U847" s="129"/>
      <c r="V847" s="129"/>
      <c r="W847" s="130"/>
    </row>
    <row r="848">
      <c r="A848" s="131"/>
      <c r="B848" s="131"/>
      <c r="C848" s="131"/>
      <c r="D848" s="131"/>
      <c r="E848" s="94"/>
      <c r="F848" s="94"/>
    </row>
    <row r="849">
      <c r="A849" s="131"/>
      <c r="B849" s="131"/>
      <c r="C849" s="131"/>
      <c r="D849" s="131"/>
      <c r="E849" s="95"/>
      <c r="F849" s="96"/>
    </row>
    <row r="850">
      <c r="A850" s="131"/>
      <c r="B850" s="131"/>
      <c r="C850" s="131"/>
      <c r="D850" s="131"/>
      <c r="E850" s="95"/>
      <c r="F850" s="96"/>
    </row>
    <row r="851">
      <c r="A851" s="131"/>
      <c r="B851" s="131"/>
      <c r="C851" s="131"/>
      <c r="D851" s="131"/>
      <c r="E851" s="96"/>
      <c r="F851" s="96"/>
    </row>
    <row r="852">
      <c r="A852" s="131"/>
      <c r="B852" s="131"/>
      <c r="C852" s="131"/>
      <c r="D852" s="131"/>
      <c r="E852" s="96"/>
      <c r="F852" s="96"/>
    </row>
    <row r="853">
      <c r="A853" s="131"/>
      <c r="B853" s="131"/>
      <c r="C853" s="131"/>
      <c r="D853" s="131"/>
      <c r="E853" s="96"/>
      <c r="F853" s="96"/>
    </row>
    <row r="854">
      <c r="A854" s="131"/>
      <c r="B854" s="131"/>
      <c r="C854" s="131"/>
      <c r="D854" s="131"/>
      <c r="E854" s="96"/>
      <c r="F854" s="96"/>
    </row>
    <row r="855">
      <c r="A855" s="131"/>
      <c r="B855" s="131"/>
      <c r="C855" s="131"/>
      <c r="D855" s="131"/>
      <c r="E855" s="96"/>
      <c r="F855" s="96"/>
    </row>
    <row r="856">
      <c r="A856" s="131"/>
      <c r="B856" s="131"/>
      <c r="C856" s="131"/>
      <c r="D856" s="131"/>
      <c r="E856" s="96"/>
      <c r="F856" s="96"/>
    </row>
    <row r="857">
      <c r="A857" s="131"/>
      <c r="B857" s="131"/>
      <c r="C857" s="131"/>
      <c r="D857" s="131"/>
      <c r="E857" s="96"/>
      <c r="F857" s="96"/>
    </row>
    <row r="858">
      <c r="A858" s="131"/>
      <c r="B858" s="131"/>
      <c r="C858" s="131"/>
      <c r="D858" s="131"/>
      <c r="E858" s="96"/>
      <c r="F858" s="96"/>
    </row>
    <row r="859">
      <c r="A859" s="131"/>
      <c r="B859" s="131"/>
      <c r="C859" s="131"/>
      <c r="D859" s="131"/>
      <c r="E859" s="96"/>
      <c r="F859" s="96"/>
    </row>
    <row r="860">
      <c r="A860" s="131"/>
      <c r="B860" s="131"/>
      <c r="C860" s="131"/>
      <c r="D860" s="131"/>
      <c r="E860" s="96"/>
      <c r="F860" s="96"/>
    </row>
    <row r="861">
      <c r="A861" s="131"/>
      <c r="B861" s="131"/>
      <c r="C861" s="131"/>
      <c r="D861" s="131"/>
      <c r="E861" s="96"/>
      <c r="F861" s="96"/>
    </row>
    <row r="862">
      <c r="A862" s="131"/>
      <c r="B862" s="131"/>
      <c r="C862" s="131"/>
      <c r="D862" s="131"/>
      <c r="E862" s="97"/>
      <c r="F862" s="97"/>
    </row>
    <row r="863">
      <c r="A863" s="131"/>
      <c r="B863" s="131"/>
      <c r="C863" s="131"/>
      <c r="D863" s="131"/>
      <c r="E863" s="96"/>
      <c r="F863" s="96"/>
    </row>
    <row r="864">
      <c r="A864" s="131"/>
      <c r="B864" s="131"/>
      <c r="C864" s="131"/>
      <c r="D864" s="131"/>
      <c r="E864" s="96"/>
      <c r="F864" s="96"/>
    </row>
    <row r="865">
      <c r="A865" s="131"/>
      <c r="B865" s="131"/>
      <c r="C865" s="131"/>
      <c r="D865" s="131"/>
      <c r="E865" s="96"/>
      <c r="F865" s="96"/>
    </row>
    <row r="866">
      <c r="A866" s="131"/>
      <c r="B866" s="131"/>
      <c r="C866" s="131"/>
      <c r="D866" s="131"/>
      <c r="E866" s="96"/>
      <c r="F866" s="96"/>
    </row>
    <row r="867">
      <c r="A867" s="131"/>
      <c r="B867" s="131"/>
      <c r="C867" s="131"/>
      <c r="D867" s="131"/>
      <c r="E867" s="96"/>
      <c r="F867" s="96"/>
    </row>
    <row r="868">
      <c r="A868" s="131"/>
      <c r="B868" s="131"/>
      <c r="C868" s="131"/>
      <c r="D868" s="131"/>
      <c r="E868" s="96"/>
      <c r="F868" s="96"/>
    </row>
    <row r="869">
      <c r="A869" s="131"/>
      <c r="B869" s="131"/>
      <c r="C869" s="131"/>
      <c r="D869" s="131"/>
      <c r="E869" s="98"/>
      <c r="F869" s="96"/>
    </row>
    <row r="870">
      <c r="A870" s="131"/>
      <c r="B870" s="131"/>
      <c r="C870" s="131"/>
      <c r="D870" s="131"/>
      <c r="E870" s="99"/>
      <c r="F870" s="99"/>
    </row>
    <row r="871">
      <c r="A871" s="131"/>
      <c r="B871" s="131"/>
      <c r="C871" s="131"/>
      <c r="D871" s="131"/>
      <c r="E871" s="100"/>
      <c r="F871" s="100"/>
    </row>
    <row r="872">
      <c r="A872" s="131"/>
      <c r="B872" s="131"/>
      <c r="C872" s="131"/>
      <c r="D872" s="131"/>
      <c r="E872" s="100"/>
      <c r="F872" s="100"/>
    </row>
    <row r="873">
      <c r="A873" s="131"/>
      <c r="B873" s="131"/>
      <c r="C873" s="131"/>
      <c r="D873" s="131"/>
      <c r="E873" s="100"/>
      <c r="F873" s="100"/>
    </row>
    <row r="874">
      <c r="A874" s="131"/>
      <c r="B874" s="131"/>
      <c r="C874" s="131"/>
      <c r="D874" s="131"/>
      <c r="E874" s="100"/>
      <c r="F874" s="100"/>
    </row>
    <row r="875">
      <c r="A875" s="131"/>
      <c r="B875" s="131"/>
      <c r="C875" s="131"/>
      <c r="D875" s="131"/>
      <c r="E875" s="100"/>
      <c r="F875" s="100"/>
    </row>
    <row r="876">
      <c r="A876" s="131"/>
      <c r="B876" s="131"/>
      <c r="C876" s="131"/>
      <c r="D876" s="131"/>
      <c r="E876" s="100"/>
      <c r="F876" s="100"/>
    </row>
    <row r="877">
      <c r="A877" s="131"/>
      <c r="B877" s="131"/>
      <c r="C877" s="131"/>
      <c r="D877" s="131"/>
      <c r="E877" s="100"/>
      <c r="F877" s="100"/>
    </row>
    <row r="878">
      <c r="A878" s="131"/>
      <c r="B878" s="131"/>
      <c r="C878" s="131"/>
      <c r="D878" s="131"/>
      <c r="E878" s="101"/>
      <c r="F878" s="101"/>
    </row>
    <row r="879">
      <c r="A879" s="131"/>
      <c r="B879" s="131"/>
      <c r="C879" s="131"/>
      <c r="D879" s="131"/>
      <c r="E879" s="100"/>
      <c r="F879" s="100"/>
    </row>
    <row r="880">
      <c r="A880" s="131"/>
      <c r="B880" s="131"/>
      <c r="C880" s="131"/>
      <c r="D880" s="131"/>
      <c r="E880" s="100"/>
      <c r="F880" s="100"/>
    </row>
    <row r="881">
      <c r="A881" s="131"/>
      <c r="B881" s="131"/>
      <c r="C881" s="131"/>
      <c r="D881" s="131"/>
      <c r="E881" s="102"/>
      <c r="F881" s="102"/>
    </row>
    <row r="882">
      <c r="A882" s="131"/>
      <c r="B882" s="131"/>
      <c r="C882" s="131"/>
      <c r="D882" s="131"/>
      <c r="E882" s="103"/>
      <c r="F882" s="103"/>
    </row>
    <row r="883">
      <c r="A883" s="131"/>
      <c r="B883" s="131"/>
      <c r="C883" s="131"/>
      <c r="D883" s="131"/>
      <c r="E883" s="103"/>
      <c r="F883" s="103"/>
    </row>
    <row r="884">
      <c r="A884" s="131"/>
      <c r="B884" s="131"/>
      <c r="C884" s="131"/>
      <c r="D884" s="131"/>
      <c r="E884" s="102"/>
      <c r="F884" s="103"/>
    </row>
    <row r="885">
      <c r="A885" s="131"/>
      <c r="B885" s="131"/>
      <c r="C885" s="131"/>
      <c r="D885" s="131"/>
      <c r="E885" s="103"/>
      <c r="F885" s="103"/>
    </row>
    <row r="886">
      <c r="A886" s="131"/>
      <c r="B886" s="131"/>
      <c r="C886" s="131"/>
      <c r="D886" s="131"/>
      <c r="E886" s="103"/>
      <c r="F886" s="103"/>
    </row>
    <row r="887">
      <c r="A887" s="131"/>
      <c r="B887" s="131"/>
      <c r="C887" s="131"/>
      <c r="D887" s="131"/>
      <c r="E887" s="103"/>
      <c r="F887" s="103"/>
    </row>
    <row r="888">
      <c r="A888" s="131"/>
      <c r="B888" s="131"/>
      <c r="C888" s="131"/>
      <c r="D888" s="131"/>
      <c r="E888" s="103"/>
      <c r="F888" s="103"/>
    </row>
    <row r="889">
      <c r="A889" s="131"/>
      <c r="B889" s="131"/>
      <c r="C889" s="131"/>
      <c r="D889" s="131"/>
      <c r="E889" s="103"/>
      <c r="F889" s="103"/>
    </row>
    <row r="890">
      <c r="A890" s="131"/>
      <c r="B890" s="131"/>
      <c r="C890" s="131"/>
      <c r="D890" s="131"/>
      <c r="E890" s="103"/>
      <c r="F890" s="103"/>
    </row>
    <row r="891">
      <c r="A891" s="131"/>
      <c r="B891" s="131"/>
      <c r="C891" s="131"/>
      <c r="D891" s="131"/>
      <c r="E891" s="103"/>
      <c r="F891" s="103"/>
    </row>
    <row r="892">
      <c r="A892" s="131"/>
      <c r="B892" s="131"/>
      <c r="C892" s="131"/>
      <c r="D892" s="131"/>
      <c r="E892" s="103"/>
      <c r="F892" s="103"/>
    </row>
    <row r="893">
      <c r="A893" s="131"/>
      <c r="B893" s="131"/>
      <c r="C893" s="131"/>
      <c r="D893" s="131"/>
      <c r="E893" s="103"/>
      <c r="F893" s="103"/>
    </row>
    <row r="894">
      <c r="A894" s="131"/>
      <c r="B894" s="131"/>
      <c r="C894" s="131"/>
      <c r="D894" s="131"/>
      <c r="E894" s="103"/>
      <c r="F894" s="103"/>
    </row>
    <row r="895">
      <c r="A895" s="131"/>
      <c r="B895" s="131"/>
      <c r="C895" s="131"/>
      <c r="D895" s="131"/>
      <c r="E895" s="103"/>
      <c r="F895" s="103"/>
    </row>
    <row r="896">
      <c r="A896" s="131"/>
      <c r="B896" s="131"/>
      <c r="C896" s="131"/>
      <c r="D896" s="131"/>
      <c r="E896" s="103"/>
      <c r="F896" s="103"/>
    </row>
    <row r="897">
      <c r="A897" s="131"/>
      <c r="B897" s="131"/>
      <c r="C897" s="131"/>
      <c r="D897" s="131"/>
      <c r="E897" s="103"/>
      <c r="F897" s="103"/>
    </row>
    <row r="898">
      <c r="A898" s="131"/>
      <c r="B898" s="131"/>
      <c r="C898" s="131"/>
      <c r="D898" s="131"/>
      <c r="E898" s="103"/>
      <c r="F898" s="103"/>
    </row>
    <row r="899">
      <c r="A899" s="131"/>
      <c r="B899" s="131"/>
      <c r="C899" s="131"/>
      <c r="D899" s="131"/>
      <c r="E899" s="99"/>
      <c r="F899" s="99"/>
    </row>
    <row r="900">
      <c r="A900" s="131"/>
      <c r="B900" s="131"/>
      <c r="C900" s="131"/>
      <c r="D900" s="131"/>
      <c r="E900" s="100"/>
      <c r="F900" s="100"/>
    </row>
    <row r="901">
      <c r="A901" s="131"/>
      <c r="B901" s="131"/>
      <c r="C901" s="131"/>
      <c r="D901" s="131"/>
      <c r="E901" s="100"/>
      <c r="F901" s="100"/>
    </row>
    <row r="902">
      <c r="A902" s="131"/>
      <c r="B902" s="131"/>
      <c r="C902" s="131"/>
      <c r="D902" s="131"/>
      <c r="E902" s="100"/>
      <c r="F902" s="100"/>
    </row>
    <row r="903">
      <c r="A903" s="131"/>
      <c r="B903" s="131"/>
      <c r="C903" s="131"/>
      <c r="D903" s="131"/>
      <c r="E903" s="100"/>
      <c r="F903" s="100"/>
    </row>
    <row r="904">
      <c r="A904" s="131"/>
      <c r="B904" s="131"/>
      <c r="C904" s="131"/>
      <c r="D904" s="131"/>
      <c r="E904" s="100"/>
      <c r="F904" s="100"/>
    </row>
    <row r="905">
      <c r="A905" s="131"/>
      <c r="B905" s="131"/>
      <c r="C905" s="131"/>
      <c r="D905" s="131"/>
      <c r="E905" s="100"/>
      <c r="F905" s="100"/>
    </row>
    <row r="906">
      <c r="A906" s="131"/>
      <c r="B906" s="131"/>
      <c r="C906" s="131"/>
      <c r="D906" s="131"/>
      <c r="E906" s="100"/>
      <c r="F906" s="100"/>
    </row>
    <row r="907">
      <c r="A907" s="131"/>
      <c r="B907" s="131"/>
      <c r="C907" s="131"/>
      <c r="D907" s="131"/>
      <c r="E907" s="100"/>
      <c r="F907" s="100"/>
    </row>
    <row r="908">
      <c r="A908" s="131"/>
      <c r="B908" s="131"/>
      <c r="C908" s="131"/>
      <c r="D908" s="131"/>
      <c r="E908" s="100"/>
      <c r="F908" s="100"/>
    </row>
    <row r="909">
      <c r="A909" s="131"/>
      <c r="B909" s="131"/>
      <c r="C909" s="131"/>
      <c r="D909" s="131"/>
      <c r="E909" s="100"/>
      <c r="F909" s="100"/>
    </row>
    <row r="910">
      <c r="A910" s="131"/>
      <c r="B910" s="131"/>
      <c r="C910" s="131"/>
      <c r="D910" s="131"/>
      <c r="E910" s="99"/>
      <c r="F910" s="99"/>
    </row>
    <row r="911">
      <c r="A911" s="131"/>
      <c r="B911" s="131"/>
      <c r="C911" s="131"/>
      <c r="D911" s="131"/>
      <c r="E911" s="100"/>
      <c r="F911" s="100"/>
    </row>
    <row r="912">
      <c r="A912" s="131"/>
      <c r="B912" s="131"/>
      <c r="C912" s="131"/>
      <c r="D912" s="131"/>
      <c r="E912" s="100"/>
      <c r="F912" s="100"/>
    </row>
    <row r="913">
      <c r="A913" s="131"/>
      <c r="B913" s="131"/>
      <c r="C913" s="131"/>
      <c r="D913" s="131"/>
      <c r="E913" s="100"/>
      <c r="F913" s="100"/>
    </row>
    <row r="914">
      <c r="A914" s="131"/>
      <c r="B914" s="131"/>
      <c r="C914" s="131"/>
      <c r="D914" s="131"/>
      <c r="E914" s="100"/>
      <c r="F914" s="100"/>
    </row>
    <row r="915">
      <c r="A915" s="131"/>
      <c r="B915" s="131"/>
      <c r="C915" s="131"/>
      <c r="D915" s="131"/>
      <c r="E915" s="100"/>
      <c r="F915" s="100"/>
    </row>
    <row r="916">
      <c r="A916" s="131"/>
      <c r="B916" s="131"/>
      <c r="C916" s="131"/>
      <c r="D916" s="131"/>
      <c r="E916" s="100"/>
      <c r="F916" s="100"/>
    </row>
    <row r="917">
      <c r="A917" s="131"/>
      <c r="B917" s="131"/>
      <c r="C917" s="131"/>
      <c r="D917" s="131"/>
      <c r="E917" s="101"/>
      <c r="F917" s="101"/>
    </row>
    <row r="918">
      <c r="A918" s="131"/>
      <c r="B918" s="131"/>
      <c r="C918" s="131"/>
      <c r="D918" s="131"/>
      <c r="E918" s="101"/>
      <c r="F918" s="101"/>
    </row>
    <row r="919">
      <c r="A919" s="131"/>
      <c r="B919" s="131"/>
      <c r="C919" s="131"/>
      <c r="D919" s="131"/>
      <c r="E919" s="101"/>
      <c r="F919" s="101"/>
    </row>
    <row r="920">
      <c r="A920" s="131"/>
      <c r="B920" s="131"/>
      <c r="C920" s="131"/>
      <c r="D920" s="131"/>
      <c r="E920" s="101"/>
      <c r="F920" s="101"/>
    </row>
    <row r="921">
      <c r="A921" s="131"/>
      <c r="B921" s="131"/>
      <c r="C921" s="131"/>
      <c r="D921" s="131"/>
      <c r="E921" s="101"/>
      <c r="F921" s="101"/>
    </row>
    <row r="922">
      <c r="A922" s="131"/>
      <c r="B922" s="131"/>
      <c r="C922" s="131"/>
      <c r="D922" s="131"/>
      <c r="E922" s="101"/>
      <c r="F922" s="101"/>
    </row>
    <row r="923">
      <c r="A923" s="131"/>
      <c r="B923" s="131"/>
      <c r="C923" s="131"/>
      <c r="D923" s="131"/>
      <c r="E923" s="105"/>
      <c r="F923" s="105"/>
    </row>
    <row r="924">
      <c r="A924" s="131"/>
      <c r="B924" s="131"/>
      <c r="C924" s="131"/>
      <c r="D924" s="131"/>
      <c r="E924" s="106"/>
      <c r="F924" s="106"/>
    </row>
    <row r="925">
      <c r="A925" s="131"/>
      <c r="B925" s="131"/>
      <c r="C925" s="131"/>
      <c r="D925" s="131"/>
      <c r="E925" s="107"/>
      <c r="F925" s="107"/>
    </row>
    <row r="926">
      <c r="A926" s="131"/>
      <c r="B926" s="131"/>
      <c r="C926" s="131"/>
      <c r="D926" s="131"/>
      <c r="E926" s="107"/>
      <c r="F926" s="107"/>
    </row>
    <row r="927">
      <c r="A927" s="131"/>
      <c r="B927" s="131"/>
      <c r="C927" s="131"/>
      <c r="D927" s="131"/>
      <c r="E927" s="108"/>
      <c r="F927" s="108"/>
    </row>
    <row r="928">
      <c r="A928" s="131"/>
      <c r="B928" s="131"/>
      <c r="C928" s="131"/>
      <c r="D928" s="131"/>
      <c r="E928" s="107"/>
      <c r="F928" s="107"/>
    </row>
    <row r="929">
      <c r="A929" s="131"/>
      <c r="B929" s="131"/>
      <c r="C929" s="131"/>
      <c r="D929" s="131"/>
      <c r="E929" s="106"/>
      <c r="F929" s="106"/>
    </row>
    <row r="930">
      <c r="A930" s="131"/>
      <c r="B930" s="131"/>
      <c r="C930" s="131"/>
      <c r="D930" s="131"/>
      <c r="E930" s="107"/>
      <c r="F930" s="107"/>
    </row>
    <row r="931">
      <c r="A931" s="131"/>
      <c r="B931" s="131"/>
      <c r="C931" s="131"/>
      <c r="D931" s="131"/>
      <c r="E931" s="107"/>
      <c r="F931" s="107"/>
    </row>
    <row r="932">
      <c r="A932" s="131"/>
      <c r="B932" s="131"/>
      <c r="C932" s="131"/>
      <c r="D932" s="131"/>
      <c r="E932" s="107"/>
      <c r="F932" s="107"/>
    </row>
    <row r="933">
      <c r="A933" s="131"/>
      <c r="B933" s="131"/>
      <c r="C933" s="131"/>
      <c r="D933" s="131"/>
      <c r="E933" s="107"/>
      <c r="F933" s="107"/>
    </row>
    <row r="934">
      <c r="A934" s="131"/>
      <c r="B934" s="131"/>
      <c r="C934" s="131"/>
      <c r="D934" s="131"/>
      <c r="E934" s="106"/>
      <c r="F934" s="106"/>
    </row>
    <row r="935">
      <c r="A935" s="131"/>
      <c r="B935" s="131"/>
      <c r="C935" s="131"/>
      <c r="D935" s="131"/>
      <c r="E935" s="107"/>
      <c r="F935" s="107"/>
    </row>
    <row r="936">
      <c r="A936" s="131"/>
      <c r="B936" s="131"/>
      <c r="C936" s="131"/>
      <c r="D936" s="131"/>
      <c r="E936" s="109"/>
      <c r="F936" s="109"/>
    </row>
    <row r="937">
      <c r="A937" s="131"/>
      <c r="B937" s="131"/>
      <c r="C937" s="131"/>
      <c r="D937" s="131"/>
      <c r="E937" s="110"/>
      <c r="F937" s="110"/>
    </row>
    <row r="938">
      <c r="A938" s="131"/>
      <c r="B938" s="131"/>
      <c r="C938" s="131"/>
      <c r="D938" s="131"/>
      <c r="E938" s="110"/>
      <c r="F938" s="110"/>
    </row>
    <row r="939">
      <c r="A939" s="131"/>
      <c r="B939" s="131"/>
      <c r="C939" s="131"/>
      <c r="D939" s="131"/>
      <c r="E939" s="111"/>
      <c r="F939" s="111"/>
    </row>
    <row r="940">
      <c r="A940" s="131"/>
      <c r="B940" s="131"/>
      <c r="C940" s="131"/>
      <c r="D940" s="131"/>
      <c r="E940" s="131"/>
      <c r="F940" s="131"/>
    </row>
    <row r="941">
      <c r="A941" s="131"/>
      <c r="B941" s="131"/>
      <c r="C941" s="131"/>
      <c r="D941" s="131"/>
      <c r="E941" s="131"/>
      <c r="F941" s="131"/>
    </row>
    <row r="942">
      <c r="A942" s="131"/>
      <c r="B942" s="131"/>
      <c r="C942" s="131"/>
      <c r="D942" s="131"/>
      <c r="E942" s="131"/>
      <c r="F942" s="131"/>
    </row>
    <row r="943">
      <c r="A943" s="131"/>
      <c r="B943" s="131"/>
      <c r="C943" s="131"/>
      <c r="D943" s="131"/>
      <c r="E943" s="131"/>
      <c r="F943" s="131"/>
    </row>
    <row r="944">
      <c r="A944" s="131"/>
      <c r="B944" s="131"/>
      <c r="C944" s="131"/>
      <c r="D944" s="131"/>
      <c r="E944" s="131"/>
      <c r="F944" s="131"/>
    </row>
    <row r="945">
      <c r="A945" s="131"/>
      <c r="B945" s="131"/>
      <c r="C945" s="131"/>
      <c r="D945" s="131"/>
      <c r="E945" s="131"/>
      <c r="F945" s="131"/>
    </row>
    <row r="946">
      <c r="A946" s="131"/>
      <c r="B946" s="131"/>
      <c r="C946" s="131"/>
      <c r="D946" s="131"/>
      <c r="E946" s="131"/>
      <c r="F946" s="131"/>
    </row>
    <row r="947">
      <c r="A947" s="131"/>
      <c r="B947" s="131"/>
      <c r="C947" s="131"/>
      <c r="D947" s="131"/>
      <c r="E947" s="131"/>
      <c r="F947" s="131"/>
    </row>
    <row r="948">
      <c r="A948" s="131"/>
      <c r="B948" s="131"/>
      <c r="C948" s="131"/>
      <c r="D948" s="131"/>
      <c r="E948" s="131"/>
      <c r="F948" s="131"/>
    </row>
    <row r="949">
      <c r="A949" s="131"/>
      <c r="B949" s="131"/>
      <c r="C949" s="131"/>
      <c r="D949" s="131"/>
      <c r="E949" s="131"/>
      <c r="F949" s="131"/>
    </row>
    <row r="950">
      <c r="A950" s="131"/>
      <c r="B950" s="131"/>
      <c r="C950" s="131"/>
      <c r="D950" s="131"/>
      <c r="E950" s="131"/>
      <c r="F950" s="131"/>
    </row>
    <row r="951">
      <c r="A951" s="131"/>
      <c r="B951" s="131"/>
      <c r="C951" s="131"/>
      <c r="D951" s="131"/>
      <c r="E951" s="131"/>
      <c r="F951" s="131"/>
    </row>
    <row r="952">
      <c r="A952" s="131"/>
      <c r="B952" s="131"/>
      <c r="C952" s="131"/>
      <c r="D952" s="131"/>
      <c r="E952" s="131"/>
      <c r="F952" s="131"/>
    </row>
    <row r="953">
      <c r="A953" s="131"/>
      <c r="B953" s="131"/>
      <c r="C953" s="131"/>
      <c r="D953" s="131"/>
      <c r="E953" s="131"/>
      <c r="F953" s="131"/>
    </row>
    <row r="954">
      <c r="A954" s="131"/>
      <c r="B954" s="131"/>
      <c r="C954" s="131"/>
      <c r="D954" s="131"/>
      <c r="E954" s="131"/>
      <c r="F954" s="131"/>
    </row>
    <row r="955">
      <c r="A955" s="131"/>
      <c r="B955" s="131"/>
      <c r="C955" s="131"/>
      <c r="D955" s="131"/>
      <c r="E955" s="131"/>
      <c r="F955" s="131"/>
    </row>
    <row r="956">
      <c r="A956" s="131"/>
      <c r="B956" s="131"/>
      <c r="C956" s="131"/>
      <c r="D956" s="131"/>
      <c r="E956" s="131"/>
      <c r="F956" s="131"/>
    </row>
    <row r="957">
      <c r="A957" s="131"/>
      <c r="B957" s="131"/>
      <c r="C957" s="131"/>
      <c r="D957" s="131"/>
      <c r="E957" s="131"/>
      <c r="F957" s="131"/>
    </row>
    <row r="958">
      <c r="A958" s="131"/>
      <c r="B958" s="131"/>
      <c r="C958" s="131"/>
      <c r="D958" s="131"/>
      <c r="E958" s="131"/>
      <c r="F958" s="131"/>
    </row>
    <row r="959">
      <c r="A959" s="131"/>
      <c r="B959" s="131"/>
      <c r="C959" s="131"/>
      <c r="D959" s="131"/>
      <c r="E959" s="131"/>
      <c r="F959" s="131"/>
    </row>
    <row r="960">
      <c r="A960" s="131"/>
      <c r="B960" s="131"/>
      <c r="C960" s="131"/>
      <c r="D960" s="131"/>
      <c r="E960" s="131"/>
      <c r="F960" s="131"/>
    </row>
    <row r="961">
      <c r="A961" s="131"/>
      <c r="B961" s="131"/>
      <c r="C961" s="131"/>
      <c r="D961" s="131"/>
      <c r="E961" s="131"/>
      <c r="F961" s="131"/>
    </row>
    <row r="962">
      <c r="A962" s="131"/>
      <c r="B962" s="131"/>
      <c r="C962" s="131"/>
      <c r="D962" s="131"/>
      <c r="E962" s="131"/>
      <c r="F962" s="131"/>
    </row>
    <row r="963">
      <c r="A963" s="131"/>
      <c r="B963" s="131"/>
      <c r="C963" s="131"/>
      <c r="D963" s="131"/>
      <c r="E963" s="131"/>
      <c r="F963" s="131"/>
    </row>
    <row r="964">
      <c r="A964" s="131"/>
      <c r="B964" s="131"/>
      <c r="C964" s="131"/>
      <c r="D964" s="131"/>
      <c r="E964" s="131"/>
      <c r="F964" s="131"/>
    </row>
    <row r="965">
      <c r="A965" s="131"/>
      <c r="B965" s="131"/>
      <c r="C965" s="131"/>
      <c r="D965" s="131"/>
      <c r="E965" s="131"/>
      <c r="F965" s="131"/>
    </row>
    <row r="966">
      <c r="A966" s="131"/>
      <c r="B966" s="131"/>
      <c r="C966" s="131"/>
      <c r="D966" s="131"/>
      <c r="E966" s="131"/>
      <c r="F966" s="131"/>
    </row>
    <row r="967">
      <c r="A967" s="131"/>
      <c r="B967" s="131"/>
      <c r="C967" s="131"/>
      <c r="D967" s="131"/>
      <c r="E967" s="131"/>
      <c r="F967" s="131"/>
    </row>
    <row r="968">
      <c r="A968" s="131"/>
      <c r="B968" s="131"/>
      <c r="C968" s="131"/>
      <c r="D968" s="131"/>
      <c r="E968" s="131"/>
      <c r="F968" s="131"/>
    </row>
    <row r="969">
      <c r="A969" s="131"/>
      <c r="B969" s="131"/>
      <c r="C969" s="131"/>
      <c r="D969" s="131"/>
      <c r="E969" s="131"/>
      <c r="F969" s="131"/>
    </row>
    <row r="970">
      <c r="A970" s="131"/>
      <c r="B970" s="131"/>
      <c r="C970" s="131"/>
      <c r="D970" s="131"/>
      <c r="E970" s="131"/>
      <c r="F970" s="131"/>
    </row>
    <row r="971">
      <c r="A971" s="131"/>
      <c r="B971" s="131"/>
      <c r="C971" s="131"/>
      <c r="D971" s="131"/>
      <c r="E971" s="131"/>
      <c r="F971" s="131"/>
    </row>
    <row r="972">
      <c r="A972" s="131"/>
      <c r="B972" s="131"/>
      <c r="C972" s="131"/>
      <c r="D972" s="131"/>
      <c r="E972" s="131"/>
      <c r="F972" s="131"/>
    </row>
    <row r="973">
      <c r="A973" s="131"/>
      <c r="B973" s="131"/>
      <c r="C973" s="131"/>
      <c r="D973" s="131"/>
      <c r="E973" s="131"/>
      <c r="F973" s="131"/>
    </row>
    <row r="974">
      <c r="A974" s="131"/>
      <c r="B974" s="131"/>
      <c r="C974" s="131"/>
      <c r="D974" s="131"/>
      <c r="E974" s="131"/>
      <c r="F974" s="131"/>
    </row>
    <row r="975">
      <c r="A975" s="131"/>
      <c r="B975" s="131"/>
      <c r="C975" s="131"/>
      <c r="D975" s="131"/>
      <c r="E975" s="131"/>
      <c r="F975" s="131"/>
    </row>
    <row r="976">
      <c r="A976" s="131"/>
      <c r="B976" s="131"/>
      <c r="C976" s="131"/>
      <c r="D976" s="131"/>
      <c r="E976" s="131"/>
      <c r="F976" s="131"/>
    </row>
    <row r="977">
      <c r="A977" s="131"/>
      <c r="B977" s="131"/>
      <c r="C977" s="131"/>
      <c r="D977" s="131"/>
      <c r="E977" s="131"/>
      <c r="F977" s="131"/>
    </row>
    <row r="978">
      <c r="A978" s="131"/>
      <c r="B978" s="131"/>
      <c r="C978" s="131"/>
      <c r="D978" s="131"/>
      <c r="E978" s="131"/>
      <c r="F978" s="131"/>
    </row>
    <row r="979">
      <c r="A979" s="131"/>
      <c r="B979" s="131"/>
      <c r="C979" s="131"/>
      <c r="D979" s="131"/>
      <c r="E979" s="131"/>
      <c r="F979" s="131"/>
    </row>
    <row r="980">
      <c r="A980" s="131"/>
      <c r="B980" s="131"/>
      <c r="C980" s="131"/>
      <c r="D980" s="131"/>
      <c r="E980" s="131"/>
      <c r="F980" s="131"/>
    </row>
    <row r="981">
      <c r="A981" s="131"/>
      <c r="B981" s="131"/>
      <c r="C981" s="131"/>
      <c r="D981" s="131"/>
      <c r="E981" s="131"/>
      <c r="F981" s="131"/>
    </row>
    <row r="982">
      <c r="A982" s="131"/>
      <c r="B982" s="131"/>
      <c r="C982" s="131"/>
      <c r="D982" s="131"/>
      <c r="E982" s="131"/>
      <c r="F982" s="131"/>
    </row>
    <row r="983">
      <c r="A983" s="131"/>
      <c r="B983" s="131"/>
      <c r="C983" s="131"/>
      <c r="D983" s="131"/>
      <c r="E983" s="131"/>
      <c r="F983" s="131"/>
    </row>
    <row r="984">
      <c r="A984" s="131"/>
      <c r="B984" s="131"/>
      <c r="C984" s="131"/>
      <c r="D984" s="131"/>
      <c r="E984" s="131"/>
      <c r="F984" s="131"/>
    </row>
    <row r="985">
      <c r="A985" s="131"/>
      <c r="B985" s="131"/>
      <c r="C985" s="131"/>
      <c r="D985" s="131"/>
      <c r="E985" s="131"/>
      <c r="F985" s="131"/>
    </row>
    <row r="986">
      <c r="A986" s="131"/>
      <c r="B986" s="131"/>
      <c r="C986" s="131"/>
      <c r="D986" s="131"/>
      <c r="E986" s="131"/>
      <c r="F986" s="131"/>
    </row>
    <row r="987">
      <c r="A987" s="131"/>
      <c r="B987" s="131"/>
      <c r="C987" s="131"/>
      <c r="D987" s="131"/>
      <c r="E987" s="131"/>
      <c r="F987" s="131"/>
    </row>
    <row r="988">
      <c r="A988" s="131"/>
      <c r="B988" s="131"/>
      <c r="C988" s="131"/>
      <c r="D988" s="131"/>
      <c r="E988" s="131"/>
      <c r="F988" s="131"/>
    </row>
    <row r="989">
      <c r="A989" s="131"/>
      <c r="B989" s="131"/>
      <c r="C989" s="131"/>
      <c r="D989" s="131"/>
      <c r="E989" s="131"/>
      <c r="F989" s="131"/>
    </row>
    <row r="990">
      <c r="A990" s="131"/>
      <c r="B990" s="131"/>
      <c r="C990" s="131"/>
      <c r="D990" s="131"/>
      <c r="E990" s="131"/>
      <c r="F990" s="131"/>
    </row>
    <row r="991">
      <c r="A991" s="131"/>
      <c r="B991" s="131"/>
      <c r="C991" s="131"/>
      <c r="D991" s="131"/>
      <c r="E991" s="131"/>
      <c r="F991" s="131"/>
    </row>
    <row r="992">
      <c r="A992" s="131"/>
      <c r="B992" s="131"/>
      <c r="C992" s="131"/>
      <c r="D992" s="131"/>
      <c r="E992" s="131"/>
      <c r="F992" s="131"/>
    </row>
    <row r="993">
      <c r="A993" s="131"/>
      <c r="B993" s="131"/>
      <c r="C993" s="131"/>
      <c r="D993" s="131"/>
      <c r="E993" s="131"/>
      <c r="F993" s="131"/>
    </row>
    <row r="994">
      <c r="A994" s="131"/>
      <c r="B994" s="131"/>
      <c r="C994" s="131"/>
      <c r="D994" s="131"/>
      <c r="E994" s="131"/>
      <c r="F994" s="131"/>
    </row>
  </sheetData>
  <mergeCells count="12">
    <mergeCell ref="L500:P500"/>
    <mergeCell ref="Q500:W500"/>
    <mergeCell ref="G752:K752"/>
    <mergeCell ref="L752:P752"/>
    <mergeCell ref="Q752:W752"/>
    <mergeCell ref="G846:K846"/>
    <mergeCell ref="L846:P846"/>
    <mergeCell ref="Q846:W846"/>
    <mergeCell ref="G1:K1"/>
    <mergeCell ref="L1:P1"/>
    <mergeCell ref="Q1:W1"/>
    <mergeCell ref="G500:K500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2" max="22" width="16.29"/>
    <col customWidth="1" min="23" max="23" width="16.14"/>
  </cols>
  <sheetData>
    <row r="1">
      <c r="A1" s="86" t="s">
        <v>554</v>
      </c>
      <c r="B1" s="87" t="s">
        <v>26</v>
      </c>
      <c r="G1" s="121" t="s">
        <v>555</v>
      </c>
      <c r="H1" s="13"/>
      <c r="I1" s="13"/>
      <c r="J1" s="13"/>
      <c r="K1" s="14"/>
      <c r="L1" s="121" t="s">
        <v>556</v>
      </c>
      <c r="M1" s="13"/>
      <c r="N1" s="13"/>
      <c r="O1" s="13"/>
      <c r="P1" s="14"/>
      <c r="Q1" s="122" t="s">
        <v>33</v>
      </c>
      <c r="R1" s="13"/>
      <c r="S1" s="13"/>
      <c r="T1" s="13"/>
      <c r="U1" s="13"/>
      <c r="V1" s="13"/>
      <c r="W1" s="14"/>
    </row>
    <row r="2">
      <c r="A2" s="90" t="s">
        <v>41</v>
      </c>
      <c r="B2" s="90" t="s">
        <v>42</v>
      </c>
      <c r="C2" s="90" t="s">
        <v>43</v>
      </c>
      <c r="D2" s="90" t="s">
        <v>44</v>
      </c>
      <c r="E2" s="90" t="s">
        <v>45</v>
      </c>
      <c r="F2" s="90" t="s">
        <v>46</v>
      </c>
      <c r="G2" s="123" t="s">
        <v>557</v>
      </c>
      <c r="H2" s="124" t="s">
        <v>558</v>
      </c>
      <c r="I2" s="124" t="s">
        <v>559</v>
      </c>
      <c r="J2" s="125" t="s">
        <v>560</v>
      </c>
      <c r="K2" s="125" t="s">
        <v>561</v>
      </c>
      <c r="L2" s="126" t="s">
        <v>562</v>
      </c>
      <c r="M2" s="125" t="s">
        <v>563</v>
      </c>
      <c r="N2" s="125" t="s">
        <v>564</v>
      </c>
      <c r="O2" s="125" t="s">
        <v>565</v>
      </c>
      <c r="P2" s="127" t="s">
        <v>566</v>
      </c>
      <c r="Q2" s="128" t="s">
        <v>567</v>
      </c>
      <c r="R2" s="129" t="s">
        <v>568</v>
      </c>
      <c r="S2" s="129" t="s">
        <v>569</v>
      </c>
      <c r="T2" s="129" t="s">
        <v>570</v>
      </c>
      <c r="U2" s="129" t="s">
        <v>571</v>
      </c>
      <c r="V2" s="129" t="s">
        <v>572</v>
      </c>
      <c r="W2" s="130" t="s">
        <v>573</v>
      </c>
    </row>
    <row r="3">
      <c r="A3" s="131">
        <f>IFERROR(__xludf.DUMMYFUNCTION("QUERY(MASTERLIST!A3:F997, ""SELECT *"", 0)"),1.0)</f>
        <v>1</v>
      </c>
      <c r="B3" s="131"/>
      <c r="C3" s="131">
        <f>IFERROR(__xludf.DUMMYFUNCTION("""COMPUTED_VALUE"""),1.0)</f>
        <v>1</v>
      </c>
      <c r="D3" s="131" t="b">
        <f>IFERROR(__xludf.DUMMYFUNCTION("""COMPUTED_VALUE"""),TRUE)</f>
        <v>1</v>
      </c>
      <c r="E3" s="94" t="str">
        <f>IFERROR(__xludf.DUMMYFUNCTION("""COMPUTED_VALUE"""),"ARANDA")</f>
        <v>ARANDA</v>
      </c>
      <c r="F3" s="94" t="str">
        <f>IFERROR(__xludf.DUMMYFUNCTION("""COMPUTED_VALUE"""),"KAI")</f>
        <v>KAI</v>
      </c>
      <c r="G3" s="90"/>
      <c r="H3" s="90"/>
      <c r="K3" s="90"/>
      <c r="L3" s="90" t="b">
        <v>0</v>
      </c>
      <c r="M3" s="90" t="b">
        <v>0</v>
      </c>
      <c r="P3" s="90" t="b">
        <v>0</v>
      </c>
      <c r="Q3" s="90"/>
      <c r="R3" s="90"/>
      <c r="S3" s="90"/>
      <c r="T3" s="90"/>
      <c r="U3" s="90"/>
      <c r="V3" s="90"/>
      <c r="W3" s="90"/>
    </row>
    <row r="4">
      <c r="A4" s="131">
        <f>IFERROR(__xludf.DUMMYFUNCTION("""COMPUTED_VALUE"""),2.0)</f>
        <v>2</v>
      </c>
      <c r="B4" s="131"/>
      <c r="C4" s="131">
        <f>IFERROR(__xludf.DUMMYFUNCTION("""COMPUTED_VALUE"""),1.0)</f>
        <v>1</v>
      </c>
      <c r="D4" s="131" t="b">
        <f>IFERROR(__xludf.DUMMYFUNCTION("""COMPUTED_VALUE"""),FALSE)</f>
        <v>0</v>
      </c>
      <c r="E4" s="95" t="str">
        <f>IFERROR(__xludf.DUMMYFUNCTION("""COMPUTED_VALUE"""),"ARCILLA")</f>
        <v>ARCILLA</v>
      </c>
      <c r="F4" s="96" t="str">
        <f>IFERROR(__xludf.DUMMYFUNCTION("""COMPUTED_VALUE"""),"DANIELA")</f>
        <v>DANIELA</v>
      </c>
      <c r="G4" s="90"/>
    </row>
    <row r="5">
      <c r="A5" s="131">
        <f>IFERROR(__xludf.DUMMYFUNCTION("""COMPUTED_VALUE"""),3.0)</f>
        <v>3</v>
      </c>
      <c r="B5" s="131"/>
      <c r="C5" s="131">
        <f>IFERROR(__xludf.DUMMYFUNCTION("""COMPUTED_VALUE"""),1.0)</f>
        <v>1</v>
      </c>
      <c r="D5" s="131" t="b">
        <f>IFERROR(__xludf.DUMMYFUNCTION("""COMPUTED_VALUE"""),FALSE)</f>
        <v>0</v>
      </c>
      <c r="E5" s="95" t="str">
        <f>IFERROR(__xludf.DUMMYFUNCTION("""COMPUTED_VALUE"""),"ANDRE")</f>
        <v>ANDRE</v>
      </c>
      <c r="F5" s="96" t="str">
        <f>IFERROR(__xludf.DUMMYFUNCTION("""COMPUTED_VALUE"""),"CARLA")</f>
        <v>CARLA</v>
      </c>
    </row>
    <row r="6">
      <c r="A6" s="131">
        <f>IFERROR(__xludf.DUMMYFUNCTION("""COMPUTED_VALUE"""),4.0)</f>
        <v>4</v>
      </c>
      <c r="B6" s="131"/>
      <c r="C6" s="131">
        <f>IFERROR(__xludf.DUMMYFUNCTION("""COMPUTED_VALUE"""),1.0)</f>
        <v>1</v>
      </c>
      <c r="D6" s="131" t="b">
        <f>IFERROR(__xludf.DUMMYFUNCTION("""COMPUTED_VALUE"""),FALSE)</f>
        <v>0</v>
      </c>
      <c r="E6" s="96" t="str">
        <f>IFERROR(__xludf.DUMMYFUNCTION("""COMPUTED_VALUE"""),"BALDELOVAR")</f>
        <v>BALDELOVAR</v>
      </c>
      <c r="F6" s="96" t="str">
        <f>IFERROR(__xludf.DUMMYFUNCTION("""COMPUTED_VALUE"""),"LEANNE")</f>
        <v>LEANNE</v>
      </c>
    </row>
    <row r="7">
      <c r="A7" s="131">
        <f>IFERROR(__xludf.DUMMYFUNCTION("""COMPUTED_VALUE"""),5.0)</f>
        <v>5</v>
      </c>
      <c r="B7" s="131"/>
      <c r="C7" s="131">
        <f>IFERROR(__xludf.DUMMYFUNCTION("""COMPUTED_VALUE"""),1.0)</f>
        <v>1</v>
      </c>
      <c r="D7" s="131" t="b">
        <f>IFERROR(__xludf.DUMMYFUNCTION("""COMPUTED_VALUE"""),FALSE)</f>
        <v>0</v>
      </c>
      <c r="E7" s="96" t="str">
        <f>IFERROR(__xludf.DUMMYFUNCTION("""COMPUTED_VALUE"""),"BANTAYAN")</f>
        <v>BANTAYAN</v>
      </c>
      <c r="F7" s="96" t="str">
        <f>IFERROR(__xludf.DUMMYFUNCTION("""COMPUTED_VALUE"""),"EURASIA")</f>
        <v>EURASIA</v>
      </c>
    </row>
    <row r="8">
      <c r="A8" s="131">
        <f>IFERROR(__xludf.DUMMYFUNCTION("""COMPUTED_VALUE"""),6.0)</f>
        <v>6</v>
      </c>
      <c r="B8" s="131"/>
      <c r="C8" s="131">
        <f>IFERROR(__xludf.DUMMYFUNCTION("""COMPUTED_VALUE"""),1.0)</f>
        <v>1</v>
      </c>
      <c r="D8" s="131" t="b">
        <f>IFERROR(__xludf.DUMMYFUNCTION("""COMPUTED_VALUE"""),FALSE)</f>
        <v>0</v>
      </c>
      <c r="E8" s="96" t="str">
        <f>IFERROR(__xludf.DUMMYFUNCTION("""COMPUTED_VALUE"""),"BUCTOT")</f>
        <v>BUCTOT</v>
      </c>
      <c r="F8" s="96" t="str">
        <f>IFERROR(__xludf.DUMMYFUNCTION("""COMPUTED_VALUE"""),"JEZEBEL")</f>
        <v>JEZEBEL</v>
      </c>
    </row>
    <row r="9">
      <c r="A9" s="131">
        <f>IFERROR(__xludf.DUMMYFUNCTION("""COMPUTED_VALUE"""),7.0)</f>
        <v>7</v>
      </c>
      <c r="B9" s="131"/>
      <c r="C9" s="131">
        <f>IFERROR(__xludf.DUMMYFUNCTION("""COMPUTED_VALUE"""),1.0)</f>
        <v>1</v>
      </c>
      <c r="D9" s="131" t="b">
        <f>IFERROR(__xludf.DUMMYFUNCTION("""COMPUTED_VALUE"""),FALSE)</f>
        <v>0</v>
      </c>
      <c r="E9" s="96" t="str">
        <f>IFERROR(__xludf.DUMMYFUNCTION("""COMPUTED_VALUE"""),"ENCARNACION")</f>
        <v>ENCARNACION</v>
      </c>
      <c r="F9" s="96" t="str">
        <f>IFERROR(__xludf.DUMMYFUNCTION("""COMPUTED_VALUE"""),"KRISTEL")</f>
        <v>KRISTEL</v>
      </c>
    </row>
    <row r="10">
      <c r="A10" s="131">
        <f>IFERROR(__xludf.DUMMYFUNCTION("""COMPUTED_VALUE"""),8.0)</f>
        <v>8</v>
      </c>
      <c r="B10" s="131"/>
      <c r="C10" s="131">
        <f>IFERROR(__xludf.DUMMYFUNCTION("""COMPUTED_VALUE"""),1.0)</f>
        <v>1</v>
      </c>
      <c r="D10" s="131" t="b">
        <f>IFERROR(__xludf.DUMMYFUNCTION("""COMPUTED_VALUE"""),FALSE)</f>
        <v>0</v>
      </c>
      <c r="E10" s="96" t="str">
        <f>IFERROR(__xludf.DUMMYFUNCTION("""COMPUTED_VALUE"""),"GUTIERREZ")</f>
        <v>GUTIERREZ</v>
      </c>
      <c r="F10" s="96" t="str">
        <f>IFERROR(__xludf.DUMMYFUNCTION("""COMPUTED_VALUE"""),"PAOLA")</f>
        <v>PAOLA</v>
      </c>
    </row>
    <row r="11">
      <c r="A11" s="131">
        <f>IFERROR(__xludf.DUMMYFUNCTION("""COMPUTED_VALUE"""),9.0)</f>
        <v>9</v>
      </c>
      <c r="B11" s="131"/>
      <c r="C11" s="131">
        <f>IFERROR(__xludf.DUMMYFUNCTION("""COMPUTED_VALUE"""),1.0)</f>
        <v>1</v>
      </c>
      <c r="D11" s="131" t="b">
        <f>IFERROR(__xludf.DUMMYFUNCTION("""COMPUTED_VALUE"""),FALSE)</f>
        <v>0</v>
      </c>
      <c r="E11" s="96" t="str">
        <f>IFERROR(__xludf.DUMMYFUNCTION("""COMPUTED_VALUE"""),"HISPANO")</f>
        <v>HISPANO</v>
      </c>
      <c r="F11" s="96" t="str">
        <f>IFERROR(__xludf.DUMMYFUNCTION("""COMPUTED_VALUE"""),"HANNA")</f>
        <v>HANNA</v>
      </c>
    </row>
    <row r="12">
      <c r="A12" s="131">
        <f>IFERROR(__xludf.DUMMYFUNCTION("""COMPUTED_VALUE"""),10.0)</f>
        <v>10</v>
      </c>
      <c r="B12" s="131"/>
      <c r="C12" s="131">
        <f>IFERROR(__xludf.DUMMYFUNCTION("""COMPUTED_VALUE"""),1.0)</f>
        <v>1</v>
      </c>
      <c r="D12" s="131" t="b">
        <f>IFERROR(__xludf.DUMMYFUNCTION("""COMPUTED_VALUE"""),FALSE)</f>
        <v>0</v>
      </c>
      <c r="E12" s="96" t="str">
        <f>IFERROR(__xludf.DUMMYFUNCTION("""COMPUTED_VALUE"""),"MALOLOY-ON")</f>
        <v>MALOLOY-ON</v>
      </c>
      <c r="F12" s="96" t="str">
        <f>IFERROR(__xludf.DUMMYFUNCTION("""COMPUTED_VALUE"""),"MARIANA")</f>
        <v>MARIANA</v>
      </c>
    </row>
    <row r="13">
      <c r="A13" s="131">
        <f>IFERROR(__xludf.DUMMYFUNCTION("""COMPUTED_VALUE"""),11.0)</f>
        <v>11</v>
      </c>
      <c r="B13" s="131"/>
      <c r="C13" s="131">
        <f>IFERROR(__xludf.DUMMYFUNCTION("""COMPUTED_VALUE"""),1.0)</f>
        <v>1</v>
      </c>
      <c r="D13" s="131" t="b">
        <f>IFERROR(__xludf.DUMMYFUNCTION("""COMPUTED_VALUE"""),FALSE)</f>
        <v>0</v>
      </c>
      <c r="E13" s="96" t="str">
        <f>IFERROR(__xludf.DUMMYFUNCTION("""COMPUTED_VALUE"""),"MALOLOY-ON")</f>
        <v>MALOLOY-ON</v>
      </c>
      <c r="F13" s="96" t="str">
        <f>IFERROR(__xludf.DUMMYFUNCTION("""COMPUTED_VALUE"""),"JOISEALAY")</f>
        <v>JOISEALAY</v>
      </c>
    </row>
    <row r="14">
      <c r="A14" s="131">
        <f>IFERROR(__xludf.DUMMYFUNCTION("""COMPUTED_VALUE"""),12.0)</f>
        <v>12</v>
      </c>
      <c r="B14" s="131"/>
      <c r="C14" s="131">
        <f>IFERROR(__xludf.DUMMYFUNCTION("""COMPUTED_VALUE"""),1.0)</f>
        <v>1</v>
      </c>
      <c r="D14" s="131" t="b">
        <f>IFERROR(__xludf.DUMMYFUNCTION("""COMPUTED_VALUE"""),FALSE)</f>
        <v>0</v>
      </c>
      <c r="E14" s="96" t="str">
        <f>IFERROR(__xludf.DUMMYFUNCTION("""COMPUTED_VALUE"""),"ORQUIA")</f>
        <v>ORQUIA</v>
      </c>
      <c r="F14" s="96" t="str">
        <f>IFERROR(__xludf.DUMMYFUNCTION("""COMPUTED_VALUE"""),"KAYLA")</f>
        <v>KAYLA</v>
      </c>
    </row>
    <row r="15">
      <c r="A15" s="131">
        <f>IFERROR(__xludf.DUMMYFUNCTION("""COMPUTED_VALUE"""),13.0)</f>
        <v>13</v>
      </c>
      <c r="B15" s="131"/>
      <c r="C15" s="131">
        <f>IFERROR(__xludf.DUMMYFUNCTION("""COMPUTED_VALUE"""),1.0)</f>
        <v>1</v>
      </c>
      <c r="D15" s="131" t="b">
        <f>IFERROR(__xludf.DUMMYFUNCTION("""COMPUTED_VALUE"""),FALSE)</f>
        <v>0</v>
      </c>
      <c r="E15" s="96" t="str">
        <f>IFERROR(__xludf.DUMMYFUNCTION("""COMPUTED_VALUE"""),"PIGAO")</f>
        <v>PIGAO</v>
      </c>
      <c r="F15" s="96" t="str">
        <f>IFERROR(__xludf.DUMMYFUNCTION("""COMPUTED_VALUE"""),"HANNAH")</f>
        <v>HANNAH</v>
      </c>
    </row>
    <row r="16">
      <c r="A16" s="131">
        <f>IFERROR(__xludf.DUMMYFUNCTION("""COMPUTED_VALUE"""),14.0)</f>
        <v>14</v>
      </c>
      <c r="B16" s="131"/>
      <c r="C16" s="131">
        <f>IFERROR(__xludf.DUMMYFUNCTION("""COMPUTED_VALUE"""),1.0)</f>
        <v>1</v>
      </c>
      <c r="D16" s="131" t="b">
        <f>IFERROR(__xludf.DUMMYFUNCTION("""COMPUTED_VALUE"""),FALSE)</f>
        <v>0</v>
      </c>
      <c r="E16" s="96" t="str">
        <f>IFERROR(__xludf.DUMMYFUNCTION("""COMPUTED_VALUE"""),"RELEVO")</f>
        <v>RELEVO</v>
      </c>
      <c r="F16" s="96" t="str">
        <f>IFERROR(__xludf.DUMMYFUNCTION("""COMPUTED_VALUE"""),"RICA")</f>
        <v>RICA</v>
      </c>
    </row>
    <row r="17">
      <c r="A17" s="131">
        <f>IFERROR(__xludf.DUMMYFUNCTION("""COMPUTED_VALUE"""),15.0)</f>
        <v>15</v>
      </c>
      <c r="B17" s="131"/>
      <c r="C17" s="131">
        <f>IFERROR(__xludf.DUMMYFUNCTION("""COMPUTED_VALUE"""),1.0)</f>
        <v>1</v>
      </c>
      <c r="D17" s="131" t="b">
        <f>IFERROR(__xludf.DUMMYFUNCTION("""COMPUTED_VALUE"""),FALSE)</f>
        <v>0</v>
      </c>
      <c r="E17" s="97" t="str">
        <f>IFERROR(__xludf.DUMMYFUNCTION("""COMPUTED_VALUE"""),"REYES")</f>
        <v>REYES</v>
      </c>
      <c r="F17" s="97" t="str">
        <f>IFERROR(__xludf.DUMMYFUNCTION("""COMPUTED_VALUE"""),"ARIANNE")</f>
        <v>ARIANNE</v>
      </c>
    </row>
    <row r="18">
      <c r="A18" s="131">
        <f>IFERROR(__xludf.DUMMYFUNCTION("""COMPUTED_VALUE"""),16.0)</f>
        <v>16</v>
      </c>
      <c r="B18" s="131"/>
      <c r="C18" s="131">
        <f>IFERROR(__xludf.DUMMYFUNCTION("""COMPUTED_VALUE"""),1.0)</f>
        <v>1</v>
      </c>
      <c r="D18" s="131" t="b">
        <f>IFERROR(__xludf.DUMMYFUNCTION("""COMPUTED_VALUE"""),FALSE)</f>
        <v>0</v>
      </c>
      <c r="E18" s="96" t="str">
        <f>IFERROR(__xludf.DUMMYFUNCTION("""COMPUTED_VALUE"""),"ROMANO")</f>
        <v>ROMANO</v>
      </c>
      <c r="F18" s="96" t="str">
        <f>IFERROR(__xludf.DUMMYFUNCTION("""COMPUTED_VALUE"""),"ROZANE")</f>
        <v>ROZANE</v>
      </c>
    </row>
    <row r="19">
      <c r="A19" s="131">
        <f>IFERROR(__xludf.DUMMYFUNCTION("""COMPUTED_VALUE"""),17.0)</f>
        <v>17</v>
      </c>
      <c r="B19" s="131"/>
      <c r="C19" s="131">
        <f>IFERROR(__xludf.DUMMYFUNCTION("""COMPUTED_VALUE"""),1.0)</f>
        <v>1</v>
      </c>
      <c r="D19" s="131" t="b">
        <f>IFERROR(__xludf.DUMMYFUNCTION("""COMPUTED_VALUE"""),FALSE)</f>
        <v>0</v>
      </c>
      <c r="E19" s="96" t="str">
        <f>IFERROR(__xludf.DUMMYFUNCTION("""COMPUTED_VALUE"""),"SEBASTIAN")</f>
        <v>SEBASTIAN</v>
      </c>
      <c r="F19" s="96" t="str">
        <f>IFERROR(__xludf.DUMMYFUNCTION("""COMPUTED_VALUE"""),"JENNIFER")</f>
        <v>JENNIFER</v>
      </c>
    </row>
    <row r="20">
      <c r="A20" s="131">
        <f>IFERROR(__xludf.DUMMYFUNCTION("""COMPUTED_VALUE"""),18.0)</f>
        <v>18</v>
      </c>
      <c r="B20" s="131"/>
      <c r="C20" s="131">
        <f>IFERROR(__xludf.DUMMYFUNCTION("""COMPUTED_VALUE"""),1.0)</f>
        <v>1</v>
      </c>
      <c r="D20" s="131" t="b">
        <f>IFERROR(__xludf.DUMMYFUNCTION("""COMPUTED_VALUE"""),FALSE)</f>
        <v>0</v>
      </c>
      <c r="E20" s="96" t="str">
        <f>IFERROR(__xludf.DUMMYFUNCTION("""COMPUTED_VALUE"""),"SIMON")</f>
        <v>SIMON</v>
      </c>
      <c r="F20" s="96" t="str">
        <f>IFERROR(__xludf.DUMMYFUNCTION("""COMPUTED_VALUE"""),"SHERRIE")</f>
        <v>SHERRIE</v>
      </c>
    </row>
    <row r="21">
      <c r="A21" s="131">
        <f>IFERROR(__xludf.DUMMYFUNCTION("""COMPUTED_VALUE"""),19.0)</f>
        <v>19</v>
      </c>
      <c r="B21" s="131">
        <f>IFERROR(__xludf.DUMMYFUNCTION("""COMPUTED_VALUE"""),15.0)</f>
        <v>15</v>
      </c>
      <c r="C21" s="131">
        <f>IFERROR(__xludf.DUMMYFUNCTION("""COMPUTED_VALUE"""),1.0)</f>
        <v>1</v>
      </c>
      <c r="D21" s="131" t="b">
        <f>IFERROR(__xludf.DUMMYFUNCTION("""COMPUTED_VALUE"""),FALSE)</f>
        <v>0</v>
      </c>
      <c r="E21" s="96" t="str">
        <f>IFERROR(__xludf.DUMMYFUNCTION("""COMPUTED_VALUE"""),"TAMIDLES")</f>
        <v>TAMIDLES</v>
      </c>
      <c r="F21" s="96" t="str">
        <f>IFERROR(__xludf.DUMMYFUNCTION("""COMPUTED_VALUE"""),"CZARINA")</f>
        <v>CZARINA</v>
      </c>
    </row>
    <row r="22">
      <c r="A22" s="131">
        <f>IFERROR(__xludf.DUMMYFUNCTION("""COMPUTED_VALUE"""),20.0)</f>
        <v>20</v>
      </c>
      <c r="B22" s="131">
        <f>IFERROR(__xludf.DUMMYFUNCTION("""COMPUTED_VALUE"""),15.0)</f>
        <v>15</v>
      </c>
      <c r="C22" s="131">
        <f>IFERROR(__xludf.DUMMYFUNCTION("""COMPUTED_VALUE"""),1.0)</f>
        <v>1</v>
      </c>
      <c r="D22" s="131" t="b">
        <f>IFERROR(__xludf.DUMMYFUNCTION("""COMPUTED_VALUE"""),FALSE)</f>
        <v>0</v>
      </c>
      <c r="E22" s="96" t="str">
        <f>IFERROR(__xludf.DUMMYFUNCTION("""COMPUTED_VALUE"""),"ULAN")</f>
        <v>ULAN</v>
      </c>
      <c r="F22" s="96" t="str">
        <f>IFERROR(__xludf.DUMMYFUNCTION("""COMPUTED_VALUE"""),"MCWAYNE")</f>
        <v>MCWAYNE</v>
      </c>
    </row>
    <row r="23">
      <c r="A23" s="131">
        <f>IFERROR(__xludf.DUMMYFUNCTION("""COMPUTED_VALUE"""),21.0)</f>
        <v>21</v>
      </c>
      <c r="B23" s="131"/>
      <c r="C23" s="131">
        <f>IFERROR(__xludf.DUMMYFUNCTION("""COMPUTED_VALUE"""),1.0)</f>
        <v>1</v>
      </c>
      <c r="D23" s="131" t="b">
        <f>IFERROR(__xludf.DUMMYFUNCTION("""COMPUTED_VALUE"""),FALSE)</f>
        <v>0</v>
      </c>
      <c r="E23" s="96" t="str">
        <f>IFERROR(__xludf.DUMMYFUNCTION("""COMPUTED_VALUE"""),"VILLARTA")</f>
        <v>VILLARTA</v>
      </c>
      <c r="F23" s="96" t="str">
        <f>IFERROR(__xludf.DUMMYFUNCTION("""COMPUTED_VALUE"""),"JERICKA")</f>
        <v>JERICKA</v>
      </c>
    </row>
    <row r="24">
      <c r="A24" s="131">
        <f>IFERROR(__xludf.DUMMYFUNCTION("""COMPUTED_VALUE"""),22.0)</f>
        <v>22</v>
      </c>
      <c r="B24" s="131"/>
      <c r="C24" s="131"/>
      <c r="D24" s="131" t="b">
        <f>IFERROR(__xludf.DUMMYFUNCTION("""COMPUTED_VALUE"""),FALSE)</f>
        <v>0</v>
      </c>
      <c r="E24" s="98"/>
      <c r="F24" s="96" t="str">
        <f>IFERROR(__xludf.DUMMYFUNCTION("""COMPUTED_VALUE"""),"ANGEL")</f>
        <v>ANGEL</v>
      </c>
    </row>
    <row r="25">
      <c r="A25" s="131">
        <f>IFERROR(__xludf.DUMMYFUNCTION("""COMPUTED_VALUE"""),23.0)</f>
        <v>23</v>
      </c>
      <c r="B25" s="131"/>
      <c r="C25" s="131">
        <f>IFERROR(__xludf.DUMMYFUNCTION("""COMPUTED_VALUE"""),23.0)</f>
        <v>23</v>
      </c>
      <c r="D25" s="131" t="b">
        <f>IFERROR(__xludf.DUMMYFUNCTION("""COMPUTED_VALUE"""),TRUE)</f>
        <v>1</v>
      </c>
      <c r="E25" s="99" t="str">
        <f>IFERROR(__xludf.DUMMYFUNCTION("""COMPUTED_VALUE"""),"AVANCENA")</f>
        <v>AVANCENA</v>
      </c>
      <c r="F25" s="99" t="str">
        <f>IFERROR(__xludf.DUMMYFUNCTION("""COMPUTED_VALUE"""),"AIMEE")</f>
        <v>AIMEE</v>
      </c>
      <c r="G25" s="90" t="s">
        <v>4</v>
      </c>
      <c r="I25" s="90" t="s">
        <v>4</v>
      </c>
      <c r="L25" s="90" t="b">
        <v>1</v>
      </c>
      <c r="N25" s="90" t="b">
        <v>1</v>
      </c>
    </row>
    <row r="26">
      <c r="A26" s="131">
        <f>IFERROR(__xludf.DUMMYFUNCTION("""COMPUTED_VALUE"""),24.0)</f>
        <v>24</v>
      </c>
      <c r="B26" s="131"/>
      <c r="C26" s="131">
        <f>IFERROR(__xludf.DUMMYFUNCTION("""COMPUTED_VALUE"""),23.0)</f>
        <v>23</v>
      </c>
      <c r="D26" s="131" t="b">
        <f>IFERROR(__xludf.DUMMYFUNCTION("""COMPUTED_VALUE"""),FALSE)</f>
        <v>0</v>
      </c>
      <c r="E26" s="100" t="str">
        <f>IFERROR(__xludf.DUMMYFUNCTION("""COMPUTED_VALUE"""),"CABO")</f>
        <v>CABO</v>
      </c>
      <c r="F26" s="100" t="str">
        <f>IFERROR(__xludf.DUMMYFUNCTION("""COMPUTED_VALUE"""),"MELANIE")</f>
        <v>MELANIE</v>
      </c>
      <c r="G26" s="90" t="s">
        <v>4</v>
      </c>
      <c r="I26" s="90" t="s">
        <v>4</v>
      </c>
      <c r="L26" s="90" t="b">
        <v>1</v>
      </c>
      <c r="N26" s="90" t="b">
        <v>1</v>
      </c>
    </row>
    <row r="27">
      <c r="A27" s="131">
        <f>IFERROR(__xludf.DUMMYFUNCTION("""COMPUTED_VALUE"""),25.0)</f>
        <v>25</v>
      </c>
      <c r="B27" s="131">
        <f>IFERROR(__xludf.DUMMYFUNCTION("""COMPUTED_VALUE"""),24.0)</f>
        <v>24</v>
      </c>
      <c r="C27" s="131">
        <f>IFERROR(__xludf.DUMMYFUNCTION("""COMPUTED_VALUE"""),23.0)</f>
        <v>23</v>
      </c>
      <c r="D27" s="131" t="b">
        <f>IFERROR(__xludf.DUMMYFUNCTION("""COMPUTED_VALUE"""),FALSE)</f>
        <v>0</v>
      </c>
      <c r="E27" s="100" t="str">
        <f>IFERROR(__xludf.DUMMYFUNCTION("""COMPUTED_VALUE"""),"CARLOS")</f>
        <v>CARLOS</v>
      </c>
      <c r="F27" s="100" t="str">
        <f>IFERROR(__xludf.DUMMYFUNCTION("""COMPUTED_VALUE"""),"FRANCINE")</f>
        <v>FRANCINE</v>
      </c>
    </row>
    <row r="28">
      <c r="A28" s="131">
        <f>IFERROR(__xludf.DUMMYFUNCTION("""COMPUTED_VALUE"""),26.0)</f>
        <v>26</v>
      </c>
      <c r="B28" s="131"/>
      <c r="C28" s="131">
        <f>IFERROR(__xludf.DUMMYFUNCTION("""COMPUTED_VALUE"""),23.0)</f>
        <v>23</v>
      </c>
      <c r="D28" s="131" t="b">
        <f>IFERROR(__xludf.DUMMYFUNCTION("""COMPUTED_VALUE"""),FALSE)</f>
        <v>0</v>
      </c>
      <c r="E28" s="100" t="str">
        <f>IFERROR(__xludf.DUMMYFUNCTION("""COMPUTED_VALUE"""),"DALIOAN")</f>
        <v>DALIOAN</v>
      </c>
      <c r="F28" s="100" t="str">
        <f>IFERROR(__xludf.DUMMYFUNCTION("""COMPUTED_VALUE"""),"MONIQUE")</f>
        <v>MONIQUE</v>
      </c>
    </row>
    <row r="29">
      <c r="A29" s="131">
        <f>IFERROR(__xludf.DUMMYFUNCTION("""COMPUTED_VALUE"""),27.0)</f>
        <v>27</v>
      </c>
      <c r="B29" s="131"/>
      <c r="C29" s="131">
        <f>IFERROR(__xludf.DUMMYFUNCTION("""COMPUTED_VALUE"""),23.0)</f>
        <v>23</v>
      </c>
      <c r="D29" s="131" t="b">
        <f>IFERROR(__xludf.DUMMYFUNCTION("""COMPUTED_VALUE"""),FALSE)</f>
        <v>0</v>
      </c>
      <c r="E29" s="100" t="str">
        <f>IFERROR(__xludf.DUMMYFUNCTION("""COMPUTED_VALUE"""),"GELICAME")</f>
        <v>GELICAME</v>
      </c>
      <c r="F29" s="100" t="str">
        <f>IFERROR(__xludf.DUMMYFUNCTION("""COMPUTED_VALUE"""),"ARYHANA")</f>
        <v>ARYHANA</v>
      </c>
      <c r="G29" s="90" t="s">
        <v>4</v>
      </c>
      <c r="I29" s="90" t="s">
        <v>4</v>
      </c>
      <c r="L29" s="90" t="b">
        <v>1</v>
      </c>
      <c r="N29" s="90" t="b">
        <v>1</v>
      </c>
    </row>
    <row r="30">
      <c r="A30" s="131">
        <f>IFERROR(__xludf.DUMMYFUNCTION("""COMPUTED_VALUE"""),28.0)</f>
        <v>28</v>
      </c>
      <c r="B30" s="131"/>
      <c r="C30" s="131">
        <f>IFERROR(__xludf.DUMMYFUNCTION("""COMPUTED_VALUE"""),23.0)</f>
        <v>23</v>
      </c>
      <c r="D30" s="131" t="b">
        <f>IFERROR(__xludf.DUMMYFUNCTION("""COMPUTED_VALUE"""),FALSE)</f>
        <v>0</v>
      </c>
      <c r="E30" s="100" t="str">
        <f>IFERROR(__xludf.DUMMYFUNCTION("""COMPUTED_VALUE"""),"GUIMONG")</f>
        <v>GUIMONG</v>
      </c>
      <c r="F30" s="100" t="str">
        <f>IFERROR(__xludf.DUMMYFUNCTION("""COMPUTED_VALUE"""),"FAITH")</f>
        <v>FAITH</v>
      </c>
    </row>
    <row r="31">
      <c r="A31" s="131">
        <f>IFERROR(__xludf.DUMMYFUNCTION("""COMPUTED_VALUE"""),29.0)</f>
        <v>29</v>
      </c>
      <c r="B31" s="131"/>
      <c r="C31" s="131">
        <f>IFERROR(__xludf.DUMMYFUNCTION("""COMPUTED_VALUE"""),23.0)</f>
        <v>23</v>
      </c>
      <c r="D31" s="131" t="b">
        <f>IFERROR(__xludf.DUMMYFUNCTION("""COMPUTED_VALUE"""),FALSE)</f>
        <v>0</v>
      </c>
      <c r="E31" s="100" t="str">
        <f>IFERROR(__xludf.DUMMYFUNCTION("""COMPUTED_VALUE"""),"MANALOTO")</f>
        <v>MANALOTO</v>
      </c>
      <c r="F31" s="100" t="str">
        <f>IFERROR(__xludf.DUMMYFUNCTION("""COMPUTED_VALUE"""),"YOSHA")</f>
        <v>YOSHA</v>
      </c>
    </row>
    <row r="32">
      <c r="A32" s="131">
        <f>IFERROR(__xludf.DUMMYFUNCTION("""COMPUTED_VALUE"""),30.0)</f>
        <v>30</v>
      </c>
      <c r="B32" s="131"/>
      <c r="C32" s="131">
        <f>IFERROR(__xludf.DUMMYFUNCTION("""COMPUTED_VALUE"""),23.0)</f>
        <v>23</v>
      </c>
      <c r="D32" s="131" t="b">
        <f>IFERROR(__xludf.DUMMYFUNCTION("""COMPUTED_VALUE"""),FALSE)</f>
        <v>0</v>
      </c>
      <c r="E32" s="100" t="str">
        <f>IFERROR(__xludf.DUMMYFUNCTION("""COMPUTED_VALUE"""),"MARINAS")</f>
        <v>MARINAS</v>
      </c>
      <c r="F32" s="100" t="str">
        <f>IFERROR(__xludf.DUMMYFUNCTION("""COMPUTED_VALUE"""),"CHERRY")</f>
        <v>CHERRY</v>
      </c>
    </row>
    <row r="33">
      <c r="A33" s="131">
        <f>IFERROR(__xludf.DUMMYFUNCTION("""COMPUTED_VALUE"""),31.0)</f>
        <v>31</v>
      </c>
      <c r="B33" s="131"/>
      <c r="C33" s="131">
        <f>IFERROR(__xludf.DUMMYFUNCTION("""COMPUTED_VALUE"""),23.0)</f>
        <v>23</v>
      </c>
      <c r="D33" s="131" t="b">
        <f>IFERROR(__xludf.DUMMYFUNCTION("""COMPUTED_VALUE"""),FALSE)</f>
        <v>0</v>
      </c>
      <c r="E33" s="101" t="str">
        <f>IFERROR(__xludf.DUMMYFUNCTION("""COMPUTED_VALUE"""),"JIMENEZ")</f>
        <v>JIMENEZ</v>
      </c>
      <c r="F33" s="101" t="str">
        <f>IFERROR(__xludf.DUMMYFUNCTION("""COMPUTED_VALUE"""),"RUTH JHAMELA")</f>
        <v>RUTH JHAMELA</v>
      </c>
    </row>
    <row r="34">
      <c r="A34" s="131">
        <f>IFERROR(__xludf.DUMMYFUNCTION("""COMPUTED_VALUE"""),32.0)</f>
        <v>32</v>
      </c>
      <c r="B34" s="131"/>
      <c r="C34" s="131">
        <f>IFERROR(__xludf.DUMMYFUNCTION("""COMPUTED_VALUE"""),23.0)</f>
        <v>23</v>
      </c>
      <c r="D34" s="131" t="b">
        <f>IFERROR(__xludf.DUMMYFUNCTION("""COMPUTED_VALUE"""),FALSE)</f>
        <v>0</v>
      </c>
      <c r="E34" s="100" t="str">
        <f>IFERROR(__xludf.DUMMYFUNCTION("""COMPUTED_VALUE"""),"GUILLERMO")</f>
        <v>GUILLERMO</v>
      </c>
      <c r="F34" s="100" t="str">
        <f>IFERROR(__xludf.DUMMYFUNCTION("""COMPUTED_VALUE"""),"STAR")</f>
        <v>STAR</v>
      </c>
    </row>
    <row r="35">
      <c r="A35" s="131">
        <f>IFERROR(__xludf.DUMMYFUNCTION("""COMPUTED_VALUE"""),33.0)</f>
        <v>33</v>
      </c>
      <c r="B35" s="131"/>
      <c r="C35" s="131">
        <f>IFERROR(__xludf.DUMMYFUNCTION("""COMPUTED_VALUE"""),23.0)</f>
        <v>23</v>
      </c>
      <c r="D35" s="131" t="b">
        <f>IFERROR(__xludf.DUMMYFUNCTION("""COMPUTED_VALUE"""),FALSE)</f>
        <v>0</v>
      </c>
      <c r="E35" s="100" t="str">
        <f>IFERROR(__xludf.DUMMYFUNCTION("""COMPUTED_VALUE"""),"CATENZA")</f>
        <v>CATENZA</v>
      </c>
      <c r="F35" s="100" t="str">
        <f>IFERROR(__xludf.DUMMYFUNCTION("""COMPUTED_VALUE"""),"PRINCESS")</f>
        <v>PRINCESS</v>
      </c>
    </row>
    <row r="36">
      <c r="A36" s="131">
        <f>IFERROR(__xludf.DUMMYFUNCTION("""COMPUTED_VALUE"""),34.0)</f>
        <v>34</v>
      </c>
      <c r="B36" s="131"/>
      <c r="C36" s="131">
        <f>IFERROR(__xludf.DUMMYFUNCTION("""COMPUTED_VALUE"""),23.0)</f>
        <v>23</v>
      </c>
      <c r="D36" s="131" t="b">
        <f>IFERROR(__xludf.DUMMYFUNCTION("""COMPUTED_VALUE"""),FALSE)</f>
        <v>0</v>
      </c>
      <c r="E36" s="102" t="str">
        <f>IFERROR(__xludf.DUMMYFUNCTION("""COMPUTED_VALUE"""),"GORDON")</f>
        <v>GORDON</v>
      </c>
      <c r="F36" s="102" t="str">
        <f>IFERROR(__xludf.DUMMYFUNCTION("""COMPUTED_VALUE"""),"HARRY")</f>
        <v>HARRY</v>
      </c>
    </row>
    <row r="37">
      <c r="A37" s="131">
        <f>IFERROR(__xludf.DUMMYFUNCTION("""COMPUTED_VALUE"""),35.0)</f>
        <v>35</v>
      </c>
      <c r="B37" s="131"/>
      <c r="C37" s="131">
        <f>IFERROR(__xludf.DUMMYFUNCTION("""COMPUTED_VALUE"""),23.0)</f>
        <v>23</v>
      </c>
      <c r="D37" s="131" t="b">
        <f>IFERROR(__xludf.DUMMYFUNCTION("""COMPUTED_VALUE"""),FALSE)</f>
        <v>0</v>
      </c>
      <c r="E37" s="103" t="str">
        <f>IFERROR(__xludf.DUMMYFUNCTION("""COMPUTED_VALUE"""),"AVILLANO")</f>
        <v>AVILLANO</v>
      </c>
      <c r="F37" s="103" t="str">
        <f>IFERROR(__xludf.DUMMYFUNCTION("""COMPUTED_VALUE"""),"ANGEL DIANNE")</f>
        <v>ANGEL DIANNE</v>
      </c>
    </row>
    <row r="38">
      <c r="A38" s="131">
        <f>IFERROR(__xludf.DUMMYFUNCTION("""COMPUTED_VALUE"""),36.0)</f>
        <v>36</v>
      </c>
      <c r="B38" s="131"/>
      <c r="C38" s="131">
        <f>IFERROR(__xludf.DUMMYFUNCTION("""COMPUTED_VALUE"""),23.0)</f>
        <v>23</v>
      </c>
      <c r="D38" s="131" t="b">
        <f>IFERROR(__xludf.DUMMYFUNCTION("""COMPUTED_VALUE"""),FALSE)</f>
        <v>0</v>
      </c>
      <c r="E38" s="103" t="str">
        <f>IFERROR(__xludf.DUMMYFUNCTION("""COMPUTED_VALUE"""),"BALTAZAR")</f>
        <v>BALTAZAR</v>
      </c>
      <c r="F38" s="103" t="str">
        <f>IFERROR(__xludf.DUMMYFUNCTION("""COMPUTED_VALUE"""),"ARSTON")</f>
        <v>ARSTON</v>
      </c>
    </row>
    <row r="39">
      <c r="A39" s="131">
        <f>IFERROR(__xludf.DUMMYFUNCTION("""COMPUTED_VALUE"""),37.0)</f>
        <v>37</v>
      </c>
      <c r="B39" s="131"/>
      <c r="C39" s="131">
        <f>IFERROR(__xludf.DUMMYFUNCTION("""COMPUTED_VALUE"""),23.0)</f>
        <v>23</v>
      </c>
      <c r="D39" s="131" t="b">
        <f>IFERROR(__xludf.DUMMYFUNCTION("""COMPUTED_VALUE"""),FALSE)</f>
        <v>0</v>
      </c>
      <c r="E39" s="102" t="str">
        <f>IFERROR(__xludf.DUMMYFUNCTION("""COMPUTED_VALUE"""),"SISON")</f>
        <v>SISON</v>
      </c>
      <c r="F39" s="103" t="str">
        <f>IFERROR(__xludf.DUMMYFUNCTION("""COMPUTED_VALUE"""),"KRISTA MAE")</f>
        <v>KRISTA MAE</v>
      </c>
    </row>
    <row r="40">
      <c r="A40" s="131">
        <f>IFERROR(__xludf.DUMMYFUNCTION("""COMPUTED_VALUE"""),38.0)</f>
        <v>38</v>
      </c>
      <c r="B40" s="131"/>
      <c r="C40" s="131">
        <f>IFERROR(__xludf.DUMMYFUNCTION("""COMPUTED_VALUE"""),23.0)</f>
        <v>23</v>
      </c>
      <c r="D40" s="131" t="b">
        <f>IFERROR(__xludf.DUMMYFUNCTION("""COMPUTED_VALUE"""),FALSE)</f>
        <v>0</v>
      </c>
      <c r="E40" s="103" t="str">
        <f>IFERROR(__xludf.DUMMYFUNCTION("""COMPUTED_VALUE"""),"GARCIA")</f>
        <v>GARCIA</v>
      </c>
      <c r="F40" s="103" t="str">
        <f>IFERROR(__xludf.DUMMYFUNCTION("""COMPUTED_VALUE"""),"SELTHIEL")</f>
        <v>SELTHIEL</v>
      </c>
    </row>
    <row r="41">
      <c r="A41" s="131">
        <f>IFERROR(__xludf.DUMMYFUNCTION("""COMPUTED_VALUE"""),39.0)</f>
        <v>39</v>
      </c>
      <c r="B41" s="131"/>
      <c r="C41" s="131">
        <f>IFERROR(__xludf.DUMMYFUNCTION("""COMPUTED_VALUE"""),23.0)</f>
        <v>23</v>
      </c>
      <c r="D41" s="131" t="b">
        <f>IFERROR(__xludf.DUMMYFUNCTION("""COMPUTED_VALUE"""),FALSE)</f>
        <v>0</v>
      </c>
      <c r="E41" s="103" t="str">
        <f>IFERROR(__xludf.DUMMYFUNCTION("""COMPUTED_VALUE"""),"HIJARA")</f>
        <v>HIJARA</v>
      </c>
      <c r="F41" s="103" t="str">
        <f>IFERROR(__xludf.DUMMYFUNCTION("""COMPUTED_VALUE"""),"JAIHMIER VIELLE")</f>
        <v>JAIHMIER VIELLE</v>
      </c>
    </row>
    <row r="42">
      <c r="A42" s="131">
        <f>IFERROR(__xludf.DUMMYFUNCTION("""COMPUTED_VALUE"""),40.0)</f>
        <v>40</v>
      </c>
      <c r="B42" s="131"/>
      <c r="C42" s="131">
        <f>IFERROR(__xludf.DUMMYFUNCTION("""COMPUTED_VALUE"""),23.0)</f>
        <v>23</v>
      </c>
      <c r="D42" s="131" t="b">
        <f>IFERROR(__xludf.DUMMYFUNCTION("""COMPUTED_VALUE"""),FALSE)</f>
        <v>0</v>
      </c>
      <c r="E42" s="103" t="str">
        <f>IFERROR(__xludf.DUMMYFUNCTION("""COMPUTED_VALUE"""),"MAGBANUA")</f>
        <v>MAGBANUA</v>
      </c>
      <c r="F42" s="103" t="str">
        <f>IFERROR(__xludf.DUMMYFUNCTION("""COMPUTED_VALUE"""),"MANUEL HARVEY")</f>
        <v>MANUEL HARVEY</v>
      </c>
    </row>
    <row r="43">
      <c r="A43" s="131">
        <f>IFERROR(__xludf.DUMMYFUNCTION("""COMPUTED_VALUE"""),41.0)</f>
        <v>41</v>
      </c>
      <c r="B43" s="131"/>
      <c r="C43" s="131">
        <f>IFERROR(__xludf.DUMMYFUNCTION("""COMPUTED_VALUE"""),23.0)</f>
        <v>23</v>
      </c>
      <c r="D43" s="131" t="b">
        <f>IFERROR(__xludf.DUMMYFUNCTION("""COMPUTED_VALUE"""),FALSE)</f>
        <v>0</v>
      </c>
      <c r="E43" s="103" t="str">
        <f>IFERROR(__xludf.DUMMYFUNCTION("""COMPUTED_VALUE"""),"TABOY")</f>
        <v>TABOY</v>
      </c>
      <c r="F43" s="103" t="str">
        <f>IFERROR(__xludf.DUMMYFUNCTION("""COMPUTED_VALUE"""),"PRIMO KLYDE")</f>
        <v>PRIMO KLYDE</v>
      </c>
    </row>
    <row r="44">
      <c r="A44" s="131">
        <f>IFERROR(__xludf.DUMMYFUNCTION("""COMPUTED_VALUE"""),42.0)</f>
        <v>42</v>
      </c>
      <c r="B44" s="131"/>
      <c r="C44" s="131"/>
      <c r="D44" s="131" t="b">
        <f>IFERROR(__xludf.DUMMYFUNCTION("""COMPUTED_VALUE"""),FALSE)</f>
        <v>0</v>
      </c>
      <c r="E44" s="103"/>
      <c r="F44" s="103"/>
    </row>
    <row r="45">
      <c r="A45" s="131">
        <f>IFERROR(__xludf.DUMMYFUNCTION("""COMPUTED_VALUE"""),43.0)</f>
        <v>43</v>
      </c>
      <c r="B45" s="131"/>
      <c r="C45" s="131">
        <f>IFERROR(__xludf.DUMMYFUNCTION("""COMPUTED_VALUE"""),23.0)</f>
        <v>23</v>
      </c>
      <c r="D45" s="131" t="b">
        <f>IFERROR(__xludf.DUMMYFUNCTION("""COMPUTED_VALUE"""),FALSE)</f>
        <v>0</v>
      </c>
      <c r="E45" s="103" t="str">
        <f>IFERROR(__xludf.DUMMYFUNCTION("""COMPUTED_VALUE"""),"SABEJON")</f>
        <v>SABEJON</v>
      </c>
      <c r="F45" s="103" t="str">
        <f>IFERROR(__xludf.DUMMYFUNCTION("""COMPUTED_VALUE"""),"KENNETH")</f>
        <v>KENNETH</v>
      </c>
    </row>
    <row r="46">
      <c r="A46" s="131">
        <f>IFERROR(__xludf.DUMMYFUNCTION("""COMPUTED_VALUE"""),44.0)</f>
        <v>44</v>
      </c>
      <c r="B46" s="131"/>
      <c r="C46" s="131">
        <f>IFERROR(__xludf.DUMMYFUNCTION("""COMPUTED_VALUE"""),23.0)</f>
        <v>23</v>
      </c>
      <c r="D46" s="131" t="b">
        <f>IFERROR(__xludf.DUMMYFUNCTION("""COMPUTED_VALUE"""),FALSE)</f>
        <v>0</v>
      </c>
      <c r="E46" s="103" t="str">
        <f>IFERROR(__xludf.DUMMYFUNCTION("""COMPUTED_VALUE"""),"LIRRAG")</f>
        <v>LIRRAG</v>
      </c>
      <c r="F46" s="103" t="str">
        <f>IFERROR(__xludf.DUMMYFUNCTION("""COMPUTED_VALUE"""),"DAN EDRIK")</f>
        <v>DAN EDRIK</v>
      </c>
    </row>
    <row r="47">
      <c r="A47" s="131">
        <f>IFERROR(__xludf.DUMMYFUNCTION("""COMPUTED_VALUE"""),45.0)</f>
        <v>45</v>
      </c>
      <c r="B47" s="131"/>
      <c r="C47" s="131">
        <f>IFERROR(__xludf.DUMMYFUNCTION("""COMPUTED_VALUE"""),23.0)</f>
        <v>23</v>
      </c>
      <c r="D47" s="131" t="b">
        <f>IFERROR(__xludf.DUMMYFUNCTION("""COMPUTED_VALUE"""),FALSE)</f>
        <v>0</v>
      </c>
      <c r="E47" s="103" t="str">
        <f>IFERROR(__xludf.DUMMYFUNCTION("""COMPUTED_VALUE"""),"DELA ROSA")</f>
        <v>DELA ROSA</v>
      </c>
      <c r="F47" s="103" t="str">
        <f>IFERROR(__xludf.DUMMYFUNCTION("""COMPUTED_VALUE"""),"JOREVE")</f>
        <v>JOREVE</v>
      </c>
    </row>
    <row r="48">
      <c r="A48" s="131">
        <f>IFERROR(__xludf.DUMMYFUNCTION("""COMPUTED_VALUE"""),46.0)</f>
        <v>46</v>
      </c>
      <c r="B48" s="131"/>
      <c r="C48" s="131">
        <f>IFERROR(__xludf.DUMMYFUNCTION("""COMPUTED_VALUE"""),23.0)</f>
        <v>23</v>
      </c>
      <c r="D48" s="131" t="b">
        <f>IFERROR(__xludf.DUMMYFUNCTION("""COMPUTED_VALUE"""),FALSE)</f>
        <v>0</v>
      </c>
      <c r="E48" s="103" t="str">
        <f>IFERROR(__xludf.DUMMYFUNCTION("""COMPUTED_VALUE"""),"KOI")</f>
        <v>KOI</v>
      </c>
      <c r="F48" s="103" t="str">
        <f>IFERROR(__xludf.DUMMYFUNCTION("""COMPUTED_VALUE"""),"HERMYLYN")</f>
        <v>HERMYLYN</v>
      </c>
    </row>
    <row r="49">
      <c r="A49" s="131">
        <f>IFERROR(__xludf.DUMMYFUNCTION("""COMPUTED_VALUE"""),47.0)</f>
        <v>47</v>
      </c>
      <c r="B49" s="131"/>
      <c r="C49" s="131">
        <f>IFERROR(__xludf.DUMMYFUNCTION("""COMPUTED_VALUE"""),23.0)</f>
        <v>23</v>
      </c>
      <c r="D49" s="131" t="b">
        <f>IFERROR(__xludf.DUMMYFUNCTION("""COMPUTED_VALUE"""),FALSE)</f>
        <v>0</v>
      </c>
      <c r="E49" s="103" t="str">
        <f>IFERROR(__xludf.DUMMYFUNCTION("""COMPUTED_VALUE"""),"SILVANO")</f>
        <v>SILVANO</v>
      </c>
      <c r="F49" s="103" t="str">
        <f>IFERROR(__xludf.DUMMYFUNCTION("""COMPUTED_VALUE"""),"CRISJARED")</f>
        <v>CRISJARED</v>
      </c>
    </row>
    <row r="50">
      <c r="A50" s="131">
        <f>IFERROR(__xludf.DUMMYFUNCTION("""COMPUTED_VALUE"""),48.0)</f>
        <v>48</v>
      </c>
      <c r="B50" s="131"/>
      <c r="C50" s="131">
        <f>IFERROR(__xludf.DUMMYFUNCTION("""COMPUTED_VALUE"""),23.0)</f>
        <v>23</v>
      </c>
      <c r="D50" s="131" t="b">
        <f>IFERROR(__xludf.DUMMYFUNCTION("""COMPUTED_VALUE"""),FALSE)</f>
        <v>0</v>
      </c>
      <c r="E50" s="103" t="str">
        <f>IFERROR(__xludf.DUMMYFUNCTION("""COMPUTED_VALUE"""),"CORONEL")</f>
        <v>CORONEL</v>
      </c>
      <c r="F50" s="103" t="str">
        <f>IFERROR(__xludf.DUMMYFUNCTION("""COMPUTED_VALUE"""),"CARL CEDRICK")</f>
        <v>CARL CEDRICK</v>
      </c>
    </row>
    <row r="51">
      <c r="A51" s="131">
        <f>IFERROR(__xludf.DUMMYFUNCTION("""COMPUTED_VALUE"""),49.0)</f>
        <v>49</v>
      </c>
      <c r="B51" s="131"/>
      <c r="C51" s="131">
        <f>IFERROR(__xludf.DUMMYFUNCTION("""COMPUTED_VALUE"""),23.0)</f>
        <v>23</v>
      </c>
      <c r="D51" s="131" t="b">
        <f>IFERROR(__xludf.DUMMYFUNCTION("""COMPUTED_VALUE"""),FALSE)</f>
        <v>0</v>
      </c>
      <c r="E51" s="103" t="str">
        <f>IFERROR(__xludf.DUMMYFUNCTION("""COMPUTED_VALUE"""),"ORTALEZA")</f>
        <v>ORTALEZA</v>
      </c>
      <c r="F51" s="103" t="str">
        <f>IFERROR(__xludf.DUMMYFUNCTION("""COMPUTED_VALUE"""),"FROI FANCIS")</f>
        <v>FROI FANCIS</v>
      </c>
    </row>
    <row r="52">
      <c r="A52" s="131">
        <f>IFERROR(__xludf.DUMMYFUNCTION("""COMPUTED_VALUE"""),50.0)</f>
        <v>50</v>
      </c>
      <c r="B52" s="131"/>
      <c r="C52" s="131">
        <f>IFERROR(__xludf.DUMMYFUNCTION("""COMPUTED_VALUE"""),23.0)</f>
        <v>23</v>
      </c>
      <c r="D52" s="131" t="b">
        <f>IFERROR(__xludf.DUMMYFUNCTION("""COMPUTED_VALUE"""),FALSE)</f>
        <v>0</v>
      </c>
      <c r="E52" s="103" t="str">
        <f>IFERROR(__xludf.DUMMYFUNCTION("""COMPUTED_VALUE"""),"ESPOZO")</f>
        <v>ESPOZO</v>
      </c>
      <c r="F52" s="103" t="str">
        <f>IFERROR(__xludf.DUMMYFUNCTION("""COMPUTED_VALUE"""),"MAICA ELLA")</f>
        <v>MAICA ELLA</v>
      </c>
    </row>
    <row r="53">
      <c r="A53" s="131">
        <f>IFERROR(__xludf.DUMMYFUNCTION("""COMPUTED_VALUE"""),51.0)</f>
        <v>51</v>
      </c>
      <c r="B53" s="131"/>
      <c r="C53" s="131">
        <f>IFERROR(__xludf.DUMMYFUNCTION("""COMPUTED_VALUE"""),23.0)</f>
        <v>23</v>
      </c>
      <c r="D53" s="131" t="b">
        <f>IFERROR(__xludf.DUMMYFUNCTION("""COMPUTED_VALUE"""),FALSE)</f>
        <v>0</v>
      </c>
      <c r="E53" s="103" t="str">
        <f>IFERROR(__xludf.DUMMYFUNCTION("""COMPUTED_VALUE"""),"SOBERANO")</f>
        <v>SOBERANO</v>
      </c>
      <c r="F53" s="103" t="str">
        <f>IFERROR(__xludf.DUMMYFUNCTION("""COMPUTED_VALUE"""),"ZAIRUS")</f>
        <v>ZAIRUS</v>
      </c>
    </row>
    <row r="54">
      <c r="A54" s="131">
        <f>IFERROR(__xludf.DUMMYFUNCTION("""COMPUTED_VALUE"""),52.0)</f>
        <v>52</v>
      </c>
      <c r="B54" s="131"/>
      <c r="C54" s="131">
        <f>IFERROR(__xludf.DUMMYFUNCTION("""COMPUTED_VALUE"""),23.0)</f>
        <v>23</v>
      </c>
      <c r="D54" s="131" t="b">
        <f>IFERROR(__xludf.DUMMYFUNCTION("""COMPUTED_VALUE"""),FALSE)</f>
        <v>0</v>
      </c>
      <c r="E54" s="99" t="str">
        <f>IFERROR(__xludf.DUMMYFUNCTION("""COMPUTED_VALUE"""),"ERA")</f>
        <v>ERA</v>
      </c>
      <c r="F54" s="99" t="str">
        <f>IFERROR(__xludf.DUMMYFUNCTION("""COMPUTED_VALUE"""),"ANALEZA")</f>
        <v>ANALEZA</v>
      </c>
      <c r="G54" s="90" t="s">
        <v>4</v>
      </c>
      <c r="I54" s="90" t="s">
        <v>4</v>
      </c>
      <c r="L54" s="90" t="b">
        <v>1</v>
      </c>
      <c r="N54" s="90" t="b">
        <v>1</v>
      </c>
    </row>
    <row r="55">
      <c r="A55" s="131">
        <f>IFERROR(__xludf.DUMMYFUNCTION("""COMPUTED_VALUE"""),53.0)</f>
        <v>53</v>
      </c>
      <c r="B55" s="131"/>
      <c r="C55" s="131">
        <f>IFERROR(__xludf.DUMMYFUNCTION("""COMPUTED_VALUE"""),23.0)</f>
        <v>23</v>
      </c>
      <c r="D55" s="131" t="b">
        <f>IFERROR(__xludf.DUMMYFUNCTION("""COMPUTED_VALUE"""),FALSE)</f>
        <v>0</v>
      </c>
      <c r="E55" s="100" t="str">
        <f>IFERROR(__xludf.DUMMYFUNCTION("""COMPUTED_VALUE"""),"ARANA")</f>
        <v>ARANA</v>
      </c>
      <c r="F55" s="100" t="str">
        <f>IFERROR(__xludf.DUMMYFUNCTION("""COMPUTED_VALUE"""),"RHEANA")</f>
        <v>RHEANA</v>
      </c>
    </row>
    <row r="56">
      <c r="A56" s="131">
        <f>IFERROR(__xludf.DUMMYFUNCTION("""COMPUTED_VALUE"""),54.0)</f>
        <v>54</v>
      </c>
      <c r="B56" s="131"/>
      <c r="C56" s="131">
        <f>IFERROR(__xludf.DUMMYFUNCTION("""COMPUTED_VALUE"""),23.0)</f>
        <v>23</v>
      </c>
      <c r="D56" s="131" t="b">
        <f>IFERROR(__xludf.DUMMYFUNCTION("""COMPUTED_VALUE"""),FALSE)</f>
        <v>0</v>
      </c>
      <c r="E56" s="100" t="str">
        <f>IFERROR(__xludf.DUMMYFUNCTION("""COMPUTED_VALUE"""),"BANDE")</f>
        <v>BANDE</v>
      </c>
      <c r="F56" s="100" t="str">
        <f>IFERROR(__xludf.DUMMYFUNCTION("""COMPUTED_VALUE"""),"ERICA")</f>
        <v>ERICA</v>
      </c>
    </row>
    <row r="57">
      <c r="A57" s="131">
        <f>IFERROR(__xludf.DUMMYFUNCTION("""COMPUTED_VALUE"""),55.0)</f>
        <v>55</v>
      </c>
      <c r="B57" s="131"/>
      <c r="C57" s="131">
        <f>IFERROR(__xludf.DUMMYFUNCTION("""COMPUTED_VALUE"""),23.0)</f>
        <v>23</v>
      </c>
      <c r="D57" s="131" t="b">
        <f>IFERROR(__xludf.DUMMYFUNCTION("""COMPUTED_VALUE"""),FALSE)</f>
        <v>0</v>
      </c>
      <c r="E57" s="100" t="str">
        <f>IFERROR(__xludf.DUMMYFUNCTION("""COMPUTED_VALUE"""),"DEL ROSARIO")</f>
        <v>DEL ROSARIO</v>
      </c>
      <c r="F57" s="100" t="str">
        <f>IFERROR(__xludf.DUMMYFUNCTION("""COMPUTED_VALUE"""),"JOY")</f>
        <v>JOY</v>
      </c>
      <c r="G57" s="90" t="s">
        <v>4</v>
      </c>
      <c r="I57" s="90" t="s">
        <v>4</v>
      </c>
      <c r="L57" s="90" t="b">
        <v>1</v>
      </c>
      <c r="N57" s="90" t="b">
        <v>1</v>
      </c>
    </row>
    <row r="58">
      <c r="A58" s="131">
        <f>IFERROR(__xludf.DUMMYFUNCTION("""COMPUTED_VALUE"""),56.0)</f>
        <v>56</v>
      </c>
      <c r="B58" s="131"/>
      <c r="C58" s="131">
        <f>IFERROR(__xludf.DUMMYFUNCTION("""COMPUTED_VALUE"""),23.0)</f>
        <v>23</v>
      </c>
      <c r="D58" s="131" t="b">
        <f>IFERROR(__xludf.DUMMYFUNCTION("""COMPUTED_VALUE"""),FALSE)</f>
        <v>0</v>
      </c>
      <c r="E58" s="100" t="str">
        <f>IFERROR(__xludf.DUMMYFUNCTION("""COMPUTED_VALUE"""),"GUETA")</f>
        <v>GUETA</v>
      </c>
      <c r="F58" s="100" t="str">
        <f>IFERROR(__xludf.DUMMYFUNCTION("""COMPUTED_VALUE"""),"SEYVEL")</f>
        <v>SEYVEL</v>
      </c>
    </row>
    <row r="59">
      <c r="A59" s="131">
        <f>IFERROR(__xludf.DUMMYFUNCTION("""COMPUTED_VALUE"""),57.0)</f>
        <v>57</v>
      </c>
      <c r="B59" s="131"/>
      <c r="C59" s="131">
        <f>IFERROR(__xludf.DUMMYFUNCTION("""COMPUTED_VALUE"""),23.0)</f>
        <v>23</v>
      </c>
      <c r="D59" s="131" t="b">
        <f>IFERROR(__xludf.DUMMYFUNCTION("""COMPUTED_VALUE"""),FALSE)</f>
        <v>0</v>
      </c>
      <c r="E59" s="100" t="str">
        <f>IFERROR(__xludf.DUMMYFUNCTION("""COMPUTED_VALUE"""),"MALIPOT")</f>
        <v>MALIPOT</v>
      </c>
      <c r="F59" s="100" t="str">
        <f>IFERROR(__xludf.DUMMYFUNCTION("""COMPUTED_VALUE"""),"JUSTINE")</f>
        <v>JUSTINE</v>
      </c>
    </row>
    <row r="60">
      <c r="A60" s="131">
        <f>IFERROR(__xludf.DUMMYFUNCTION("""COMPUTED_VALUE"""),58.0)</f>
        <v>58</v>
      </c>
      <c r="B60" s="131"/>
      <c r="C60" s="131">
        <f>IFERROR(__xludf.DUMMYFUNCTION("""COMPUTED_VALUE"""),23.0)</f>
        <v>23</v>
      </c>
      <c r="D60" s="131" t="b">
        <f>IFERROR(__xludf.DUMMYFUNCTION("""COMPUTED_VALUE"""),FALSE)</f>
        <v>0</v>
      </c>
      <c r="E60" s="100" t="str">
        <f>IFERROR(__xludf.DUMMYFUNCTION("""COMPUTED_VALUE"""),"PATRICIO")</f>
        <v>PATRICIO</v>
      </c>
      <c r="F60" s="100" t="str">
        <f>IFERROR(__xludf.DUMMYFUNCTION("""COMPUTED_VALUE"""),"VANESSA")</f>
        <v>VANESSA</v>
      </c>
    </row>
    <row r="61">
      <c r="A61" s="131">
        <f>IFERROR(__xludf.DUMMYFUNCTION("""COMPUTED_VALUE"""),59.0)</f>
        <v>59</v>
      </c>
      <c r="B61" s="131"/>
      <c r="C61" s="131">
        <f>IFERROR(__xludf.DUMMYFUNCTION("""COMPUTED_VALUE"""),23.0)</f>
        <v>23</v>
      </c>
      <c r="D61" s="131" t="b">
        <f>IFERROR(__xludf.DUMMYFUNCTION("""COMPUTED_VALUE"""),FALSE)</f>
        <v>0</v>
      </c>
      <c r="E61" s="100" t="str">
        <f>IFERROR(__xludf.DUMMYFUNCTION("""COMPUTED_VALUE"""),"PONCE")</f>
        <v>PONCE</v>
      </c>
      <c r="F61" s="100" t="str">
        <f>IFERROR(__xludf.DUMMYFUNCTION("""COMPUTED_VALUE"""),"SHEENA")</f>
        <v>SHEENA</v>
      </c>
    </row>
    <row r="62">
      <c r="A62" s="131">
        <f>IFERROR(__xludf.DUMMYFUNCTION("""COMPUTED_VALUE"""),60.0)</f>
        <v>60</v>
      </c>
      <c r="B62" s="131"/>
      <c r="C62" s="131">
        <f>IFERROR(__xludf.DUMMYFUNCTION("""COMPUTED_VALUE"""),23.0)</f>
        <v>23</v>
      </c>
      <c r="D62" s="131" t="b">
        <f>IFERROR(__xludf.DUMMYFUNCTION("""COMPUTED_VALUE"""),FALSE)</f>
        <v>0</v>
      </c>
      <c r="E62" s="100" t="str">
        <f>IFERROR(__xludf.DUMMYFUNCTION("""COMPUTED_VALUE"""),"RAMOS")</f>
        <v>RAMOS</v>
      </c>
      <c r="F62" s="100" t="str">
        <f>IFERROR(__xludf.DUMMYFUNCTION("""COMPUTED_VALUE"""),"AA")</f>
        <v>AA</v>
      </c>
    </row>
    <row r="63">
      <c r="A63" s="131">
        <f>IFERROR(__xludf.DUMMYFUNCTION("""COMPUTED_VALUE"""),61.0)</f>
        <v>61</v>
      </c>
      <c r="B63" s="131"/>
      <c r="C63" s="131">
        <f>IFERROR(__xludf.DUMMYFUNCTION("""COMPUTED_VALUE"""),23.0)</f>
        <v>23</v>
      </c>
      <c r="D63" s="131" t="b">
        <f>IFERROR(__xludf.DUMMYFUNCTION("""COMPUTED_VALUE"""),FALSE)</f>
        <v>0</v>
      </c>
      <c r="E63" s="100" t="str">
        <f>IFERROR(__xludf.DUMMYFUNCTION("""COMPUTED_VALUE"""),"REPUBLO")</f>
        <v>REPUBLO</v>
      </c>
      <c r="F63" s="100" t="str">
        <f>IFERROR(__xludf.DUMMYFUNCTION("""COMPUTED_VALUE"""),"CLARISSA")</f>
        <v>CLARISSA</v>
      </c>
    </row>
    <row r="64">
      <c r="A64" s="131">
        <f>IFERROR(__xludf.DUMMYFUNCTION("""COMPUTED_VALUE"""),62.0)</f>
        <v>62</v>
      </c>
      <c r="B64" s="131"/>
      <c r="C64" s="131">
        <f>IFERROR(__xludf.DUMMYFUNCTION("""COMPUTED_VALUE"""),23.0)</f>
        <v>23</v>
      </c>
      <c r="D64" s="131" t="b">
        <f>IFERROR(__xludf.DUMMYFUNCTION("""COMPUTED_VALUE"""),FALSE)</f>
        <v>0</v>
      </c>
      <c r="E64" s="100"/>
      <c r="F64" s="100" t="str">
        <f>IFERROR(__xludf.DUMMYFUNCTION("""COMPUTED_VALUE"""),"JENNY")</f>
        <v>JENNY</v>
      </c>
    </row>
    <row r="65">
      <c r="A65" s="131">
        <f>IFERROR(__xludf.DUMMYFUNCTION("""COMPUTED_VALUE"""),63.0)</f>
        <v>63</v>
      </c>
      <c r="B65" s="131"/>
      <c r="C65" s="131">
        <f>IFERROR(__xludf.DUMMYFUNCTION("""COMPUTED_VALUE"""),23.0)</f>
        <v>23</v>
      </c>
      <c r="D65" s="131" t="b">
        <f>IFERROR(__xludf.DUMMYFUNCTION("""COMPUTED_VALUE"""),FALSE)</f>
        <v>0</v>
      </c>
      <c r="E65" s="99" t="str">
        <f>IFERROR(__xludf.DUMMYFUNCTION("""COMPUTED_VALUE"""),"MAGISTRADO")</f>
        <v>MAGISTRADO</v>
      </c>
      <c r="F65" s="99" t="str">
        <f>IFERROR(__xludf.DUMMYFUNCTION("""COMPUTED_VALUE"""),"ERICA")</f>
        <v>ERICA</v>
      </c>
      <c r="G65" s="90" t="s">
        <v>4</v>
      </c>
      <c r="L65" s="90" t="b">
        <v>1</v>
      </c>
    </row>
    <row r="66">
      <c r="A66" s="131">
        <f>IFERROR(__xludf.DUMMYFUNCTION("""COMPUTED_VALUE"""),64.0)</f>
        <v>64</v>
      </c>
      <c r="B66" s="131"/>
      <c r="C66" s="131">
        <f>IFERROR(__xludf.DUMMYFUNCTION("""COMPUTED_VALUE"""),23.0)</f>
        <v>23</v>
      </c>
      <c r="D66" s="131" t="b">
        <f>IFERROR(__xludf.DUMMYFUNCTION("""COMPUTED_VALUE"""),FALSE)</f>
        <v>0</v>
      </c>
      <c r="E66" s="100" t="str">
        <f>IFERROR(__xludf.DUMMYFUNCTION("""COMPUTED_VALUE"""),"CARANGUIAN")</f>
        <v>CARANGUIAN</v>
      </c>
      <c r="F66" s="100" t="str">
        <f>IFERROR(__xludf.DUMMYFUNCTION("""COMPUTED_VALUE"""),"DIVINA GRACE")</f>
        <v>DIVINA GRACE</v>
      </c>
    </row>
    <row r="67">
      <c r="A67" s="131">
        <f>IFERROR(__xludf.DUMMYFUNCTION("""COMPUTED_VALUE"""),65.0)</f>
        <v>65</v>
      </c>
      <c r="B67" s="131"/>
      <c r="C67" s="131">
        <f>IFERROR(__xludf.DUMMYFUNCTION("""COMPUTED_VALUE"""),23.0)</f>
        <v>23</v>
      </c>
      <c r="D67" s="131" t="b">
        <f>IFERROR(__xludf.DUMMYFUNCTION("""COMPUTED_VALUE"""),FALSE)</f>
        <v>0</v>
      </c>
      <c r="E67" s="100" t="str">
        <f>IFERROR(__xludf.DUMMYFUNCTION("""COMPUTED_VALUE"""),"ERA")</f>
        <v>ERA</v>
      </c>
      <c r="F67" s="100" t="str">
        <f>IFERROR(__xludf.DUMMYFUNCTION("""COMPUTED_VALUE"""),"CHRISTINA")</f>
        <v>CHRISTINA</v>
      </c>
    </row>
    <row r="68">
      <c r="A68" s="131">
        <f>IFERROR(__xludf.DUMMYFUNCTION("""COMPUTED_VALUE"""),66.0)</f>
        <v>66</v>
      </c>
      <c r="B68" s="131"/>
      <c r="C68" s="131">
        <f>IFERROR(__xludf.DUMMYFUNCTION("""COMPUTED_VALUE"""),23.0)</f>
        <v>23</v>
      </c>
      <c r="D68" s="131" t="b">
        <f>IFERROR(__xludf.DUMMYFUNCTION("""COMPUTED_VALUE"""),FALSE)</f>
        <v>0</v>
      </c>
      <c r="E68" s="100" t="str">
        <f>IFERROR(__xludf.DUMMYFUNCTION("""COMPUTED_VALUE"""),"MAGISTRADO")</f>
        <v>MAGISTRADO</v>
      </c>
      <c r="F68" s="100" t="str">
        <f>IFERROR(__xludf.DUMMYFUNCTION("""COMPUTED_VALUE"""),"LOVELY")</f>
        <v>LOVELY</v>
      </c>
    </row>
    <row r="69">
      <c r="A69" s="131">
        <f>IFERROR(__xludf.DUMMYFUNCTION("""COMPUTED_VALUE"""),67.0)</f>
        <v>67</v>
      </c>
      <c r="B69" s="131"/>
      <c r="C69" s="131">
        <f>IFERROR(__xludf.DUMMYFUNCTION("""COMPUTED_VALUE"""),23.0)</f>
        <v>23</v>
      </c>
      <c r="D69" s="131" t="b">
        <f>IFERROR(__xludf.DUMMYFUNCTION("""COMPUTED_VALUE"""),FALSE)</f>
        <v>0</v>
      </c>
      <c r="E69" s="100" t="str">
        <f>IFERROR(__xludf.DUMMYFUNCTION("""COMPUTED_VALUE"""),"PACLITA")</f>
        <v>PACLITA</v>
      </c>
      <c r="F69" s="100" t="str">
        <f>IFERROR(__xludf.DUMMYFUNCTION("""COMPUTED_VALUE"""),"CHERRY ANN")</f>
        <v>CHERRY ANN</v>
      </c>
    </row>
    <row r="70">
      <c r="A70" s="131">
        <f>IFERROR(__xludf.DUMMYFUNCTION("""COMPUTED_VALUE"""),68.0)</f>
        <v>68</v>
      </c>
      <c r="B70" s="131"/>
      <c r="C70" s="131">
        <f>IFERROR(__xludf.DUMMYFUNCTION("""COMPUTED_VALUE"""),23.0)</f>
        <v>23</v>
      </c>
      <c r="D70" s="131" t="b">
        <f>IFERROR(__xludf.DUMMYFUNCTION("""COMPUTED_VALUE"""),FALSE)</f>
        <v>0</v>
      </c>
      <c r="E70" s="100" t="str">
        <f>IFERROR(__xludf.DUMMYFUNCTION("""COMPUTED_VALUE"""),"PALOMA")</f>
        <v>PALOMA</v>
      </c>
      <c r="F70" s="100" t="str">
        <f>IFERROR(__xludf.DUMMYFUNCTION("""COMPUTED_VALUE"""),"ALEAH")</f>
        <v>ALEAH</v>
      </c>
    </row>
    <row r="71">
      <c r="A71" s="131">
        <f>IFERROR(__xludf.DUMMYFUNCTION("""COMPUTED_VALUE"""),69.0)</f>
        <v>69</v>
      </c>
      <c r="B71" s="131"/>
      <c r="C71" s="131">
        <f>IFERROR(__xludf.DUMMYFUNCTION("""COMPUTED_VALUE"""),23.0)</f>
        <v>23</v>
      </c>
      <c r="D71" s="131" t="b">
        <f>IFERROR(__xludf.DUMMYFUNCTION("""COMPUTED_VALUE"""),FALSE)</f>
        <v>0</v>
      </c>
      <c r="E71" s="100" t="str">
        <f>IFERROR(__xludf.DUMMYFUNCTION("""COMPUTED_VALUE"""),"SATURINAS")</f>
        <v>SATURINAS</v>
      </c>
      <c r="F71" s="100" t="str">
        <f>IFERROR(__xludf.DUMMYFUNCTION("""COMPUTED_VALUE"""),"ALEXANDRA GRACE")</f>
        <v>ALEXANDRA GRACE</v>
      </c>
    </row>
    <row r="72">
      <c r="A72" s="131">
        <f>IFERROR(__xludf.DUMMYFUNCTION("""COMPUTED_VALUE"""),70.0)</f>
        <v>70</v>
      </c>
      <c r="B72" s="131"/>
      <c r="C72" s="131">
        <f>IFERROR(__xludf.DUMMYFUNCTION("""COMPUTED_VALUE"""),23.0)</f>
        <v>23</v>
      </c>
      <c r="D72" s="131" t="b">
        <f>IFERROR(__xludf.DUMMYFUNCTION("""COMPUTED_VALUE"""),FALSE)</f>
        <v>0</v>
      </c>
      <c r="E72" s="101" t="str">
        <f>IFERROR(__xludf.DUMMYFUNCTION("""COMPUTED_VALUE"""),"RONQUILLO")</f>
        <v>RONQUILLO</v>
      </c>
      <c r="F72" s="101" t="str">
        <f>IFERROR(__xludf.DUMMYFUNCTION("""COMPUTED_VALUE"""),"SHANE")</f>
        <v>SHANE</v>
      </c>
    </row>
    <row r="73">
      <c r="A73" s="131">
        <f>IFERROR(__xludf.DUMMYFUNCTION("""COMPUTED_VALUE"""),71.0)</f>
        <v>71</v>
      </c>
      <c r="B73" s="131"/>
      <c r="C73" s="131">
        <f>IFERROR(__xludf.DUMMYFUNCTION("""COMPUTED_VALUE"""),23.0)</f>
        <v>23</v>
      </c>
      <c r="D73" s="131" t="b">
        <f>IFERROR(__xludf.DUMMYFUNCTION("""COMPUTED_VALUE"""),FALSE)</f>
        <v>0</v>
      </c>
      <c r="E73" s="101" t="str">
        <f>IFERROR(__xludf.DUMMYFUNCTION("""COMPUTED_VALUE"""),"MARFIL")</f>
        <v>MARFIL</v>
      </c>
      <c r="F73" s="104" t="str">
        <f>IFERROR(__xludf.DUMMYFUNCTION("""COMPUTED_VALUE"""),"ADELAIZA")</f>
        <v>ADELAIZA</v>
      </c>
      <c r="G73" s="90" t="s">
        <v>4</v>
      </c>
      <c r="I73" s="90" t="s">
        <v>4</v>
      </c>
      <c r="L73" s="90" t="b">
        <v>1</v>
      </c>
      <c r="N73" s="90" t="b">
        <v>1</v>
      </c>
    </row>
    <row r="74">
      <c r="A74" s="131">
        <f>IFERROR(__xludf.DUMMYFUNCTION("""COMPUTED_VALUE"""),72.0)</f>
        <v>72</v>
      </c>
      <c r="B74" s="131"/>
      <c r="C74" s="131">
        <f>IFERROR(__xludf.DUMMYFUNCTION("""COMPUTED_VALUE"""),23.0)</f>
        <v>23</v>
      </c>
      <c r="D74" s="131" t="b">
        <f>IFERROR(__xludf.DUMMYFUNCTION("""COMPUTED_VALUE"""),FALSE)</f>
        <v>0</v>
      </c>
      <c r="E74" s="101" t="str">
        <f>IFERROR(__xludf.DUMMYFUNCTION("""COMPUTED_VALUE"""),"PERALTA")</f>
        <v>PERALTA</v>
      </c>
      <c r="F74" s="101" t="str">
        <f>IFERROR(__xludf.DUMMYFUNCTION("""COMPUTED_VALUE"""),"ALAICA")</f>
        <v>ALAICA</v>
      </c>
    </row>
    <row r="75">
      <c r="A75" s="131">
        <f>IFERROR(__xludf.DUMMYFUNCTION("""COMPUTED_VALUE"""),73.0)</f>
        <v>73</v>
      </c>
      <c r="B75" s="131"/>
      <c r="C75" s="131">
        <f>IFERROR(__xludf.DUMMYFUNCTION("""COMPUTED_VALUE"""),23.0)</f>
        <v>23</v>
      </c>
      <c r="D75" s="131" t="b">
        <f>IFERROR(__xludf.DUMMYFUNCTION("""COMPUTED_VALUE"""),FALSE)</f>
        <v>0</v>
      </c>
      <c r="E75" s="101"/>
      <c r="F75" s="101" t="str">
        <f>IFERROR(__xludf.DUMMYFUNCTION("""COMPUTED_VALUE"""),"ALISA")</f>
        <v>ALISA</v>
      </c>
    </row>
    <row r="76">
      <c r="A76" s="131">
        <f>IFERROR(__xludf.DUMMYFUNCTION("""COMPUTED_VALUE"""),74.0)</f>
        <v>74</v>
      </c>
      <c r="B76" s="131"/>
      <c r="C76" s="131">
        <f>IFERROR(__xludf.DUMMYFUNCTION("""COMPUTED_VALUE"""),23.0)</f>
        <v>23</v>
      </c>
      <c r="D76" s="131" t="b">
        <f>IFERROR(__xludf.DUMMYFUNCTION("""COMPUTED_VALUE"""),FALSE)</f>
        <v>0</v>
      </c>
      <c r="E76" s="101" t="str">
        <f>IFERROR(__xludf.DUMMYFUNCTION("""COMPUTED_VALUE"""),"VILLANUEVA")</f>
        <v>VILLANUEVA</v>
      </c>
      <c r="F76" s="101" t="str">
        <f>IFERROR(__xludf.DUMMYFUNCTION("""COMPUTED_VALUE"""),"SOFIA")</f>
        <v>SOFIA</v>
      </c>
    </row>
    <row r="77">
      <c r="A77" s="131">
        <f>IFERROR(__xludf.DUMMYFUNCTION("""COMPUTED_VALUE"""),75.0)</f>
        <v>75</v>
      </c>
      <c r="B77" s="131"/>
      <c r="C77" s="131">
        <f>IFERROR(__xludf.DUMMYFUNCTION("""COMPUTED_VALUE"""),23.0)</f>
        <v>23</v>
      </c>
      <c r="D77" s="131" t="b">
        <f>IFERROR(__xludf.DUMMYFUNCTION("""COMPUTED_VALUE"""),FALSE)</f>
        <v>0</v>
      </c>
      <c r="E77" s="101" t="str">
        <f>IFERROR(__xludf.DUMMYFUNCTION("""COMPUTED_VALUE"""),"TAKEYAMA")</f>
        <v>TAKEYAMA</v>
      </c>
      <c r="F77" s="101" t="str">
        <f>IFERROR(__xludf.DUMMYFUNCTION("""COMPUTED_VALUE"""),"YUKA")</f>
        <v>YUKA</v>
      </c>
    </row>
    <row r="78">
      <c r="A78" s="131">
        <f>IFERROR(__xludf.DUMMYFUNCTION("""COMPUTED_VALUE"""),76.0)</f>
        <v>76</v>
      </c>
      <c r="B78" s="131"/>
      <c r="C78" s="131">
        <f>IFERROR(__xludf.DUMMYFUNCTION("""COMPUTED_VALUE"""),76.0)</f>
        <v>76</v>
      </c>
      <c r="D78" s="131" t="b">
        <f>IFERROR(__xludf.DUMMYFUNCTION("""COMPUTED_VALUE"""),TRUE)</f>
        <v>1</v>
      </c>
      <c r="E78" s="105" t="str">
        <f>IFERROR(__xludf.DUMMYFUNCTION("""COMPUTED_VALUE"""),"ANTONIO")</f>
        <v>ANTONIO</v>
      </c>
      <c r="F78" s="105" t="str">
        <f>IFERROR(__xludf.DUMMYFUNCTION("""COMPUTED_VALUE"""),"CHOLO MIGUEL")</f>
        <v>CHOLO MIGUEL</v>
      </c>
      <c r="I78" s="90" t="s">
        <v>4</v>
      </c>
      <c r="N78" s="90" t="b">
        <v>1</v>
      </c>
    </row>
    <row r="79">
      <c r="A79" s="131">
        <f>IFERROR(__xludf.DUMMYFUNCTION("""COMPUTED_VALUE"""),77.0)</f>
        <v>77</v>
      </c>
      <c r="B79" s="131"/>
      <c r="C79" s="131">
        <f>IFERROR(__xludf.DUMMYFUNCTION("""COMPUTED_VALUE"""),76.0)</f>
        <v>76</v>
      </c>
      <c r="D79" s="131" t="b">
        <f>IFERROR(__xludf.DUMMYFUNCTION("""COMPUTED_VALUE"""),FALSE)</f>
        <v>0</v>
      </c>
      <c r="E79" s="106" t="str">
        <f>IFERROR(__xludf.DUMMYFUNCTION("""COMPUTED_VALUE"""),"ELCANA")</f>
        <v>ELCANA</v>
      </c>
      <c r="F79" s="106" t="str">
        <f>IFERROR(__xludf.DUMMYFUNCTION("""COMPUTED_VALUE"""),"JOAQUIN")</f>
        <v>JOAQUIN</v>
      </c>
    </row>
    <row r="80">
      <c r="A80" s="131">
        <f>IFERROR(__xludf.DUMMYFUNCTION("""COMPUTED_VALUE"""),78.0)</f>
        <v>78</v>
      </c>
      <c r="B80" s="131"/>
      <c r="C80" s="131">
        <f>IFERROR(__xludf.DUMMYFUNCTION("""COMPUTED_VALUE"""),76.0)</f>
        <v>76</v>
      </c>
      <c r="D80" s="131" t="b">
        <f>IFERROR(__xludf.DUMMYFUNCTION("""COMPUTED_VALUE"""),FALSE)</f>
        <v>0</v>
      </c>
      <c r="E80" s="107" t="str">
        <f>IFERROR(__xludf.DUMMYFUNCTION("""COMPUTED_VALUE"""),"VILLARTA")</f>
        <v>VILLARTA</v>
      </c>
      <c r="F80" s="107" t="str">
        <f>IFERROR(__xludf.DUMMYFUNCTION("""COMPUTED_VALUE"""),"JEXTER")</f>
        <v>JEXTER</v>
      </c>
      <c r="I80" s="90" t="s">
        <v>4</v>
      </c>
      <c r="N80" s="90" t="b">
        <v>1</v>
      </c>
    </row>
    <row r="81">
      <c r="A81" s="131">
        <f>IFERROR(__xludf.DUMMYFUNCTION("""COMPUTED_VALUE"""),79.0)</f>
        <v>79</v>
      </c>
      <c r="B81" s="131"/>
      <c r="C81" s="131">
        <f>IFERROR(__xludf.DUMMYFUNCTION("""COMPUTED_VALUE"""),76.0)</f>
        <v>76</v>
      </c>
      <c r="D81" s="131" t="b">
        <f>IFERROR(__xludf.DUMMYFUNCTION("""COMPUTED_VALUE"""),FALSE)</f>
        <v>0</v>
      </c>
      <c r="E81" s="107" t="str">
        <f>IFERROR(__xludf.DUMMYFUNCTION("""COMPUTED_VALUE"""),"MANUYAG")</f>
        <v>MANUYAG</v>
      </c>
      <c r="F81" s="107" t="str">
        <f>IFERROR(__xludf.DUMMYFUNCTION("""COMPUTED_VALUE"""),"RAYVER")</f>
        <v>RAYVER</v>
      </c>
    </row>
    <row r="82">
      <c r="A82" s="131">
        <f>IFERROR(__xludf.DUMMYFUNCTION("""COMPUTED_VALUE"""),80.0)</f>
        <v>80</v>
      </c>
      <c r="B82" s="131"/>
      <c r="C82" s="131">
        <f>IFERROR(__xludf.DUMMYFUNCTION("""COMPUTED_VALUE"""),76.0)</f>
        <v>76</v>
      </c>
      <c r="D82" s="131" t="b">
        <f>IFERROR(__xludf.DUMMYFUNCTION("""COMPUTED_VALUE"""),FALSE)</f>
        <v>0</v>
      </c>
      <c r="E82" s="108" t="str">
        <f>IFERROR(__xludf.DUMMYFUNCTION("""COMPUTED_VALUE"""),"RAAGAS")</f>
        <v>RAAGAS</v>
      </c>
      <c r="F82" s="108" t="str">
        <f>IFERROR(__xludf.DUMMYFUNCTION("""COMPUTED_VALUE"""),"PRINCE JHAMIR (YOHAN)")</f>
        <v>PRINCE JHAMIR (YOHAN)</v>
      </c>
    </row>
    <row r="83">
      <c r="A83" s="131">
        <f>IFERROR(__xludf.DUMMYFUNCTION("""COMPUTED_VALUE"""),81.0)</f>
        <v>81</v>
      </c>
      <c r="B83" s="131"/>
      <c r="C83" s="131">
        <f>IFERROR(__xludf.DUMMYFUNCTION("""COMPUTED_VALUE"""),76.0)</f>
        <v>76</v>
      </c>
      <c r="D83" s="131" t="b">
        <f>IFERROR(__xludf.DUMMYFUNCTION("""COMPUTED_VALUE"""),FALSE)</f>
        <v>0</v>
      </c>
      <c r="E83" s="107" t="str">
        <f>IFERROR(__xludf.DUMMYFUNCTION("""COMPUTED_VALUE"""),"MALOLOY-ON")</f>
        <v>MALOLOY-ON</v>
      </c>
      <c r="F83" s="107" t="str">
        <f>IFERROR(__xludf.DUMMYFUNCTION("""COMPUTED_VALUE"""),"HARLEY")</f>
        <v>HARLEY</v>
      </c>
    </row>
    <row r="84">
      <c r="A84" s="131">
        <f>IFERROR(__xludf.DUMMYFUNCTION("""COMPUTED_VALUE"""),82.0)</f>
        <v>82</v>
      </c>
      <c r="B84" s="131"/>
      <c r="C84" s="131">
        <f>IFERROR(__xludf.DUMMYFUNCTION("""COMPUTED_VALUE"""),76.0)</f>
        <v>76</v>
      </c>
      <c r="D84" s="131" t="b">
        <f>IFERROR(__xludf.DUMMYFUNCTION("""COMPUTED_VALUE"""),FALSE)</f>
        <v>0</v>
      </c>
      <c r="E84" s="106" t="str">
        <f>IFERROR(__xludf.DUMMYFUNCTION("""COMPUTED_VALUE"""),"MEDINA")</f>
        <v>MEDINA</v>
      </c>
      <c r="F84" s="106" t="str">
        <f>IFERROR(__xludf.DUMMYFUNCTION("""COMPUTED_VALUE"""),"JOHN PAUL")</f>
        <v>JOHN PAUL</v>
      </c>
    </row>
    <row r="85">
      <c r="A85" s="131">
        <f>IFERROR(__xludf.DUMMYFUNCTION("""COMPUTED_VALUE"""),83.0)</f>
        <v>83</v>
      </c>
      <c r="B85" s="131"/>
      <c r="C85" s="131">
        <f>IFERROR(__xludf.DUMMYFUNCTION("""COMPUTED_VALUE"""),76.0)</f>
        <v>76</v>
      </c>
      <c r="D85" s="131" t="b">
        <f>IFERROR(__xludf.DUMMYFUNCTION("""COMPUTED_VALUE"""),FALSE)</f>
        <v>0</v>
      </c>
      <c r="E85" s="107" t="str">
        <f>IFERROR(__xludf.DUMMYFUNCTION("""COMPUTED_VALUE"""),"SALTA")</f>
        <v>SALTA</v>
      </c>
      <c r="F85" s="107" t="str">
        <f>IFERROR(__xludf.DUMMYFUNCTION("""COMPUTED_VALUE"""),"KARL")</f>
        <v>KARL</v>
      </c>
      <c r="I85" s="90" t="s">
        <v>4</v>
      </c>
      <c r="N85" s="90" t="b">
        <v>1</v>
      </c>
    </row>
    <row r="86">
      <c r="A86" s="131">
        <f>IFERROR(__xludf.DUMMYFUNCTION("""COMPUTED_VALUE"""),84.0)</f>
        <v>84</v>
      </c>
      <c r="B86" s="131"/>
      <c r="C86" s="131">
        <f>IFERROR(__xludf.DUMMYFUNCTION("""COMPUTED_VALUE"""),76.0)</f>
        <v>76</v>
      </c>
      <c r="D86" s="131" t="b">
        <f>IFERROR(__xludf.DUMMYFUNCTION("""COMPUTED_VALUE"""),FALSE)</f>
        <v>0</v>
      </c>
      <c r="E86" s="107" t="str">
        <f>IFERROR(__xludf.DUMMYFUNCTION("""COMPUTED_VALUE"""),"ROBLOS")</f>
        <v>ROBLOS</v>
      </c>
      <c r="F86" s="107" t="str">
        <f>IFERROR(__xludf.DUMMYFUNCTION("""COMPUTED_VALUE"""),"CEDRIC")</f>
        <v>CEDRIC</v>
      </c>
    </row>
    <row r="87">
      <c r="A87" s="131">
        <f>IFERROR(__xludf.DUMMYFUNCTION("""COMPUTED_VALUE"""),85.0)</f>
        <v>85</v>
      </c>
      <c r="B87" s="131"/>
      <c r="C87" s="131">
        <f>IFERROR(__xludf.DUMMYFUNCTION("""COMPUTED_VALUE"""),76.0)</f>
        <v>76</v>
      </c>
      <c r="D87" s="131" t="b">
        <f>IFERROR(__xludf.DUMMYFUNCTION("""COMPUTED_VALUE"""),FALSE)</f>
        <v>0</v>
      </c>
      <c r="E87" s="107" t="str">
        <f>IFERROR(__xludf.DUMMYFUNCTION("""COMPUTED_VALUE"""),"RIVAS")</f>
        <v>RIVAS</v>
      </c>
      <c r="F87" s="107" t="str">
        <f>IFERROR(__xludf.DUMMYFUNCTION("""COMPUTED_VALUE"""),"RAY ALLEN")</f>
        <v>RAY ALLEN</v>
      </c>
    </row>
    <row r="88">
      <c r="A88" s="131">
        <f>IFERROR(__xludf.DUMMYFUNCTION("""COMPUTED_VALUE"""),86.0)</f>
        <v>86</v>
      </c>
      <c r="B88" s="131"/>
      <c r="C88" s="131">
        <f>IFERROR(__xludf.DUMMYFUNCTION("""COMPUTED_VALUE"""),76.0)</f>
        <v>76</v>
      </c>
      <c r="D88" s="131" t="b">
        <f>IFERROR(__xludf.DUMMYFUNCTION("""COMPUTED_VALUE"""),FALSE)</f>
        <v>0</v>
      </c>
      <c r="E88" s="107" t="str">
        <f>IFERROR(__xludf.DUMMYFUNCTION("""COMPUTED_VALUE"""),"MAGDANGAN")</f>
        <v>MAGDANGAN</v>
      </c>
      <c r="F88" s="107" t="str">
        <f>IFERROR(__xludf.DUMMYFUNCTION("""COMPUTED_VALUE"""),"DENMARK")</f>
        <v>DENMARK</v>
      </c>
    </row>
    <row r="89">
      <c r="A89" s="131">
        <f>IFERROR(__xludf.DUMMYFUNCTION("""COMPUTED_VALUE"""),87.0)</f>
        <v>87</v>
      </c>
      <c r="B89" s="131"/>
      <c r="C89" s="131">
        <f>IFERROR(__xludf.DUMMYFUNCTION("""COMPUTED_VALUE"""),76.0)</f>
        <v>76</v>
      </c>
      <c r="D89" s="131" t="b">
        <f>IFERROR(__xludf.DUMMYFUNCTION("""COMPUTED_VALUE"""),FALSE)</f>
        <v>0</v>
      </c>
      <c r="E89" s="106" t="str">
        <f>IFERROR(__xludf.DUMMYFUNCTION("""COMPUTED_VALUE"""),"SABONG")</f>
        <v>SABONG</v>
      </c>
      <c r="F89" s="106" t="str">
        <f>IFERROR(__xludf.DUMMYFUNCTION("""COMPUTED_VALUE"""),"VINCE")</f>
        <v>VINCE</v>
      </c>
    </row>
    <row r="90">
      <c r="A90" s="131">
        <f>IFERROR(__xludf.DUMMYFUNCTION("""COMPUTED_VALUE"""),88.0)</f>
        <v>88</v>
      </c>
      <c r="B90" s="131"/>
      <c r="C90" s="131">
        <f>IFERROR(__xludf.DUMMYFUNCTION("""COMPUTED_VALUE"""),76.0)</f>
        <v>76</v>
      </c>
      <c r="D90" s="131" t="b">
        <f>IFERROR(__xludf.DUMMYFUNCTION("""COMPUTED_VALUE"""),FALSE)</f>
        <v>0</v>
      </c>
      <c r="E90" s="107" t="str">
        <f>IFERROR(__xludf.DUMMYFUNCTION("""COMPUTED_VALUE"""),"AQUINO")</f>
        <v>AQUINO</v>
      </c>
      <c r="F90" s="107" t="str">
        <f>IFERROR(__xludf.DUMMYFUNCTION("""COMPUTED_VALUE"""),"MARVIN")</f>
        <v>MARVIN</v>
      </c>
      <c r="I90" s="90" t="s">
        <v>4</v>
      </c>
      <c r="N90" s="90" t="b">
        <v>1</v>
      </c>
    </row>
    <row r="91">
      <c r="A91" s="131">
        <f>IFERROR(__xludf.DUMMYFUNCTION("""COMPUTED_VALUE"""),89.0)</f>
        <v>89</v>
      </c>
      <c r="B91" s="131"/>
      <c r="C91" s="131">
        <f>IFERROR(__xludf.DUMMYFUNCTION("""COMPUTED_VALUE"""),76.0)</f>
        <v>76</v>
      </c>
      <c r="D91" s="131" t="b">
        <f>IFERROR(__xludf.DUMMYFUNCTION("""COMPUTED_VALUE"""),FALSE)</f>
        <v>0</v>
      </c>
      <c r="E91" s="109" t="str">
        <f>IFERROR(__xludf.DUMMYFUNCTION("""COMPUTED_VALUE"""),"LANOZO")</f>
        <v>LANOZO</v>
      </c>
      <c r="F91" s="109" t="str">
        <f>IFERROR(__xludf.DUMMYFUNCTION("""COMPUTED_VALUE"""),"REGGIENALD")</f>
        <v>REGGIENALD</v>
      </c>
      <c r="I91" s="90" t="s">
        <v>4</v>
      </c>
      <c r="N91" s="90" t="b">
        <v>1</v>
      </c>
    </row>
    <row r="92">
      <c r="A92" s="131">
        <f>IFERROR(__xludf.DUMMYFUNCTION("""COMPUTED_VALUE"""),90.0)</f>
        <v>90</v>
      </c>
      <c r="B92" s="131"/>
      <c r="C92" s="131">
        <f>IFERROR(__xludf.DUMMYFUNCTION("""COMPUTED_VALUE"""),76.0)</f>
        <v>76</v>
      </c>
      <c r="D92" s="131" t="b">
        <f>IFERROR(__xludf.DUMMYFUNCTION("""COMPUTED_VALUE"""),FALSE)</f>
        <v>0</v>
      </c>
      <c r="E92" s="110" t="str">
        <f>IFERROR(__xludf.DUMMYFUNCTION("""COMPUTED_VALUE"""),"QUIRONA")</f>
        <v>QUIRONA</v>
      </c>
      <c r="F92" s="110" t="str">
        <f>IFERROR(__xludf.DUMMYFUNCTION("""COMPUTED_VALUE"""),"IAN CHRISTOPHER")</f>
        <v>IAN CHRISTOPHER</v>
      </c>
    </row>
    <row r="93">
      <c r="A93" s="131">
        <f>IFERROR(__xludf.DUMMYFUNCTION("""COMPUTED_VALUE"""),91.0)</f>
        <v>91</v>
      </c>
      <c r="B93" s="131"/>
      <c r="C93" s="131">
        <f>IFERROR(__xludf.DUMMYFUNCTION("""COMPUTED_VALUE"""),76.0)</f>
        <v>76</v>
      </c>
      <c r="D93" s="131" t="b">
        <f>IFERROR(__xludf.DUMMYFUNCTION("""COMPUTED_VALUE"""),FALSE)</f>
        <v>0</v>
      </c>
      <c r="E93" s="110" t="str">
        <f>IFERROR(__xludf.DUMMYFUNCTION("""COMPUTED_VALUE"""),"BAUYON")</f>
        <v>BAUYON</v>
      </c>
      <c r="F93" s="110" t="str">
        <f>IFERROR(__xludf.DUMMYFUNCTION("""COMPUTED_VALUE"""),"JOHN CARLO")</f>
        <v>JOHN CARLO</v>
      </c>
    </row>
    <row r="94">
      <c r="A94" s="131">
        <f>IFERROR(__xludf.DUMMYFUNCTION("""COMPUTED_VALUE"""),92.0)</f>
        <v>92</v>
      </c>
      <c r="B94" s="131"/>
      <c r="C94" s="131">
        <f>IFERROR(__xludf.DUMMYFUNCTION("""COMPUTED_VALUE"""),76.0)</f>
        <v>76</v>
      </c>
      <c r="D94" s="131" t="b">
        <f>IFERROR(__xludf.DUMMYFUNCTION("""COMPUTED_VALUE"""),FALSE)</f>
        <v>0</v>
      </c>
      <c r="E94" s="111" t="str">
        <f>IFERROR(__xludf.DUMMYFUNCTION("""COMPUTED_VALUE"""),"FIGUEROA")</f>
        <v>FIGUEROA</v>
      </c>
      <c r="F94" s="111" t="str">
        <f>IFERROR(__xludf.DUMMYFUNCTION("""COMPUTED_VALUE"""),"RONALD")</f>
        <v>RONALD</v>
      </c>
    </row>
    <row r="95">
      <c r="A95" s="131"/>
      <c r="B95" s="131"/>
      <c r="C95" s="131"/>
      <c r="D95" s="131"/>
      <c r="E95" s="112"/>
      <c r="F95" s="112"/>
    </row>
    <row r="96">
      <c r="A96" s="131"/>
      <c r="B96" s="131"/>
      <c r="C96" s="131"/>
      <c r="D96" s="131"/>
      <c r="E96" s="112"/>
      <c r="F96" s="112"/>
    </row>
    <row r="97">
      <c r="A97" s="131"/>
      <c r="B97" s="131"/>
      <c r="C97" s="131"/>
      <c r="D97" s="131"/>
      <c r="E97" s="112"/>
      <c r="F97" s="112"/>
    </row>
    <row r="98">
      <c r="A98" s="131"/>
      <c r="B98" s="131"/>
      <c r="C98" s="131"/>
      <c r="D98" s="131"/>
      <c r="E98" s="112"/>
      <c r="F98" s="112"/>
    </row>
    <row r="99">
      <c r="A99" s="131"/>
      <c r="B99" s="131"/>
      <c r="C99" s="131">
        <f>IFERROR(__xludf.DUMMYFUNCTION("""COMPUTED_VALUE"""),76.0)</f>
        <v>76</v>
      </c>
      <c r="D99" s="131" t="b">
        <f>IFERROR(__xludf.DUMMYFUNCTION("""COMPUTED_VALUE"""),FALSE)</f>
        <v>0</v>
      </c>
      <c r="E99" s="113" t="str">
        <f>IFERROR(__xludf.DUMMYFUNCTION("""COMPUTED_VALUE"""),"INACTIVE")</f>
        <v>INACTIVE</v>
      </c>
      <c r="F99" s="110"/>
    </row>
    <row r="100">
      <c r="A100" s="131">
        <f>IFERROR(__xludf.DUMMYFUNCTION("""COMPUTED_VALUE"""),99.0)</f>
        <v>99</v>
      </c>
      <c r="B100" s="131"/>
      <c r="C100" s="131">
        <f>IFERROR(__xludf.DUMMYFUNCTION("""COMPUTED_VALUE"""),76.0)</f>
        <v>76</v>
      </c>
      <c r="D100" s="131" t="b">
        <f>IFERROR(__xludf.DUMMYFUNCTION("""COMPUTED_VALUE"""),FALSE)</f>
        <v>0</v>
      </c>
      <c r="E100" s="114" t="str">
        <f>IFERROR(__xludf.DUMMYFUNCTION("""COMPUTED_VALUE"""),"BONIFACIO")</f>
        <v>BONIFACIO</v>
      </c>
      <c r="F100" s="114" t="str">
        <f>IFERROR(__xludf.DUMMYFUNCTION("""COMPUTED_VALUE"""),"JUNIOR")</f>
        <v>JUNIOR</v>
      </c>
      <c r="I100" s="90" t="s">
        <v>4</v>
      </c>
      <c r="N100" s="90" t="b">
        <v>1</v>
      </c>
    </row>
    <row r="101">
      <c r="A101" s="131">
        <f>IFERROR(__xludf.DUMMYFUNCTION("""COMPUTED_VALUE"""),100.0)</f>
        <v>100</v>
      </c>
      <c r="B101" s="131"/>
      <c r="C101" s="131">
        <f>IFERROR(__xludf.DUMMYFUNCTION("""COMPUTED_VALUE"""),76.0)</f>
        <v>76</v>
      </c>
      <c r="D101" s="131" t="b">
        <f>IFERROR(__xludf.DUMMYFUNCTION("""COMPUTED_VALUE"""),FALSE)</f>
        <v>0</v>
      </c>
      <c r="E101" s="114" t="str">
        <f>IFERROR(__xludf.DUMMYFUNCTION("""COMPUTED_VALUE"""),"CASTILLO")</f>
        <v>CASTILLO</v>
      </c>
      <c r="F101" s="114" t="str">
        <f>IFERROR(__xludf.DUMMYFUNCTION("""COMPUTED_VALUE"""),"JOHNREY")</f>
        <v>JOHNREY</v>
      </c>
    </row>
    <row r="102">
      <c r="A102" s="131">
        <f>IFERROR(__xludf.DUMMYFUNCTION("""COMPUTED_VALUE"""),101.0)</f>
        <v>101</v>
      </c>
      <c r="B102" s="131"/>
      <c r="C102" s="131">
        <f>IFERROR(__xludf.DUMMYFUNCTION("""COMPUTED_VALUE"""),76.0)</f>
        <v>76</v>
      </c>
      <c r="D102" s="131" t="b">
        <f>IFERROR(__xludf.DUMMYFUNCTION("""COMPUTED_VALUE"""),FALSE)</f>
        <v>0</v>
      </c>
      <c r="E102" s="114" t="str">
        <f>IFERROR(__xludf.DUMMYFUNCTION("""COMPUTED_VALUE"""),"MENDOZA")</f>
        <v>MENDOZA</v>
      </c>
      <c r="F102" s="114" t="str">
        <f>IFERROR(__xludf.DUMMYFUNCTION("""COMPUTED_VALUE"""),"JUSTINE IAN")</f>
        <v>JUSTINE IAN</v>
      </c>
    </row>
    <row r="103">
      <c r="A103" s="131">
        <f>IFERROR(__xludf.DUMMYFUNCTION("""COMPUTED_VALUE"""),102.0)</f>
        <v>102</v>
      </c>
      <c r="B103" s="131"/>
      <c r="C103" s="131">
        <f>IFERROR(__xludf.DUMMYFUNCTION("""COMPUTED_VALUE"""),76.0)</f>
        <v>76</v>
      </c>
      <c r="D103" s="131" t="b">
        <f>IFERROR(__xludf.DUMMYFUNCTION("""COMPUTED_VALUE"""),FALSE)</f>
        <v>0</v>
      </c>
      <c r="E103" s="114" t="str">
        <f>IFERROR(__xludf.DUMMYFUNCTION("""COMPUTED_VALUE"""),"FERMIN")</f>
        <v>FERMIN</v>
      </c>
      <c r="F103" s="114" t="str">
        <f>IFERROR(__xludf.DUMMYFUNCTION("""COMPUTED_VALUE"""),"HARIMAR")</f>
        <v>HARIMAR</v>
      </c>
    </row>
    <row r="104">
      <c r="A104" s="131">
        <f>IFERROR(__xludf.DUMMYFUNCTION("""COMPUTED_VALUE"""),103.0)</f>
        <v>103</v>
      </c>
      <c r="B104" s="131"/>
      <c r="C104" s="131">
        <f>IFERROR(__xludf.DUMMYFUNCTION("""COMPUTED_VALUE"""),76.0)</f>
        <v>76</v>
      </c>
      <c r="D104" s="131" t="b">
        <f>IFERROR(__xludf.DUMMYFUNCTION("""COMPUTED_VALUE"""),FALSE)</f>
        <v>0</v>
      </c>
      <c r="E104" s="114" t="str">
        <f>IFERROR(__xludf.DUMMYFUNCTION("""COMPUTED_VALUE"""),"ADEME")</f>
        <v>ADEME</v>
      </c>
      <c r="F104" s="114" t="str">
        <f>IFERROR(__xludf.DUMMYFUNCTION("""COMPUTED_VALUE"""),"JOHN EVO")</f>
        <v>JOHN EVO</v>
      </c>
    </row>
    <row r="105">
      <c r="A105" s="131">
        <f>IFERROR(__xludf.DUMMYFUNCTION("""COMPUTED_VALUE"""),104.0)</f>
        <v>104</v>
      </c>
      <c r="B105" s="131"/>
      <c r="C105" s="131">
        <f>IFERROR(__xludf.DUMMYFUNCTION("""COMPUTED_VALUE"""),76.0)</f>
        <v>76</v>
      </c>
      <c r="D105" s="131" t="b">
        <f>IFERROR(__xludf.DUMMYFUNCTION("""COMPUTED_VALUE"""),FALSE)</f>
        <v>0</v>
      </c>
      <c r="E105" s="114" t="str">
        <f>IFERROR(__xludf.DUMMYFUNCTION("""COMPUTED_VALUE"""),"FLAGNE")</f>
        <v>FLAGNE</v>
      </c>
      <c r="F105" s="114" t="str">
        <f>IFERROR(__xludf.DUMMYFUNCTION("""COMPUTED_VALUE"""),"JHANDY")</f>
        <v>JHANDY</v>
      </c>
    </row>
    <row r="106">
      <c r="A106" s="131">
        <f>IFERROR(__xludf.DUMMYFUNCTION("""COMPUTED_VALUE"""),105.0)</f>
        <v>105</v>
      </c>
      <c r="B106" s="131"/>
      <c r="C106" s="131">
        <f>IFERROR(__xludf.DUMMYFUNCTION("""COMPUTED_VALUE"""),76.0)</f>
        <v>76</v>
      </c>
      <c r="D106" s="131" t="b">
        <f>IFERROR(__xludf.DUMMYFUNCTION("""COMPUTED_VALUE"""),FALSE)</f>
        <v>0</v>
      </c>
      <c r="E106" s="114" t="str">
        <f>IFERROR(__xludf.DUMMYFUNCTION("""COMPUTED_VALUE"""),"GURION")</f>
        <v>GURION</v>
      </c>
      <c r="F106" s="114" t="str">
        <f>IFERROR(__xludf.DUMMYFUNCTION("""COMPUTED_VALUE"""),"ARJIE")</f>
        <v>ARJIE</v>
      </c>
    </row>
    <row r="107">
      <c r="A107" s="131">
        <f>IFERROR(__xludf.DUMMYFUNCTION("""COMPUTED_VALUE"""),106.0)</f>
        <v>106</v>
      </c>
      <c r="B107" s="131"/>
      <c r="C107" s="131">
        <f>IFERROR(__xludf.DUMMYFUNCTION("""COMPUTED_VALUE"""),76.0)</f>
        <v>76</v>
      </c>
      <c r="D107" s="131" t="b">
        <f>IFERROR(__xludf.DUMMYFUNCTION("""COMPUTED_VALUE"""),FALSE)</f>
        <v>0</v>
      </c>
      <c r="E107" s="114" t="str">
        <f>IFERROR(__xludf.DUMMYFUNCTION("""COMPUTED_VALUE"""),"INAJE")</f>
        <v>INAJE</v>
      </c>
      <c r="F107" s="114" t="str">
        <f>IFERROR(__xludf.DUMMYFUNCTION("""COMPUTED_VALUE"""),"JAYSON")</f>
        <v>JAYSON</v>
      </c>
    </row>
    <row r="108">
      <c r="A108" s="131">
        <f>IFERROR(__xludf.DUMMYFUNCTION("""COMPUTED_VALUE"""),107.0)</f>
        <v>107</v>
      </c>
      <c r="B108" s="131"/>
      <c r="C108" s="131">
        <f>IFERROR(__xludf.DUMMYFUNCTION("""COMPUTED_VALUE"""),76.0)</f>
        <v>76</v>
      </c>
      <c r="D108" s="131" t="b">
        <f>IFERROR(__xludf.DUMMYFUNCTION("""COMPUTED_VALUE"""),FALSE)</f>
        <v>0</v>
      </c>
      <c r="E108" s="114" t="str">
        <f>IFERROR(__xludf.DUMMYFUNCTION("""COMPUTED_VALUE"""),"LUANGCO")</f>
        <v>LUANGCO</v>
      </c>
      <c r="F108" s="114" t="str">
        <f>IFERROR(__xludf.DUMMYFUNCTION("""COMPUTED_VALUE"""),"MARKHIEL")</f>
        <v>MARKHIEL</v>
      </c>
    </row>
    <row r="109">
      <c r="A109" s="131">
        <f>IFERROR(__xludf.DUMMYFUNCTION("""COMPUTED_VALUE"""),108.0)</f>
        <v>108</v>
      </c>
      <c r="B109" s="131"/>
      <c r="C109" s="131">
        <f>IFERROR(__xludf.DUMMYFUNCTION("""COMPUTED_VALUE"""),76.0)</f>
        <v>76</v>
      </c>
      <c r="D109" s="131" t="b">
        <f>IFERROR(__xludf.DUMMYFUNCTION("""COMPUTED_VALUE"""),FALSE)</f>
        <v>0</v>
      </c>
      <c r="E109" s="114" t="str">
        <f>IFERROR(__xludf.DUMMYFUNCTION("""COMPUTED_VALUE"""),"NAPARATO")</f>
        <v>NAPARATO</v>
      </c>
      <c r="F109" s="114" t="str">
        <f>IFERROR(__xludf.DUMMYFUNCTION("""COMPUTED_VALUE"""),"JONEL")</f>
        <v>JONEL</v>
      </c>
    </row>
    <row r="110">
      <c r="A110" s="131">
        <f>IFERROR(__xludf.DUMMYFUNCTION("""COMPUTED_VALUE"""),109.0)</f>
        <v>109</v>
      </c>
      <c r="B110" s="131"/>
      <c r="C110" s="131">
        <f>IFERROR(__xludf.DUMMYFUNCTION("""COMPUTED_VALUE"""),76.0)</f>
        <v>76</v>
      </c>
      <c r="D110" s="131" t="b">
        <f>IFERROR(__xludf.DUMMYFUNCTION("""COMPUTED_VALUE"""),FALSE)</f>
        <v>0</v>
      </c>
      <c r="E110" s="114" t="str">
        <f>IFERROR(__xludf.DUMMYFUNCTION("""COMPUTED_VALUE"""),"NAPARATO")</f>
        <v>NAPARATO</v>
      </c>
      <c r="F110" s="114" t="str">
        <f>IFERROR(__xludf.DUMMYFUNCTION("""COMPUTED_VALUE"""),"JEFF")</f>
        <v>JEFF</v>
      </c>
    </row>
    <row r="111">
      <c r="A111" s="131">
        <f>IFERROR(__xludf.DUMMYFUNCTION("""COMPUTED_VALUE"""),110.0)</f>
        <v>110</v>
      </c>
      <c r="B111" s="131"/>
      <c r="C111" s="131">
        <f>IFERROR(__xludf.DUMMYFUNCTION("""COMPUTED_VALUE"""),76.0)</f>
        <v>76</v>
      </c>
      <c r="D111" s="131" t="b">
        <f>IFERROR(__xludf.DUMMYFUNCTION("""COMPUTED_VALUE"""),FALSE)</f>
        <v>0</v>
      </c>
      <c r="E111" s="114" t="str">
        <f>IFERROR(__xludf.DUMMYFUNCTION("""COMPUTED_VALUE"""),"PABILLO")</f>
        <v>PABILLO</v>
      </c>
      <c r="F111" s="114" t="str">
        <f>IFERROR(__xludf.DUMMYFUNCTION("""COMPUTED_VALUE"""),"PRINCE ALECK")</f>
        <v>PRINCE ALECK</v>
      </c>
    </row>
    <row r="112">
      <c r="A112" s="131">
        <f>IFERROR(__xludf.DUMMYFUNCTION("""COMPUTED_VALUE"""),111.0)</f>
        <v>111</v>
      </c>
      <c r="B112" s="131"/>
      <c r="C112" s="131">
        <f>IFERROR(__xludf.DUMMYFUNCTION("""COMPUTED_VALUE"""),76.0)</f>
        <v>76</v>
      </c>
      <c r="D112" s="131" t="b">
        <f>IFERROR(__xludf.DUMMYFUNCTION("""COMPUTED_VALUE"""),FALSE)</f>
        <v>0</v>
      </c>
      <c r="E112" s="114" t="str">
        <f>IFERROR(__xludf.DUMMYFUNCTION("""COMPUTED_VALUE"""),"PRINCESA")</f>
        <v>PRINCESA</v>
      </c>
      <c r="F112" s="114" t="str">
        <f>IFERROR(__xludf.DUMMYFUNCTION("""COMPUTED_VALUE"""),"ADRIAN CARL")</f>
        <v>ADRIAN CARL</v>
      </c>
    </row>
    <row r="113">
      <c r="A113" s="131">
        <f>IFERROR(__xludf.DUMMYFUNCTION("""COMPUTED_VALUE"""),112.0)</f>
        <v>112</v>
      </c>
      <c r="B113" s="131"/>
      <c r="C113" s="131">
        <f>IFERROR(__xludf.DUMMYFUNCTION("""COMPUTED_VALUE"""),76.0)</f>
        <v>76</v>
      </c>
      <c r="D113" s="131" t="b">
        <f>IFERROR(__xludf.DUMMYFUNCTION("""COMPUTED_VALUE"""),FALSE)</f>
        <v>0</v>
      </c>
      <c r="E113" s="114" t="str">
        <f>IFERROR(__xludf.DUMMYFUNCTION("""COMPUTED_VALUE"""),"RAMOS")</f>
        <v>RAMOS</v>
      </c>
      <c r="F113" s="114" t="str">
        <f>IFERROR(__xludf.DUMMYFUNCTION("""COMPUTED_VALUE"""),"JEREMIAH")</f>
        <v>JEREMIAH</v>
      </c>
    </row>
    <row r="114">
      <c r="A114" s="131">
        <f>IFERROR(__xludf.DUMMYFUNCTION("""COMPUTED_VALUE"""),113.0)</f>
        <v>113</v>
      </c>
      <c r="B114" s="131"/>
      <c r="C114" s="131">
        <f>IFERROR(__xludf.DUMMYFUNCTION("""COMPUTED_VALUE"""),76.0)</f>
        <v>76</v>
      </c>
      <c r="D114" s="131" t="b">
        <f>IFERROR(__xludf.DUMMYFUNCTION("""COMPUTED_VALUE"""),FALSE)</f>
        <v>0</v>
      </c>
      <c r="E114" s="114" t="str">
        <f>IFERROR(__xludf.DUMMYFUNCTION("""COMPUTED_VALUE"""),"RAMOS")</f>
        <v>RAMOS</v>
      </c>
      <c r="F114" s="114" t="str">
        <f>IFERROR(__xludf.DUMMYFUNCTION("""COMPUTED_VALUE"""),"MATTHEW")</f>
        <v>MATTHEW</v>
      </c>
    </row>
    <row r="115">
      <c r="A115" s="131">
        <f>IFERROR(__xludf.DUMMYFUNCTION("""COMPUTED_VALUE"""),114.0)</f>
        <v>114</v>
      </c>
      <c r="B115" s="131"/>
      <c r="C115" s="131">
        <f>IFERROR(__xludf.DUMMYFUNCTION("""COMPUTED_VALUE"""),76.0)</f>
        <v>76</v>
      </c>
      <c r="D115" s="131" t="b">
        <f>IFERROR(__xludf.DUMMYFUNCTION("""COMPUTED_VALUE"""),FALSE)</f>
        <v>0</v>
      </c>
      <c r="E115" s="114" t="str">
        <f>IFERROR(__xludf.DUMMYFUNCTION("""COMPUTED_VALUE"""),"RAMOS")</f>
        <v>RAMOS</v>
      </c>
      <c r="F115" s="114" t="str">
        <f>IFERROR(__xludf.DUMMYFUNCTION("""COMPUTED_VALUE"""),"JONAS")</f>
        <v>JONAS</v>
      </c>
    </row>
    <row r="116">
      <c r="A116" s="131">
        <f>IFERROR(__xludf.DUMMYFUNCTION("""COMPUTED_VALUE"""),115.0)</f>
        <v>115</v>
      </c>
      <c r="B116" s="131"/>
      <c r="C116" s="131">
        <f>IFERROR(__xludf.DUMMYFUNCTION("""COMPUTED_VALUE"""),76.0)</f>
        <v>76</v>
      </c>
      <c r="D116" s="131" t="b">
        <f>IFERROR(__xludf.DUMMYFUNCTION("""COMPUTED_VALUE"""),FALSE)</f>
        <v>0</v>
      </c>
      <c r="E116" s="114" t="str">
        <f>IFERROR(__xludf.DUMMYFUNCTION("""COMPUTED_VALUE"""),"ROMANO")</f>
        <v>ROMANO</v>
      </c>
      <c r="F116" s="114" t="str">
        <f>IFERROR(__xludf.DUMMYFUNCTION("""COMPUTED_VALUE"""),"XIANREY")</f>
        <v>XIANREY</v>
      </c>
    </row>
    <row r="117">
      <c r="A117" s="131">
        <f>IFERROR(__xludf.DUMMYFUNCTION("""COMPUTED_VALUE"""),116.0)</f>
        <v>116</v>
      </c>
      <c r="B117" s="131"/>
      <c r="C117" s="131">
        <f>IFERROR(__xludf.DUMMYFUNCTION("""COMPUTED_VALUE"""),76.0)</f>
        <v>76</v>
      </c>
      <c r="D117" s="131" t="b">
        <f>IFERROR(__xludf.DUMMYFUNCTION("""COMPUTED_VALUE"""),FALSE)</f>
        <v>0</v>
      </c>
      <c r="E117" s="114" t="str">
        <f>IFERROR(__xludf.DUMMYFUNCTION("""COMPUTED_VALUE"""),"AMBROCIO")</f>
        <v>AMBROCIO</v>
      </c>
      <c r="F117" s="114" t="str">
        <f>IFERROR(__xludf.DUMMYFUNCTION("""COMPUTED_VALUE"""),"JAMES")</f>
        <v>JAMES</v>
      </c>
    </row>
    <row r="118">
      <c r="A118" s="131">
        <f>IFERROR(__xludf.DUMMYFUNCTION("""COMPUTED_VALUE"""),117.0)</f>
        <v>117</v>
      </c>
      <c r="B118" s="131"/>
      <c r="C118" s="131">
        <f>IFERROR(__xludf.DUMMYFUNCTION("""COMPUTED_VALUE"""),76.0)</f>
        <v>76</v>
      </c>
      <c r="D118" s="131" t="b">
        <f>IFERROR(__xludf.DUMMYFUNCTION("""COMPUTED_VALUE"""),FALSE)</f>
        <v>0</v>
      </c>
      <c r="E118" s="114" t="str">
        <f>IFERROR(__xludf.DUMMYFUNCTION("""COMPUTED_VALUE"""),"PANADO")</f>
        <v>PANADO</v>
      </c>
      <c r="F118" s="114" t="str">
        <f>IFERROR(__xludf.DUMMYFUNCTION("""COMPUTED_VALUE"""),"JAMES")</f>
        <v>JAMES</v>
      </c>
    </row>
    <row r="119">
      <c r="A119" s="131">
        <f>IFERROR(__xludf.DUMMYFUNCTION("""COMPUTED_VALUE"""),118.0)</f>
        <v>118</v>
      </c>
      <c r="B119" s="131"/>
      <c r="C119" s="131">
        <f>IFERROR(__xludf.DUMMYFUNCTION("""COMPUTED_VALUE"""),76.0)</f>
        <v>76</v>
      </c>
      <c r="D119" s="131" t="b">
        <f>IFERROR(__xludf.DUMMYFUNCTION("""COMPUTED_VALUE"""),FALSE)</f>
        <v>0</v>
      </c>
      <c r="E119" s="114" t="str">
        <f>IFERROR(__xludf.DUMMYFUNCTION("""COMPUTED_VALUE"""),"MALLARI")</f>
        <v>MALLARI</v>
      </c>
      <c r="F119" s="114" t="str">
        <f>IFERROR(__xludf.DUMMYFUNCTION("""COMPUTED_VALUE"""),"JAY IAN")</f>
        <v>JAY IAN</v>
      </c>
    </row>
    <row r="120">
      <c r="A120" s="131"/>
      <c r="B120" s="131"/>
      <c r="C120" s="131"/>
      <c r="D120" s="131"/>
      <c r="E120" s="131"/>
      <c r="F120" s="131"/>
    </row>
    <row r="121">
      <c r="A121" s="131">
        <f>IFERROR(__xludf.DUMMYFUNCTION("""COMPUTED_VALUE"""),120.0)</f>
        <v>120</v>
      </c>
      <c r="B121" s="131"/>
      <c r="C121" s="131">
        <f>IFERROR(__xludf.DUMMYFUNCTION("""COMPUTED_VALUE"""),120.0)</f>
        <v>120</v>
      </c>
      <c r="D121" s="131" t="b">
        <f>IFERROR(__xludf.DUMMYFUNCTION("""COMPUTED_VALUE"""),TRUE)</f>
        <v>1</v>
      </c>
      <c r="E121" s="105" t="str">
        <f>IFERROR(__xludf.DUMMYFUNCTION("""COMPUTED_VALUE"""),"MACASA")</f>
        <v>MACASA</v>
      </c>
      <c r="F121" s="105" t="str">
        <f>IFERROR(__xludf.DUMMYFUNCTION("""COMPUTED_VALUE"""),"POLO")</f>
        <v>POLO</v>
      </c>
    </row>
    <row r="122">
      <c r="A122" s="131">
        <f>IFERROR(__xludf.DUMMYFUNCTION("""COMPUTED_VALUE"""),121.0)</f>
        <v>121</v>
      </c>
      <c r="B122" s="131"/>
      <c r="C122" s="131">
        <f>IFERROR(__xludf.DUMMYFUNCTION("""COMPUTED_VALUE"""),120.0)</f>
        <v>120</v>
      </c>
      <c r="D122" s="131" t="b">
        <f>IFERROR(__xludf.DUMMYFUNCTION("""COMPUTED_VALUE"""),FALSE)</f>
        <v>0</v>
      </c>
      <c r="E122" s="115" t="str">
        <f>IFERROR(__xludf.DUMMYFUNCTION("""COMPUTED_VALUE"""),"ALCANTARA")</f>
        <v>ALCANTARA</v>
      </c>
      <c r="F122" s="107" t="str">
        <f>IFERROR(__xludf.DUMMYFUNCTION("""COMPUTED_VALUE"""),"GERALD")</f>
        <v>GERALD</v>
      </c>
    </row>
    <row r="123">
      <c r="A123" s="131">
        <f>IFERROR(__xludf.DUMMYFUNCTION("""COMPUTED_VALUE"""),122.0)</f>
        <v>122</v>
      </c>
      <c r="B123" s="131"/>
      <c r="C123" s="131">
        <f>IFERROR(__xludf.DUMMYFUNCTION("""COMPUTED_VALUE"""),120.0)</f>
        <v>120</v>
      </c>
      <c r="D123" s="131" t="b">
        <f>IFERROR(__xludf.DUMMYFUNCTION("""COMPUTED_VALUE"""),FALSE)</f>
        <v>0</v>
      </c>
      <c r="E123" s="107" t="str">
        <f>IFERROR(__xludf.DUMMYFUNCTION("""COMPUTED_VALUE"""),"ALVIAR")</f>
        <v>ALVIAR</v>
      </c>
      <c r="F123" s="107" t="str">
        <f>IFERROR(__xludf.DUMMYFUNCTION("""COMPUTED_VALUE"""),"PETER")</f>
        <v>PETER</v>
      </c>
    </row>
    <row r="124">
      <c r="A124" s="131">
        <f>IFERROR(__xludf.DUMMYFUNCTION("""COMPUTED_VALUE"""),123.0)</f>
        <v>123</v>
      </c>
      <c r="B124" s="131"/>
      <c r="C124" s="131">
        <f>IFERROR(__xludf.DUMMYFUNCTION("""COMPUTED_VALUE"""),120.0)</f>
        <v>120</v>
      </c>
      <c r="D124" s="131" t="b">
        <f>IFERROR(__xludf.DUMMYFUNCTION("""COMPUTED_VALUE"""),FALSE)</f>
        <v>0</v>
      </c>
      <c r="E124" s="116" t="str">
        <f>IFERROR(__xludf.DUMMYFUNCTION("""COMPUTED_VALUE"""),"BUCTOT")</f>
        <v>BUCTOT</v>
      </c>
      <c r="F124" s="107" t="str">
        <f>IFERROR(__xludf.DUMMYFUNCTION("""COMPUTED_VALUE"""),"JEFFREY")</f>
        <v>JEFFREY</v>
      </c>
    </row>
    <row r="125">
      <c r="A125" s="131">
        <f>IFERROR(__xludf.DUMMYFUNCTION("""COMPUTED_VALUE"""),124.0)</f>
        <v>124</v>
      </c>
      <c r="B125" s="131"/>
      <c r="C125" s="131">
        <f>IFERROR(__xludf.DUMMYFUNCTION("""COMPUTED_VALUE"""),120.0)</f>
        <v>120</v>
      </c>
      <c r="D125" s="131" t="b">
        <f>IFERROR(__xludf.DUMMYFUNCTION("""COMPUTED_VALUE"""),FALSE)</f>
        <v>0</v>
      </c>
      <c r="E125" s="107" t="str">
        <f>IFERROR(__xludf.DUMMYFUNCTION("""COMPUTED_VALUE"""),"CABRERA")</f>
        <v>CABRERA</v>
      </c>
      <c r="F125" s="107" t="str">
        <f>IFERROR(__xludf.DUMMYFUNCTION("""COMPUTED_VALUE"""),"LANCE")</f>
        <v>LANCE</v>
      </c>
    </row>
    <row r="126">
      <c r="A126" s="131">
        <f>IFERROR(__xludf.DUMMYFUNCTION("""COMPUTED_VALUE"""),125.0)</f>
        <v>125</v>
      </c>
      <c r="B126" s="131"/>
      <c r="C126" s="131">
        <f>IFERROR(__xludf.DUMMYFUNCTION("""COMPUTED_VALUE"""),120.0)</f>
        <v>120</v>
      </c>
      <c r="D126" s="131" t="b">
        <f>IFERROR(__xludf.DUMMYFUNCTION("""COMPUTED_VALUE"""),FALSE)</f>
        <v>0</v>
      </c>
      <c r="E126" s="107" t="str">
        <f>IFERROR(__xludf.DUMMYFUNCTION("""COMPUTED_VALUE"""),"CANDIDO")</f>
        <v>CANDIDO</v>
      </c>
      <c r="F126" s="107" t="str">
        <f>IFERROR(__xludf.DUMMYFUNCTION("""COMPUTED_VALUE"""),"PRINCE")</f>
        <v>PRINCE</v>
      </c>
    </row>
    <row r="127">
      <c r="A127" s="131">
        <f>IFERROR(__xludf.DUMMYFUNCTION("""COMPUTED_VALUE"""),126.0)</f>
        <v>126</v>
      </c>
      <c r="B127" s="131"/>
      <c r="C127" s="131">
        <f>IFERROR(__xludf.DUMMYFUNCTION("""COMPUTED_VALUE"""),120.0)</f>
        <v>120</v>
      </c>
      <c r="D127" s="131" t="b">
        <f>IFERROR(__xludf.DUMMYFUNCTION("""COMPUTED_VALUE"""),FALSE)</f>
        <v>0</v>
      </c>
      <c r="E127" s="107" t="str">
        <f>IFERROR(__xludf.DUMMYFUNCTION("""COMPUTED_VALUE"""),"LOUIE")</f>
        <v>LOUIE</v>
      </c>
      <c r="F127" s="107" t="str">
        <f>IFERROR(__xludf.DUMMYFUNCTION("""COMPUTED_VALUE"""),"JAMES")</f>
        <v>JAMES</v>
      </c>
    </row>
    <row r="128">
      <c r="A128" s="131">
        <f>IFERROR(__xludf.DUMMYFUNCTION("""COMPUTED_VALUE"""),127.0)</f>
        <v>127</v>
      </c>
      <c r="B128" s="131"/>
      <c r="C128" s="131">
        <f>IFERROR(__xludf.DUMMYFUNCTION("""COMPUTED_VALUE"""),120.0)</f>
        <v>120</v>
      </c>
      <c r="D128" s="131" t="b">
        <f>IFERROR(__xludf.DUMMYFUNCTION("""COMPUTED_VALUE"""),FALSE)</f>
        <v>0</v>
      </c>
      <c r="E128" s="107" t="str">
        <f>IFERROR(__xludf.DUMMYFUNCTION("""COMPUTED_VALUE"""),"MALIGTAS")</f>
        <v>MALIGTAS</v>
      </c>
      <c r="F128" s="107" t="str">
        <f>IFERROR(__xludf.DUMMYFUNCTION("""COMPUTED_VALUE"""),"SKYE")</f>
        <v>SKYE</v>
      </c>
    </row>
    <row r="129">
      <c r="A129" s="131">
        <f>IFERROR(__xludf.DUMMYFUNCTION("""COMPUTED_VALUE"""),128.0)</f>
        <v>128</v>
      </c>
      <c r="B129" s="131"/>
      <c r="C129" s="131">
        <f>IFERROR(__xludf.DUMMYFUNCTION("""COMPUTED_VALUE"""),120.0)</f>
        <v>120</v>
      </c>
      <c r="D129" s="131" t="b">
        <f>IFERROR(__xludf.DUMMYFUNCTION("""COMPUTED_VALUE"""),FALSE)</f>
        <v>0</v>
      </c>
      <c r="E129" s="107" t="str">
        <f>IFERROR(__xludf.DUMMYFUNCTION("""COMPUTED_VALUE"""),"NEHEMIAH")</f>
        <v>NEHEMIAH</v>
      </c>
      <c r="F129" s="107" t="str">
        <f>IFERROR(__xludf.DUMMYFUNCTION("""COMPUTED_VALUE"""),"ARKHEL")</f>
        <v>ARKHEL</v>
      </c>
    </row>
    <row r="130">
      <c r="A130" s="131">
        <f>IFERROR(__xludf.DUMMYFUNCTION("""COMPUTED_VALUE"""),129.0)</f>
        <v>129</v>
      </c>
      <c r="B130" s="131"/>
      <c r="C130" s="131">
        <f>IFERROR(__xludf.DUMMYFUNCTION("""COMPUTED_VALUE"""),120.0)</f>
        <v>120</v>
      </c>
      <c r="D130" s="131" t="b">
        <f>IFERROR(__xludf.DUMMYFUNCTION("""COMPUTED_VALUE"""),FALSE)</f>
        <v>0</v>
      </c>
      <c r="E130" s="107" t="str">
        <f>IFERROR(__xludf.DUMMYFUNCTION("""COMPUTED_VALUE"""),"OLASO")</f>
        <v>OLASO</v>
      </c>
      <c r="F130" s="107" t="str">
        <f>IFERROR(__xludf.DUMMYFUNCTION("""COMPUTED_VALUE"""),"CHARLES")</f>
        <v>CHARLES</v>
      </c>
    </row>
    <row r="131">
      <c r="A131" s="131">
        <f>IFERROR(__xludf.DUMMYFUNCTION("""COMPUTED_VALUE"""),130.0)</f>
        <v>130</v>
      </c>
      <c r="B131" s="131"/>
      <c r="C131" s="131">
        <f>IFERROR(__xludf.DUMMYFUNCTION("""COMPUTED_VALUE"""),120.0)</f>
        <v>120</v>
      </c>
      <c r="D131" s="131" t="b">
        <f>IFERROR(__xludf.DUMMYFUNCTION("""COMPUTED_VALUE"""),FALSE)</f>
        <v>0</v>
      </c>
      <c r="E131" s="107" t="str">
        <f>IFERROR(__xludf.DUMMYFUNCTION("""COMPUTED_VALUE"""),"PASCUA")</f>
        <v>PASCUA</v>
      </c>
      <c r="F131" s="107" t="str">
        <f>IFERROR(__xludf.DUMMYFUNCTION("""COMPUTED_VALUE"""),"JOHN MICHAEL")</f>
        <v>JOHN MICHAEL</v>
      </c>
    </row>
    <row r="132">
      <c r="A132" s="131">
        <f>IFERROR(__xludf.DUMMYFUNCTION("""COMPUTED_VALUE"""),131.0)</f>
        <v>131</v>
      </c>
      <c r="B132" s="131"/>
      <c r="C132" s="131">
        <f>IFERROR(__xludf.DUMMYFUNCTION("""COMPUTED_VALUE"""),120.0)</f>
        <v>120</v>
      </c>
      <c r="D132" s="131" t="b">
        <f>IFERROR(__xludf.DUMMYFUNCTION("""COMPUTED_VALUE"""),FALSE)</f>
        <v>0</v>
      </c>
      <c r="E132" s="107" t="str">
        <f>IFERROR(__xludf.DUMMYFUNCTION("""COMPUTED_VALUE"""),"PERALTA")</f>
        <v>PERALTA</v>
      </c>
      <c r="F132" s="107" t="str">
        <f>IFERROR(__xludf.DUMMYFUNCTION("""COMPUTED_VALUE"""),"MARLON")</f>
        <v>MARLON</v>
      </c>
    </row>
    <row r="133">
      <c r="A133" s="131">
        <f>IFERROR(__xludf.DUMMYFUNCTION("""COMPUTED_VALUE"""),132.0)</f>
        <v>132</v>
      </c>
      <c r="B133" s="131"/>
      <c r="C133" s="131">
        <f>IFERROR(__xludf.DUMMYFUNCTION("""COMPUTED_VALUE"""),120.0)</f>
        <v>120</v>
      </c>
      <c r="D133" s="131" t="b">
        <f>IFERROR(__xludf.DUMMYFUNCTION("""COMPUTED_VALUE"""),FALSE)</f>
        <v>0</v>
      </c>
      <c r="E133" s="107" t="str">
        <f>IFERROR(__xludf.DUMMYFUNCTION("""COMPUTED_VALUE"""),"PESAYCO")</f>
        <v>PESAYCO</v>
      </c>
      <c r="F133" s="107" t="str">
        <f>IFERROR(__xludf.DUMMYFUNCTION("""COMPUTED_VALUE"""),"KEITH")</f>
        <v>KEITH</v>
      </c>
    </row>
    <row r="134">
      <c r="A134" s="131">
        <f>IFERROR(__xludf.DUMMYFUNCTION("""COMPUTED_VALUE"""),133.0)</f>
        <v>133</v>
      </c>
      <c r="B134" s="131"/>
      <c r="C134" s="131">
        <f>IFERROR(__xludf.DUMMYFUNCTION("""COMPUTED_VALUE"""),120.0)</f>
        <v>120</v>
      </c>
      <c r="D134" s="131" t="b">
        <f>IFERROR(__xludf.DUMMYFUNCTION("""COMPUTED_VALUE"""),FALSE)</f>
        <v>0</v>
      </c>
      <c r="E134" s="107" t="str">
        <f>IFERROR(__xludf.DUMMYFUNCTION("""COMPUTED_VALUE"""),"RAZON")</f>
        <v>RAZON</v>
      </c>
      <c r="F134" s="107" t="str">
        <f>IFERROR(__xludf.DUMMYFUNCTION("""COMPUTED_VALUE"""),"JOSHUA")</f>
        <v>JOSHUA</v>
      </c>
    </row>
    <row r="135">
      <c r="A135" s="131">
        <f>IFERROR(__xludf.DUMMYFUNCTION("""COMPUTED_VALUE"""),134.0)</f>
        <v>134</v>
      </c>
      <c r="B135" s="131"/>
      <c r="C135" s="131">
        <f>IFERROR(__xludf.DUMMYFUNCTION("""COMPUTED_VALUE"""),120.0)</f>
        <v>120</v>
      </c>
      <c r="D135" s="131" t="b">
        <f>IFERROR(__xludf.DUMMYFUNCTION("""COMPUTED_VALUE"""),FALSE)</f>
        <v>0</v>
      </c>
      <c r="E135" s="107" t="str">
        <f>IFERROR(__xludf.DUMMYFUNCTION("""COMPUTED_VALUE"""),"ROCCO")</f>
        <v>ROCCO</v>
      </c>
      <c r="F135" s="107" t="str">
        <f>IFERROR(__xludf.DUMMYFUNCTION("""COMPUTED_VALUE"""),"MARK")</f>
        <v>MARK</v>
      </c>
    </row>
    <row r="136">
      <c r="A136" s="131">
        <f>IFERROR(__xludf.DUMMYFUNCTION("""COMPUTED_VALUE"""),135.0)</f>
        <v>135</v>
      </c>
      <c r="B136" s="131"/>
      <c r="C136" s="131">
        <f>IFERROR(__xludf.DUMMYFUNCTION("""COMPUTED_VALUE"""),120.0)</f>
        <v>120</v>
      </c>
      <c r="D136" s="131" t="b">
        <f>IFERROR(__xludf.DUMMYFUNCTION("""COMPUTED_VALUE"""),FALSE)</f>
        <v>0</v>
      </c>
      <c r="E136" s="107" t="str">
        <f>IFERROR(__xludf.DUMMYFUNCTION("""COMPUTED_VALUE"""),"ROME")</f>
        <v>ROME</v>
      </c>
      <c r="F136" s="107" t="str">
        <f>IFERROR(__xludf.DUMMYFUNCTION("""COMPUTED_VALUE"""),"ZAYIN")</f>
        <v>ZAYIN</v>
      </c>
    </row>
    <row r="137">
      <c r="A137" s="131">
        <f>IFERROR(__xludf.DUMMYFUNCTION("""COMPUTED_VALUE"""),136.0)</f>
        <v>136</v>
      </c>
      <c r="B137" s="131"/>
      <c r="C137" s="131">
        <f>IFERROR(__xludf.DUMMYFUNCTION("""COMPUTED_VALUE"""),120.0)</f>
        <v>120</v>
      </c>
      <c r="D137" s="131" t="b">
        <f>IFERROR(__xludf.DUMMYFUNCTION("""COMPUTED_VALUE"""),FALSE)</f>
        <v>0</v>
      </c>
      <c r="E137" s="107" t="str">
        <f>IFERROR(__xludf.DUMMYFUNCTION("""COMPUTED_VALUE"""),"ROME")</f>
        <v>ROME</v>
      </c>
      <c r="F137" s="107" t="str">
        <f>IFERROR(__xludf.DUMMYFUNCTION("""COMPUTED_VALUE"""),"ZACH")</f>
        <v>ZACH</v>
      </c>
    </row>
    <row r="138">
      <c r="A138" s="131">
        <f>IFERROR(__xludf.DUMMYFUNCTION("""COMPUTED_VALUE"""),137.0)</f>
        <v>137</v>
      </c>
      <c r="B138" s="131"/>
      <c r="C138" s="131">
        <f>IFERROR(__xludf.DUMMYFUNCTION("""COMPUTED_VALUE"""),120.0)</f>
        <v>120</v>
      </c>
      <c r="D138" s="131" t="b">
        <f>IFERROR(__xludf.DUMMYFUNCTION("""COMPUTED_VALUE"""),FALSE)</f>
        <v>0</v>
      </c>
      <c r="E138" s="107" t="str">
        <f>IFERROR(__xludf.DUMMYFUNCTION("""COMPUTED_VALUE"""),"SERRANO")</f>
        <v>SERRANO</v>
      </c>
      <c r="F138" s="107" t="str">
        <f>IFERROR(__xludf.DUMMYFUNCTION("""COMPUTED_VALUE"""),"MICO")</f>
        <v>MICO</v>
      </c>
    </row>
    <row r="139">
      <c r="A139" s="131">
        <f>IFERROR(__xludf.DUMMYFUNCTION("""COMPUTED_VALUE"""),138.0)</f>
        <v>138</v>
      </c>
      <c r="B139" s="131"/>
      <c r="C139" s="131">
        <f>IFERROR(__xludf.DUMMYFUNCTION("""COMPUTED_VALUE"""),120.0)</f>
        <v>120</v>
      </c>
      <c r="D139" s="131" t="b">
        <f>IFERROR(__xludf.DUMMYFUNCTION("""COMPUTED_VALUE"""),FALSE)</f>
        <v>0</v>
      </c>
      <c r="E139" s="98"/>
      <c r="F139" s="107" t="str">
        <f>IFERROR(__xludf.DUMMYFUNCTION("""COMPUTED_VALUE"""),"PAUL")</f>
        <v>PAUL</v>
      </c>
    </row>
    <row r="140">
      <c r="A140" s="131"/>
      <c r="B140" s="131"/>
      <c r="C140" s="131"/>
      <c r="D140" s="131"/>
      <c r="E140" s="131"/>
      <c r="F140" s="131"/>
    </row>
    <row r="141">
      <c r="A141" s="131">
        <f>IFERROR(__xludf.DUMMYFUNCTION("""COMPUTED_VALUE"""),140.0)</f>
        <v>140</v>
      </c>
      <c r="B141" s="131"/>
      <c r="C141" s="131">
        <f>IFERROR(__xludf.DUMMYFUNCTION("""COMPUTED_VALUE"""),140.0)</f>
        <v>140</v>
      </c>
      <c r="D141" s="131" t="b">
        <f>IFERROR(__xludf.DUMMYFUNCTION("""COMPUTED_VALUE"""),TRUE)</f>
        <v>1</v>
      </c>
      <c r="E141" s="105" t="str">
        <f>IFERROR(__xludf.DUMMYFUNCTION("""COMPUTED_VALUE"""),"ARANDA")</f>
        <v>ARANDA</v>
      </c>
      <c r="F141" s="105" t="str">
        <f>IFERROR(__xludf.DUMMYFUNCTION("""COMPUTED_VALUE"""),"IYA")</f>
        <v>IYA</v>
      </c>
    </row>
    <row r="142">
      <c r="A142" s="131">
        <f>IFERROR(__xludf.DUMMYFUNCTION("""COMPUTED_VALUE"""),141.0)</f>
        <v>141</v>
      </c>
      <c r="B142" s="131"/>
      <c r="C142" s="131">
        <f>IFERROR(__xludf.DUMMYFUNCTION("""COMPUTED_VALUE"""),140.0)</f>
        <v>140</v>
      </c>
      <c r="D142" s="131" t="b">
        <f>IFERROR(__xludf.DUMMYFUNCTION("""COMPUTED_VALUE"""),FALSE)</f>
        <v>0</v>
      </c>
      <c r="E142" s="109" t="str">
        <f>IFERROR(__xludf.DUMMYFUNCTION("""COMPUTED_VALUE"""),"ALIANZA")</f>
        <v>ALIANZA</v>
      </c>
      <c r="F142" s="109" t="str">
        <f>IFERROR(__xludf.DUMMYFUNCTION("""COMPUTED_VALUE"""),"JESEMIL")</f>
        <v>JESEMIL</v>
      </c>
    </row>
    <row r="143">
      <c r="A143" s="131">
        <f>IFERROR(__xludf.DUMMYFUNCTION("""COMPUTED_VALUE"""),142.0)</f>
        <v>142</v>
      </c>
      <c r="B143" s="131"/>
      <c r="C143" s="131">
        <f>IFERROR(__xludf.DUMMYFUNCTION("""COMPUTED_VALUE"""),140.0)</f>
        <v>140</v>
      </c>
      <c r="D143" s="131" t="b">
        <f>IFERROR(__xludf.DUMMYFUNCTION("""COMPUTED_VALUE"""),FALSE)</f>
        <v>0</v>
      </c>
      <c r="E143" s="109" t="str">
        <f>IFERROR(__xludf.DUMMYFUNCTION("""COMPUTED_VALUE"""),"ANTONIO")</f>
        <v>ANTONIO</v>
      </c>
      <c r="F143" s="109" t="str">
        <f>IFERROR(__xludf.DUMMYFUNCTION("""COMPUTED_VALUE"""),"CHAM")</f>
        <v>CHAM</v>
      </c>
    </row>
    <row r="144">
      <c r="A144" s="131">
        <f>IFERROR(__xludf.DUMMYFUNCTION("""COMPUTED_VALUE"""),143.0)</f>
        <v>143</v>
      </c>
      <c r="B144" s="131"/>
      <c r="C144" s="131">
        <f>IFERROR(__xludf.DUMMYFUNCTION("""COMPUTED_VALUE"""),140.0)</f>
        <v>140</v>
      </c>
      <c r="D144" s="131" t="b">
        <f>IFERROR(__xludf.DUMMYFUNCTION("""COMPUTED_VALUE"""),FALSE)</f>
        <v>0</v>
      </c>
      <c r="E144" s="109" t="str">
        <f>IFERROR(__xludf.DUMMYFUNCTION("""COMPUTED_VALUE"""),"AQUINO")</f>
        <v>AQUINO</v>
      </c>
      <c r="F144" s="109" t="str">
        <f>IFERROR(__xludf.DUMMYFUNCTION("""COMPUTED_VALUE"""),"JOANNA")</f>
        <v>JOANNA</v>
      </c>
    </row>
    <row r="145">
      <c r="A145" s="131">
        <f>IFERROR(__xludf.DUMMYFUNCTION("""COMPUTED_VALUE"""),144.0)</f>
        <v>144</v>
      </c>
      <c r="B145" s="131"/>
      <c r="C145" s="131">
        <f>IFERROR(__xludf.DUMMYFUNCTION("""COMPUTED_VALUE"""),140.0)</f>
        <v>140</v>
      </c>
      <c r="D145" s="131" t="b">
        <f>IFERROR(__xludf.DUMMYFUNCTION("""COMPUTED_VALUE"""),FALSE)</f>
        <v>0</v>
      </c>
      <c r="E145" s="109" t="str">
        <f>IFERROR(__xludf.DUMMYFUNCTION("""COMPUTED_VALUE"""),"ARANDA")</f>
        <v>ARANDA</v>
      </c>
      <c r="F145" s="109" t="str">
        <f>IFERROR(__xludf.DUMMYFUNCTION("""COMPUTED_VALUE"""),"ALEXANDRA")</f>
        <v>ALEXANDRA</v>
      </c>
    </row>
    <row r="146">
      <c r="A146" s="131">
        <f>IFERROR(__xludf.DUMMYFUNCTION("""COMPUTED_VALUE"""),145.0)</f>
        <v>145</v>
      </c>
      <c r="B146" s="131"/>
      <c r="C146" s="131">
        <f>IFERROR(__xludf.DUMMYFUNCTION("""COMPUTED_VALUE"""),140.0)</f>
        <v>140</v>
      </c>
      <c r="D146" s="131" t="b">
        <f>IFERROR(__xludf.DUMMYFUNCTION("""COMPUTED_VALUE"""),FALSE)</f>
        <v>0</v>
      </c>
      <c r="E146" s="109" t="str">
        <f>IFERROR(__xludf.DUMMYFUNCTION("""COMPUTED_VALUE"""),"CARAAN")</f>
        <v>CARAAN</v>
      </c>
      <c r="F146" s="109" t="str">
        <f>IFERROR(__xludf.DUMMYFUNCTION("""COMPUTED_VALUE"""),"CATHLINE")</f>
        <v>CATHLINE</v>
      </c>
    </row>
    <row r="147">
      <c r="A147" s="131">
        <f>IFERROR(__xludf.DUMMYFUNCTION("""COMPUTED_VALUE"""),146.0)</f>
        <v>146</v>
      </c>
      <c r="B147" s="131"/>
      <c r="C147" s="131">
        <f>IFERROR(__xludf.DUMMYFUNCTION("""COMPUTED_VALUE"""),140.0)</f>
        <v>140</v>
      </c>
      <c r="D147" s="131" t="b">
        <f>IFERROR(__xludf.DUMMYFUNCTION("""COMPUTED_VALUE"""),FALSE)</f>
        <v>0</v>
      </c>
      <c r="E147" s="109" t="str">
        <f>IFERROR(__xludf.DUMMYFUNCTION("""COMPUTED_VALUE"""),"CASTILLO")</f>
        <v>CASTILLO</v>
      </c>
      <c r="F147" s="109" t="str">
        <f>IFERROR(__xludf.DUMMYFUNCTION("""COMPUTED_VALUE"""),"JASIEL")</f>
        <v>JASIEL</v>
      </c>
    </row>
    <row r="148">
      <c r="A148" s="131">
        <f>IFERROR(__xludf.DUMMYFUNCTION("""COMPUTED_VALUE"""),147.0)</f>
        <v>147</v>
      </c>
      <c r="B148" s="131"/>
      <c r="C148" s="131">
        <f>IFERROR(__xludf.DUMMYFUNCTION("""COMPUTED_VALUE"""),140.0)</f>
        <v>140</v>
      </c>
      <c r="D148" s="131" t="b">
        <f>IFERROR(__xludf.DUMMYFUNCTION("""COMPUTED_VALUE"""),FALSE)</f>
        <v>0</v>
      </c>
      <c r="E148" s="109" t="str">
        <f>IFERROR(__xludf.DUMMYFUNCTION("""COMPUTED_VALUE"""),"CEA")</f>
        <v>CEA</v>
      </c>
      <c r="F148" s="109" t="str">
        <f>IFERROR(__xludf.DUMMYFUNCTION("""COMPUTED_VALUE"""),"DIANA")</f>
        <v>DIANA</v>
      </c>
    </row>
    <row r="149">
      <c r="A149" s="131">
        <f>IFERROR(__xludf.DUMMYFUNCTION("""COMPUTED_VALUE"""),148.0)</f>
        <v>148</v>
      </c>
      <c r="B149" s="131"/>
      <c r="C149" s="131">
        <f>IFERROR(__xludf.DUMMYFUNCTION("""COMPUTED_VALUE"""),140.0)</f>
        <v>140</v>
      </c>
      <c r="D149" s="131" t="b">
        <f>IFERROR(__xludf.DUMMYFUNCTION("""COMPUTED_VALUE"""),FALSE)</f>
        <v>0</v>
      </c>
      <c r="E149" s="109" t="str">
        <f>IFERROR(__xludf.DUMMYFUNCTION("""COMPUTED_VALUE"""),"CHUA")</f>
        <v>CHUA</v>
      </c>
      <c r="F149" s="109" t="str">
        <f>IFERROR(__xludf.DUMMYFUNCTION("""COMPUTED_VALUE"""),"PJ")</f>
        <v>PJ</v>
      </c>
    </row>
    <row r="150">
      <c r="A150" s="131">
        <f>IFERROR(__xludf.DUMMYFUNCTION("""COMPUTED_VALUE"""),149.0)</f>
        <v>149</v>
      </c>
      <c r="B150" s="131"/>
      <c r="C150" s="131">
        <f>IFERROR(__xludf.DUMMYFUNCTION("""COMPUTED_VALUE"""),140.0)</f>
        <v>140</v>
      </c>
      <c r="D150" s="131" t="b">
        <f>IFERROR(__xludf.DUMMYFUNCTION("""COMPUTED_VALUE"""),FALSE)</f>
        <v>0</v>
      </c>
      <c r="E150" s="109" t="str">
        <f>IFERROR(__xludf.DUMMYFUNCTION("""COMPUTED_VALUE"""),"DIZON")</f>
        <v>DIZON</v>
      </c>
      <c r="F150" s="109" t="str">
        <f>IFERROR(__xludf.DUMMYFUNCTION("""COMPUTED_VALUE"""),"ARRA")</f>
        <v>ARRA</v>
      </c>
    </row>
    <row r="151">
      <c r="A151" s="131">
        <f>IFERROR(__xludf.DUMMYFUNCTION("""COMPUTED_VALUE"""),150.0)</f>
        <v>150</v>
      </c>
      <c r="B151" s="131"/>
      <c r="C151" s="131">
        <f>IFERROR(__xludf.DUMMYFUNCTION("""COMPUTED_VALUE"""),140.0)</f>
        <v>140</v>
      </c>
      <c r="D151" s="131" t="b">
        <f>IFERROR(__xludf.DUMMYFUNCTION("""COMPUTED_VALUE"""),FALSE)</f>
        <v>0</v>
      </c>
      <c r="E151" s="109" t="str">
        <f>IFERROR(__xludf.DUMMYFUNCTION("""COMPUTED_VALUE"""),"ECLEVIA")</f>
        <v>ECLEVIA</v>
      </c>
      <c r="F151" s="109" t="str">
        <f>IFERROR(__xludf.DUMMYFUNCTION("""COMPUTED_VALUE"""),"ANGELICA")</f>
        <v>ANGELICA</v>
      </c>
    </row>
    <row r="152">
      <c r="A152" s="131">
        <f>IFERROR(__xludf.DUMMYFUNCTION("""COMPUTED_VALUE"""),151.0)</f>
        <v>151</v>
      </c>
      <c r="B152" s="131"/>
      <c r="C152" s="131">
        <f>IFERROR(__xludf.DUMMYFUNCTION("""COMPUTED_VALUE"""),140.0)</f>
        <v>140</v>
      </c>
      <c r="D152" s="131" t="b">
        <f>IFERROR(__xludf.DUMMYFUNCTION("""COMPUTED_VALUE"""),FALSE)</f>
        <v>0</v>
      </c>
      <c r="E152" s="109" t="str">
        <f>IFERROR(__xludf.DUMMYFUNCTION("""COMPUTED_VALUE"""),"FELIPE")</f>
        <v>FELIPE</v>
      </c>
      <c r="F152" s="109" t="str">
        <f>IFERROR(__xludf.DUMMYFUNCTION("""COMPUTED_VALUE"""),"JAIMIE")</f>
        <v>JAIMIE</v>
      </c>
    </row>
    <row r="153">
      <c r="A153" s="131">
        <f>IFERROR(__xludf.DUMMYFUNCTION("""COMPUTED_VALUE"""),152.0)</f>
        <v>152</v>
      </c>
      <c r="B153" s="131"/>
      <c r="C153" s="131">
        <f>IFERROR(__xludf.DUMMYFUNCTION("""COMPUTED_VALUE"""),140.0)</f>
        <v>140</v>
      </c>
      <c r="D153" s="131" t="b">
        <f>IFERROR(__xludf.DUMMYFUNCTION("""COMPUTED_VALUE"""),FALSE)</f>
        <v>0</v>
      </c>
      <c r="E153" s="109" t="str">
        <f>IFERROR(__xludf.DUMMYFUNCTION("""COMPUTED_VALUE"""),"FERNANDEZ")</f>
        <v>FERNANDEZ</v>
      </c>
      <c r="F153" s="109" t="str">
        <f>IFERROR(__xludf.DUMMYFUNCTION("""COMPUTED_VALUE"""),"SHARMAINE")</f>
        <v>SHARMAINE</v>
      </c>
    </row>
    <row r="154">
      <c r="A154" s="131">
        <f>IFERROR(__xludf.DUMMYFUNCTION("""COMPUTED_VALUE"""),153.0)</f>
        <v>153</v>
      </c>
      <c r="B154" s="131"/>
      <c r="C154" s="131">
        <f>IFERROR(__xludf.DUMMYFUNCTION("""COMPUTED_VALUE"""),140.0)</f>
        <v>140</v>
      </c>
      <c r="D154" s="131" t="b">
        <f>IFERROR(__xludf.DUMMYFUNCTION("""COMPUTED_VALUE"""),FALSE)</f>
        <v>0</v>
      </c>
      <c r="E154" s="109" t="str">
        <f>IFERROR(__xludf.DUMMYFUNCTION("""COMPUTED_VALUE"""),"FILIO")</f>
        <v>FILIO</v>
      </c>
      <c r="F154" s="109" t="str">
        <f>IFERROR(__xludf.DUMMYFUNCTION("""COMPUTED_VALUE"""),"DAISY")</f>
        <v>DAISY</v>
      </c>
    </row>
    <row r="155">
      <c r="A155" s="131">
        <f>IFERROR(__xludf.DUMMYFUNCTION("""COMPUTED_VALUE"""),154.0)</f>
        <v>154</v>
      </c>
      <c r="B155" s="131"/>
      <c r="C155" s="131">
        <f>IFERROR(__xludf.DUMMYFUNCTION("""COMPUTED_VALUE"""),140.0)</f>
        <v>140</v>
      </c>
      <c r="D155" s="131" t="b">
        <f>IFERROR(__xludf.DUMMYFUNCTION("""COMPUTED_VALUE"""),FALSE)</f>
        <v>0</v>
      </c>
      <c r="E155" s="109" t="str">
        <f>IFERROR(__xludf.DUMMYFUNCTION("""COMPUTED_VALUE"""),"FILIO")</f>
        <v>FILIO</v>
      </c>
      <c r="F155" s="109" t="str">
        <f>IFERROR(__xludf.DUMMYFUNCTION("""COMPUTED_VALUE"""),"JENNY")</f>
        <v>JENNY</v>
      </c>
    </row>
    <row r="156">
      <c r="A156" s="131">
        <f>IFERROR(__xludf.DUMMYFUNCTION("""COMPUTED_VALUE"""),155.0)</f>
        <v>155</v>
      </c>
      <c r="B156" s="131"/>
      <c r="C156" s="131">
        <f>IFERROR(__xludf.DUMMYFUNCTION("""COMPUTED_VALUE"""),140.0)</f>
        <v>140</v>
      </c>
      <c r="D156" s="131" t="b">
        <f>IFERROR(__xludf.DUMMYFUNCTION("""COMPUTED_VALUE"""),FALSE)</f>
        <v>0</v>
      </c>
      <c r="E156" s="109" t="str">
        <f>IFERROR(__xludf.DUMMYFUNCTION("""COMPUTED_VALUE"""),"FLORO")</f>
        <v>FLORO</v>
      </c>
      <c r="F156" s="109" t="str">
        <f>IFERROR(__xludf.DUMMYFUNCTION("""COMPUTED_VALUE"""),"JUSTINE")</f>
        <v>JUSTINE</v>
      </c>
    </row>
    <row r="157">
      <c r="A157" s="131">
        <f>IFERROR(__xludf.DUMMYFUNCTION("""COMPUTED_VALUE"""),156.0)</f>
        <v>156</v>
      </c>
      <c r="B157" s="131"/>
      <c r="C157" s="131">
        <f>IFERROR(__xludf.DUMMYFUNCTION("""COMPUTED_VALUE"""),140.0)</f>
        <v>140</v>
      </c>
      <c r="D157" s="131" t="b">
        <f>IFERROR(__xludf.DUMMYFUNCTION("""COMPUTED_VALUE"""),FALSE)</f>
        <v>0</v>
      </c>
      <c r="E157" s="109" t="str">
        <f>IFERROR(__xludf.DUMMYFUNCTION("""COMPUTED_VALUE"""),"FLORO")</f>
        <v>FLORO</v>
      </c>
      <c r="F157" s="109" t="str">
        <f>IFERROR(__xludf.DUMMYFUNCTION("""COMPUTED_VALUE"""),"MICA")</f>
        <v>MICA</v>
      </c>
    </row>
    <row r="158">
      <c r="A158" s="131">
        <f>IFERROR(__xludf.DUMMYFUNCTION("""COMPUTED_VALUE"""),157.0)</f>
        <v>157</v>
      </c>
      <c r="B158" s="131"/>
      <c r="C158" s="131">
        <f>IFERROR(__xludf.DUMMYFUNCTION("""COMPUTED_VALUE"""),140.0)</f>
        <v>140</v>
      </c>
      <c r="D158" s="131" t="b">
        <f>IFERROR(__xludf.DUMMYFUNCTION("""COMPUTED_VALUE"""),FALSE)</f>
        <v>0</v>
      </c>
      <c r="E158" s="109" t="str">
        <f>IFERROR(__xludf.DUMMYFUNCTION("""COMPUTED_VALUE"""),"FRANCISCO")</f>
        <v>FRANCISCO</v>
      </c>
      <c r="F158" s="109" t="str">
        <f>IFERROR(__xludf.DUMMYFUNCTION("""COMPUTED_VALUE"""),"RAMILYN")</f>
        <v>RAMILYN</v>
      </c>
    </row>
    <row r="159">
      <c r="A159" s="131">
        <f>IFERROR(__xludf.DUMMYFUNCTION("""COMPUTED_VALUE"""),158.0)</f>
        <v>158</v>
      </c>
      <c r="B159" s="131"/>
      <c r="C159" s="131">
        <f>IFERROR(__xludf.DUMMYFUNCTION("""COMPUTED_VALUE"""),140.0)</f>
        <v>140</v>
      </c>
      <c r="D159" s="131" t="b">
        <f>IFERROR(__xludf.DUMMYFUNCTION("""COMPUTED_VALUE"""),FALSE)</f>
        <v>0</v>
      </c>
      <c r="E159" s="109" t="str">
        <f>IFERROR(__xludf.DUMMYFUNCTION("""COMPUTED_VALUE"""),"GEMOTO")</f>
        <v>GEMOTO</v>
      </c>
      <c r="F159" s="109" t="str">
        <f>IFERROR(__xludf.DUMMYFUNCTION("""COMPUTED_VALUE"""),"JASMINE")</f>
        <v>JASMINE</v>
      </c>
    </row>
    <row r="160">
      <c r="A160" s="131">
        <f>IFERROR(__xludf.DUMMYFUNCTION("""COMPUTED_VALUE"""),159.0)</f>
        <v>159</v>
      </c>
      <c r="B160" s="131"/>
      <c r="C160" s="131">
        <f>IFERROR(__xludf.DUMMYFUNCTION("""COMPUTED_VALUE"""),140.0)</f>
        <v>140</v>
      </c>
      <c r="D160" s="131" t="b">
        <f>IFERROR(__xludf.DUMMYFUNCTION("""COMPUTED_VALUE"""),FALSE)</f>
        <v>0</v>
      </c>
      <c r="E160" s="109" t="str">
        <f>IFERROR(__xludf.DUMMYFUNCTION("""COMPUTED_VALUE"""),"LABAYNE")</f>
        <v>LABAYNE</v>
      </c>
      <c r="F160" s="109" t="str">
        <f>IFERROR(__xludf.DUMMYFUNCTION("""COMPUTED_VALUE"""),"GRACE")</f>
        <v>GRACE</v>
      </c>
    </row>
    <row r="161">
      <c r="A161" s="131">
        <f>IFERROR(__xludf.DUMMYFUNCTION("""COMPUTED_VALUE"""),160.0)</f>
        <v>160</v>
      </c>
      <c r="B161" s="131"/>
      <c r="C161" s="131">
        <f>IFERROR(__xludf.DUMMYFUNCTION("""COMPUTED_VALUE"""),140.0)</f>
        <v>140</v>
      </c>
      <c r="D161" s="131" t="b">
        <f>IFERROR(__xludf.DUMMYFUNCTION("""COMPUTED_VALUE"""),FALSE)</f>
        <v>0</v>
      </c>
      <c r="E161" s="109" t="str">
        <f>IFERROR(__xludf.DUMMYFUNCTION("""COMPUTED_VALUE"""),"OCEMAN")</f>
        <v>OCEMAN</v>
      </c>
      <c r="F161" s="109" t="str">
        <f>IFERROR(__xludf.DUMMYFUNCTION("""COMPUTED_VALUE"""),"RAI-RAI")</f>
        <v>RAI-RAI</v>
      </c>
    </row>
    <row r="162">
      <c r="A162" s="131">
        <f>IFERROR(__xludf.DUMMYFUNCTION("""COMPUTED_VALUE"""),161.0)</f>
        <v>161</v>
      </c>
      <c r="B162" s="131"/>
      <c r="C162" s="131">
        <f>IFERROR(__xludf.DUMMYFUNCTION("""COMPUTED_VALUE"""),140.0)</f>
        <v>140</v>
      </c>
      <c r="D162" s="131" t="b">
        <f>IFERROR(__xludf.DUMMYFUNCTION("""COMPUTED_VALUE"""),FALSE)</f>
        <v>0</v>
      </c>
      <c r="E162" s="109" t="str">
        <f>IFERROR(__xludf.DUMMYFUNCTION("""COMPUTED_VALUE"""),"ORQUIA")</f>
        <v>ORQUIA</v>
      </c>
      <c r="F162" s="109" t="str">
        <f>IFERROR(__xludf.DUMMYFUNCTION("""COMPUTED_VALUE"""),"KEZA")</f>
        <v>KEZA</v>
      </c>
    </row>
    <row r="163">
      <c r="A163" s="131">
        <f>IFERROR(__xludf.DUMMYFUNCTION("""COMPUTED_VALUE"""),162.0)</f>
        <v>162</v>
      </c>
      <c r="B163" s="131"/>
      <c r="C163" s="131">
        <f>IFERROR(__xludf.DUMMYFUNCTION("""COMPUTED_VALUE"""),140.0)</f>
        <v>140</v>
      </c>
      <c r="D163" s="131" t="b">
        <f>IFERROR(__xludf.DUMMYFUNCTION("""COMPUTED_VALUE"""),FALSE)</f>
        <v>0</v>
      </c>
      <c r="E163" s="109" t="str">
        <f>IFERROR(__xludf.DUMMYFUNCTION("""COMPUTED_VALUE"""),"PERALTA")</f>
        <v>PERALTA</v>
      </c>
      <c r="F163" s="109" t="str">
        <f>IFERROR(__xludf.DUMMYFUNCTION("""COMPUTED_VALUE"""),"YEN")</f>
        <v>YEN</v>
      </c>
    </row>
    <row r="164">
      <c r="A164" s="131">
        <f>IFERROR(__xludf.DUMMYFUNCTION("""COMPUTED_VALUE"""),163.0)</f>
        <v>163</v>
      </c>
      <c r="B164" s="131"/>
      <c r="C164" s="131">
        <f>IFERROR(__xludf.DUMMYFUNCTION("""COMPUTED_VALUE"""),140.0)</f>
        <v>140</v>
      </c>
      <c r="D164" s="131" t="b">
        <f>IFERROR(__xludf.DUMMYFUNCTION("""COMPUTED_VALUE"""),FALSE)</f>
        <v>0</v>
      </c>
      <c r="E164" s="109" t="str">
        <f>IFERROR(__xludf.DUMMYFUNCTION("""COMPUTED_VALUE"""),"TAN SANCHEZ")</f>
        <v>TAN SANCHEZ</v>
      </c>
      <c r="F164" s="109" t="str">
        <f>IFERROR(__xludf.DUMMYFUNCTION("""COMPUTED_VALUE"""),"MARY KHAYE")</f>
        <v>MARY KHAYE</v>
      </c>
    </row>
    <row r="165">
      <c r="A165" s="131">
        <f>IFERROR(__xludf.DUMMYFUNCTION("""COMPUTED_VALUE"""),164.0)</f>
        <v>164</v>
      </c>
      <c r="B165" s="131"/>
      <c r="C165" s="131">
        <f>IFERROR(__xludf.DUMMYFUNCTION("""COMPUTED_VALUE"""),140.0)</f>
        <v>140</v>
      </c>
      <c r="D165" s="131" t="b">
        <f>IFERROR(__xludf.DUMMYFUNCTION("""COMPUTED_VALUE"""),FALSE)</f>
        <v>0</v>
      </c>
      <c r="E165" s="109" t="str">
        <f>IFERROR(__xludf.DUMMYFUNCTION("""COMPUTED_VALUE"""),"TANDUL")</f>
        <v>TANDUL</v>
      </c>
      <c r="F165" s="109" t="str">
        <f>IFERROR(__xludf.DUMMYFUNCTION("""COMPUTED_VALUE"""),"ELAIJAH")</f>
        <v>ELAIJAH</v>
      </c>
    </row>
    <row r="166">
      <c r="A166" s="131">
        <f>IFERROR(__xludf.DUMMYFUNCTION("""COMPUTED_VALUE"""),165.0)</f>
        <v>165</v>
      </c>
      <c r="B166" s="131"/>
      <c r="C166" s="131">
        <f>IFERROR(__xludf.DUMMYFUNCTION("""COMPUTED_VALUE"""),140.0)</f>
        <v>140</v>
      </c>
      <c r="D166" s="131" t="b">
        <f>IFERROR(__xludf.DUMMYFUNCTION("""COMPUTED_VALUE"""),FALSE)</f>
        <v>0</v>
      </c>
      <c r="E166" s="109" t="str">
        <f>IFERROR(__xludf.DUMMYFUNCTION("""COMPUTED_VALUE"""),"VILLONES")</f>
        <v>VILLONES</v>
      </c>
      <c r="F166" s="109" t="str">
        <f>IFERROR(__xludf.DUMMYFUNCTION("""COMPUTED_VALUE"""),"RHEA")</f>
        <v>RHEA</v>
      </c>
    </row>
    <row r="167">
      <c r="A167" s="131">
        <f>IFERROR(__xludf.DUMMYFUNCTION("""COMPUTED_VALUE"""),166.0)</f>
        <v>166</v>
      </c>
      <c r="B167" s="131"/>
      <c r="C167" s="131"/>
      <c r="D167" s="131" t="b">
        <f>IFERROR(__xludf.DUMMYFUNCTION("""COMPUTED_VALUE"""),FALSE)</f>
        <v>0</v>
      </c>
      <c r="E167" s="131"/>
      <c r="F167" s="131"/>
    </row>
    <row r="168">
      <c r="A168" s="131">
        <f>IFERROR(__xludf.DUMMYFUNCTION("""COMPUTED_VALUE"""),167.0)</f>
        <v>167</v>
      </c>
      <c r="B168" s="131"/>
      <c r="C168" s="131">
        <f>IFERROR(__xludf.DUMMYFUNCTION("""COMPUTED_VALUE"""),167.0)</f>
        <v>167</v>
      </c>
      <c r="D168" s="131" t="b">
        <f>IFERROR(__xludf.DUMMYFUNCTION("""COMPUTED_VALUE"""),TRUE)</f>
        <v>1</v>
      </c>
      <c r="E168" s="105" t="str">
        <f>IFERROR(__xludf.DUMMYFUNCTION("""COMPUTED_VALUE"""),"DE-DIOS")</f>
        <v>DE-DIOS</v>
      </c>
      <c r="F168" s="105" t="str">
        <f>IFERROR(__xludf.DUMMYFUNCTION("""COMPUTED_VALUE"""),"JAY-EL")</f>
        <v>JAY-EL</v>
      </c>
      <c r="G168" s="90" t="s">
        <v>4</v>
      </c>
      <c r="J168" s="90" t="s">
        <v>4</v>
      </c>
      <c r="L168" s="90" t="b">
        <v>1</v>
      </c>
    </row>
    <row r="169">
      <c r="A169" s="131">
        <f>IFERROR(__xludf.DUMMYFUNCTION("""COMPUTED_VALUE"""),168.0)</f>
        <v>168</v>
      </c>
      <c r="B169" s="131"/>
      <c r="C169" s="131">
        <f>IFERROR(__xludf.DUMMYFUNCTION("""COMPUTED_VALUE"""),167.0)</f>
        <v>167</v>
      </c>
      <c r="D169" s="131" t="b">
        <f>IFERROR(__xludf.DUMMYFUNCTION("""COMPUTED_VALUE"""),FALSE)</f>
        <v>0</v>
      </c>
      <c r="E169" s="107" t="str">
        <f>IFERROR(__xludf.DUMMYFUNCTION("""COMPUTED_VALUE"""),"BARONGGO")</f>
        <v>BARONGGO</v>
      </c>
      <c r="F169" s="107" t="str">
        <f>IFERROR(__xludf.DUMMYFUNCTION("""COMPUTED_VALUE"""),"FRANK")</f>
        <v>FRANK</v>
      </c>
    </row>
    <row r="170">
      <c r="A170" s="131">
        <f>IFERROR(__xludf.DUMMYFUNCTION("""COMPUTED_VALUE"""),169.0)</f>
        <v>169</v>
      </c>
      <c r="B170" s="131"/>
      <c r="C170" s="131">
        <f>IFERROR(__xludf.DUMMYFUNCTION("""COMPUTED_VALUE"""),167.0)</f>
        <v>167</v>
      </c>
      <c r="D170" s="131" t="b">
        <f>IFERROR(__xludf.DUMMYFUNCTION("""COMPUTED_VALUE"""),FALSE)</f>
        <v>0</v>
      </c>
      <c r="E170" s="107" t="str">
        <f>IFERROR(__xludf.DUMMYFUNCTION("""COMPUTED_VALUE"""),"ABENOJAR")</f>
        <v>ABENOJAR</v>
      </c>
      <c r="F170" s="107" t="str">
        <f>IFERROR(__xludf.DUMMYFUNCTION("""COMPUTED_VALUE"""),"CLIFFORD")</f>
        <v>CLIFFORD</v>
      </c>
    </row>
    <row r="171">
      <c r="A171" s="131">
        <f>IFERROR(__xludf.DUMMYFUNCTION("""COMPUTED_VALUE"""),170.0)</f>
        <v>170</v>
      </c>
      <c r="B171" s="131"/>
      <c r="C171" s="131">
        <f>IFERROR(__xludf.DUMMYFUNCTION("""COMPUTED_VALUE"""),167.0)</f>
        <v>167</v>
      </c>
      <c r="D171" s="131" t="b">
        <f>IFERROR(__xludf.DUMMYFUNCTION("""COMPUTED_VALUE"""),FALSE)</f>
        <v>0</v>
      </c>
      <c r="E171" s="107" t="str">
        <f>IFERROR(__xludf.DUMMYFUNCTION("""COMPUTED_VALUE"""),"ABUS")</f>
        <v>ABUS</v>
      </c>
      <c r="F171" s="107" t="str">
        <f>IFERROR(__xludf.DUMMYFUNCTION("""COMPUTED_VALUE"""),"RV PETER")</f>
        <v>RV PETER</v>
      </c>
    </row>
    <row r="172">
      <c r="A172" s="131">
        <f>IFERROR(__xludf.DUMMYFUNCTION("""COMPUTED_VALUE"""),171.0)</f>
        <v>171</v>
      </c>
      <c r="B172" s="131"/>
      <c r="C172" s="131">
        <f>IFERROR(__xludf.DUMMYFUNCTION("""COMPUTED_VALUE"""),167.0)</f>
        <v>167</v>
      </c>
      <c r="D172" s="131" t="b">
        <f>IFERROR(__xludf.DUMMYFUNCTION("""COMPUTED_VALUE"""),FALSE)</f>
        <v>0</v>
      </c>
      <c r="E172" s="107" t="str">
        <f>IFERROR(__xludf.DUMMYFUNCTION("""COMPUTED_VALUE"""),"ANTONIO")</f>
        <v>ANTONIO</v>
      </c>
      <c r="F172" s="107" t="str">
        <f>IFERROR(__xludf.DUMMYFUNCTION("""COMPUTED_VALUE"""),"DON")</f>
        <v>DON</v>
      </c>
    </row>
    <row r="173">
      <c r="A173" s="131">
        <f>IFERROR(__xludf.DUMMYFUNCTION("""COMPUTED_VALUE"""),172.0)</f>
        <v>172</v>
      </c>
      <c r="B173" s="131"/>
      <c r="C173" s="131">
        <f>IFERROR(__xludf.DUMMYFUNCTION("""COMPUTED_VALUE"""),167.0)</f>
        <v>167</v>
      </c>
      <c r="D173" s="131" t="b">
        <f>IFERROR(__xludf.DUMMYFUNCTION("""COMPUTED_VALUE"""),FALSE)</f>
        <v>0</v>
      </c>
      <c r="E173" s="107" t="str">
        <f>IFERROR(__xludf.DUMMYFUNCTION("""COMPUTED_VALUE"""),"BERDIN")</f>
        <v>BERDIN</v>
      </c>
      <c r="F173" s="107" t="str">
        <f>IFERROR(__xludf.DUMMYFUNCTION("""COMPUTED_VALUE"""),"KURT")</f>
        <v>KURT</v>
      </c>
    </row>
    <row r="174">
      <c r="A174" s="131">
        <f>IFERROR(__xludf.DUMMYFUNCTION("""COMPUTED_VALUE"""),173.0)</f>
        <v>173</v>
      </c>
      <c r="B174" s="131"/>
      <c r="C174" s="131">
        <f>IFERROR(__xludf.DUMMYFUNCTION("""COMPUTED_VALUE"""),167.0)</f>
        <v>167</v>
      </c>
      <c r="D174" s="131" t="b">
        <f>IFERROR(__xludf.DUMMYFUNCTION("""COMPUTED_VALUE"""),FALSE)</f>
        <v>0</v>
      </c>
      <c r="E174" s="107" t="str">
        <f>IFERROR(__xludf.DUMMYFUNCTION("""COMPUTED_VALUE"""),"CALUBIRAN")</f>
        <v>CALUBIRAN</v>
      </c>
      <c r="F174" s="107" t="str">
        <f>IFERROR(__xludf.DUMMYFUNCTION("""COMPUTED_VALUE"""),"JOEL")</f>
        <v>JOEL</v>
      </c>
      <c r="G174" s="90" t="s">
        <v>4</v>
      </c>
      <c r="J174" s="90" t="s">
        <v>4</v>
      </c>
      <c r="L174" s="90" t="b">
        <v>1</v>
      </c>
    </row>
    <row r="175">
      <c r="A175" s="131">
        <f>IFERROR(__xludf.DUMMYFUNCTION("""COMPUTED_VALUE"""),174.0)</f>
        <v>174</v>
      </c>
      <c r="B175" s="131"/>
      <c r="C175" s="131">
        <f>IFERROR(__xludf.DUMMYFUNCTION("""COMPUTED_VALUE"""),167.0)</f>
        <v>167</v>
      </c>
      <c r="D175" s="131" t="b">
        <f>IFERROR(__xludf.DUMMYFUNCTION("""COMPUTED_VALUE"""),FALSE)</f>
        <v>0</v>
      </c>
      <c r="E175" s="107" t="str">
        <f>IFERROR(__xludf.DUMMYFUNCTION("""COMPUTED_VALUE"""),"CARANGAN")</f>
        <v>CARANGAN</v>
      </c>
      <c r="F175" s="107" t="str">
        <f>IFERROR(__xludf.DUMMYFUNCTION("""COMPUTED_VALUE"""),"LANCE")</f>
        <v>LANCE</v>
      </c>
      <c r="G175" s="90" t="s">
        <v>4</v>
      </c>
      <c r="J175" s="90" t="s">
        <v>4</v>
      </c>
      <c r="L175" s="90" t="b">
        <v>1</v>
      </c>
    </row>
    <row r="176">
      <c r="A176" s="131">
        <f>IFERROR(__xludf.DUMMYFUNCTION("""COMPUTED_VALUE"""),175.0)</f>
        <v>175</v>
      </c>
      <c r="B176" s="131"/>
      <c r="C176" s="131">
        <f>IFERROR(__xludf.DUMMYFUNCTION("""COMPUTED_VALUE"""),167.0)</f>
        <v>167</v>
      </c>
      <c r="D176" s="131" t="b">
        <f>IFERROR(__xludf.DUMMYFUNCTION("""COMPUTED_VALUE"""),FALSE)</f>
        <v>0</v>
      </c>
      <c r="E176" s="107" t="str">
        <f>IFERROR(__xludf.DUMMYFUNCTION("""COMPUTED_VALUE"""),"CASINUSIMAN")</f>
        <v>CASINUSIMAN</v>
      </c>
      <c r="F176" s="107" t="str">
        <f>IFERROR(__xludf.DUMMYFUNCTION("""COMPUTED_VALUE"""),"RAINER")</f>
        <v>RAINER</v>
      </c>
    </row>
    <row r="177">
      <c r="A177" s="131">
        <f>IFERROR(__xludf.DUMMYFUNCTION("""COMPUTED_VALUE"""),176.0)</f>
        <v>176</v>
      </c>
      <c r="B177" s="131"/>
      <c r="C177" s="131">
        <f>IFERROR(__xludf.DUMMYFUNCTION("""COMPUTED_VALUE"""),167.0)</f>
        <v>167</v>
      </c>
      <c r="D177" s="131" t="b">
        <f>IFERROR(__xludf.DUMMYFUNCTION("""COMPUTED_VALUE"""),FALSE)</f>
        <v>0</v>
      </c>
      <c r="E177" s="107" t="str">
        <f>IFERROR(__xludf.DUMMYFUNCTION("""COMPUTED_VALUE"""),"CORVERA")</f>
        <v>CORVERA</v>
      </c>
      <c r="F177" s="107" t="str">
        <f>IFERROR(__xludf.DUMMYFUNCTION("""COMPUTED_VALUE"""),"FLORENCE")</f>
        <v>FLORENCE</v>
      </c>
    </row>
    <row r="178">
      <c r="A178" s="131">
        <f>IFERROR(__xludf.DUMMYFUNCTION("""COMPUTED_VALUE"""),177.0)</f>
        <v>177</v>
      </c>
      <c r="B178" s="131"/>
      <c r="C178" s="131">
        <f>IFERROR(__xludf.DUMMYFUNCTION("""COMPUTED_VALUE"""),167.0)</f>
        <v>167</v>
      </c>
      <c r="D178" s="131" t="b">
        <f>IFERROR(__xludf.DUMMYFUNCTION("""COMPUTED_VALUE"""),FALSE)</f>
        <v>0</v>
      </c>
      <c r="E178" s="107" t="str">
        <f>IFERROR(__xludf.DUMMYFUNCTION("""COMPUTED_VALUE"""),"DABALOS")</f>
        <v>DABALOS</v>
      </c>
      <c r="F178" s="107" t="str">
        <f>IFERROR(__xludf.DUMMYFUNCTION("""COMPUTED_VALUE"""),"MERVIN")</f>
        <v>MERVIN</v>
      </c>
      <c r="G178" s="90" t="s">
        <v>4</v>
      </c>
      <c r="J178" s="90" t="s">
        <v>4</v>
      </c>
      <c r="L178" s="90" t="b">
        <v>1</v>
      </c>
    </row>
    <row r="179">
      <c r="A179" s="131">
        <f>IFERROR(__xludf.DUMMYFUNCTION("""COMPUTED_VALUE"""),178.0)</f>
        <v>178</v>
      </c>
      <c r="B179" s="131"/>
      <c r="C179" s="131">
        <f>IFERROR(__xludf.DUMMYFUNCTION("""COMPUTED_VALUE"""),167.0)</f>
        <v>167</v>
      </c>
      <c r="D179" s="131" t="b">
        <f>IFERROR(__xludf.DUMMYFUNCTION("""COMPUTED_VALUE"""),FALSE)</f>
        <v>0</v>
      </c>
      <c r="E179" s="107" t="str">
        <f>IFERROR(__xludf.DUMMYFUNCTION("""COMPUTED_VALUE"""),"DATO")</f>
        <v>DATO</v>
      </c>
      <c r="F179" s="107" t="str">
        <f>IFERROR(__xludf.DUMMYFUNCTION("""COMPUTED_VALUE"""),"JOHN AL")</f>
        <v>JOHN AL</v>
      </c>
    </row>
    <row r="180">
      <c r="A180" s="131">
        <f>IFERROR(__xludf.DUMMYFUNCTION("""COMPUTED_VALUE"""),179.0)</f>
        <v>179</v>
      </c>
      <c r="B180" s="131"/>
      <c r="C180" s="131">
        <f>IFERROR(__xludf.DUMMYFUNCTION("""COMPUTED_VALUE"""),167.0)</f>
        <v>167</v>
      </c>
      <c r="D180" s="131" t="b">
        <f>IFERROR(__xludf.DUMMYFUNCTION("""COMPUTED_VALUE"""),FALSE)</f>
        <v>0</v>
      </c>
      <c r="E180" s="107" t="str">
        <f>IFERROR(__xludf.DUMMYFUNCTION("""COMPUTED_VALUE"""),"DELA CRUZ")</f>
        <v>DELA CRUZ</v>
      </c>
      <c r="F180" s="107" t="str">
        <f>IFERROR(__xludf.DUMMYFUNCTION("""COMPUTED_VALUE"""),"DYLAN")</f>
        <v>DYLAN</v>
      </c>
    </row>
    <row r="181">
      <c r="A181" s="131">
        <f>IFERROR(__xludf.DUMMYFUNCTION("""COMPUTED_VALUE"""),180.0)</f>
        <v>180</v>
      </c>
      <c r="B181" s="131"/>
      <c r="C181" s="131">
        <f>IFERROR(__xludf.DUMMYFUNCTION("""COMPUTED_VALUE"""),167.0)</f>
        <v>167</v>
      </c>
      <c r="D181" s="131" t="b">
        <f>IFERROR(__xludf.DUMMYFUNCTION("""COMPUTED_VALUE"""),FALSE)</f>
        <v>0</v>
      </c>
      <c r="E181" s="107" t="str">
        <f>IFERROR(__xludf.DUMMYFUNCTION("""COMPUTED_VALUE"""),"DELA PEÑA")</f>
        <v>DELA PEÑA</v>
      </c>
      <c r="F181" s="107" t="str">
        <f>IFERROR(__xludf.DUMMYFUNCTION("""COMPUTED_VALUE"""),"ACEL")</f>
        <v>ACEL</v>
      </c>
    </row>
    <row r="182">
      <c r="A182" s="131">
        <f>IFERROR(__xludf.DUMMYFUNCTION("""COMPUTED_VALUE"""),181.0)</f>
        <v>181</v>
      </c>
      <c r="B182" s="131"/>
      <c r="C182" s="131">
        <f>IFERROR(__xludf.DUMMYFUNCTION("""COMPUTED_VALUE"""),167.0)</f>
        <v>167</v>
      </c>
      <c r="D182" s="131" t="b">
        <f>IFERROR(__xludf.DUMMYFUNCTION("""COMPUTED_VALUE"""),FALSE)</f>
        <v>0</v>
      </c>
      <c r="E182" s="107" t="str">
        <f>IFERROR(__xludf.DUMMYFUNCTION("""COMPUTED_VALUE"""),"DELECTOR")</f>
        <v>DELECTOR</v>
      </c>
      <c r="F182" s="107" t="str">
        <f>IFERROR(__xludf.DUMMYFUNCTION("""COMPUTED_VALUE"""),"FRANCIS CRISTEL")</f>
        <v>FRANCIS CRISTEL</v>
      </c>
    </row>
    <row r="183">
      <c r="A183" s="131">
        <f>IFERROR(__xludf.DUMMYFUNCTION("""COMPUTED_VALUE"""),182.0)</f>
        <v>182</v>
      </c>
      <c r="B183" s="131"/>
      <c r="C183" s="131">
        <f>IFERROR(__xludf.DUMMYFUNCTION("""COMPUTED_VALUE"""),167.0)</f>
        <v>167</v>
      </c>
      <c r="D183" s="131" t="b">
        <f>IFERROR(__xludf.DUMMYFUNCTION("""COMPUTED_VALUE"""),FALSE)</f>
        <v>0</v>
      </c>
      <c r="E183" s="107" t="str">
        <f>IFERROR(__xludf.DUMMYFUNCTION("""COMPUTED_VALUE"""),"DELECTOR")</f>
        <v>DELECTOR</v>
      </c>
      <c r="F183" s="107" t="str">
        <f>IFERROR(__xludf.DUMMYFUNCTION("""COMPUTED_VALUE"""),"FRANZINE CARLO")</f>
        <v>FRANZINE CARLO</v>
      </c>
    </row>
    <row r="184">
      <c r="A184" s="131">
        <f>IFERROR(__xludf.DUMMYFUNCTION("""COMPUTED_VALUE"""),183.0)</f>
        <v>183</v>
      </c>
      <c r="B184" s="131"/>
      <c r="C184" s="131">
        <f>IFERROR(__xludf.DUMMYFUNCTION("""COMPUTED_VALUE"""),167.0)</f>
        <v>167</v>
      </c>
      <c r="D184" s="131" t="b">
        <f>IFERROR(__xludf.DUMMYFUNCTION("""COMPUTED_VALUE"""),FALSE)</f>
        <v>0</v>
      </c>
      <c r="E184" s="107" t="str">
        <f>IFERROR(__xludf.DUMMYFUNCTION("""COMPUTED_VALUE"""),"FRONDA")</f>
        <v>FRONDA</v>
      </c>
      <c r="F184" s="107" t="str">
        <f>IFERROR(__xludf.DUMMYFUNCTION("""COMPUTED_VALUE"""),"ED")</f>
        <v>ED</v>
      </c>
    </row>
    <row r="185">
      <c r="A185" s="131">
        <f>IFERROR(__xludf.DUMMYFUNCTION("""COMPUTED_VALUE"""),184.0)</f>
        <v>184</v>
      </c>
      <c r="B185" s="131"/>
      <c r="C185" s="131">
        <f>IFERROR(__xludf.DUMMYFUNCTION("""COMPUTED_VALUE"""),167.0)</f>
        <v>167</v>
      </c>
      <c r="D185" s="131" t="b">
        <f>IFERROR(__xludf.DUMMYFUNCTION("""COMPUTED_VALUE"""),FALSE)</f>
        <v>0</v>
      </c>
      <c r="E185" s="107" t="str">
        <f>IFERROR(__xludf.DUMMYFUNCTION("""COMPUTED_VALUE"""),"GELICAME")</f>
        <v>GELICAME</v>
      </c>
      <c r="F185" s="107" t="str">
        <f>IFERROR(__xludf.DUMMYFUNCTION("""COMPUTED_VALUE"""),"ALJHUN")</f>
        <v>ALJHUN</v>
      </c>
      <c r="G185" s="90" t="s">
        <v>4</v>
      </c>
      <c r="L185" s="90" t="b">
        <v>1</v>
      </c>
    </row>
    <row r="186">
      <c r="A186" s="131">
        <f>IFERROR(__xludf.DUMMYFUNCTION("""COMPUTED_VALUE"""),185.0)</f>
        <v>185</v>
      </c>
      <c r="B186" s="131"/>
      <c r="C186" s="131">
        <f>IFERROR(__xludf.DUMMYFUNCTION("""COMPUTED_VALUE"""),167.0)</f>
        <v>167</v>
      </c>
      <c r="D186" s="131" t="b">
        <f>IFERROR(__xludf.DUMMYFUNCTION("""COMPUTED_VALUE"""),FALSE)</f>
        <v>0</v>
      </c>
      <c r="E186" s="107" t="str">
        <f>IFERROR(__xludf.DUMMYFUNCTION("""COMPUTED_VALUE"""),"LABAYNE")</f>
        <v>LABAYNE</v>
      </c>
      <c r="F186" s="107" t="str">
        <f>IFERROR(__xludf.DUMMYFUNCTION("""COMPUTED_VALUE"""),"JOSHUA")</f>
        <v>JOSHUA</v>
      </c>
    </row>
    <row r="187">
      <c r="A187" s="131">
        <f>IFERROR(__xludf.DUMMYFUNCTION("""COMPUTED_VALUE"""),186.0)</f>
        <v>186</v>
      </c>
      <c r="B187" s="131"/>
      <c r="C187" s="131">
        <f>IFERROR(__xludf.DUMMYFUNCTION("""COMPUTED_VALUE"""),167.0)</f>
        <v>167</v>
      </c>
      <c r="D187" s="131" t="b">
        <f>IFERROR(__xludf.DUMMYFUNCTION("""COMPUTED_VALUE"""),FALSE)</f>
        <v>0</v>
      </c>
      <c r="E187" s="107" t="str">
        <f>IFERROR(__xludf.DUMMYFUNCTION("""COMPUTED_VALUE"""),"LABAYNE")</f>
        <v>LABAYNE</v>
      </c>
      <c r="F187" s="107" t="str">
        <f>IFERROR(__xludf.DUMMYFUNCTION("""COMPUTED_VALUE"""),"MARK")</f>
        <v>MARK</v>
      </c>
    </row>
    <row r="188">
      <c r="A188" s="131">
        <f>IFERROR(__xludf.DUMMYFUNCTION("""COMPUTED_VALUE"""),187.0)</f>
        <v>187</v>
      </c>
      <c r="B188" s="131"/>
      <c r="C188" s="131">
        <f>IFERROR(__xludf.DUMMYFUNCTION("""COMPUTED_VALUE"""),167.0)</f>
        <v>167</v>
      </c>
      <c r="D188" s="131" t="b">
        <f>IFERROR(__xludf.DUMMYFUNCTION("""COMPUTED_VALUE"""),FALSE)</f>
        <v>0</v>
      </c>
      <c r="E188" s="107" t="str">
        <f>IFERROR(__xludf.DUMMYFUNCTION("""COMPUTED_VALUE"""),"LABAYNE")</f>
        <v>LABAYNE</v>
      </c>
      <c r="F188" s="107" t="str">
        <f>IFERROR(__xludf.DUMMYFUNCTION("""COMPUTED_VALUE"""),"JAMES")</f>
        <v>JAMES</v>
      </c>
    </row>
    <row r="189">
      <c r="A189" s="131">
        <f>IFERROR(__xludf.DUMMYFUNCTION("""COMPUTED_VALUE"""),188.0)</f>
        <v>188</v>
      </c>
      <c r="B189" s="131"/>
      <c r="C189" s="131">
        <f>IFERROR(__xludf.DUMMYFUNCTION("""COMPUTED_VALUE"""),167.0)</f>
        <v>167</v>
      </c>
      <c r="D189" s="131" t="b">
        <f>IFERROR(__xludf.DUMMYFUNCTION("""COMPUTED_VALUE"""),FALSE)</f>
        <v>0</v>
      </c>
      <c r="E189" s="107" t="str">
        <f>IFERROR(__xludf.DUMMYFUNCTION("""COMPUTED_VALUE"""),"LLORENTE")</f>
        <v>LLORENTE</v>
      </c>
      <c r="F189" s="107" t="str">
        <f>IFERROR(__xludf.DUMMYFUNCTION("""COMPUTED_VALUE"""),"MILLS")</f>
        <v>MILLS</v>
      </c>
    </row>
    <row r="190">
      <c r="A190" s="131">
        <f>IFERROR(__xludf.DUMMYFUNCTION("""COMPUTED_VALUE"""),189.0)</f>
        <v>189</v>
      </c>
      <c r="B190" s="131"/>
      <c r="C190" s="131">
        <f>IFERROR(__xludf.DUMMYFUNCTION("""COMPUTED_VALUE"""),167.0)</f>
        <v>167</v>
      </c>
      <c r="D190" s="131" t="b">
        <f>IFERROR(__xludf.DUMMYFUNCTION("""COMPUTED_VALUE"""),FALSE)</f>
        <v>0</v>
      </c>
      <c r="E190" s="107" t="str">
        <f>IFERROR(__xludf.DUMMYFUNCTION("""COMPUTED_VALUE"""),"MANUEL")</f>
        <v>MANUEL</v>
      </c>
      <c r="F190" s="107" t="str">
        <f>IFERROR(__xludf.DUMMYFUNCTION("""COMPUTED_VALUE"""),"JOHN MARK")</f>
        <v>JOHN MARK</v>
      </c>
    </row>
    <row r="191">
      <c r="A191" s="131">
        <f>IFERROR(__xludf.DUMMYFUNCTION("""COMPUTED_VALUE"""),190.0)</f>
        <v>190</v>
      </c>
      <c r="B191" s="131"/>
      <c r="C191" s="131">
        <f>IFERROR(__xludf.DUMMYFUNCTION("""COMPUTED_VALUE"""),167.0)</f>
        <v>167</v>
      </c>
      <c r="D191" s="131" t="b">
        <f>IFERROR(__xludf.DUMMYFUNCTION("""COMPUTED_VALUE"""),FALSE)</f>
        <v>0</v>
      </c>
      <c r="E191" s="107" t="str">
        <f>IFERROR(__xludf.DUMMYFUNCTION("""COMPUTED_VALUE"""),"MENDOZA")</f>
        <v>MENDOZA</v>
      </c>
      <c r="F191" s="107" t="str">
        <f>IFERROR(__xludf.DUMMYFUNCTION("""COMPUTED_VALUE"""),"JM")</f>
        <v>JM</v>
      </c>
    </row>
    <row r="192">
      <c r="A192" s="131">
        <f>IFERROR(__xludf.DUMMYFUNCTION("""COMPUTED_VALUE"""),191.0)</f>
        <v>191</v>
      </c>
      <c r="B192" s="131"/>
      <c r="C192" s="131">
        <f>IFERROR(__xludf.DUMMYFUNCTION("""COMPUTED_VALUE"""),167.0)</f>
        <v>167</v>
      </c>
      <c r="D192" s="131" t="b">
        <f>IFERROR(__xludf.DUMMYFUNCTION("""COMPUTED_VALUE"""),FALSE)</f>
        <v>0</v>
      </c>
      <c r="E192" s="107" t="str">
        <f>IFERROR(__xludf.DUMMYFUNCTION("""COMPUTED_VALUE"""),"MOLINA")</f>
        <v>MOLINA</v>
      </c>
      <c r="F192" s="107" t="str">
        <f>IFERROR(__xludf.DUMMYFUNCTION("""COMPUTED_VALUE"""),"ADRIAN")</f>
        <v>ADRIAN</v>
      </c>
    </row>
    <row r="193">
      <c r="A193" s="131">
        <f>IFERROR(__xludf.DUMMYFUNCTION("""COMPUTED_VALUE"""),192.0)</f>
        <v>192</v>
      </c>
      <c r="B193" s="131"/>
      <c r="C193" s="131">
        <f>IFERROR(__xludf.DUMMYFUNCTION("""COMPUTED_VALUE"""),167.0)</f>
        <v>167</v>
      </c>
      <c r="D193" s="131" t="b">
        <f>IFERROR(__xludf.DUMMYFUNCTION("""COMPUTED_VALUE"""),FALSE)</f>
        <v>0</v>
      </c>
      <c r="E193" s="107" t="str">
        <f>IFERROR(__xludf.DUMMYFUNCTION("""COMPUTED_VALUE"""),"MONTECER")</f>
        <v>MONTECER</v>
      </c>
      <c r="F193" s="107" t="str">
        <f>IFERROR(__xludf.DUMMYFUNCTION("""COMPUTED_VALUE"""),"RYAN")</f>
        <v>RYAN</v>
      </c>
    </row>
    <row r="194">
      <c r="A194" s="131">
        <f>IFERROR(__xludf.DUMMYFUNCTION("""COMPUTED_VALUE"""),193.0)</f>
        <v>193</v>
      </c>
      <c r="B194" s="131"/>
      <c r="C194" s="131">
        <f>IFERROR(__xludf.DUMMYFUNCTION("""COMPUTED_VALUE"""),167.0)</f>
        <v>167</v>
      </c>
      <c r="D194" s="131" t="b">
        <f>IFERROR(__xludf.DUMMYFUNCTION("""COMPUTED_VALUE"""),FALSE)</f>
        <v>0</v>
      </c>
      <c r="E194" s="107" t="str">
        <f>IFERROR(__xludf.DUMMYFUNCTION("""COMPUTED_VALUE"""),"MOSQUITO")</f>
        <v>MOSQUITO</v>
      </c>
      <c r="F194" s="107" t="str">
        <f>IFERROR(__xludf.DUMMYFUNCTION("""COMPUTED_VALUE"""),"JOHN MARK")</f>
        <v>JOHN MARK</v>
      </c>
    </row>
    <row r="195">
      <c r="A195" s="131">
        <f>IFERROR(__xludf.DUMMYFUNCTION("""COMPUTED_VALUE"""),194.0)</f>
        <v>194</v>
      </c>
      <c r="B195" s="131"/>
      <c r="C195" s="131">
        <f>IFERROR(__xludf.DUMMYFUNCTION("""COMPUTED_VALUE"""),167.0)</f>
        <v>167</v>
      </c>
      <c r="D195" s="131" t="b">
        <f>IFERROR(__xludf.DUMMYFUNCTION("""COMPUTED_VALUE"""),FALSE)</f>
        <v>0</v>
      </c>
      <c r="E195" s="107" t="str">
        <f>IFERROR(__xludf.DUMMYFUNCTION("""COMPUTED_VALUE"""),"PASCUAL")</f>
        <v>PASCUAL</v>
      </c>
      <c r="F195" s="107" t="str">
        <f>IFERROR(__xludf.DUMMYFUNCTION("""COMPUTED_VALUE"""),"KIOSKE")</f>
        <v>KIOSKE</v>
      </c>
    </row>
    <row r="196">
      <c r="A196" s="131">
        <f>IFERROR(__xludf.DUMMYFUNCTION("""COMPUTED_VALUE"""),195.0)</f>
        <v>195</v>
      </c>
      <c r="B196" s="131"/>
      <c r="C196" s="131">
        <f>IFERROR(__xludf.DUMMYFUNCTION("""COMPUTED_VALUE"""),167.0)</f>
        <v>167</v>
      </c>
      <c r="D196" s="131" t="b">
        <f>IFERROR(__xludf.DUMMYFUNCTION("""COMPUTED_VALUE"""),FALSE)</f>
        <v>0</v>
      </c>
      <c r="E196" s="107" t="str">
        <f>IFERROR(__xludf.DUMMYFUNCTION("""COMPUTED_VALUE"""),"PERALTA")</f>
        <v>PERALTA</v>
      </c>
      <c r="F196" s="107" t="str">
        <f>IFERROR(__xludf.DUMMYFUNCTION("""COMPUTED_VALUE"""),"MARION")</f>
        <v>MARION</v>
      </c>
    </row>
    <row r="197">
      <c r="A197" s="131">
        <f>IFERROR(__xludf.DUMMYFUNCTION("""COMPUTED_VALUE"""),196.0)</f>
        <v>196</v>
      </c>
      <c r="B197" s="131"/>
      <c r="C197" s="131">
        <f>IFERROR(__xludf.DUMMYFUNCTION("""COMPUTED_VALUE"""),167.0)</f>
        <v>167</v>
      </c>
      <c r="D197" s="131" t="b">
        <f>IFERROR(__xludf.DUMMYFUNCTION("""COMPUTED_VALUE"""),FALSE)</f>
        <v>0</v>
      </c>
      <c r="E197" s="107" t="str">
        <f>IFERROR(__xludf.DUMMYFUNCTION("""COMPUTED_VALUE"""),"RANOLA")</f>
        <v>RANOLA</v>
      </c>
      <c r="F197" s="107" t="str">
        <f>IFERROR(__xludf.DUMMYFUNCTION("""COMPUTED_VALUE"""),"JOHN GABRIELLE P.")</f>
        <v>JOHN GABRIELLE P.</v>
      </c>
    </row>
    <row r="198">
      <c r="A198" s="131">
        <f>IFERROR(__xludf.DUMMYFUNCTION("""COMPUTED_VALUE"""),197.0)</f>
        <v>197</v>
      </c>
      <c r="B198" s="131"/>
      <c r="C198" s="131">
        <f>IFERROR(__xludf.DUMMYFUNCTION("""COMPUTED_VALUE"""),167.0)</f>
        <v>167</v>
      </c>
      <c r="D198" s="131" t="b">
        <f>IFERROR(__xludf.DUMMYFUNCTION("""COMPUTED_VALUE"""),FALSE)</f>
        <v>0</v>
      </c>
      <c r="E198" s="107" t="str">
        <f>IFERROR(__xludf.DUMMYFUNCTION("""COMPUTED_VALUE"""),"REMOPALOS")</f>
        <v>REMOPALOS</v>
      </c>
      <c r="F198" s="107" t="str">
        <f>IFERROR(__xludf.DUMMYFUNCTION("""COMPUTED_VALUE"""),"ZION")</f>
        <v>ZION</v>
      </c>
      <c r="G198" s="90" t="s">
        <v>4</v>
      </c>
      <c r="J198" s="90" t="s">
        <v>4</v>
      </c>
      <c r="L198" s="90" t="b">
        <v>1</v>
      </c>
    </row>
    <row r="199">
      <c r="A199" s="131">
        <f>IFERROR(__xludf.DUMMYFUNCTION("""COMPUTED_VALUE"""),198.0)</f>
        <v>198</v>
      </c>
      <c r="B199" s="131"/>
      <c r="C199" s="131">
        <f>IFERROR(__xludf.DUMMYFUNCTION("""COMPUTED_VALUE"""),167.0)</f>
        <v>167</v>
      </c>
      <c r="D199" s="131" t="b">
        <f>IFERROR(__xludf.DUMMYFUNCTION("""COMPUTED_VALUE"""),FALSE)</f>
        <v>0</v>
      </c>
      <c r="E199" s="107" t="str">
        <f>IFERROR(__xludf.DUMMYFUNCTION("""COMPUTED_VALUE"""),"ROSAL")</f>
        <v>ROSAL</v>
      </c>
      <c r="F199" s="107" t="str">
        <f>IFERROR(__xludf.DUMMYFUNCTION("""COMPUTED_VALUE"""),"CYRUS JOSEPH")</f>
        <v>CYRUS JOSEPH</v>
      </c>
    </row>
    <row r="200">
      <c r="A200" s="131">
        <f>IFERROR(__xludf.DUMMYFUNCTION("""COMPUTED_VALUE"""),199.0)</f>
        <v>199</v>
      </c>
      <c r="B200" s="131"/>
      <c r="C200" s="131">
        <f>IFERROR(__xludf.DUMMYFUNCTION("""COMPUTED_VALUE"""),167.0)</f>
        <v>167</v>
      </c>
      <c r="D200" s="131" t="b">
        <f>IFERROR(__xludf.DUMMYFUNCTION("""COMPUTED_VALUE"""),FALSE)</f>
        <v>0</v>
      </c>
      <c r="E200" s="107" t="str">
        <f>IFERROR(__xludf.DUMMYFUNCTION("""COMPUTED_VALUE"""),"SAMONTANES")</f>
        <v>SAMONTANES</v>
      </c>
      <c r="F200" s="107" t="str">
        <f>IFERROR(__xludf.DUMMYFUNCTION("""COMPUTED_VALUE"""),"DAVID")</f>
        <v>DAVID</v>
      </c>
    </row>
    <row r="201">
      <c r="A201" s="131">
        <f>IFERROR(__xludf.DUMMYFUNCTION("""COMPUTED_VALUE"""),200.0)</f>
        <v>200</v>
      </c>
      <c r="B201" s="131"/>
      <c r="C201" s="131">
        <f>IFERROR(__xludf.DUMMYFUNCTION("""COMPUTED_VALUE"""),167.0)</f>
        <v>167</v>
      </c>
      <c r="D201" s="131" t="b">
        <f>IFERROR(__xludf.DUMMYFUNCTION("""COMPUTED_VALUE"""),FALSE)</f>
        <v>0</v>
      </c>
      <c r="E201" s="107" t="str">
        <f>IFERROR(__xludf.DUMMYFUNCTION("""COMPUTED_VALUE"""),"SISON")</f>
        <v>SISON</v>
      </c>
      <c r="F201" s="107" t="str">
        <f>IFERROR(__xludf.DUMMYFUNCTION("""COMPUTED_VALUE"""),"RAVEN JAZZ")</f>
        <v>RAVEN JAZZ</v>
      </c>
    </row>
    <row r="202">
      <c r="A202" s="131">
        <f>IFERROR(__xludf.DUMMYFUNCTION("""COMPUTED_VALUE"""),201.0)</f>
        <v>201</v>
      </c>
      <c r="B202" s="131"/>
      <c r="C202" s="131">
        <f>IFERROR(__xludf.DUMMYFUNCTION("""COMPUTED_VALUE"""),167.0)</f>
        <v>167</v>
      </c>
      <c r="D202" s="131" t="b">
        <f>IFERROR(__xludf.DUMMYFUNCTION("""COMPUTED_VALUE"""),FALSE)</f>
        <v>0</v>
      </c>
      <c r="E202" s="107" t="str">
        <f>IFERROR(__xludf.DUMMYFUNCTION("""COMPUTED_VALUE"""),"SOMERA")</f>
        <v>SOMERA</v>
      </c>
      <c r="F202" s="107" t="str">
        <f>IFERROR(__xludf.DUMMYFUNCTION("""COMPUTED_VALUE"""),"MICHAEL")</f>
        <v>MICHAEL</v>
      </c>
      <c r="J202" s="90" t="s">
        <v>4</v>
      </c>
    </row>
    <row r="203">
      <c r="A203" s="131">
        <f>IFERROR(__xludf.DUMMYFUNCTION("""COMPUTED_VALUE"""),202.0)</f>
        <v>202</v>
      </c>
      <c r="B203" s="131"/>
      <c r="C203" s="131">
        <f>IFERROR(__xludf.DUMMYFUNCTION("""COMPUTED_VALUE"""),167.0)</f>
        <v>167</v>
      </c>
      <c r="D203" s="131" t="b">
        <f>IFERROR(__xludf.DUMMYFUNCTION("""COMPUTED_VALUE"""),FALSE)</f>
        <v>0</v>
      </c>
      <c r="E203" s="107" t="str">
        <f>IFERROR(__xludf.DUMMYFUNCTION("""COMPUTED_VALUE"""),"TAMIDLES")</f>
        <v>TAMIDLES</v>
      </c>
      <c r="F203" s="107" t="str">
        <f>IFERROR(__xludf.DUMMYFUNCTION("""COMPUTED_VALUE"""),"KARL")</f>
        <v>KARL</v>
      </c>
      <c r="G203" s="90" t="s">
        <v>4</v>
      </c>
      <c r="J203" s="90" t="s">
        <v>4</v>
      </c>
      <c r="L203" s="90" t="b">
        <v>1</v>
      </c>
    </row>
    <row r="204">
      <c r="A204" s="131">
        <f>IFERROR(__xludf.DUMMYFUNCTION("""COMPUTED_VALUE"""),203.0)</f>
        <v>203</v>
      </c>
      <c r="B204" s="131"/>
      <c r="C204" s="131">
        <f>IFERROR(__xludf.DUMMYFUNCTION("""COMPUTED_VALUE"""),167.0)</f>
        <v>167</v>
      </c>
      <c r="D204" s="131" t="b">
        <f>IFERROR(__xludf.DUMMYFUNCTION("""COMPUTED_VALUE"""),FALSE)</f>
        <v>0</v>
      </c>
      <c r="E204" s="107" t="str">
        <f>IFERROR(__xludf.DUMMYFUNCTION("""COMPUTED_VALUE"""),"TAN")</f>
        <v>TAN</v>
      </c>
      <c r="F204" s="107" t="str">
        <f>IFERROR(__xludf.DUMMYFUNCTION("""COMPUTED_VALUE"""),"RAMON")</f>
        <v>RAMON</v>
      </c>
    </row>
    <row r="205">
      <c r="A205" s="131">
        <f>IFERROR(__xludf.DUMMYFUNCTION("""COMPUTED_VALUE"""),204.0)</f>
        <v>204</v>
      </c>
      <c r="B205" s="131"/>
      <c r="C205" s="131">
        <f>IFERROR(__xludf.DUMMYFUNCTION("""COMPUTED_VALUE"""),167.0)</f>
        <v>167</v>
      </c>
      <c r="D205" s="131" t="b">
        <f>IFERROR(__xludf.DUMMYFUNCTION("""COMPUTED_VALUE"""),FALSE)</f>
        <v>0</v>
      </c>
      <c r="E205" s="116" t="str">
        <f>IFERROR(__xludf.DUMMYFUNCTION("""COMPUTED_VALUE"""),"TOLEDO")</f>
        <v>TOLEDO</v>
      </c>
      <c r="F205" s="115" t="str">
        <f>IFERROR(__xludf.DUMMYFUNCTION("""COMPUTED_VALUE"""),"ASZHER")</f>
        <v>ASZHER</v>
      </c>
      <c r="G205" s="90" t="s">
        <v>4</v>
      </c>
      <c r="L205" s="90" t="b">
        <v>1</v>
      </c>
    </row>
    <row r="206">
      <c r="A206" s="131">
        <f>IFERROR(__xludf.DUMMYFUNCTION("""COMPUTED_VALUE"""),205.0)</f>
        <v>205</v>
      </c>
      <c r="B206" s="131"/>
      <c r="C206" s="131">
        <f>IFERROR(__xludf.DUMMYFUNCTION("""COMPUTED_VALUE"""),167.0)</f>
        <v>167</v>
      </c>
      <c r="D206" s="131" t="b">
        <f>IFERROR(__xludf.DUMMYFUNCTION("""COMPUTED_VALUE"""),FALSE)</f>
        <v>0</v>
      </c>
      <c r="E206" s="115" t="str">
        <f>IFERROR(__xludf.DUMMYFUNCTION("""COMPUTED_VALUE"""),"TAMIDLES")</f>
        <v>TAMIDLES</v>
      </c>
      <c r="F206" s="107" t="str">
        <f>IFERROR(__xludf.DUMMYFUNCTION("""COMPUTED_VALUE"""),"ZHAIRON")</f>
        <v>ZHAIRON</v>
      </c>
      <c r="G206" s="90" t="s">
        <v>4</v>
      </c>
      <c r="J206" s="90" t="s">
        <v>4</v>
      </c>
      <c r="L206" s="90" t="b">
        <v>1</v>
      </c>
    </row>
    <row r="207">
      <c r="A207" s="131">
        <f>IFERROR(__xludf.DUMMYFUNCTION("""COMPUTED_VALUE"""),206.0)</f>
        <v>206</v>
      </c>
      <c r="B207" s="131"/>
      <c r="C207" s="131">
        <f>IFERROR(__xludf.DUMMYFUNCTION("""COMPUTED_VALUE"""),167.0)</f>
        <v>167</v>
      </c>
      <c r="D207" s="131" t="b">
        <f>IFERROR(__xludf.DUMMYFUNCTION("""COMPUTED_VALUE"""),FALSE)</f>
        <v>0</v>
      </c>
      <c r="E207" s="107" t="str">
        <f>IFERROR(__xludf.DUMMYFUNCTION("""COMPUTED_VALUE"""),"VERTUDAZO")</f>
        <v>VERTUDAZO</v>
      </c>
      <c r="F207" s="107" t="str">
        <f>IFERROR(__xludf.DUMMYFUNCTION("""COMPUTED_VALUE"""),"KENNETH")</f>
        <v>KENNETH</v>
      </c>
    </row>
    <row r="208">
      <c r="A208" s="131">
        <f>IFERROR(__xludf.DUMMYFUNCTION("""COMPUTED_VALUE"""),207.0)</f>
        <v>207</v>
      </c>
      <c r="B208" s="131"/>
      <c r="C208" s="131">
        <f>IFERROR(__xludf.DUMMYFUNCTION("""COMPUTED_VALUE"""),167.0)</f>
        <v>167</v>
      </c>
      <c r="D208" s="131" t="b">
        <f>IFERROR(__xludf.DUMMYFUNCTION("""COMPUTED_VALUE"""),FALSE)</f>
        <v>0</v>
      </c>
      <c r="E208" s="107" t="str">
        <f>IFERROR(__xludf.DUMMYFUNCTION("""COMPUTED_VALUE"""),"VILLARUEL")</f>
        <v>VILLARUEL</v>
      </c>
      <c r="F208" s="107" t="str">
        <f>IFERROR(__xludf.DUMMYFUNCTION("""COMPUTED_VALUE"""),"KIAN")</f>
        <v>KIAN</v>
      </c>
    </row>
    <row r="209">
      <c r="A209" s="131">
        <f>IFERROR(__xludf.DUMMYFUNCTION("""COMPUTED_VALUE"""),208.0)</f>
        <v>208</v>
      </c>
      <c r="B209" s="131"/>
      <c r="C209" s="131">
        <f>IFERROR(__xludf.DUMMYFUNCTION("""COMPUTED_VALUE"""),167.0)</f>
        <v>167</v>
      </c>
      <c r="D209" s="131" t="b">
        <f>IFERROR(__xludf.DUMMYFUNCTION("""COMPUTED_VALUE"""),FALSE)</f>
        <v>0</v>
      </c>
      <c r="E209" s="107" t="str">
        <f>IFERROR(__xludf.DUMMYFUNCTION("""COMPUTED_VALUE"""),"VILLARUEL")</f>
        <v>VILLARUEL</v>
      </c>
      <c r="F209" s="107" t="str">
        <f>IFERROR(__xludf.DUMMYFUNCTION("""COMPUTED_VALUE"""),"KYLE")</f>
        <v>KYLE</v>
      </c>
      <c r="G209" s="90" t="s">
        <v>4</v>
      </c>
      <c r="L209" s="90" t="b">
        <v>1</v>
      </c>
    </row>
    <row r="210">
      <c r="A210" s="131">
        <f>IFERROR(__xludf.DUMMYFUNCTION("""COMPUTED_VALUE"""),209.0)</f>
        <v>209</v>
      </c>
      <c r="B210" s="131"/>
      <c r="C210" s="131">
        <f>IFERROR(__xludf.DUMMYFUNCTION("""COMPUTED_VALUE"""),167.0)</f>
        <v>167</v>
      </c>
      <c r="D210" s="131" t="b">
        <f>IFERROR(__xludf.DUMMYFUNCTION("""COMPUTED_VALUE"""),FALSE)</f>
        <v>0</v>
      </c>
      <c r="E210" s="117" t="str">
        <f>IFERROR(__xludf.DUMMYFUNCTION("""COMPUTED_VALUE"""),"PADLAN")</f>
        <v>PADLAN</v>
      </c>
      <c r="F210" s="107" t="str">
        <f>IFERROR(__xludf.DUMMYFUNCTION("""COMPUTED_VALUE"""),"STEPHEN")</f>
        <v>STEPHEN</v>
      </c>
      <c r="G210" s="90" t="s">
        <v>4</v>
      </c>
      <c r="J210" s="90" t="s">
        <v>4</v>
      </c>
      <c r="L210" s="90" t="b">
        <v>1</v>
      </c>
    </row>
    <row r="211">
      <c r="A211" s="131">
        <f>IFERROR(__xludf.DUMMYFUNCTION("""COMPUTED_VALUE"""),210.0)</f>
        <v>210</v>
      </c>
      <c r="B211" s="131"/>
      <c r="C211" s="131">
        <f>IFERROR(__xludf.DUMMYFUNCTION("""COMPUTED_VALUE"""),167.0)</f>
        <v>167</v>
      </c>
      <c r="D211" s="131" t="b">
        <f>IFERROR(__xludf.DUMMYFUNCTION("""COMPUTED_VALUE"""),FALSE)</f>
        <v>0</v>
      </c>
      <c r="E211" s="118"/>
      <c r="F211" s="107" t="str">
        <f>IFERROR(__xludf.DUMMYFUNCTION("""COMPUTED_VALUE"""),"SIMON")</f>
        <v>SIMON</v>
      </c>
    </row>
    <row r="212">
      <c r="A212" s="131">
        <f>IFERROR(__xludf.DUMMYFUNCTION("""COMPUTED_VALUE"""),211.0)</f>
        <v>211</v>
      </c>
      <c r="B212" s="131"/>
      <c r="C212" s="131">
        <f>IFERROR(__xludf.DUMMYFUNCTION("""COMPUTED_VALUE"""),167.0)</f>
        <v>167</v>
      </c>
      <c r="D212" s="131" t="b">
        <f>IFERROR(__xludf.DUMMYFUNCTION("""COMPUTED_VALUE"""),FALSE)</f>
        <v>0</v>
      </c>
      <c r="E212" s="118"/>
      <c r="F212" s="107" t="str">
        <f>IFERROR(__xludf.DUMMYFUNCTION("""COMPUTED_VALUE"""),"NICO")</f>
        <v>NICO</v>
      </c>
    </row>
    <row r="213">
      <c r="A213" s="131">
        <f>IFERROR(__xludf.DUMMYFUNCTION("""COMPUTED_VALUE"""),212.0)</f>
        <v>212</v>
      </c>
      <c r="B213" s="131"/>
      <c r="C213" s="131">
        <f>IFERROR(__xludf.DUMMYFUNCTION("""COMPUTED_VALUE"""),167.0)</f>
        <v>167</v>
      </c>
      <c r="D213" s="131" t="b">
        <f>IFERROR(__xludf.DUMMYFUNCTION("""COMPUTED_VALUE"""),FALSE)</f>
        <v>0</v>
      </c>
      <c r="E213" s="118"/>
      <c r="F213" s="107" t="str">
        <f>IFERROR(__xludf.DUMMYFUNCTION("""COMPUTED_VALUE"""),"JERVISH")</f>
        <v>JERVISH</v>
      </c>
    </row>
    <row r="214">
      <c r="A214" s="131">
        <f>IFERROR(__xludf.DUMMYFUNCTION("""COMPUTED_VALUE"""),213.0)</f>
        <v>213</v>
      </c>
      <c r="B214" s="131"/>
      <c r="C214" s="131">
        <f>IFERROR(__xludf.DUMMYFUNCTION("""COMPUTED_VALUE"""),23.0)</f>
        <v>23</v>
      </c>
      <c r="D214" s="131" t="b">
        <f>IFERROR(__xludf.DUMMYFUNCTION("""COMPUTED_VALUE"""),TRUE)</f>
        <v>1</v>
      </c>
      <c r="E214" s="119" t="str">
        <f>IFERROR(__xludf.DUMMYFUNCTION("""COMPUTED_VALUE"""),"UDAUNDO")</f>
        <v>UDAUNDO</v>
      </c>
      <c r="F214" s="119" t="str">
        <f>IFERROR(__xludf.DUMMYFUNCTION("""COMPUTED_VALUE"""),"RINOA MAE")</f>
        <v>RINOA MAE</v>
      </c>
      <c r="G214" s="90" t="s">
        <v>4</v>
      </c>
      <c r="I214" s="90" t="s">
        <v>4</v>
      </c>
      <c r="L214" s="90" t="b">
        <v>1</v>
      </c>
      <c r="N214" s="90" t="b">
        <v>1</v>
      </c>
    </row>
    <row r="215">
      <c r="A215" s="131">
        <f>IFERROR(__xludf.DUMMYFUNCTION("""COMPUTED_VALUE"""),214.0)</f>
        <v>214</v>
      </c>
      <c r="B215" s="131"/>
      <c r="C215" s="131">
        <f>IFERROR(__xludf.DUMMYFUNCTION("""COMPUTED_VALUE"""),23.0)</f>
        <v>23</v>
      </c>
      <c r="D215" s="131" t="b">
        <f>IFERROR(__xludf.DUMMYFUNCTION("""COMPUTED_VALUE"""),FALSE)</f>
        <v>0</v>
      </c>
      <c r="E215" s="107" t="str">
        <f>IFERROR(__xludf.DUMMYFUNCTION("""COMPUTED_VALUE"""),"CASERO")</f>
        <v>CASERO</v>
      </c>
      <c r="F215" s="107" t="str">
        <f>IFERROR(__xludf.DUMMYFUNCTION("""COMPUTED_VALUE"""),"AALIYAH")</f>
        <v>AALIYAH</v>
      </c>
    </row>
    <row r="216">
      <c r="A216" s="131">
        <f>IFERROR(__xludf.DUMMYFUNCTION("""COMPUTED_VALUE"""),215.0)</f>
        <v>215</v>
      </c>
      <c r="B216" s="131"/>
      <c r="C216" s="131">
        <f>IFERROR(__xludf.DUMMYFUNCTION("""COMPUTED_VALUE"""),23.0)</f>
        <v>23</v>
      </c>
      <c r="D216" s="131" t="b">
        <f>IFERROR(__xludf.DUMMYFUNCTION("""COMPUTED_VALUE"""),FALSE)</f>
        <v>0</v>
      </c>
      <c r="E216" s="107" t="str">
        <f>IFERROR(__xludf.DUMMYFUNCTION("""COMPUTED_VALUE"""),"CELASES")</f>
        <v>CELASES</v>
      </c>
      <c r="F216" s="107" t="str">
        <f>IFERROR(__xludf.DUMMYFUNCTION("""COMPUTED_VALUE"""),"SOFIA")</f>
        <v>SOFIA</v>
      </c>
    </row>
    <row r="217">
      <c r="A217" s="131">
        <f>IFERROR(__xludf.DUMMYFUNCTION("""COMPUTED_VALUE"""),216.0)</f>
        <v>216</v>
      </c>
      <c r="B217" s="131"/>
      <c r="C217" s="131">
        <f>IFERROR(__xludf.DUMMYFUNCTION("""COMPUTED_VALUE"""),23.0)</f>
        <v>23</v>
      </c>
      <c r="D217" s="131" t="b">
        <f>IFERROR(__xludf.DUMMYFUNCTION("""COMPUTED_VALUE"""),FALSE)</f>
        <v>0</v>
      </c>
      <c r="E217" s="107" t="str">
        <f>IFERROR(__xludf.DUMMYFUNCTION("""COMPUTED_VALUE"""),"LACONSAY")</f>
        <v>LACONSAY</v>
      </c>
      <c r="F217" s="107" t="str">
        <f>IFERROR(__xludf.DUMMYFUNCTION("""COMPUTED_VALUE"""),"MAIYA")</f>
        <v>MAIYA</v>
      </c>
      <c r="G217" s="90" t="s">
        <v>4</v>
      </c>
      <c r="I217" s="90" t="s">
        <v>4</v>
      </c>
      <c r="L217" s="90" t="b">
        <v>1</v>
      </c>
      <c r="N217" s="90" t="b">
        <v>1</v>
      </c>
    </row>
    <row r="218">
      <c r="A218" s="131">
        <f>IFERROR(__xludf.DUMMYFUNCTION("""COMPUTED_VALUE"""),217.0)</f>
        <v>217</v>
      </c>
      <c r="B218" s="131"/>
      <c r="C218" s="131">
        <f>IFERROR(__xludf.DUMMYFUNCTION("""COMPUTED_VALUE"""),23.0)</f>
        <v>23</v>
      </c>
      <c r="D218" s="131" t="b">
        <f>IFERROR(__xludf.DUMMYFUNCTION("""COMPUTED_VALUE"""),FALSE)</f>
        <v>0</v>
      </c>
      <c r="E218" s="107" t="str">
        <f>IFERROR(__xludf.DUMMYFUNCTION("""COMPUTED_VALUE"""),"MADLANGAWA")</f>
        <v>MADLANGAWA</v>
      </c>
      <c r="F218" s="107" t="str">
        <f>IFERROR(__xludf.DUMMYFUNCTION("""COMPUTED_VALUE"""),"INGRID")</f>
        <v>INGRID</v>
      </c>
    </row>
    <row r="219">
      <c r="A219" s="131">
        <f>IFERROR(__xludf.DUMMYFUNCTION("""COMPUTED_VALUE"""),218.0)</f>
        <v>218</v>
      </c>
      <c r="B219" s="131"/>
      <c r="C219" s="131">
        <f>IFERROR(__xludf.DUMMYFUNCTION("""COMPUTED_VALUE"""),23.0)</f>
        <v>23</v>
      </c>
      <c r="D219" s="131" t="b">
        <f>IFERROR(__xludf.DUMMYFUNCTION("""COMPUTED_VALUE"""),FALSE)</f>
        <v>0</v>
      </c>
      <c r="E219" s="107" t="str">
        <f>IFERROR(__xludf.DUMMYFUNCTION("""COMPUTED_VALUE"""),"MALAGOTNOT")</f>
        <v>MALAGOTNOT</v>
      </c>
      <c r="F219" s="107" t="str">
        <f>IFERROR(__xludf.DUMMYFUNCTION("""COMPUTED_VALUE"""),"PHOEBE")</f>
        <v>PHOEBE</v>
      </c>
    </row>
    <row r="220">
      <c r="A220" s="131">
        <f>IFERROR(__xludf.DUMMYFUNCTION("""COMPUTED_VALUE"""),219.0)</f>
        <v>219</v>
      </c>
      <c r="B220" s="131"/>
      <c r="C220" s="131">
        <f>IFERROR(__xludf.DUMMYFUNCTION("""COMPUTED_VALUE"""),23.0)</f>
        <v>23</v>
      </c>
      <c r="D220" s="131" t="b">
        <f>IFERROR(__xludf.DUMMYFUNCTION("""COMPUTED_VALUE"""),FALSE)</f>
        <v>0</v>
      </c>
      <c r="E220" s="107" t="str">
        <f>IFERROR(__xludf.DUMMYFUNCTION("""COMPUTED_VALUE"""),"MALOLOY-ON")</f>
        <v>MALOLOY-ON</v>
      </c>
      <c r="F220" s="107" t="str">
        <f>IFERROR(__xludf.DUMMYFUNCTION("""COMPUTED_VALUE"""),"EUNICE")</f>
        <v>EUNICE</v>
      </c>
    </row>
    <row r="221">
      <c r="A221" s="131">
        <f>IFERROR(__xludf.DUMMYFUNCTION("""COMPUTED_VALUE"""),220.0)</f>
        <v>220</v>
      </c>
      <c r="B221" s="131"/>
      <c r="C221" s="131">
        <f>IFERROR(__xludf.DUMMYFUNCTION("""COMPUTED_VALUE"""),23.0)</f>
        <v>23</v>
      </c>
      <c r="D221" s="131" t="b">
        <f>IFERROR(__xludf.DUMMYFUNCTION("""COMPUTED_VALUE"""),FALSE)</f>
        <v>0</v>
      </c>
      <c r="E221" s="107" t="str">
        <f>IFERROR(__xludf.DUMMYFUNCTION("""COMPUTED_VALUE"""),"OBASAN")</f>
        <v>OBASAN</v>
      </c>
      <c r="F221" s="107" t="str">
        <f>IFERROR(__xludf.DUMMYFUNCTION("""COMPUTED_VALUE"""),"AUDREY")</f>
        <v>AUDREY</v>
      </c>
    </row>
    <row r="222">
      <c r="A222" s="131">
        <f>IFERROR(__xludf.DUMMYFUNCTION("""COMPUTED_VALUE"""),221.0)</f>
        <v>221</v>
      </c>
      <c r="B222" s="131"/>
      <c r="C222" s="131">
        <f>IFERROR(__xludf.DUMMYFUNCTION("""COMPUTED_VALUE"""),23.0)</f>
        <v>23</v>
      </c>
      <c r="D222" s="131" t="b">
        <f>IFERROR(__xludf.DUMMYFUNCTION("""COMPUTED_VALUE"""),FALSE)</f>
        <v>0</v>
      </c>
      <c r="E222" s="107" t="str">
        <f>IFERROR(__xludf.DUMMYFUNCTION("""COMPUTED_VALUE"""),"OBASAN")</f>
        <v>OBASAN</v>
      </c>
      <c r="F222" s="107" t="str">
        <f>IFERROR(__xludf.DUMMYFUNCTION("""COMPUTED_VALUE"""),"ACEZZY")</f>
        <v>ACEZZY</v>
      </c>
    </row>
    <row r="223">
      <c r="A223" s="131">
        <f>IFERROR(__xludf.DUMMYFUNCTION("""COMPUTED_VALUE"""),222.0)</f>
        <v>222</v>
      </c>
      <c r="B223" s="131"/>
      <c r="C223" s="131">
        <f>IFERROR(__xludf.DUMMYFUNCTION("""COMPUTED_VALUE"""),23.0)</f>
        <v>23</v>
      </c>
      <c r="D223" s="131" t="b">
        <f>IFERROR(__xludf.DUMMYFUNCTION("""COMPUTED_VALUE"""),FALSE)</f>
        <v>0</v>
      </c>
      <c r="E223" s="107" t="str">
        <f>IFERROR(__xludf.DUMMYFUNCTION("""COMPUTED_VALUE"""),"OBASAN")</f>
        <v>OBASAN</v>
      </c>
      <c r="F223" s="107" t="str">
        <f>IFERROR(__xludf.DUMMYFUNCTION("""COMPUTED_VALUE"""),"AYESHA")</f>
        <v>AYESHA</v>
      </c>
    </row>
    <row r="224">
      <c r="A224" s="131">
        <f>IFERROR(__xludf.DUMMYFUNCTION("""COMPUTED_VALUE"""),223.0)</f>
        <v>223</v>
      </c>
      <c r="B224" s="131"/>
      <c r="C224" s="131">
        <f>IFERROR(__xludf.DUMMYFUNCTION("""COMPUTED_VALUE"""),23.0)</f>
        <v>23</v>
      </c>
      <c r="D224" s="131" t="b">
        <f>IFERROR(__xludf.DUMMYFUNCTION("""COMPUTED_VALUE"""),FALSE)</f>
        <v>0</v>
      </c>
      <c r="E224" s="107" t="str">
        <f>IFERROR(__xludf.DUMMYFUNCTION("""COMPUTED_VALUE"""),"PACSON")</f>
        <v>PACSON</v>
      </c>
      <c r="F224" s="107" t="str">
        <f>IFERROR(__xludf.DUMMYFUNCTION("""COMPUTED_VALUE"""),"KAYTE")</f>
        <v>KAYTE</v>
      </c>
    </row>
    <row r="225">
      <c r="A225" s="131">
        <f>IFERROR(__xludf.DUMMYFUNCTION("""COMPUTED_VALUE"""),224.0)</f>
        <v>224</v>
      </c>
      <c r="B225" s="131"/>
      <c r="C225" s="131">
        <f>IFERROR(__xludf.DUMMYFUNCTION("""COMPUTED_VALUE"""),23.0)</f>
        <v>23</v>
      </c>
      <c r="D225" s="131" t="b">
        <f>IFERROR(__xludf.DUMMYFUNCTION("""COMPUTED_VALUE"""),FALSE)</f>
        <v>0</v>
      </c>
      <c r="E225" s="107" t="str">
        <f>IFERROR(__xludf.DUMMYFUNCTION("""COMPUTED_VALUE"""),"PACSON")</f>
        <v>PACSON</v>
      </c>
      <c r="F225" s="107" t="str">
        <f>IFERROR(__xludf.DUMMYFUNCTION("""COMPUTED_VALUE"""),"MICAELLA")</f>
        <v>MICAELLA</v>
      </c>
    </row>
    <row r="226">
      <c r="A226" s="131">
        <f>IFERROR(__xludf.DUMMYFUNCTION("""COMPUTED_VALUE"""),225.0)</f>
        <v>225</v>
      </c>
      <c r="B226" s="131"/>
      <c r="C226" s="131">
        <f>IFERROR(__xludf.DUMMYFUNCTION("""COMPUTED_VALUE"""),23.0)</f>
        <v>23</v>
      </c>
      <c r="D226" s="131" t="b">
        <f>IFERROR(__xludf.DUMMYFUNCTION("""COMPUTED_VALUE"""),FALSE)</f>
        <v>0</v>
      </c>
      <c r="E226" s="107" t="str">
        <f>IFERROR(__xludf.DUMMYFUNCTION("""COMPUTED_VALUE"""),"RETAMAR")</f>
        <v>RETAMAR</v>
      </c>
      <c r="F226" s="107" t="str">
        <f>IFERROR(__xludf.DUMMYFUNCTION("""COMPUTED_VALUE"""),"JASMINE")</f>
        <v>JASMINE</v>
      </c>
    </row>
    <row r="227">
      <c r="A227" s="131">
        <f>IFERROR(__xludf.DUMMYFUNCTION("""COMPUTED_VALUE"""),226.0)</f>
        <v>226</v>
      </c>
      <c r="B227" s="131"/>
      <c r="C227" s="131">
        <f>IFERROR(__xludf.DUMMYFUNCTION("""COMPUTED_VALUE"""),23.0)</f>
        <v>23</v>
      </c>
      <c r="D227" s="131" t="b">
        <f>IFERROR(__xludf.DUMMYFUNCTION("""COMPUTED_VALUE"""),FALSE)</f>
        <v>0</v>
      </c>
      <c r="E227" s="107" t="str">
        <f>IFERROR(__xludf.DUMMYFUNCTION("""COMPUTED_VALUE"""),"ROGACION")</f>
        <v>ROGACION</v>
      </c>
      <c r="F227" s="107" t="str">
        <f>IFERROR(__xludf.DUMMYFUNCTION("""COMPUTED_VALUE"""),"LYKA")</f>
        <v>LYKA</v>
      </c>
      <c r="G227" s="90" t="s">
        <v>4</v>
      </c>
      <c r="I227" s="90" t="s">
        <v>4</v>
      </c>
      <c r="L227" s="90" t="b">
        <v>1</v>
      </c>
      <c r="N227" s="90" t="b">
        <v>1</v>
      </c>
    </row>
    <row r="228">
      <c r="A228" s="131">
        <f>IFERROR(__xludf.DUMMYFUNCTION("""COMPUTED_VALUE"""),227.0)</f>
        <v>227</v>
      </c>
      <c r="B228" s="131"/>
      <c r="C228" s="131">
        <f>IFERROR(__xludf.DUMMYFUNCTION("""COMPUTED_VALUE"""),23.0)</f>
        <v>23</v>
      </c>
      <c r="D228" s="131" t="b">
        <f>IFERROR(__xludf.DUMMYFUNCTION("""COMPUTED_VALUE"""),FALSE)</f>
        <v>0</v>
      </c>
      <c r="E228" s="107" t="str">
        <f>IFERROR(__xludf.DUMMYFUNCTION("""COMPUTED_VALUE"""),"TINGSON")</f>
        <v>TINGSON</v>
      </c>
      <c r="F228" s="107" t="str">
        <f>IFERROR(__xludf.DUMMYFUNCTION("""COMPUTED_VALUE"""),"JANELLE")</f>
        <v>JANELLE</v>
      </c>
    </row>
    <row r="229">
      <c r="A229" s="131">
        <f>IFERROR(__xludf.DUMMYFUNCTION("""COMPUTED_VALUE"""),228.0)</f>
        <v>228</v>
      </c>
      <c r="B229" s="131"/>
      <c r="C229" s="131">
        <f>IFERROR(__xludf.DUMMYFUNCTION("""COMPUTED_VALUE"""),23.0)</f>
        <v>23</v>
      </c>
      <c r="D229" s="131" t="b">
        <f>IFERROR(__xludf.DUMMYFUNCTION("""COMPUTED_VALUE"""),FALSE)</f>
        <v>0</v>
      </c>
      <c r="E229" s="107" t="str">
        <f>IFERROR(__xludf.DUMMYFUNCTION("""COMPUTED_VALUE"""),"TOLEDO")</f>
        <v>TOLEDO</v>
      </c>
      <c r="F229" s="115" t="str">
        <f>IFERROR(__xludf.DUMMYFUNCTION("""COMPUTED_VALUE"""),"AKIZSAH")</f>
        <v>AKIZSAH</v>
      </c>
      <c r="G229" s="90" t="s">
        <v>4</v>
      </c>
      <c r="I229" s="90" t="s">
        <v>4</v>
      </c>
      <c r="L229" s="90" t="b">
        <v>1</v>
      </c>
      <c r="N229" s="90" t="b">
        <v>1</v>
      </c>
    </row>
    <row r="230">
      <c r="A230" s="131">
        <f>IFERROR(__xludf.DUMMYFUNCTION("""COMPUTED_VALUE"""),229.0)</f>
        <v>229</v>
      </c>
      <c r="B230" s="131"/>
      <c r="C230" s="131">
        <f>IFERROR(__xludf.DUMMYFUNCTION("""COMPUTED_VALUE"""),23.0)</f>
        <v>23</v>
      </c>
      <c r="D230" s="131" t="b">
        <f>IFERROR(__xludf.DUMMYFUNCTION("""COMPUTED_VALUE"""),FALSE)</f>
        <v>0</v>
      </c>
      <c r="E230" s="107" t="str">
        <f>IFERROR(__xludf.DUMMYFUNCTION("""COMPUTED_VALUE"""),"UDAUNDO")</f>
        <v>UDAUNDO</v>
      </c>
      <c r="F230" s="107" t="str">
        <f>IFERROR(__xludf.DUMMYFUNCTION("""COMPUTED_VALUE"""),"ELLA")</f>
        <v>ELLA</v>
      </c>
    </row>
    <row r="231">
      <c r="A231" s="131">
        <f>IFERROR(__xludf.DUMMYFUNCTION("""COMPUTED_VALUE"""),230.0)</f>
        <v>230</v>
      </c>
      <c r="B231" s="131"/>
      <c r="C231" s="131">
        <f>IFERROR(__xludf.DUMMYFUNCTION("""COMPUTED_VALUE"""),1.0)</f>
        <v>1</v>
      </c>
      <c r="D231" s="131" t="b">
        <f>IFERROR(__xludf.DUMMYFUNCTION("""COMPUTED_VALUE"""),FALSE)</f>
        <v>0</v>
      </c>
      <c r="E231" s="131" t="str">
        <f>IFERROR(__xludf.DUMMYFUNCTION("""COMPUTED_VALUE"""),"ROMUALDO")</f>
        <v>ROMUALDO</v>
      </c>
      <c r="F231" s="131" t="str">
        <f>IFERROR(__xludf.DUMMYFUNCTION("""COMPUTED_VALUE"""),"AC")</f>
        <v>AC</v>
      </c>
    </row>
    <row r="232">
      <c r="A232" s="131">
        <f>IFERROR(__xludf.DUMMYFUNCTION("""COMPUTED_VALUE"""),231.0)</f>
        <v>231</v>
      </c>
      <c r="B232" s="131"/>
      <c r="C232" s="131">
        <f>IFERROR(__xludf.DUMMYFUNCTION("""COMPUTED_VALUE"""),1.0)</f>
        <v>1</v>
      </c>
      <c r="D232" s="131" t="b">
        <f>IFERROR(__xludf.DUMMYFUNCTION("""COMPUTED_VALUE"""),FALSE)</f>
        <v>0</v>
      </c>
      <c r="E232" s="131" t="str">
        <f>IFERROR(__xludf.DUMMYFUNCTION("""COMPUTED_VALUE"""),"SEBASTIAN")</f>
        <v>SEBASTIAN</v>
      </c>
      <c r="F232" s="131" t="str">
        <f>IFERROR(__xludf.DUMMYFUNCTION("""COMPUTED_VALUE"""),"NEHEMIAH")</f>
        <v>NEHEMIAH</v>
      </c>
    </row>
    <row r="233">
      <c r="A233" s="131">
        <f>IFERROR(__xludf.DUMMYFUNCTION("""COMPUTED_VALUE"""),232.0)</f>
        <v>232</v>
      </c>
      <c r="B233" s="131"/>
      <c r="C233" s="131">
        <f>IFERROR(__xludf.DUMMYFUNCTION("""COMPUTED_VALUE"""),1.0)</f>
        <v>1</v>
      </c>
      <c r="D233" s="131" t="b">
        <f>IFERROR(__xludf.DUMMYFUNCTION("""COMPUTED_VALUE"""),FALSE)</f>
        <v>0</v>
      </c>
      <c r="E233" s="131" t="str">
        <f>IFERROR(__xludf.DUMMYFUNCTION("""COMPUTED_VALUE"""),"GINONGALA")</f>
        <v>GINONGALA</v>
      </c>
      <c r="F233" s="131" t="str">
        <f>IFERROR(__xludf.DUMMYFUNCTION("""COMPUTED_VALUE"""),"HANNAH MAE")</f>
        <v>HANNAH MAE</v>
      </c>
      <c r="G233" s="90" t="s">
        <v>4</v>
      </c>
      <c r="O233" s="90" t="b">
        <v>1</v>
      </c>
      <c r="U233" s="90" t="s">
        <v>557</v>
      </c>
    </row>
    <row r="234">
      <c r="A234" s="131">
        <f>IFERROR(__xludf.DUMMYFUNCTION("""COMPUTED_VALUE"""),233.0)</f>
        <v>233</v>
      </c>
      <c r="B234" s="131"/>
      <c r="C234" s="131">
        <f>IFERROR(__xludf.DUMMYFUNCTION("""COMPUTED_VALUE"""),76.0)</f>
        <v>76</v>
      </c>
      <c r="D234" s="131" t="b">
        <f>IFERROR(__xludf.DUMMYFUNCTION("""COMPUTED_VALUE"""),FALSE)</f>
        <v>0</v>
      </c>
      <c r="E234" s="131" t="str">
        <f>IFERROR(__xludf.DUMMYFUNCTION("""COMPUTED_VALUE"""),"NIONES")</f>
        <v>NIONES</v>
      </c>
      <c r="F234" s="131" t="str">
        <f>IFERROR(__xludf.DUMMYFUNCTION("""COMPUTED_VALUE"""),"LOUIS")</f>
        <v>LOUIS</v>
      </c>
    </row>
    <row r="235">
      <c r="A235" s="131">
        <f>IFERROR(__xludf.DUMMYFUNCTION("""COMPUTED_VALUE"""),234.0)</f>
        <v>234</v>
      </c>
      <c r="B235" s="131"/>
      <c r="C235" s="131">
        <f>IFERROR(__xludf.DUMMYFUNCTION("""COMPUTED_VALUE"""),76.0)</f>
        <v>76</v>
      </c>
      <c r="D235" s="131" t="b">
        <f>IFERROR(__xludf.DUMMYFUNCTION("""COMPUTED_VALUE"""),FALSE)</f>
        <v>0</v>
      </c>
      <c r="E235" s="131" t="str">
        <f>IFERROR(__xludf.DUMMYFUNCTION("""COMPUTED_VALUE"""),"ACA")</f>
        <v>ACA</v>
      </c>
      <c r="F235" s="131" t="str">
        <f>IFERROR(__xludf.DUMMYFUNCTION("""COMPUTED_VALUE"""),"ELIJAH")</f>
        <v>ELIJAH</v>
      </c>
    </row>
    <row r="236">
      <c r="A236" s="131">
        <f>IFERROR(__xludf.DUMMYFUNCTION("""COMPUTED_VALUE"""),235.0)</f>
        <v>235</v>
      </c>
      <c r="B236" s="131"/>
      <c r="C236" s="131">
        <f>IFERROR(__xludf.DUMMYFUNCTION("""COMPUTED_VALUE"""),120.0)</f>
        <v>120</v>
      </c>
      <c r="D236" s="131" t="b">
        <f>IFERROR(__xludf.DUMMYFUNCTION("""COMPUTED_VALUE"""),FALSE)</f>
        <v>0</v>
      </c>
      <c r="E236" s="131" t="str">
        <f>IFERROR(__xludf.DUMMYFUNCTION("""COMPUTED_VALUE"""),"CERBETO")</f>
        <v>CERBETO</v>
      </c>
      <c r="F236" s="131" t="str">
        <f>IFERROR(__xludf.DUMMYFUNCTION("""COMPUTED_VALUE"""),"AIVANNE")</f>
        <v>AIVANNE</v>
      </c>
    </row>
    <row r="237">
      <c r="A237" s="131">
        <f>IFERROR(__xludf.DUMMYFUNCTION("""COMPUTED_VALUE"""),236.0)</f>
        <v>236</v>
      </c>
      <c r="B237" s="131"/>
      <c r="C237" s="131">
        <f>IFERROR(__xludf.DUMMYFUNCTION("""COMPUTED_VALUE"""),120.0)</f>
        <v>120</v>
      </c>
      <c r="D237" s="131" t="b">
        <f>IFERROR(__xludf.DUMMYFUNCTION("""COMPUTED_VALUE"""),FALSE)</f>
        <v>0</v>
      </c>
      <c r="E237" s="131" t="str">
        <f>IFERROR(__xludf.DUMMYFUNCTION("""COMPUTED_VALUE"""),"PARAZO")</f>
        <v>PARAZO</v>
      </c>
      <c r="F237" s="131" t="str">
        <f>IFERROR(__xludf.DUMMYFUNCTION("""COMPUTED_VALUE"""),"CJ")</f>
        <v>CJ</v>
      </c>
    </row>
    <row r="238">
      <c r="A238" s="131">
        <f>IFERROR(__xludf.DUMMYFUNCTION("""COMPUTED_VALUE"""),237.0)</f>
        <v>237</v>
      </c>
      <c r="B238" s="131"/>
      <c r="C238" s="131">
        <f>IFERROR(__xludf.DUMMYFUNCTION("""COMPUTED_VALUE"""),120.0)</f>
        <v>120</v>
      </c>
      <c r="D238" s="131" t="b">
        <f>IFERROR(__xludf.DUMMYFUNCTION("""COMPUTED_VALUE"""),FALSE)</f>
        <v>0</v>
      </c>
      <c r="E238" s="131" t="str">
        <f>IFERROR(__xludf.DUMMYFUNCTION("""COMPUTED_VALUE"""),"AWA-AW")</f>
        <v>AWA-AW</v>
      </c>
      <c r="F238" s="131" t="str">
        <f>IFERROR(__xludf.DUMMYFUNCTION("""COMPUTED_VALUE"""),"CARL")</f>
        <v>CARL</v>
      </c>
    </row>
    <row r="239">
      <c r="A239" s="131">
        <f>IFERROR(__xludf.DUMMYFUNCTION("""COMPUTED_VALUE"""),238.0)</f>
        <v>238</v>
      </c>
      <c r="B239" s="131"/>
      <c r="C239" s="131">
        <f>IFERROR(__xludf.DUMMYFUNCTION("""COMPUTED_VALUE"""),23.0)</f>
        <v>23</v>
      </c>
      <c r="D239" s="131" t="b">
        <f>IFERROR(__xludf.DUMMYFUNCTION("""COMPUTED_VALUE"""),FALSE)</f>
        <v>0</v>
      </c>
      <c r="E239" s="131" t="str">
        <f>IFERROR(__xludf.DUMMYFUNCTION("""COMPUTED_VALUE"""),"ALAYON")</f>
        <v>ALAYON</v>
      </c>
      <c r="F239" s="131" t="str">
        <f>IFERROR(__xludf.DUMMYFUNCTION("""COMPUTED_VALUE"""),"PATRICIA")</f>
        <v>PATRICIA</v>
      </c>
      <c r="G239" s="90" t="s">
        <v>4</v>
      </c>
      <c r="I239" s="90" t="s">
        <v>4</v>
      </c>
      <c r="L239" s="90" t="b">
        <v>1</v>
      </c>
      <c r="N239" s="90" t="b">
        <v>1</v>
      </c>
    </row>
    <row r="240">
      <c r="A240" s="131">
        <f>IFERROR(__xludf.DUMMYFUNCTION("""COMPUTED_VALUE"""),239.0)</f>
        <v>239</v>
      </c>
      <c r="B240" s="131"/>
      <c r="C240" s="131">
        <f>IFERROR(__xludf.DUMMYFUNCTION("""COMPUTED_VALUE"""),23.0)</f>
        <v>23</v>
      </c>
      <c r="D240" s="131" t="b">
        <f>IFERROR(__xludf.DUMMYFUNCTION("""COMPUTED_VALUE"""),FALSE)</f>
        <v>0</v>
      </c>
      <c r="E240" s="131" t="str">
        <f>IFERROR(__xludf.DUMMYFUNCTION("""COMPUTED_VALUE"""),"UDAUNDO")</f>
        <v>UDAUNDO</v>
      </c>
      <c r="F240" s="131" t="str">
        <f>IFERROR(__xludf.DUMMYFUNCTION("""COMPUTED_VALUE"""),"MICA ELLA")</f>
        <v>MICA ELLA</v>
      </c>
      <c r="G240" s="90" t="s">
        <v>4</v>
      </c>
      <c r="I240" s="90" t="s">
        <v>4</v>
      </c>
      <c r="L240" s="90" t="b">
        <v>1</v>
      </c>
      <c r="N240" s="90" t="b">
        <v>1</v>
      </c>
    </row>
    <row r="241">
      <c r="A241" s="131">
        <f>IFERROR(__xludf.DUMMYFUNCTION("""COMPUTED_VALUE"""),240.0)</f>
        <v>240</v>
      </c>
      <c r="B241" s="131"/>
      <c r="C241" s="131">
        <f>IFERROR(__xludf.DUMMYFUNCTION("""COMPUTED_VALUE"""),23.0)</f>
        <v>23</v>
      </c>
      <c r="D241" s="131" t="b">
        <f>IFERROR(__xludf.DUMMYFUNCTION("""COMPUTED_VALUE"""),FALSE)</f>
        <v>0</v>
      </c>
      <c r="E241" s="131" t="str">
        <f>IFERROR(__xludf.DUMMYFUNCTION("""COMPUTED_VALUE"""),"CALUBIRAN")</f>
        <v>CALUBIRAN</v>
      </c>
      <c r="F241" s="131" t="str">
        <f>IFERROR(__xludf.DUMMYFUNCTION("""COMPUTED_VALUE"""),"JACKIELYN")</f>
        <v>JACKIELYN</v>
      </c>
    </row>
    <row r="242">
      <c r="A242" s="131">
        <f>IFERROR(__xludf.DUMMYFUNCTION("""COMPUTED_VALUE"""),241.0)</f>
        <v>241</v>
      </c>
      <c r="B242" s="131"/>
      <c r="C242" s="131">
        <f>IFERROR(__xludf.DUMMYFUNCTION("""COMPUTED_VALUE"""),23.0)</f>
        <v>23</v>
      </c>
      <c r="D242" s="131" t="b">
        <f>IFERROR(__xludf.DUMMYFUNCTION("""COMPUTED_VALUE"""),FALSE)</f>
        <v>0</v>
      </c>
      <c r="E242" s="131" t="str">
        <f>IFERROR(__xludf.DUMMYFUNCTION("""COMPUTED_VALUE"""),"MATAMIS")</f>
        <v>MATAMIS</v>
      </c>
      <c r="F242" s="131" t="str">
        <f>IFERROR(__xludf.DUMMYFUNCTION("""COMPUTED_VALUE"""),"JEAH G.")</f>
        <v>JEAH G.</v>
      </c>
    </row>
    <row r="243">
      <c r="A243" s="131">
        <f>IFERROR(__xludf.DUMMYFUNCTION("""COMPUTED_VALUE"""),242.0)</f>
        <v>242</v>
      </c>
      <c r="B243" s="131"/>
      <c r="C243" s="131">
        <f>IFERROR(__xludf.DUMMYFUNCTION("""COMPUTED_VALUE"""),23.0)</f>
        <v>23</v>
      </c>
      <c r="D243" s="131" t="b">
        <f>IFERROR(__xludf.DUMMYFUNCTION("""COMPUTED_VALUE"""),FALSE)</f>
        <v>0</v>
      </c>
      <c r="E243" s="131" t="str">
        <f>IFERROR(__xludf.DUMMYFUNCTION("""COMPUTED_VALUE"""),"MATAMIS")</f>
        <v>MATAMIS</v>
      </c>
      <c r="F243" s="131" t="str">
        <f>IFERROR(__xludf.DUMMYFUNCTION("""COMPUTED_VALUE"""),"JANELA")</f>
        <v>JANELA</v>
      </c>
    </row>
    <row r="244">
      <c r="A244" s="131">
        <f>IFERROR(__xludf.DUMMYFUNCTION("""COMPUTED_VALUE"""),243.0)</f>
        <v>243</v>
      </c>
      <c r="B244" s="131"/>
      <c r="C244" s="131">
        <f>IFERROR(__xludf.DUMMYFUNCTION("""COMPUTED_VALUE"""),23.0)</f>
        <v>23</v>
      </c>
      <c r="D244" s="131" t="b">
        <f>IFERROR(__xludf.DUMMYFUNCTION("""COMPUTED_VALUE"""),FALSE)</f>
        <v>0</v>
      </c>
      <c r="E244" s="131" t="str">
        <f>IFERROR(__xludf.DUMMYFUNCTION("""COMPUTED_VALUE"""),"GALANG")</f>
        <v>GALANG</v>
      </c>
      <c r="F244" s="131" t="str">
        <f>IFERROR(__xludf.DUMMYFUNCTION("""COMPUTED_VALUE"""),"MAGGA")</f>
        <v>MAGGA</v>
      </c>
    </row>
    <row r="245">
      <c r="A245" s="131">
        <f>IFERROR(__xludf.DUMMYFUNCTION("""COMPUTED_VALUE"""),244.0)</f>
        <v>244</v>
      </c>
      <c r="B245" s="131"/>
      <c r="C245" s="131">
        <f>IFERROR(__xludf.DUMMYFUNCTION("""COMPUTED_VALUE"""),244.0)</f>
        <v>244</v>
      </c>
      <c r="D245" s="131" t="b">
        <f>IFERROR(__xludf.DUMMYFUNCTION("""COMPUTED_VALUE"""),TRUE)</f>
        <v>1</v>
      </c>
      <c r="E245" s="131" t="str">
        <f>IFERROR(__xludf.DUMMYFUNCTION("""COMPUTED_VALUE"""),"ORQUIA")</f>
        <v>ORQUIA</v>
      </c>
      <c r="F245" s="131" t="str">
        <f>IFERROR(__xludf.DUMMYFUNCTION("""COMPUTED_VALUE"""),"HANNA ")</f>
        <v>HANNA </v>
      </c>
      <c r="H245" s="90"/>
      <c r="I245" s="90" t="s">
        <v>4</v>
      </c>
      <c r="N245" s="90" t="b">
        <v>1</v>
      </c>
    </row>
    <row r="246">
      <c r="A246" s="131">
        <f>IFERROR(__xludf.DUMMYFUNCTION("""COMPUTED_VALUE"""),245.0)</f>
        <v>245</v>
      </c>
      <c r="B246" s="131"/>
      <c r="C246" s="131">
        <f>IFERROR(__xludf.DUMMYFUNCTION("""COMPUTED_VALUE"""),244.0)</f>
        <v>244</v>
      </c>
      <c r="D246" s="131" t="b">
        <f>IFERROR(__xludf.DUMMYFUNCTION("""COMPUTED_VALUE"""),FALSE)</f>
        <v>0</v>
      </c>
      <c r="E246" s="131" t="str">
        <f>IFERROR(__xludf.DUMMYFUNCTION("""COMPUTED_VALUE"""),"DEL ROSARIO")</f>
        <v>DEL ROSARIO</v>
      </c>
      <c r="F246" s="131" t="str">
        <f>IFERROR(__xludf.DUMMYFUNCTION("""COMPUTED_VALUE"""),"GRACE")</f>
        <v>GRACE</v>
      </c>
      <c r="I246" s="90" t="s">
        <v>4</v>
      </c>
      <c r="N246" s="90" t="b">
        <v>1</v>
      </c>
    </row>
    <row r="247">
      <c r="A247" s="131">
        <f>IFERROR(__xludf.DUMMYFUNCTION("""COMPUTED_VALUE"""),246.0)</f>
        <v>246</v>
      </c>
      <c r="B247" s="131"/>
      <c r="C247" s="131">
        <f>IFERROR(__xludf.DUMMYFUNCTION("""COMPUTED_VALUE"""),244.0)</f>
        <v>244</v>
      </c>
      <c r="D247" s="131" t="b">
        <f>IFERROR(__xludf.DUMMYFUNCTION("""COMPUTED_VALUE"""),FALSE)</f>
        <v>0</v>
      </c>
      <c r="E247" s="131" t="str">
        <f>IFERROR(__xludf.DUMMYFUNCTION("""COMPUTED_VALUE"""),"CODILLA")</f>
        <v>CODILLA</v>
      </c>
      <c r="F247" s="131" t="str">
        <f>IFERROR(__xludf.DUMMYFUNCTION("""COMPUTED_VALUE"""),"JANNA")</f>
        <v>JANNA</v>
      </c>
      <c r="I247" s="90" t="s">
        <v>4</v>
      </c>
      <c r="N247" s="90" t="b">
        <v>1</v>
      </c>
    </row>
    <row r="248">
      <c r="A248" s="131">
        <f>IFERROR(__xludf.DUMMYFUNCTION("""COMPUTED_VALUE"""),247.0)</f>
        <v>247</v>
      </c>
      <c r="B248" s="131"/>
      <c r="C248" s="131">
        <f>IFERROR(__xludf.DUMMYFUNCTION("""COMPUTED_VALUE"""),244.0)</f>
        <v>244</v>
      </c>
      <c r="D248" s="131" t="b">
        <f>IFERROR(__xludf.DUMMYFUNCTION("""COMPUTED_VALUE"""),FALSE)</f>
        <v>0</v>
      </c>
      <c r="E248" s="131" t="str">
        <f>IFERROR(__xludf.DUMMYFUNCTION("""COMPUTED_VALUE"""),"WALATH")</f>
        <v>WALATH</v>
      </c>
      <c r="F248" s="131" t="str">
        <f>IFERROR(__xludf.DUMMYFUNCTION("""COMPUTED_VALUE"""),"AILEEN")</f>
        <v>AILEEN</v>
      </c>
      <c r="I248" s="90" t="s">
        <v>4</v>
      </c>
      <c r="N248" s="90" t="b">
        <v>1</v>
      </c>
    </row>
    <row r="249">
      <c r="A249" s="131">
        <f>IFERROR(__xludf.DUMMYFUNCTION("""COMPUTED_VALUE"""),248.0)</f>
        <v>248</v>
      </c>
      <c r="B249" s="131"/>
      <c r="C249" s="131">
        <f>IFERROR(__xludf.DUMMYFUNCTION("""COMPUTED_VALUE"""),244.0)</f>
        <v>244</v>
      </c>
      <c r="D249" s="131" t="b">
        <f>IFERROR(__xludf.DUMMYFUNCTION("""COMPUTED_VALUE"""),FALSE)</f>
        <v>0</v>
      </c>
      <c r="E249" s="131" t="str">
        <f>IFERROR(__xludf.DUMMYFUNCTION("""COMPUTED_VALUE"""),"FULLON")</f>
        <v>FULLON</v>
      </c>
      <c r="F249" s="131" t="str">
        <f>IFERROR(__xludf.DUMMYFUNCTION("""COMPUTED_VALUE"""),"SARAH")</f>
        <v>SARAH</v>
      </c>
      <c r="I249" s="90" t="s">
        <v>4</v>
      </c>
      <c r="N249" s="90" t="b">
        <v>1</v>
      </c>
    </row>
    <row r="250">
      <c r="A250" s="131">
        <f>IFERROR(__xludf.DUMMYFUNCTION("""COMPUTED_VALUE"""),249.0)</f>
        <v>249</v>
      </c>
      <c r="B250" s="131"/>
      <c r="C250" s="131">
        <f>IFERROR(__xludf.DUMMYFUNCTION("""COMPUTED_VALUE"""),244.0)</f>
        <v>244</v>
      </c>
      <c r="D250" s="131" t="b">
        <f>IFERROR(__xludf.DUMMYFUNCTION("""COMPUTED_VALUE"""),FALSE)</f>
        <v>0</v>
      </c>
      <c r="E250" s="131" t="str">
        <f>IFERROR(__xludf.DUMMYFUNCTION("""COMPUTED_VALUE"""),"MONTERDE")</f>
        <v>MONTERDE</v>
      </c>
      <c r="F250" s="131" t="str">
        <f>IFERROR(__xludf.DUMMYFUNCTION("""COMPUTED_VALUE"""),"BELLE")</f>
        <v>BELLE</v>
      </c>
    </row>
    <row r="251">
      <c r="A251" s="86">
        <f>IFERROR(__xludf.DUMMYFUNCTION("""COMPUTED_VALUE"""),250.0)</f>
        <v>250</v>
      </c>
      <c r="B251" s="87"/>
      <c r="C251" s="131">
        <f>IFERROR(__xludf.DUMMYFUNCTION("""COMPUTED_VALUE"""),167.0)</f>
        <v>167</v>
      </c>
      <c r="D251" s="131"/>
      <c r="E251" s="131" t="str">
        <f>IFERROR(__xludf.DUMMYFUNCTION("""COMPUTED_VALUE"""),"RAUSO")</f>
        <v>RAUSO</v>
      </c>
      <c r="F251" s="131" t="str">
        <f>IFERROR(__xludf.DUMMYFUNCTION("""COMPUTED_VALUE"""),"STEVE")</f>
        <v>STEVE</v>
      </c>
      <c r="G251" s="133" t="s">
        <v>4</v>
      </c>
      <c r="H251" s="133"/>
      <c r="I251" s="133"/>
      <c r="J251" s="133"/>
      <c r="K251" s="133"/>
      <c r="L251" s="133" t="b">
        <v>1</v>
      </c>
      <c r="M251" s="133"/>
      <c r="N251" s="133"/>
      <c r="O251" s="133"/>
      <c r="P251" s="133"/>
      <c r="Q251" s="89"/>
      <c r="R251" s="89"/>
      <c r="S251" s="89"/>
      <c r="T251" s="89"/>
      <c r="U251" s="89"/>
      <c r="V251" s="89"/>
      <c r="W251" s="89"/>
    </row>
    <row r="252">
      <c r="A252" s="131">
        <f>IFERROR(__xludf.DUMMYFUNCTION("""COMPUTED_VALUE"""),251.0)</f>
        <v>251</v>
      </c>
      <c r="B252" s="131"/>
      <c r="C252" s="131">
        <f>IFERROR(__xludf.DUMMYFUNCTION("""COMPUTED_VALUE"""),167.0)</f>
        <v>167</v>
      </c>
      <c r="D252" s="131" t="b">
        <f>IFERROR(__xludf.DUMMYFUNCTION("""COMPUTED_VALUE"""),FALSE)</f>
        <v>0</v>
      </c>
      <c r="E252" s="131" t="str">
        <f>IFERROR(__xludf.DUMMYFUNCTION("""COMPUTED_VALUE"""),"LIBRES")</f>
        <v>LIBRES</v>
      </c>
      <c r="F252" s="131" t="str">
        <f>IFERROR(__xludf.DUMMYFUNCTION("""COMPUTED_VALUE"""),"GABRIEL")</f>
        <v>GABRIEL</v>
      </c>
      <c r="G252" s="93" t="s">
        <v>4</v>
      </c>
      <c r="H252" s="93" t="b">
        <v>0</v>
      </c>
      <c r="I252" s="93" t="b">
        <v>0</v>
      </c>
      <c r="J252" s="93" t="b">
        <v>0</v>
      </c>
      <c r="K252" s="93" t="b">
        <v>0</v>
      </c>
      <c r="L252" s="93" t="b">
        <v>1</v>
      </c>
      <c r="M252" s="93" t="b">
        <v>0</v>
      </c>
      <c r="N252" s="93" t="b">
        <v>0</v>
      </c>
      <c r="O252" s="93" t="b">
        <v>0</v>
      </c>
      <c r="P252" s="93" t="b">
        <v>0</v>
      </c>
      <c r="Q252" s="90"/>
      <c r="R252" s="90"/>
      <c r="S252" s="90"/>
      <c r="T252" s="90"/>
      <c r="U252" s="90"/>
      <c r="V252" s="90"/>
      <c r="W252" s="90"/>
    </row>
    <row r="253">
      <c r="A253" s="131">
        <f>IFERROR(__xludf.DUMMYFUNCTION("""COMPUTED_VALUE"""),252.0)</f>
        <v>252</v>
      </c>
      <c r="B253" s="131"/>
      <c r="C253" s="131">
        <f>IFERROR(__xludf.DUMMYFUNCTION("""COMPUTED_VALUE"""),167.0)</f>
        <v>167</v>
      </c>
      <c r="D253" s="131" t="b">
        <f>IFERROR(__xludf.DUMMYFUNCTION("""COMPUTED_VALUE"""),FALSE)</f>
        <v>0</v>
      </c>
      <c r="E253" s="94" t="str">
        <f>IFERROR(__xludf.DUMMYFUNCTION("""COMPUTED_VALUE"""),"PARONGAN")</f>
        <v>PARONGAN</v>
      </c>
      <c r="F253" s="94" t="str">
        <f>IFERROR(__xludf.DUMMYFUNCTION("""COMPUTED_VALUE"""),"KIAN")</f>
        <v>KIAN</v>
      </c>
      <c r="G253" s="90" t="s">
        <v>4</v>
      </c>
      <c r="H253" s="90" t="b">
        <v>0</v>
      </c>
      <c r="I253" s="90" t="b">
        <v>0</v>
      </c>
      <c r="J253" s="90" t="b">
        <v>0</v>
      </c>
      <c r="K253" s="90" t="b">
        <v>0</v>
      </c>
      <c r="L253" s="90" t="b">
        <v>1</v>
      </c>
      <c r="M253" s="90" t="b">
        <v>0</v>
      </c>
      <c r="N253" s="90" t="b">
        <v>0</v>
      </c>
      <c r="O253" s="90" t="b">
        <v>0</v>
      </c>
      <c r="P253" s="90" t="b">
        <v>0</v>
      </c>
    </row>
    <row r="254">
      <c r="A254" s="131">
        <f>IFERROR(__xludf.DUMMYFUNCTION("""COMPUTED_VALUE"""),253.0)</f>
        <v>253</v>
      </c>
      <c r="B254" s="131"/>
      <c r="C254" s="131">
        <f>IFERROR(__xludf.DUMMYFUNCTION("""COMPUTED_VALUE"""),167.0)</f>
        <v>167</v>
      </c>
      <c r="D254" s="131" t="b">
        <f>IFERROR(__xludf.DUMMYFUNCTION("""COMPUTED_VALUE"""),FALSE)</f>
        <v>0</v>
      </c>
      <c r="E254" s="95" t="str">
        <f>IFERROR(__xludf.DUMMYFUNCTION("""COMPUTED_VALUE"""),"RACCA")</f>
        <v>RACCA</v>
      </c>
      <c r="F254" s="95" t="str">
        <f>IFERROR(__xludf.DUMMYFUNCTION("""COMPUTED_VALUE"""),"GRANT EL")</f>
        <v>GRANT EL</v>
      </c>
      <c r="G254" s="90" t="s">
        <v>4</v>
      </c>
      <c r="H254" s="90" t="b">
        <v>0</v>
      </c>
      <c r="I254" s="90" t="b">
        <v>0</v>
      </c>
      <c r="J254" s="90" t="s">
        <v>4</v>
      </c>
      <c r="K254" s="90" t="b">
        <v>0</v>
      </c>
      <c r="L254" s="90" t="b">
        <v>1</v>
      </c>
      <c r="M254" s="90" t="b">
        <v>0</v>
      </c>
      <c r="N254" s="90" t="b">
        <v>0</v>
      </c>
      <c r="O254" s="90" t="b">
        <v>0</v>
      </c>
      <c r="P254" s="90" t="b">
        <v>0</v>
      </c>
    </row>
    <row r="255">
      <c r="A255" s="131">
        <f>IFERROR(__xludf.DUMMYFUNCTION("""COMPUTED_VALUE"""),254.0)</f>
        <v>254</v>
      </c>
      <c r="B255" s="131"/>
      <c r="C255" s="131">
        <f>IFERROR(__xludf.DUMMYFUNCTION("""COMPUTED_VALUE"""),23.0)</f>
        <v>23</v>
      </c>
      <c r="D255" s="131" t="b">
        <f>IFERROR(__xludf.DUMMYFUNCTION("""COMPUTED_VALUE"""),FALSE)</f>
        <v>0</v>
      </c>
      <c r="E255" s="95" t="str">
        <f>IFERROR(__xludf.DUMMYFUNCTION("""COMPUTED_VALUE"""),"MATAMIS")</f>
        <v>MATAMIS</v>
      </c>
      <c r="F255" s="95" t="str">
        <f>IFERROR(__xludf.DUMMYFUNCTION("""COMPUTED_VALUE"""),"SEYVEL")</f>
        <v>SEYVEL</v>
      </c>
      <c r="G255" s="90" t="s">
        <v>4</v>
      </c>
      <c r="H255" s="90" t="b">
        <v>0</v>
      </c>
      <c r="I255" s="90" t="s">
        <v>4</v>
      </c>
      <c r="J255" s="90" t="b">
        <v>0</v>
      </c>
      <c r="K255" s="90" t="b">
        <v>0</v>
      </c>
      <c r="L255" s="90" t="b">
        <v>1</v>
      </c>
      <c r="M255" s="90" t="b">
        <v>0</v>
      </c>
      <c r="N255" s="90" t="b">
        <v>1</v>
      </c>
      <c r="O255" s="90" t="b">
        <v>0</v>
      </c>
      <c r="P255" s="90" t="b">
        <v>0</v>
      </c>
    </row>
    <row r="256">
      <c r="A256" s="131">
        <f>IFERROR(__xludf.DUMMYFUNCTION("""COMPUTED_VALUE"""),257.0)</f>
        <v>257</v>
      </c>
      <c r="B256" s="131"/>
      <c r="C256" s="131">
        <f>IFERROR(__xludf.DUMMYFUNCTION("""COMPUTED_VALUE"""),23.0)</f>
        <v>23</v>
      </c>
      <c r="D256" s="131" t="b">
        <f>IFERROR(__xludf.DUMMYFUNCTION("""COMPUTED_VALUE"""),FALSE)</f>
        <v>0</v>
      </c>
      <c r="E256" s="95" t="str">
        <f>IFERROR(__xludf.DUMMYFUNCTION("""COMPUTED_VALUE"""),"PARCAREY")</f>
        <v>PARCAREY</v>
      </c>
      <c r="F256" s="95" t="str">
        <f>IFERROR(__xludf.DUMMYFUNCTION("""COMPUTED_VALUE"""),"MARZETTI")</f>
        <v>MARZETTI</v>
      </c>
      <c r="G256" s="90" t="s">
        <v>4</v>
      </c>
      <c r="H256" s="90" t="b">
        <v>0</v>
      </c>
      <c r="I256" s="90" t="b">
        <v>0</v>
      </c>
      <c r="J256" s="90" t="b">
        <v>0</v>
      </c>
      <c r="K256" s="90" t="b">
        <v>0</v>
      </c>
      <c r="L256" s="90" t="b">
        <v>1</v>
      </c>
      <c r="M256" s="90" t="b">
        <v>0</v>
      </c>
      <c r="N256" s="90" t="b">
        <v>0</v>
      </c>
      <c r="O256" s="90" t="b">
        <v>0</v>
      </c>
      <c r="P256" s="90" t="b">
        <v>0</v>
      </c>
    </row>
    <row r="257">
      <c r="A257" s="131">
        <f>IFERROR(__xludf.DUMMYFUNCTION("""COMPUTED_VALUE"""),256.0)</f>
        <v>256</v>
      </c>
      <c r="B257" s="131"/>
      <c r="C257" s="131">
        <f>IFERROR(__xludf.DUMMYFUNCTION("""COMPUTED_VALUE"""),23.0)</f>
        <v>23</v>
      </c>
      <c r="D257" s="131" t="b">
        <f>IFERROR(__xludf.DUMMYFUNCTION("""COMPUTED_VALUE"""),FALSE)</f>
        <v>0</v>
      </c>
      <c r="E257" s="95" t="str">
        <f>IFERROR(__xludf.DUMMYFUNCTION("""COMPUTED_VALUE"""),"AGSALUD")</f>
        <v>AGSALUD</v>
      </c>
      <c r="F257" s="95" t="str">
        <f>IFERROR(__xludf.DUMMYFUNCTION("""COMPUTED_VALUE"""),"ROSE MARIE")</f>
        <v>ROSE MARIE</v>
      </c>
      <c r="G257" s="90" t="s">
        <v>4</v>
      </c>
      <c r="H257" s="90" t="b">
        <v>0</v>
      </c>
      <c r="I257" s="90" t="s">
        <v>4</v>
      </c>
      <c r="J257" s="90" t="b">
        <v>0</v>
      </c>
      <c r="K257" s="90" t="b">
        <v>0</v>
      </c>
      <c r="L257" s="90" t="b">
        <v>0</v>
      </c>
      <c r="M257" s="90" t="b">
        <v>0</v>
      </c>
      <c r="N257" s="90" t="b">
        <v>0</v>
      </c>
      <c r="O257" s="90" t="b">
        <v>0</v>
      </c>
      <c r="P257" s="90" t="b">
        <v>0</v>
      </c>
      <c r="Q257" s="90" t="s">
        <v>557</v>
      </c>
      <c r="S257" s="90" t="s">
        <v>559</v>
      </c>
    </row>
    <row r="258">
      <c r="A258" s="131">
        <f>IFERROR(__xludf.DUMMYFUNCTION("""COMPUTED_VALUE"""),259.0)</f>
        <v>259</v>
      </c>
      <c r="B258" s="131"/>
      <c r="C258" s="131">
        <f>IFERROR(__xludf.DUMMYFUNCTION("""COMPUTED_VALUE"""),167.0)</f>
        <v>167</v>
      </c>
      <c r="D258" s="131"/>
      <c r="E258" s="95" t="str">
        <f>IFERROR(__xludf.DUMMYFUNCTION("""COMPUTED_VALUE"""),"Gelicame")</f>
        <v>Gelicame</v>
      </c>
      <c r="F258" s="95" t="str">
        <f>IFERROR(__xludf.DUMMYFUNCTION("""COMPUTED_VALUE"""),"Aljun")</f>
        <v>Aljun</v>
      </c>
      <c r="G258" s="90" t="b">
        <v>0</v>
      </c>
      <c r="H258" s="90" t="b">
        <v>0</v>
      </c>
      <c r="I258" s="90" t="b">
        <v>0</v>
      </c>
      <c r="J258" s="90" t="s">
        <v>4</v>
      </c>
      <c r="K258" s="90" t="b">
        <v>0</v>
      </c>
      <c r="L258" s="90" t="b">
        <v>0</v>
      </c>
      <c r="M258" s="90" t="b">
        <v>0</v>
      </c>
      <c r="N258" s="90" t="b">
        <v>0</v>
      </c>
      <c r="O258" s="90" t="b">
        <v>0</v>
      </c>
      <c r="P258" s="90" t="b">
        <v>0</v>
      </c>
    </row>
    <row r="259">
      <c r="A259" s="131">
        <f>IFERROR(__xludf.DUMMYFUNCTION("""COMPUTED_VALUE"""),260.0)</f>
        <v>260</v>
      </c>
      <c r="B259" s="131"/>
      <c r="C259" s="131">
        <f>IFERROR(__xludf.DUMMYFUNCTION("""COMPUTED_VALUE"""),167.0)</f>
        <v>167</v>
      </c>
      <c r="D259" s="131"/>
      <c r="E259" s="95" t="str">
        <f>IFERROR(__xludf.DUMMYFUNCTION("""COMPUTED_VALUE"""),"Valera")</f>
        <v>Valera</v>
      </c>
      <c r="F259" s="95" t="str">
        <f>IFERROR(__xludf.DUMMYFUNCTION("""COMPUTED_VALUE"""),"Edward Luis")</f>
        <v>Edward Luis</v>
      </c>
      <c r="G259" s="90" t="b">
        <v>0</v>
      </c>
      <c r="H259" s="90" t="b">
        <v>0</v>
      </c>
      <c r="I259" s="90" t="b">
        <v>0</v>
      </c>
      <c r="J259" s="90" t="s">
        <v>4</v>
      </c>
      <c r="K259" s="90" t="b">
        <v>0</v>
      </c>
      <c r="L259" s="90" t="b">
        <v>0</v>
      </c>
      <c r="M259" s="90" t="b">
        <v>0</v>
      </c>
      <c r="N259" s="90" t="b">
        <v>0</v>
      </c>
      <c r="O259" s="90" t="b">
        <v>0</v>
      </c>
      <c r="P259" s="90" t="b">
        <v>0</v>
      </c>
      <c r="U259" s="90"/>
      <c r="V259" s="90"/>
      <c r="W259" s="90"/>
    </row>
    <row r="260">
      <c r="A260" s="131">
        <f>IFERROR(__xludf.DUMMYFUNCTION("""COMPUTED_VALUE"""),261.0)</f>
        <v>261</v>
      </c>
      <c r="B260" s="131"/>
      <c r="C260" s="131">
        <f>IFERROR(__xludf.DUMMYFUNCTION("""COMPUTED_VALUE"""),23.0)</f>
        <v>23</v>
      </c>
      <c r="D260" s="131"/>
      <c r="E260" s="131" t="str">
        <f>IFERROR(__xludf.DUMMYFUNCTION("""COMPUTED_VALUE"""),"CERBETO")</f>
        <v>CERBETO</v>
      </c>
      <c r="F260" s="131" t="str">
        <f>IFERROR(__xludf.DUMMYFUNCTION("""COMPUTED_VALUE"""),"AIFHA")</f>
        <v>AIFHA</v>
      </c>
    </row>
    <row r="261">
      <c r="A261" s="131">
        <f>IFERROR(__xludf.DUMMYFUNCTION("""COMPUTED_VALUE"""),262.0)</f>
        <v>262</v>
      </c>
      <c r="B261" s="131"/>
      <c r="C261" s="131">
        <f>IFERROR(__xludf.DUMMYFUNCTION("""COMPUTED_VALUE"""),23.0)</f>
        <v>23</v>
      </c>
      <c r="D261" s="131"/>
      <c r="E261" s="131" t="str">
        <f>IFERROR(__xludf.DUMMYFUNCTION("""COMPUTED_VALUE"""),"PARCAREY")</f>
        <v>PARCAREY</v>
      </c>
      <c r="F261" s="131" t="str">
        <f>IFERROR(__xludf.DUMMYFUNCTION("""COMPUTED_VALUE"""),"MARZETTI")</f>
        <v>MARZETTI</v>
      </c>
    </row>
    <row r="262">
      <c r="A262" s="131">
        <f>IFERROR(__xludf.DUMMYFUNCTION("""COMPUTED_VALUE"""),263.0)</f>
        <v>263</v>
      </c>
      <c r="B262" s="131"/>
      <c r="C262" s="131">
        <f>IFERROR(__xludf.DUMMYFUNCTION("""COMPUTED_VALUE"""),1.0)</f>
        <v>1</v>
      </c>
      <c r="D262" s="131"/>
      <c r="E262" s="96" t="str">
        <f>IFERROR(__xludf.DUMMYFUNCTION("""COMPUTED_VALUE"""),"MABAO")</f>
        <v>MABAO</v>
      </c>
      <c r="F262" s="96" t="str">
        <f>IFERROR(__xludf.DUMMYFUNCTION("""COMPUTED_VALUE"""),"ROSELYN")</f>
        <v>ROSELYN</v>
      </c>
    </row>
    <row r="263">
      <c r="A263" s="131">
        <f>IFERROR(__xludf.DUMMYFUNCTION("""COMPUTED_VALUE"""),264.0)</f>
        <v>264</v>
      </c>
      <c r="B263" s="131"/>
      <c r="C263" s="131">
        <f>IFERROR(__xludf.DUMMYFUNCTION("""COMPUTED_VALUE"""),167.0)</f>
        <v>167</v>
      </c>
      <c r="D263" s="131"/>
      <c r="E263" s="96" t="str">
        <f>IFERROR(__xludf.DUMMYFUNCTION("""COMPUTED_VALUE"""),"VALERA")</f>
        <v>VALERA</v>
      </c>
      <c r="F263" s="96" t="str">
        <f>IFERROR(__xludf.DUMMYFUNCTION("""COMPUTED_VALUE"""),"ELY")</f>
        <v>ELY</v>
      </c>
    </row>
    <row r="264">
      <c r="A264" s="131">
        <f>IFERROR(__xludf.DUMMYFUNCTION("""COMPUTED_VALUE"""),265.0)</f>
        <v>265</v>
      </c>
      <c r="B264" s="131"/>
      <c r="C264" s="131">
        <f>IFERROR(__xludf.DUMMYFUNCTION("""COMPUTED_VALUE"""),167.0)</f>
        <v>167</v>
      </c>
      <c r="D264" s="131"/>
      <c r="E264" s="96" t="str">
        <f>IFERROR(__xludf.DUMMYFUNCTION("""COMPUTED_VALUE"""),"RAUSO")</f>
        <v>RAUSO</v>
      </c>
      <c r="F264" s="96" t="str">
        <f>IFERROR(__xludf.DUMMYFUNCTION("""COMPUTED_VALUE"""),"GABRIEL")</f>
        <v>GABRIEL</v>
      </c>
    </row>
    <row r="265">
      <c r="A265" s="131"/>
      <c r="B265" s="131"/>
      <c r="C265" s="131"/>
      <c r="D265" s="131"/>
      <c r="E265" s="96"/>
      <c r="F265" s="96"/>
    </row>
    <row r="266">
      <c r="A266" s="131">
        <f>IFERROR(__xludf.DUMMYFUNCTION("""COMPUTED_VALUE"""),1230.0)</f>
        <v>1230</v>
      </c>
      <c r="B266" s="131"/>
      <c r="C266" s="131">
        <f>IFERROR(__xludf.DUMMYFUNCTION("""COMPUTED_VALUE"""),1230.0)</f>
        <v>1230</v>
      </c>
      <c r="D266" s="131" t="b">
        <f>IFERROR(__xludf.DUMMYFUNCTION("""COMPUTED_VALUE"""),TRUE)</f>
        <v>1</v>
      </c>
      <c r="E266" s="96" t="str">
        <f>IFERROR(__xludf.DUMMYFUNCTION("""COMPUTED_VALUE"""),"CALUALHATIAN")</f>
        <v>CALUALHATIAN</v>
      </c>
      <c r="F266" s="96" t="str">
        <f>IFERROR(__xludf.DUMMYFUNCTION("""COMPUTED_VALUE"""),"DANTE")</f>
        <v>DANTE</v>
      </c>
    </row>
    <row r="267">
      <c r="A267" s="131">
        <f>IFERROR(__xludf.DUMMYFUNCTION("""COMPUTED_VALUE"""),1231.0)</f>
        <v>1231</v>
      </c>
      <c r="B267" s="131"/>
      <c r="C267" s="131">
        <f>IFERROR(__xludf.DUMMYFUNCTION("""COMPUTED_VALUE"""),1230.0)</f>
        <v>1230</v>
      </c>
      <c r="D267" s="131"/>
      <c r="E267" s="97" t="str">
        <f>IFERROR(__xludf.DUMMYFUNCTION("""COMPUTED_VALUE"""),"A.")</f>
        <v>A.</v>
      </c>
      <c r="F267" s="97" t="str">
        <f>IFERROR(__xludf.DUMMYFUNCTION("""COMPUTED_VALUE"""),"BONG")</f>
        <v>BONG</v>
      </c>
    </row>
    <row r="268">
      <c r="A268" s="131">
        <f>IFERROR(__xludf.DUMMYFUNCTION("""COMPUTED_VALUE"""),1232.0)</f>
        <v>1232</v>
      </c>
      <c r="B268" s="131"/>
      <c r="C268" s="131">
        <f>IFERROR(__xludf.DUMMYFUNCTION("""COMPUTED_VALUE"""),1230.0)</f>
        <v>1230</v>
      </c>
      <c r="D268" s="131"/>
      <c r="E268" s="96" t="str">
        <f>IFERROR(__xludf.DUMMYFUNCTION("""COMPUTED_VALUE"""),"SALAC")</f>
        <v>SALAC</v>
      </c>
      <c r="F268" s="96" t="str">
        <f>IFERROR(__xludf.DUMMYFUNCTION("""COMPUTED_VALUE"""),"ROMEO")</f>
        <v>ROMEO</v>
      </c>
    </row>
    <row r="269">
      <c r="A269" s="131">
        <f>IFERROR(__xludf.DUMMYFUNCTION("""COMPUTED_VALUE"""),1233.0)</f>
        <v>1233</v>
      </c>
      <c r="B269" s="131"/>
      <c r="C269" s="131">
        <f>IFERROR(__xludf.DUMMYFUNCTION("""COMPUTED_VALUE"""),1230.0)</f>
        <v>1230</v>
      </c>
      <c r="D269" s="131"/>
      <c r="E269" s="96" t="str">
        <f>IFERROR(__xludf.DUMMYFUNCTION("""COMPUTED_VALUE"""),"GREGORIO")</f>
        <v>GREGORIO</v>
      </c>
      <c r="F269" s="96" t="str">
        <f>IFERROR(__xludf.DUMMYFUNCTION("""COMPUTED_VALUE"""),"MARLOU")</f>
        <v>MARLOU</v>
      </c>
    </row>
    <row r="270">
      <c r="A270" s="131">
        <f>IFERROR(__xludf.DUMMYFUNCTION("""COMPUTED_VALUE"""),1234.0)</f>
        <v>1234</v>
      </c>
      <c r="B270" s="131"/>
      <c r="C270" s="131">
        <f>IFERROR(__xludf.DUMMYFUNCTION("""COMPUTED_VALUE"""),1230.0)</f>
        <v>1230</v>
      </c>
      <c r="D270" s="131"/>
      <c r="E270" s="96" t="str">
        <f>IFERROR(__xludf.DUMMYFUNCTION("""COMPUTED_VALUE"""),"SOMERA")</f>
        <v>SOMERA</v>
      </c>
      <c r="F270" s="96" t="str">
        <f>IFERROR(__xludf.DUMMYFUNCTION("""COMPUTED_VALUE"""),"JAY")</f>
        <v>JAY</v>
      </c>
    </row>
    <row r="271">
      <c r="A271" s="131">
        <f>IFERROR(__xludf.DUMMYFUNCTION("""COMPUTED_VALUE"""),1235.0)</f>
        <v>1235</v>
      </c>
      <c r="B271" s="131"/>
      <c r="C271" s="131">
        <f>IFERROR(__xludf.DUMMYFUNCTION("""COMPUTED_VALUE"""),1230.0)</f>
        <v>1230</v>
      </c>
      <c r="D271" s="131"/>
      <c r="E271" s="96" t="str">
        <f>IFERROR(__xludf.DUMMYFUNCTION("""COMPUTED_VALUE"""),"MALIWAT")</f>
        <v>MALIWAT</v>
      </c>
      <c r="F271" s="96" t="str">
        <f>IFERROR(__xludf.DUMMYFUNCTION("""COMPUTED_VALUE"""),"LEO")</f>
        <v>LEO</v>
      </c>
    </row>
    <row r="272">
      <c r="A272" s="131"/>
      <c r="B272" s="131"/>
      <c r="C272" s="131"/>
      <c r="D272" s="131"/>
      <c r="E272" s="96"/>
      <c r="F272" s="96"/>
    </row>
    <row r="273">
      <c r="A273" s="131">
        <f>IFERROR(__xludf.DUMMYFUNCTION("""COMPUTED_VALUE"""),1236.0)</f>
        <v>1236</v>
      </c>
      <c r="B273" s="131"/>
      <c r="C273" s="131">
        <f>IFERROR(__xludf.DUMMYFUNCTION("""COMPUTED_VALUE"""),1236.0)</f>
        <v>1236</v>
      </c>
      <c r="D273" s="131" t="b">
        <f>IFERROR(__xludf.DUMMYFUNCTION("""COMPUTED_VALUE"""),TRUE)</f>
        <v>1</v>
      </c>
      <c r="E273" s="96" t="str">
        <f>IFERROR(__xludf.DUMMYFUNCTION("""COMPUTED_VALUE"""),"RETAMAR")</f>
        <v>RETAMAR</v>
      </c>
      <c r="F273" s="96" t="str">
        <f>IFERROR(__xludf.DUMMYFUNCTION("""COMPUTED_VALUE"""),"ELENA")</f>
        <v>ELENA</v>
      </c>
    </row>
    <row r="274">
      <c r="A274" s="131">
        <f>IFERROR(__xludf.DUMMYFUNCTION("""COMPUTED_VALUE"""),1237.0)</f>
        <v>1237</v>
      </c>
      <c r="B274" s="131"/>
      <c r="C274" s="131">
        <f>IFERROR(__xludf.DUMMYFUNCTION("""COMPUTED_VALUE"""),1236.0)</f>
        <v>1236</v>
      </c>
      <c r="D274" s="131"/>
      <c r="E274" s="98" t="str">
        <f>IFERROR(__xludf.DUMMYFUNCTION("""COMPUTED_VALUE"""),"VILLA")</f>
        <v>VILLA</v>
      </c>
      <c r="F274" s="96" t="str">
        <f>IFERROR(__xludf.DUMMYFUNCTION("""COMPUTED_VALUE"""),"WENG NIONES")</f>
        <v>WENG NIONES</v>
      </c>
    </row>
    <row r="275">
      <c r="A275" s="131">
        <f>IFERROR(__xludf.DUMMYFUNCTION("""COMPUTED_VALUE"""),1238.0)</f>
        <v>1238</v>
      </c>
      <c r="B275" s="131"/>
      <c r="C275" s="131">
        <f>IFERROR(__xludf.DUMMYFUNCTION("""COMPUTED_VALUE"""),1236.0)</f>
        <v>1236</v>
      </c>
      <c r="D275" s="131"/>
      <c r="E275" s="99" t="str">
        <f>IFERROR(__xludf.DUMMYFUNCTION("""COMPUTED_VALUE"""),"V")</f>
        <v>V</v>
      </c>
      <c r="F275" s="99" t="str">
        <f>IFERROR(__xludf.DUMMYFUNCTION("""COMPUTED_VALUE"""),"ROSE")</f>
        <v>ROSE</v>
      </c>
    </row>
    <row r="276">
      <c r="A276" s="131">
        <f>IFERROR(__xludf.DUMMYFUNCTION("""COMPUTED_VALUE"""),1239.0)</f>
        <v>1239</v>
      </c>
      <c r="B276" s="131"/>
      <c r="C276" s="131">
        <f>IFERROR(__xludf.DUMMYFUNCTION("""COMPUTED_VALUE"""),1236.0)</f>
        <v>1236</v>
      </c>
      <c r="D276" s="131"/>
      <c r="E276" s="100" t="str">
        <f>IFERROR(__xludf.DUMMYFUNCTION("""COMPUTED_VALUE"""),"DATO")</f>
        <v>DATO</v>
      </c>
      <c r="F276" s="100" t="str">
        <f>IFERROR(__xludf.DUMMYFUNCTION("""COMPUTED_VALUE"""),"EVELYN")</f>
        <v>EVELYN</v>
      </c>
    </row>
    <row r="277">
      <c r="A277" s="131">
        <f>IFERROR(__xludf.DUMMYFUNCTION("""COMPUTED_VALUE"""),1240.0)</f>
        <v>1240</v>
      </c>
      <c r="B277" s="131"/>
      <c r="C277" s="131">
        <f>IFERROR(__xludf.DUMMYFUNCTION("""COMPUTED_VALUE"""),1236.0)</f>
        <v>1236</v>
      </c>
      <c r="D277" s="131"/>
      <c r="E277" s="100"/>
      <c r="F277" s="100" t="str">
        <f>IFERROR(__xludf.DUMMYFUNCTION("""COMPUTED_VALUE"""),"ELIZABETH")</f>
        <v>ELIZABETH</v>
      </c>
    </row>
    <row r="278">
      <c r="A278" s="131">
        <f>IFERROR(__xludf.DUMMYFUNCTION("""COMPUTED_VALUE"""),1241.0)</f>
        <v>1241</v>
      </c>
      <c r="B278" s="131"/>
      <c r="C278" s="131">
        <f>IFERROR(__xludf.DUMMYFUNCTION("""COMPUTED_VALUE"""),1236.0)</f>
        <v>1236</v>
      </c>
      <c r="D278" s="131"/>
      <c r="E278" s="100"/>
      <c r="F278" s="100" t="str">
        <f>IFERROR(__xludf.DUMMYFUNCTION("""COMPUTED_VALUE"""),"WINNIE")</f>
        <v>WINNIE</v>
      </c>
    </row>
    <row r="279">
      <c r="A279" s="131">
        <f>IFERROR(__xludf.DUMMYFUNCTION("""COMPUTED_VALUE"""),1242.0)</f>
        <v>1242</v>
      </c>
      <c r="B279" s="131"/>
      <c r="C279" s="131">
        <f>IFERROR(__xludf.DUMMYFUNCTION("""COMPUTED_VALUE"""),1236.0)</f>
        <v>1236</v>
      </c>
      <c r="D279" s="131"/>
      <c r="E279" s="100"/>
      <c r="F279" s="100" t="str">
        <f>IFERROR(__xludf.DUMMYFUNCTION("""COMPUTED_VALUE"""),"MALOU")</f>
        <v>MALOU</v>
      </c>
    </row>
    <row r="280">
      <c r="A280" s="131">
        <f>IFERROR(__xludf.DUMMYFUNCTION("""COMPUTED_VALUE"""),1243.0)</f>
        <v>1243</v>
      </c>
      <c r="B280" s="131"/>
      <c r="C280" s="131">
        <f>IFERROR(__xludf.DUMMYFUNCTION("""COMPUTED_VALUE"""),1236.0)</f>
        <v>1236</v>
      </c>
      <c r="D280" s="131"/>
      <c r="E280" s="100" t="str">
        <f>IFERROR(__xludf.DUMMYFUNCTION("""COMPUTED_VALUE"""),"TOLEDO")</f>
        <v>TOLEDO</v>
      </c>
      <c r="F280" s="100" t="str">
        <f>IFERROR(__xludf.DUMMYFUNCTION("""COMPUTED_VALUE"""),"MAYE")</f>
        <v>MAYE</v>
      </c>
    </row>
    <row r="281">
      <c r="A281" s="131">
        <f>IFERROR(__xludf.DUMMYFUNCTION("""COMPUTED_VALUE"""),1244.0)</f>
        <v>1244</v>
      </c>
      <c r="B281" s="131"/>
      <c r="C281" s="131">
        <f>IFERROR(__xludf.DUMMYFUNCTION("""COMPUTED_VALUE"""),1236.0)</f>
        <v>1236</v>
      </c>
      <c r="D281" s="131"/>
      <c r="E281" s="100" t="str">
        <f>IFERROR(__xludf.DUMMYFUNCTION("""COMPUTED_VALUE"""),"LIM")</f>
        <v>LIM</v>
      </c>
      <c r="F281" s="100" t="str">
        <f>IFERROR(__xludf.DUMMYFUNCTION("""COMPUTED_VALUE"""),"GRACE")</f>
        <v>GRACE</v>
      </c>
    </row>
    <row r="282">
      <c r="A282" s="131">
        <f>IFERROR(__xludf.DUMMYFUNCTION("""COMPUTED_VALUE"""),1245.0)</f>
        <v>1245</v>
      </c>
      <c r="B282" s="131"/>
      <c r="C282" s="131">
        <f>IFERROR(__xludf.DUMMYFUNCTION("""COMPUTED_VALUE"""),1236.0)</f>
        <v>1236</v>
      </c>
      <c r="D282" s="131"/>
      <c r="E282" s="100" t="str">
        <f>IFERROR(__xludf.DUMMYFUNCTION("""COMPUTED_VALUE"""),"CALUALHATIAN")</f>
        <v>CALUALHATIAN</v>
      </c>
      <c r="F282" s="100" t="str">
        <f>IFERROR(__xludf.DUMMYFUNCTION("""COMPUTED_VALUE"""),"ADELAIDA")</f>
        <v>ADELAIDA</v>
      </c>
    </row>
    <row r="283">
      <c r="A283" s="131">
        <f>IFERROR(__xludf.DUMMYFUNCTION("""COMPUTED_VALUE"""),1246.0)</f>
        <v>1246</v>
      </c>
      <c r="B283" s="131"/>
      <c r="C283" s="131">
        <f>IFERROR(__xludf.DUMMYFUNCTION("""COMPUTED_VALUE"""),1236.0)</f>
        <v>1236</v>
      </c>
      <c r="D283" s="131"/>
      <c r="E283" s="101" t="str">
        <f>IFERROR(__xludf.DUMMYFUNCTION("""COMPUTED_VALUE"""),"CALUALHATIAN")</f>
        <v>CALUALHATIAN</v>
      </c>
      <c r="F283" s="101" t="str">
        <f>IFERROR(__xludf.DUMMYFUNCTION("""COMPUTED_VALUE"""),"DAHNA")</f>
        <v>DAHNA</v>
      </c>
    </row>
    <row r="284">
      <c r="A284" s="131">
        <f>IFERROR(__xludf.DUMMYFUNCTION("""COMPUTED_VALUE"""),1247.0)</f>
        <v>1247</v>
      </c>
      <c r="B284" s="131"/>
      <c r="C284" s="131">
        <f>IFERROR(__xludf.DUMMYFUNCTION("""COMPUTED_VALUE"""),1236.0)</f>
        <v>1236</v>
      </c>
      <c r="D284" s="131"/>
      <c r="E284" s="100" t="str">
        <f>IFERROR(__xludf.DUMMYFUNCTION("""COMPUTED_VALUE"""),"SEXON")</f>
        <v>SEXON</v>
      </c>
      <c r="F284" s="100" t="str">
        <f>IFERROR(__xludf.DUMMYFUNCTION("""COMPUTED_VALUE"""),"MARILYN")</f>
        <v>MARILYN</v>
      </c>
    </row>
    <row r="285">
      <c r="A285" s="131">
        <f>IFERROR(__xludf.DUMMYFUNCTION("""COMPUTED_VALUE"""),1248.0)</f>
        <v>1248</v>
      </c>
      <c r="B285" s="131"/>
      <c r="C285" s="131">
        <f>IFERROR(__xludf.DUMMYFUNCTION("""COMPUTED_VALUE"""),1236.0)</f>
        <v>1236</v>
      </c>
      <c r="D285" s="131"/>
      <c r="E285" s="100" t="str">
        <f>IFERROR(__xludf.DUMMYFUNCTION("""COMPUTED_VALUE"""),"CALUALHATIAN")</f>
        <v>CALUALHATIAN</v>
      </c>
      <c r="F285" s="100" t="str">
        <f>IFERROR(__xludf.DUMMYFUNCTION("""COMPUTED_VALUE"""),"DANIKKA")</f>
        <v>DANIKKA</v>
      </c>
    </row>
    <row r="286">
      <c r="A286" s="131">
        <f>IFERROR(__xludf.DUMMYFUNCTION("""COMPUTED_VALUE"""),1249.0)</f>
        <v>1249</v>
      </c>
      <c r="B286" s="131"/>
      <c r="C286" s="131">
        <f>IFERROR(__xludf.DUMMYFUNCTION("""COMPUTED_VALUE"""),1236.0)</f>
        <v>1236</v>
      </c>
      <c r="D286" s="131"/>
      <c r="E286" s="102" t="str">
        <f>IFERROR(__xludf.DUMMYFUNCTION("""COMPUTED_VALUE"""),"CODILLA")</f>
        <v>CODILLA</v>
      </c>
      <c r="F286" s="102" t="str">
        <f>IFERROR(__xludf.DUMMYFUNCTION("""COMPUTED_VALUE"""),"CORY")</f>
        <v>CORY</v>
      </c>
    </row>
    <row r="287">
      <c r="A287" s="131">
        <f>IFERROR(__xludf.DUMMYFUNCTION("""COMPUTED_VALUE"""),1250.0)</f>
        <v>1250</v>
      </c>
      <c r="B287" s="131"/>
      <c r="C287" s="131">
        <f>IFERROR(__xludf.DUMMYFUNCTION("""COMPUTED_VALUE"""),1236.0)</f>
        <v>1236</v>
      </c>
      <c r="D287" s="131"/>
      <c r="E287" s="103" t="str">
        <f>IFERROR(__xludf.DUMMYFUNCTION("""COMPUTED_VALUE"""),"LANGITAN")</f>
        <v>LANGITAN</v>
      </c>
      <c r="F287" s="103" t="str">
        <f>IFERROR(__xludf.DUMMYFUNCTION("""COMPUTED_VALUE"""),"SARAH")</f>
        <v>SARAH</v>
      </c>
    </row>
    <row r="288">
      <c r="A288" s="131">
        <f>IFERROR(__xludf.DUMMYFUNCTION("""COMPUTED_VALUE"""),1251.0)</f>
        <v>1251</v>
      </c>
      <c r="B288" s="131"/>
      <c r="C288" s="131">
        <f>IFERROR(__xludf.DUMMYFUNCTION("""COMPUTED_VALUE"""),1236.0)</f>
        <v>1236</v>
      </c>
      <c r="D288" s="131"/>
      <c r="E288" s="103" t="str">
        <f>IFERROR(__xludf.DUMMYFUNCTION("""COMPUTED_VALUE"""),"LACONSAY")</f>
        <v>LACONSAY</v>
      </c>
      <c r="F288" s="103" t="str">
        <f>IFERROR(__xludf.DUMMYFUNCTION("""COMPUTED_VALUE"""),"MA. LOURDES")</f>
        <v>MA. LOURDES</v>
      </c>
    </row>
    <row r="289">
      <c r="A289" s="131">
        <f>IFERROR(__xludf.DUMMYFUNCTION("""COMPUTED_VALUE"""),1252.0)</f>
        <v>1252</v>
      </c>
      <c r="B289" s="131"/>
      <c r="C289" s="131">
        <f>IFERROR(__xludf.DUMMYFUNCTION("""COMPUTED_VALUE"""),1236.0)</f>
        <v>1236</v>
      </c>
      <c r="D289" s="131"/>
      <c r="E289" s="102" t="str">
        <f>IFERROR(__xludf.DUMMYFUNCTION("""COMPUTED_VALUE"""),"LACONSAY")</f>
        <v>LACONSAY</v>
      </c>
      <c r="F289" s="103" t="str">
        <f>IFERROR(__xludf.DUMMYFUNCTION("""COMPUTED_VALUE"""),"MA. ELENA")</f>
        <v>MA. ELENA</v>
      </c>
    </row>
    <row r="290">
      <c r="A290" s="131">
        <f>IFERROR(__xludf.DUMMYFUNCTION("""COMPUTED_VALUE"""),1253.0)</f>
        <v>1253</v>
      </c>
      <c r="B290" s="131"/>
      <c r="C290" s="131">
        <f>IFERROR(__xludf.DUMMYFUNCTION("""COMPUTED_VALUE"""),1236.0)</f>
        <v>1236</v>
      </c>
      <c r="D290" s="131"/>
      <c r="E290" s="103" t="str">
        <f>IFERROR(__xludf.DUMMYFUNCTION("""COMPUTED_VALUE"""),"MENOSO")</f>
        <v>MENOSO</v>
      </c>
      <c r="F290" s="103" t="str">
        <f>IFERROR(__xludf.DUMMYFUNCTION("""COMPUTED_VALUE"""),"DANICA")</f>
        <v>DANICA</v>
      </c>
    </row>
    <row r="291">
      <c r="A291" s="131">
        <f>IFERROR(__xludf.DUMMYFUNCTION("""COMPUTED_VALUE"""),1254.0)</f>
        <v>1254</v>
      </c>
      <c r="B291" s="131"/>
      <c r="C291" s="131">
        <f>IFERROR(__xludf.DUMMYFUNCTION("""COMPUTED_VALUE"""),1236.0)</f>
        <v>1236</v>
      </c>
      <c r="D291" s="131"/>
      <c r="E291" s="103"/>
      <c r="F291" s="103" t="str">
        <f>IFERROR(__xludf.DUMMYFUNCTION("""COMPUTED_VALUE"""),"AGNES")</f>
        <v>AGNES</v>
      </c>
    </row>
    <row r="292">
      <c r="A292" s="131"/>
      <c r="B292" s="131"/>
      <c r="C292" s="131"/>
      <c r="D292" s="131"/>
      <c r="E292" s="103"/>
      <c r="F292" s="103"/>
    </row>
    <row r="293">
      <c r="A293" s="131">
        <f>IFERROR(__xludf.DUMMYFUNCTION("""COMPUTED_VALUE"""),1255.0)</f>
        <v>1255</v>
      </c>
      <c r="B293" s="131"/>
      <c r="C293" s="131">
        <f>IFERROR(__xludf.DUMMYFUNCTION("""COMPUTED_VALUE"""),1255.0)</f>
        <v>1255</v>
      </c>
      <c r="D293" s="131" t="b">
        <f>IFERROR(__xludf.DUMMYFUNCTION("""COMPUTED_VALUE"""),TRUE)</f>
        <v>1</v>
      </c>
      <c r="E293" s="103" t="str">
        <f>IFERROR(__xludf.DUMMYFUNCTION("""COMPUTED_VALUE"""),"VERTODAZO")</f>
        <v>VERTODAZO</v>
      </c>
      <c r="F293" s="103" t="str">
        <f>IFERROR(__xludf.DUMMYFUNCTION("""COMPUTED_VALUE"""),"MONETH")</f>
        <v>MONETH</v>
      </c>
    </row>
    <row r="294">
      <c r="A294" s="131">
        <f>IFERROR(__xludf.DUMMYFUNCTION("""COMPUTED_VALUE"""),1256.0)</f>
        <v>1256</v>
      </c>
      <c r="B294" s="131"/>
      <c r="C294" s="131">
        <f>IFERROR(__xludf.DUMMYFUNCTION("""COMPUTED_VALUE"""),1255.0)</f>
        <v>1255</v>
      </c>
      <c r="D294" s="131"/>
      <c r="E294" s="103" t="str">
        <f>IFERROR(__xludf.DUMMYFUNCTION("""COMPUTED_VALUE"""),"SOMERA")</f>
        <v>SOMERA</v>
      </c>
      <c r="F294" s="103" t="str">
        <f>IFERROR(__xludf.DUMMYFUNCTION("""COMPUTED_VALUE"""),"CHA")</f>
        <v>CHA</v>
      </c>
    </row>
    <row r="295">
      <c r="A295" s="131">
        <f>IFERROR(__xludf.DUMMYFUNCTION("""COMPUTED_VALUE"""),1257.0)</f>
        <v>1257</v>
      </c>
      <c r="B295" s="131"/>
      <c r="C295" s="131">
        <f>IFERROR(__xludf.DUMMYFUNCTION("""COMPUTED_VALUE"""),1255.0)</f>
        <v>1255</v>
      </c>
      <c r="D295" s="131"/>
      <c r="E295" s="103" t="str">
        <f>IFERROR(__xludf.DUMMYFUNCTION("""COMPUTED_VALUE"""),"MAGDUAY")</f>
        <v>MAGDUAY</v>
      </c>
      <c r="F295" s="103" t="str">
        <f>IFERROR(__xludf.DUMMYFUNCTION("""COMPUTED_VALUE"""),"HEIDEE")</f>
        <v>HEIDEE</v>
      </c>
    </row>
    <row r="296">
      <c r="A296" s="131">
        <f>IFERROR(__xludf.DUMMYFUNCTION("""COMPUTED_VALUE"""),1258.0)</f>
        <v>1258</v>
      </c>
      <c r="B296" s="131"/>
      <c r="C296" s="131">
        <f>IFERROR(__xludf.DUMMYFUNCTION("""COMPUTED_VALUE"""),1255.0)</f>
        <v>1255</v>
      </c>
      <c r="D296" s="131"/>
      <c r="E296" s="103" t="str">
        <f>IFERROR(__xludf.DUMMYFUNCTION("""COMPUTED_VALUE"""),"TANDUL")</f>
        <v>TANDUL</v>
      </c>
      <c r="F296" s="103" t="str">
        <f>IFERROR(__xludf.DUMMYFUNCTION("""COMPUTED_VALUE"""),"RAQUEL")</f>
        <v>RAQUEL</v>
      </c>
    </row>
    <row r="297">
      <c r="A297" s="131">
        <f>IFERROR(__xludf.DUMMYFUNCTION("""COMPUTED_VALUE"""),1259.0)</f>
        <v>1259</v>
      </c>
      <c r="B297" s="131"/>
      <c r="C297" s="131">
        <f>IFERROR(__xludf.DUMMYFUNCTION("""COMPUTED_VALUE"""),1255.0)</f>
        <v>1255</v>
      </c>
      <c r="D297" s="131"/>
      <c r="E297" s="103" t="str">
        <f>IFERROR(__xludf.DUMMYFUNCTION("""COMPUTED_VALUE"""),"ARTICULO")</f>
        <v>ARTICULO</v>
      </c>
      <c r="F297" s="103" t="str">
        <f>IFERROR(__xludf.DUMMYFUNCTION("""COMPUTED_VALUE"""),"LEILA M.")</f>
        <v>LEILA M.</v>
      </c>
    </row>
    <row r="298">
      <c r="A298" s="131">
        <f>IFERROR(__xludf.DUMMYFUNCTION("""COMPUTED_VALUE"""),1260.0)</f>
        <v>1260</v>
      </c>
      <c r="B298" s="131"/>
      <c r="C298" s="131">
        <f>IFERROR(__xludf.DUMMYFUNCTION("""COMPUTED_VALUE"""),1255.0)</f>
        <v>1255</v>
      </c>
      <c r="D298" s="131"/>
      <c r="E298" s="103" t="str">
        <f>IFERROR(__xludf.DUMMYFUNCTION("""COMPUTED_VALUE"""),"BALDONADO")</f>
        <v>BALDONADO</v>
      </c>
      <c r="F298" s="103" t="str">
        <f>IFERROR(__xludf.DUMMYFUNCTION("""COMPUTED_VALUE"""),"JULIETA")</f>
        <v>JULIETA</v>
      </c>
    </row>
    <row r="299">
      <c r="A299" s="131">
        <f>IFERROR(__xludf.DUMMYFUNCTION("""COMPUTED_VALUE"""),1261.0)</f>
        <v>1261</v>
      </c>
      <c r="B299" s="131"/>
      <c r="C299" s="131">
        <f>IFERROR(__xludf.DUMMYFUNCTION("""COMPUTED_VALUE"""),1255.0)</f>
        <v>1255</v>
      </c>
      <c r="D299" s="131"/>
      <c r="E299" s="103" t="str">
        <f>IFERROR(__xludf.DUMMYFUNCTION("""COMPUTED_VALUE"""),"CARLOS")</f>
        <v>CARLOS</v>
      </c>
      <c r="F299" s="103" t="str">
        <f>IFERROR(__xludf.DUMMYFUNCTION("""COMPUTED_VALUE"""),"ANTONETTE M.")</f>
        <v>ANTONETTE M.</v>
      </c>
    </row>
    <row r="300">
      <c r="A300" s="131">
        <f>IFERROR(__xludf.DUMMYFUNCTION("""COMPUTED_VALUE"""),1262.0)</f>
        <v>1262</v>
      </c>
      <c r="B300" s="131"/>
      <c r="C300" s="131">
        <f>IFERROR(__xludf.DUMMYFUNCTION("""COMPUTED_VALUE"""),1255.0)</f>
        <v>1255</v>
      </c>
      <c r="D300" s="131"/>
      <c r="E300" s="103" t="str">
        <f>IFERROR(__xludf.DUMMYFUNCTION("""COMPUTED_VALUE"""),"INCARNATION")</f>
        <v>INCARNATION</v>
      </c>
      <c r="F300" s="103" t="str">
        <f>IFERROR(__xludf.DUMMYFUNCTION("""COMPUTED_VALUE"""),"LUCILA")</f>
        <v>LUCILA</v>
      </c>
    </row>
    <row r="301">
      <c r="A301" s="131">
        <f>IFERROR(__xludf.DUMMYFUNCTION("""COMPUTED_VALUE"""),1263.0)</f>
        <v>1263</v>
      </c>
      <c r="B301" s="131"/>
      <c r="C301" s="131">
        <f>IFERROR(__xludf.DUMMYFUNCTION("""COMPUTED_VALUE"""),1255.0)</f>
        <v>1255</v>
      </c>
      <c r="D301" s="131"/>
      <c r="E301" s="103" t="str">
        <f>IFERROR(__xludf.DUMMYFUNCTION("""COMPUTED_VALUE"""),"MAGAT")</f>
        <v>MAGAT</v>
      </c>
      <c r="F301" s="103" t="str">
        <f>IFERROR(__xludf.DUMMYFUNCTION("""COMPUTED_VALUE"""),"SYLVIA")</f>
        <v>SYLVIA</v>
      </c>
    </row>
    <row r="302">
      <c r="A302" s="131">
        <f>IFERROR(__xludf.DUMMYFUNCTION("""COMPUTED_VALUE"""),1264.0)</f>
        <v>1264</v>
      </c>
      <c r="B302" s="131"/>
      <c r="C302" s="131">
        <f>IFERROR(__xludf.DUMMYFUNCTION("""COMPUTED_VALUE"""),1255.0)</f>
        <v>1255</v>
      </c>
      <c r="D302" s="131"/>
      <c r="E302" s="103" t="str">
        <f>IFERROR(__xludf.DUMMYFUNCTION("""COMPUTED_VALUE"""),"MAGAT")</f>
        <v>MAGAT</v>
      </c>
      <c r="F302" s="103" t="str">
        <f>IFERROR(__xludf.DUMMYFUNCTION("""COMPUTED_VALUE"""),"JOSEPHINA")</f>
        <v>JOSEPHINA</v>
      </c>
    </row>
    <row r="303">
      <c r="A303" s="131">
        <f>IFERROR(__xludf.DUMMYFUNCTION("""COMPUTED_VALUE"""),1265.0)</f>
        <v>1265</v>
      </c>
      <c r="B303" s="131"/>
      <c r="C303" s="131">
        <f>IFERROR(__xludf.DUMMYFUNCTION("""COMPUTED_VALUE"""),1255.0)</f>
        <v>1255</v>
      </c>
      <c r="D303" s="131"/>
      <c r="E303" s="103" t="str">
        <f>IFERROR(__xludf.DUMMYFUNCTION("""COMPUTED_VALUE"""),"VILLARTA")</f>
        <v>VILLARTA</v>
      </c>
      <c r="F303" s="103" t="str">
        <f>IFERROR(__xludf.DUMMYFUNCTION("""COMPUTED_VALUE"""),"JESSICA")</f>
        <v>JESSICA</v>
      </c>
    </row>
    <row r="304">
      <c r="A304" s="131">
        <f>IFERROR(__xludf.DUMMYFUNCTION("""COMPUTED_VALUE"""),1266.0)</f>
        <v>1266</v>
      </c>
      <c r="B304" s="131"/>
      <c r="C304" s="131">
        <f>IFERROR(__xludf.DUMMYFUNCTION("""COMPUTED_VALUE"""),1255.0)</f>
        <v>1255</v>
      </c>
      <c r="D304" s="131"/>
      <c r="E304" s="99" t="str">
        <f>IFERROR(__xludf.DUMMYFUNCTION("""COMPUTED_VALUE"""),"MORAL")</f>
        <v>MORAL</v>
      </c>
      <c r="F304" s="99" t="str">
        <f>IFERROR(__xludf.DUMMYFUNCTION("""COMPUTED_VALUE"""),"LUCHELLE")</f>
        <v>LUCHELLE</v>
      </c>
    </row>
    <row r="305">
      <c r="A305" s="131">
        <f>IFERROR(__xludf.DUMMYFUNCTION("""COMPUTED_VALUE"""),1267.0)</f>
        <v>1267</v>
      </c>
      <c r="B305" s="131"/>
      <c r="C305" s="131">
        <f>IFERROR(__xludf.DUMMYFUNCTION("""COMPUTED_VALUE"""),1255.0)</f>
        <v>1255</v>
      </c>
      <c r="D305" s="131"/>
      <c r="E305" s="100" t="str">
        <f>IFERROR(__xludf.DUMMYFUNCTION("""COMPUTED_VALUE"""),"BRUSOLA")</f>
        <v>BRUSOLA</v>
      </c>
      <c r="F305" s="100" t="str">
        <f>IFERROR(__xludf.DUMMYFUNCTION("""COMPUTED_VALUE"""),"MERLY")</f>
        <v>MERLY</v>
      </c>
    </row>
    <row r="306">
      <c r="A306" s="131">
        <f>IFERROR(__xludf.DUMMYFUNCTION("""COMPUTED_VALUE"""),1268.0)</f>
        <v>1268</v>
      </c>
      <c r="B306" s="131"/>
      <c r="C306" s="131">
        <f>IFERROR(__xludf.DUMMYFUNCTION("""COMPUTED_VALUE"""),1255.0)</f>
        <v>1255</v>
      </c>
      <c r="D306" s="131"/>
      <c r="E306" s="100" t="str">
        <f>IFERROR(__xludf.DUMMYFUNCTION("""COMPUTED_VALUE"""),"TARINAY")</f>
        <v>TARINAY</v>
      </c>
      <c r="F306" s="100" t="str">
        <f>IFERROR(__xludf.DUMMYFUNCTION("""COMPUTED_VALUE"""),"MARILYN")</f>
        <v>MARILYN</v>
      </c>
    </row>
    <row r="307">
      <c r="A307" s="131">
        <f>IFERROR(__xludf.DUMMYFUNCTION("""COMPUTED_VALUE"""),1269.0)</f>
        <v>1269</v>
      </c>
      <c r="B307" s="131"/>
      <c r="C307" s="131">
        <f>IFERROR(__xludf.DUMMYFUNCTION("""COMPUTED_VALUE"""),1255.0)</f>
        <v>1255</v>
      </c>
      <c r="D307" s="131"/>
      <c r="E307" s="100" t="str">
        <f>IFERROR(__xludf.DUMMYFUNCTION("""COMPUTED_VALUE"""),"VARGAS")</f>
        <v>VARGAS</v>
      </c>
      <c r="F307" s="100" t="str">
        <f>IFERROR(__xludf.DUMMYFUNCTION("""COMPUTED_VALUE"""),"VILMA")</f>
        <v>VILMA</v>
      </c>
    </row>
    <row r="308">
      <c r="A308" s="131">
        <f>IFERROR(__xludf.DUMMYFUNCTION("""COMPUTED_VALUE"""),1270.0)</f>
        <v>1270</v>
      </c>
      <c r="B308" s="131"/>
      <c r="C308" s="131">
        <f>IFERROR(__xludf.DUMMYFUNCTION("""COMPUTED_VALUE"""),1255.0)</f>
        <v>1255</v>
      </c>
      <c r="D308" s="131"/>
      <c r="E308" s="100" t="str">
        <f>IFERROR(__xludf.DUMMYFUNCTION("""COMPUTED_VALUE"""),"GAPAS")</f>
        <v>GAPAS</v>
      </c>
      <c r="F308" s="100" t="str">
        <f>IFERROR(__xludf.DUMMYFUNCTION("""COMPUTED_VALUE"""),"EDITH")</f>
        <v>EDITH</v>
      </c>
    </row>
    <row r="309">
      <c r="A309" s="131">
        <f>IFERROR(__xludf.DUMMYFUNCTION("""COMPUTED_VALUE"""),1271.0)</f>
        <v>1271</v>
      </c>
      <c r="B309" s="131"/>
      <c r="C309" s="131">
        <f>IFERROR(__xludf.DUMMYFUNCTION("""COMPUTED_VALUE"""),1255.0)</f>
        <v>1255</v>
      </c>
      <c r="D309" s="131"/>
      <c r="E309" s="100" t="str">
        <f>IFERROR(__xludf.DUMMYFUNCTION("""COMPUTED_VALUE"""),"PACHECO")</f>
        <v>PACHECO</v>
      </c>
      <c r="F309" s="100" t="str">
        <f>IFERROR(__xludf.DUMMYFUNCTION("""COMPUTED_VALUE"""),"CAROLINE")</f>
        <v>CAROLINE</v>
      </c>
    </row>
    <row r="310">
      <c r="A310" s="131">
        <f>IFERROR(__xludf.DUMMYFUNCTION("""COMPUTED_VALUE"""),1272.0)</f>
        <v>1272</v>
      </c>
      <c r="B310" s="131"/>
      <c r="C310" s="131">
        <f>IFERROR(__xludf.DUMMYFUNCTION("""COMPUTED_VALUE"""),1255.0)</f>
        <v>1255</v>
      </c>
      <c r="D310" s="131"/>
      <c r="E310" s="100" t="str">
        <f>IFERROR(__xludf.DUMMYFUNCTION("""COMPUTED_VALUE"""),"BACOSA")</f>
        <v>BACOSA</v>
      </c>
      <c r="F310" s="100" t="str">
        <f>IFERROR(__xludf.DUMMYFUNCTION("""COMPUTED_VALUE"""),"MAIDA")</f>
        <v>MAIDA</v>
      </c>
    </row>
    <row r="311">
      <c r="A311" s="131">
        <f>IFERROR(__xludf.DUMMYFUNCTION("""COMPUTED_VALUE"""),1273.0)</f>
        <v>1273</v>
      </c>
      <c r="B311" s="131"/>
      <c r="C311" s="131">
        <f>IFERROR(__xludf.DUMMYFUNCTION("""COMPUTED_VALUE"""),1255.0)</f>
        <v>1255</v>
      </c>
      <c r="D311" s="131"/>
      <c r="E311" s="100" t="str">
        <f>IFERROR(__xludf.DUMMYFUNCTION("""COMPUTED_VALUE"""),"LIM")</f>
        <v>LIM</v>
      </c>
      <c r="F311" s="100" t="str">
        <f>IFERROR(__xludf.DUMMYFUNCTION("""COMPUTED_VALUE"""),"LANIE")</f>
        <v>LANIE</v>
      </c>
    </row>
    <row r="312">
      <c r="A312" s="131">
        <f>IFERROR(__xludf.DUMMYFUNCTION("""COMPUTED_VALUE"""),1274.0)</f>
        <v>1274</v>
      </c>
      <c r="B312" s="131"/>
      <c r="C312" s="131">
        <f>IFERROR(__xludf.DUMMYFUNCTION("""COMPUTED_VALUE"""),1255.0)</f>
        <v>1255</v>
      </c>
      <c r="D312" s="131"/>
      <c r="E312" s="100" t="str">
        <f>IFERROR(__xludf.DUMMYFUNCTION("""COMPUTED_VALUE"""),"DELA VEGA")</f>
        <v>DELA VEGA</v>
      </c>
      <c r="F312" s="100" t="str">
        <f>IFERROR(__xludf.DUMMYFUNCTION("""COMPUTED_VALUE"""),"MAVIC")</f>
        <v>MAVIC</v>
      </c>
    </row>
    <row r="313">
      <c r="A313" s="131">
        <f>IFERROR(__xludf.DUMMYFUNCTION("""COMPUTED_VALUE"""),1275.0)</f>
        <v>1275</v>
      </c>
      <c r="B313" s="131"/>
      <c r="C313" s="131">
        <f>IFERROR(__xludf.DUMMYFUNCTION("""COMPUTED_VALUE"""),1255.0)</f>
        <v>1255</v>
      </c>
      <c r="D313" s="131"/>
      <c r="E313" s="100"/>
      <c r="F313" s="100" t="str">
        <f>IFERROR(__xludf.DUMMYFUNCTION("""COMPUTED_VALUE"""),"MILA M.")</f>
        <v>MILA M.</v>
      </c>
    </row>
    <row r="314">
      <c r="A314" s="131">
        <f>IFERROR(__xludf.DUMMYFUNCTION("""COMPUTED_VALUE"""),1276.0)</f>
        <v>1276</v>
      </c>
      <c r="B314" s="131"/>
      <c r="C314" s="131">
        <f>IFERROR(__xludf.DUMMYFUNCTION("""COMPUTED_VALUE"""),1230.0)</f>
        <v>1230</v>
      </c>
      <c r="D314" s="131"/>
      <c r="E314" s="100" t="str">
        <f>IFERROR(__xludf.DUMMYFUNCTION("""COMPUTED_VALUE"""),"TANDUL")</f>
        <v>TANDUL</v>
      </c>
      <c r="F314" s="100" t="str">
        <f>IFERROR(__xludf.DUMMYFUNCTION("""COMPUTED_VALUE"""),"ED")</f>
        <v>ED</v>
      </c>
    </row>
    <row r="315">
      <c r="A315" s="131">
        <f>IFERROR(__xludf.DUMMYFUNCTION("""COMPUTED_VALUE"""),1277.0)</f>
        <v>1277</v>
      </c>
      <c r="B315" s="131"/>
      <c r="C315" s="131">
        <f>IFERROR(__xludf.DUMMYFUNCTION("""COMPUTED_VALUE"""),1230.0)</f>
        <v>1230</v>
      </c>
      <c r="D315" s="131"/>
      <c r="E315" s="99" t="str">
        <f>IFERROR(__xludf.DUMMYFUNCTION("""COMPUTED_VALUE"""),"VILLA")</f>
        <v>VILLA</v>
      </c>
      <c r="F315" s="99" t="str">
        <f>IFERROR(__xludf.DUMMYFUNCTION("""COMPUTED_VALUE"""),"EDWARD")</f>
        <v>EDWARD</v>
      </c>
    </row>
    <row r="316">
      <c r="A316" s="131">
        <f>IFERROR(__xludf.DUMMYFUNCTION("""COMPUTED_VALUE"""),1278.0)</f>
        <v>1278</v>
      </c>
      <c r="B316" s="131"/>
      <c r="C316" s="131">
        <f>IFERROR(__xludf.DUMMYFUNCTION("""COMPUTED_VALUE"""),1230.0)</f>
        <v>1230</v>
      </c>
      <c r="D316" s="131"/>
      <c r="E316" s="100" t="str">
        <f>IFERROR(__xludf.DUMMYFUNCTION("""COMPUTED_VALUE"""),"RETAMAR")</f>
        <v>RETAMAR</v>
      </c>
      <c r="F316" s="100" t="str">
        <f>IFERROR(__xludf.DUMMYFUNCTION("""COMPUTED_VALUE"""),"GLEN")</f>
        <v>GLEN</v>
      </c>
    </row>
    <row r="317">
      <c r="A317" s="131">
        <f>IFERROR(__xludf.DUMMYFUNCTION("""COMPUTED_VALUE"""),1279.0)</f>
        <v>1279</v>
      </c>
      <c r="B317" s="131"/>
      <c r="C317" s="131">
        <f>IFERROR(__xludf.DUMMYFUNCTION("""COMPUTED_VALUE"""),1230.0)</f>
        <v>1230</v>
      </c>
      <c r="D317" s="131"/>
      <c r="E317" s="100" t="str">
        <f>IFERROR(__xludf.DUMMYFUNCTION("""COMPUTED_VALUE"""),"PASAYLON")</f>
        <v>PASAYLON</v>
      </c>
      <c r="F317" s="100" t="str">
        <f>IFERROR(__xludf.DUMMYFUNCTION("""COMPUTED_VALUE"""),"RAYMOND")</f>
        <v>RAYMOND</v>
      </c>
    </row>
    <row r="318">
      <c r="A318" s="131">
        <f>IFERROR(__xludf.DUMMYFUNCTION("""COMPUTED_VALUE"""),1280.0)</f>
        <v>1280</v>
      </c>
      <c r="B318" s="131"/>
      <c r="C318" s="131">
        <f>IFERROR(__xludf.DUMMYFUNCTION("""COMPUTED_VALUE"""),1230.0)</f>
        <v>1230</v>
      </c>
      <c r="D318" s="131"/>
      <c r="E318" s="100" t="str">
        <f>IFERROR(__xludf.DUMMYFUNCTION("""COMPUTED_VALUE"""),"CODILLA")</f>
        <v>CODILLA</v>
      </c>
      <c r="F318" s="100" t="str">
        <f>IFERROR(__xludf.DUMMYFUNCTION("""COMPUTED_VALUE"""),"JONNEL")</f>
        <v>JONNEL</v>
      </c>
    </row>
    <row r="319">
      <c r="A319" s="131">
        <f>IFERROR(__xludf.DUMMYFUNCTION("""COMPUTED_VALUE"""),1281.0)</f>
        <v>1281</v>
      </c>
      <c r="B319" s="131"/>
      <c r="C319" s="131">
        <f>IFERROR(__xludf.DUMMYFUNCTION("""COMPUTED_VALUE"""),1230.0)</f>
        <v>1230</v>
      </c>
      <c r="D319" s="131"/>
      <c r="E319" s="100" t="str">
        <f>IFERROR(__xludf.DUMMYFUNCTION("""COMPUTED_VALUE"""),"AZUL")</f>
        <v>AZUL</v>
      </c>
      <c r="F319" s="100" t="str">
        <f>IFERROR(__xludf.DUMMYFUNCTION("""COMPUTED_VALUE"""),"BENIE")</f>
        <v>BENIE</v>
      </c>
    </row>
    <row r="320">
      <c r="A320" s="131">
        <f>IFERROR(__xludf.DUMMYFUNCTION("""COMPUTED_VALUE"""),1282.0)</f>
        <v>1282</v>
      </c>
      <c r="B320" s="131"/>
      <c r="C320" s="131">
        <f>IFERROR(__xludf.DUMMYFUNCTION("""COMPUTED_VALUE"""),1230.0)</f>
        <v>1230</v>
      </c>
      <c r="D320" s="131"/>
      <c r="E320" s="100" t="str">
        <f>IFERROR(__xludf.DUMMYFUNCTION("""COMPUTED_VALUE"""),"E.")</f>
        <v>E.</v>
      </c>
      <c r="F320" s="100" t="str">
        <f>IFERROR(__xludf.DUMMYFUNCTION("""COMPUTED_VALUE"""),"MANNY")</f>
        <v>MANNY</v>
      </c>
    </row>
    <row r="321">
      <c r="A321" s="131"/>
      <c r="B321" s="131"/>
      <c r="C321" s="131"/>
      <c r="D321" s="131"/>
      <c r="E321" s="100"/>
      <c r="F321" s="100"/>
    </row>
    <row r="322">
      <c r="A322" s="131">
        <f>IFERROR(__xludf.DUMMYFUNCTION("""COMPUTED_VALUE"""),1283.0)</f>
        <v>1283</v>
      </c>
      <c r="B322" s="131"/>
      <c r="C322" s="131">
        <f>IFERROR(__xludf.DUMMYFUNCTION("""COMPUTED_VALUE"""),1283.0)</f>
        <v>1283</v>
      </c>
      <c r="D322" s="131" t="b">
        <f>IFERROR(__xludf.DUMMYFUNCTION("""COMPUTED_VALUE"""),TRUE)</f>
        <v>1</v>
      </c>
      <c r="E322" s="101" t="str">
        <f>IFERROR(__xludf.DUMMYFUNCTION("""COMPUTED_VALUE"""),"LIM")</f>
        <v>LIM</v>
      </c>
      <c r="F322" s="101" t="str">
        <f>IFERROR(__xludf.DUMMYFUNCTION("""COMPUTED_VALUE"""),"MARLINA")</f>
        <v>MARLINA</v>
      </c>
    </row>
    <row r="323">
      <c r="A323" s="131"/>
      <c r="B323" s="131"/>
      <c r="C323" s="131"/>
      <c r="D323" s="131"/>
      <c r="E323" s="101"/>
      <c r="F323" s="101"/>
    </row>
    <row r="324">
      <c r="A324" s="131"/>
      <c r="B324" s="131"/>
      <c r="C324" s="131"/>
      <c r="D324" s="131"/>
      <c r="E324" s="101"/>
      <c r="F324" s="101"/>
    </row>
    <row r="325">
      <c r="A325" s="131"/>
      <c r="B325" s="131"/>
      <c r="C325" s="131"/>
      <c r="D325" s="131"/>
      <c r="E325" s="101"/>
      <c r="F325" s="101"/>
    </row>
    <row r="326">
      <c r="A326" s="131"/>
      <c r="B326" s="131"/>
      <c r="C326" s="131"/>
      <c r="D326" s="131"/>
      <c r="E326" s="101"/>
      <c r="F326" s="101"/>
    </row>
    <row r="327">
      <c r="A327" s="131"/>
      <c r="B327" s="131"/>
      <c r="C327" s="131"/>
      <c r="D327" s="131"/>
      <c r="E327" s="105"/>
      <c r="F327" s="105"/>
    </row>
    <row r="328">
      <c r="A328" s="131"/>
      <c r="B328" s="131"/>
      <c r="C328" s="131"/>
      <c r="D328" s="131"/>
      <c r="E328" s="106"/>
      <c r="F328" s="106"/>
    </row>
    <row r="329">
      <c r="A329" s="131"/>
      <c r="B329" s="131"/>
      <c r="C329" s="131"/>
      <c r="D329" s="131"/>
      <c r="E329" s="107"/>
      <c r="F329" s="107"/>
    </row>
    <row r="330">
      <c r="A330" s="131"/>
      <c r="B330" s="131"/>
      <c r="C330" s="131"/>
      <c r="D330" s="131"/>
      <c r="E330" s="107"/>
      <c r="F330" s="107"/>
    </row>
    <row r="331">
      <c r="A331" s="131"/>
      <c r="B331" s="131"/>
      <c r="C331" s="131"/>
      <c r="D331" s="131"/>
      <c r="E331" s="108"/>
      <c r="F331" s="108"/>
    </row>
    <row r="332">
      <c r="A332" s="131"/>
      <c r="B332" s="131"/>
      <c r="C332" s="131"/>
      <c r="D332" s="131"/>
      <c r="E332" s="107"/>
      <c r="F332" s="107"/>
    </row>
    <row r="333">
      <c r="A333" s="131"/>
      <c r="B333" s="131"/>
      <c r="C333" s="131"/>
      <c r="D333" s="131"/>
      <c r="E333" s="106"/>
      <c r="F333" s="106"/>
    </row>
    <row r="334">
      <c r="A334" s="131"/>
      <c r="B334" s="131"/>
      <c r="C334" s="131"/>
      <c r="D334" s="131"/>
      <c r="E334" s="107"/>
      <c r="F334" s="107"/>
    </row>
    <row r="335">
      <c r="A335" s="131"/>
      <c r="B335" s="131"/>
      <c r="C335" s="131"/>
      <c r="D335" s="131"/>
      <c r="E335" s="107"/>
      <c r="F335" s="107"/>
    </row>
    <row r="336">
      <c r="A336" s="131"/>
      <c r="B336" s="131"/>
      <c r="C336" s="131"/>
      <c r="D336" s="131"/>
      <c r="E336" s="107"/>
      <c r="F336" s="107"/>
    </row>
    <row r="337">
      <c r="A337" s="131"/>
      <c r="B337" s="131"/>
      <c r="C337" s="131"/>
      <c r="D337" s="131"/>
      <c r="E337" s="107"/>
      <c r="F337" s="107"/>
    </row>
    <row r="338">
      <c r="A338" s="131"/>
      <c r="B338" s="131"/>
      <c r="C338" s="131"/>
      <c r="D338" s="131"/>
      <c r="E338" s="106"/>
      <c r="F338" s="106"/>
    </row>
    <row r="339">
      <c r="A339" s="131"/>
      <c r="B339" s="131"/>
      <c r="C339" s="131"/>
      <c r="D339" s="131"/>
      <c r="E339" s="107"/>
      <c r="F339" s="107"/>
    </row>
    <row r="340">
      <c r="A340" s="131"/>
      <c r="B340" s="131"/>
      <c r="C340" s="131"/>
      <c r="D340" s="131"/>
      <c r="E340" s="109"/>
      <c r="F340" s="109"/>
    </row>
    <row r="341">
      <c r="A341" s="131"/>
      <c r="B341" s="131"/>
      <c r="C341" s="131"/>
      <c r="D341" s="131"/>
      <c r="E341" s="110"/>
      <c r="F341" s="110"/>
    </row>
    <row r="342">
      <c r="A342" s="131"/>
      <c r="B342" s="131"/>
      <c r="C342" s="131"/>
      <c r="D342" s="131"/>
      <c r="E342" s="110"/>
      <c r="F342" s="110"/>
    </row>
    <row r="343">
      <c r="A343" s="131"/>
      <c r="B343" s="131"/>
      <c r="C343" s="131"/>
      <c r="D343" s="131"/>
      <c r="E343" s="111"/>
      <c r="F343" s="111"/>
    </row>
    <row r="344">
      <c r="A344" s="131"/>
      <c r="B344" s="131"/>
      <c r="C344" s="131"/>
      <c r="D344" s="131"/>
      <c r="E344" s="112"/>
      <c r="F344" s="112"/>
    </row>
    <row r="345">
      <c r="A345" s="131"/>
      <c r="B345" s="131"/>
      <c r="C345" s="131"/>
      <c r="D345" s="131"/>
      <c r="E345" s="112"/>
      <c r="F345" s="112"/>
    </row>
    <row r="346">
      <c r="A346" s="131"/>
      <c r="B346" s="131"/>
      <c r="C346" s="131"/>
      <c r="D346" s="131"/>
      <c r="E346" s="112"/>
      <c r="F346" s="112"/>
    </row>
    <row r="347">
      <c r="A347" s="131"/>
      <c r="B347" s="131"/>
      <c r="C347" s="131"/>
      <c r="D347" s="131"/>
      <c r="E347" s="112"/>
      <c r="F347" s="112"/>
    </row>
    <row r="348">
      <c r="A348" s="131"/>
      <c r="B348" s="131"/>
      <c r="C348" s="131"/>
      <c r="D348" s="131"/>
      <c r="E348" s="113"/>
      <c r="F348" s="110"/>
    </row>
    <row r="349">
      <c r="A349" s="131"/>
      <c r="B349" s="131"/>
      <c r="C349" s="131"/>
      <c r="D349" s="131"/>
      <c r="E349" s="114"/>
      <c r="F349" s="114"/>
    </row>
    <row r="350">
      <c r="A350" s="131"/>
      <c r="B350" s="131"/>
      <c r="C350" s="131"/>
      <c r="D350" s="131"/>
      <c r="E350" s="114"/>
      <c r="F350" s="114"/>
    </row>
    <row r="351">
      <c r="A351" s="131"/>
      <c r="B351" s="131"/>
      <c r="C351" s="131"/>
      <c r="D351" s="131"/>
      <c r="E351" s="114"/>
      <c r="F351" s="114"/>
    </row>
    <row r="352">
      <c r="A352" s="131"/>
      <c r="B352" s="131"/>
      <c r="C352" s="131"/>
      <c r="D352" s="131"/>
      <c r="E352" s="114"/>
      <c r="F352" s="114"/>
    </row>
    <row r="353">
      <c r="A353" s="131"/>
      <c r="B353" s="131"/>
      <c r="C353" s="131"/>
      <c r="D353" s="131"/>
      <c r="E353" s="114"/>
      <c r="F353" s="114"/>
    </row>
    <row r="354">
      <c r="A354" s="131"/>
      <c r="B354" s="131"/>
      <c r="C354" s="131"/>
      <c r="D354" s="131"/>
      <c r="E354" s="114"/>
      <c r="F354" s="114"/>
    </row>
    <row r="355">
      <c r="A355" s="131"/>
      <c r="B355" s="131"/>
      <c r="C355" s="131"/>
      <c r="D355" s="131"/>
      <c r="E355" s="114"/>
      <c r="F355" s="114"/>
    </row>
    <row r="356">
      <c r="A356" s="131"/>
      <c r="B356" s="131"/>
      <c r="C356" s="131"/>
      <c r="D356" s="131"/>
      <c r="E356" s="114"/>
      <c r="F356" s="114"/>
    </row>
    <row r="357">
      <c r="A357" s="131"/>
      <c r="B357" s="131"/>
      <c r="C357" s="131"/>
      <c r="D357" s="131"/>
      <c r="E357" s="114"/>
      <c r="F357" s="114"/>
    </row>
    <row r="358">
      <c r="A358" s="131"/>
      <c r="B358" s="131"/>
      <c r="C358" s="131"/>
      <c r="D358" s="131"/>
      <c r="E358" s="114"/>
      <c r="F358" s="114"/>
    </row>
    <row r="359">
      <c r="A359" s="131"/>
      <c r="B359" s="131"/>
      <c r="C359" s="131"/>
      <c r="D359" s="131"/>
      <c r="E359" s="114"/>
      <c r="F359" s="114"/>
    </row>
    <row r="360">
      <c r="A360" s="131"/>
      <c r="B360" s="131"/>
      <c r="C360" s="131"/>
      <c r="D360" s="131"/>
      <c r="E360" s="114"/>
      <c r="F360" s="114"/>
    </row>
    <row r="361">
      <c r="A361" s="131"/>
      <c r="B361" s="131"/>
      <c r="C361" s="131"/>
      <c r="D361" s="131"/>
      <c r="E361" s="114"/>
      <c r="F361" s="114"/>
    </row>
    <row r="362">
      <c r="A362" s="131"/>
      <c r="B362" s="131"/>
      <c r="C362" s="131"/>
      <c r="D362" s="131"/>
      <c r="E362" s="114"/>
      <c r="F362" s="114"/>
    </row>
    <row r="363">
      <c r="A363" s="131"/>
      <c r="B363" s="131"/>
      <c r="C363" s="131"/>
      <c r="D363" s="131"/>
      <c r="E363" s="114"/>
      <c r="F363" s="114"/>
    </row>
    <row r="364">
      <c r="A364" s="131"/>
      <c r="B364" s="131"/>
      <c r="C364" s="131"/>
      <c r="D364" s="131"/>
      <c r="E364" s="114"/>
      <c r="F364" s="114"/>
    </row>
    <row r="365">
      <c r="A365" s="131"/>
      <c r="B365" s="131"/>
      <c r="C365" s="131"/>
      <c r="D365" s="131"/>
      <c r="E365" s="114"/>
      <c r="F365" s="114"/>
    </row>
    <row r="366">
      <c r="A366" s="131"/>
      <c r="B366" s="131"/>
      <c r="C366" s="131"/>
      <c r="D366" s="131"/>
      <c r="E366" s="114"/>
      <c r="F366" s="114"/>
    </row>
    <row r="367">
      <c r="A367" s="131"/>
      <c r="B367" s="131"/>
      <c r="C367" s="131"/>
      <c r="D367" s="131"/>
      <c r="E367" s="114"/>
      <c r="F367" s="114"/>
    </row>
    <row r="368">
      <c r="A368" s="131"/>
      <c r="B368" s="131"/>
      <c r="C368" s="131"/>
      <c r="D368" s="131"/>
      <c r="E368" s="114"/>
      <c r="F368" s="114"/>
    </row>
    <row r="369">
      <c r="A369" s="131"/>
      <c r="B369" s="131"/>
      <c r="C369" s="131"/>
      <c r="D369" s="131"/>
      <c r="E369" s="131"/>
      <c r="F369" s="131"/>
    </row>
    <row r="370">
      <c r="A370" s="131"/>
      <c r="B370" s="131"/>
      <c r="C370" s="131"/>
      <c r="D370" s="131"/>
      <c r="E370" s="105"/>
      <c r="F370" s="105"/>
    </row>
    <row r="371">
      <c r="A371" s="131"/>
      <c r="B371" s="131"/>
      <c r="C371" s="131"/>
      <c r="D371" s="131"/>
      <c r="E371" s="115"/>
      <c r="F371" s="107"/>
    </row>
    <row r="372">
      <c r="A372" s="131"/>
      <c r="B372" s="131"/>
      <c r="C372" s="131"/>
      <c r="D372" s="131"/>
      <c r="E372" s="107"/>
      <c r="F372" s="107"/>
    </row>
    <row r="373">
      <c r="A373" s="131"/>
      <c r="B373" s="131"/>
      <c r="C373" s="131"/>
      <c r="D373" s="131"/>
      <c r="E373" s="116"/>
      <c r="F373" s="107"/>
    </row>
    <row r="374">
      <c r="A374" s="131"/>
      <c r="B374" s="131"/>
      <c r="C374" s="131"/>
      <c r="D374" s="131"/>
      <c r="E374" s="107"/>
      <c r="F374" s="107"/>
    </row>
    <row r="375">
      <c r="A375" s="131"/>
      <c r="B375" s="131"/>
      <c r="C375" s="131"/>
      <c r="D375" s="131"/>
      <c r="E375" s="107"/>
      <c r="F375" s="107"/>
    </row>
    <row r="376">
      <c r="A376" s="131"/>
      <c r="B376" s="131"/>
      <c r="C376" s="131"/>
      <c r="D376" s="131"/>
      <c r="E376" s="107"/>
      <c r="F376" s="107"/>
    </row>
    <row r="377">
      <c r="A377" s="131"/>
      <c r="B377" s="131"/>
      <c r="C377" s="131"/>
      <c r="D377" s="131"/>
      <c r="E377" s="107"/>
      <c r="F377" s="107"/>
    </row>
    <row r="378">
      <c r="A378" s="131"/>
      <c r="B378" s="131"/>
      <c r="C378" s="131"/>
      <c r="D378" s="131"/>
      <c r="E378" s="107"/>
      <c r="F378" s="107"/>
    </row>
    <row r="379">
      <c r="A379" s="131"/>
      <c r="B379" s="131"/>
      <c r="C379" s="131"/>
      <c r="D379" s="131"/>
      <c r="E379" s="107"/>
      <c r="F379" s="107"/>
    </row>
    <row r="380">
      <c r="A380" s="131"/>
      <c r="B380" s="131"/>
      <c r="C380" s="131"/>
      <c r="D380" s="131"/>
      <c r="E380" s="107"/>
      <c r="F380" s="107"/>
    </row>
    <row r="381">
      <c r="A381" s="131"/>
      <c r="B381" s="131"/>
      <c r="C381" s="131"/>
      <c r="D381" s="131"/>
      <c r="E381" s="107"/>
      <c r="F381" s="107"/>
    </row>
    <row r="382">
      <c r="A382" s="131"/>
      <c r="B382" s="131"/>
      <c r="C382" s="131"/>
      <c r="D382" s="131"/>
      <c r="E382" s="107"/>
      <c r="F382" s="107"/>
    </row>
    <row r="383">
      <c r="A383" s="131"/>
      <c r="B383" s="131"/>
      <c r="C383" s="131"/>
      <c r="D383" s="131"/>
      <c r="E383" s="107"/>
      <c r="F383" s="107"/>
    </row>
    <row r="384">
      <c r="A384" s="131"/>
      <c r="B384" s="131"/>
      <c r="C384" s="131"/>
      <c r="D384" s="131"/>
      <c r="E384" s="107"/>
      <c r="F384" s="107"/>
    </row>
    <row r="385">
      <c r="A385" s="131"/>
      <c r="B385" s="131"/>
      <c r="C385" s="131"/>
      <c r="D385" s="131"/>
      <c r="E385" s="107"/>
      <c r="F385" s="107"/>
    </row>
    <row r="386">
      <c r="A386" s="131"/>
      <c r="B386" s="131"/>
      <c r="C386" s="131"/>
      <c r="D386" s="131"/>
      <c r="E386" s="107"/>
      <c r="F386" s="107"/>
    </row>
    <row r="387">
      <c r="A387" s="131"/>
      <c r="B387" s="131"/>
      <c r="C387" s="131"/>
      <c r="D387" s="131"/>
      <c r="E387" s="107"/>
      <c r="F387" s="107"/>
    </row>
    <row r="388">
      <c r="A388" s="131"/>
      <c r="B388" s="131"/>
      <c r="C388" s="131"/>
      <c r="D388" s="131"/>
      <c r="E388" s="98"/>
      <c r="F388" s="107"/>
    </row>
    <row r="389">
      <c r="A389" s="131"/>
      <c r="B389" s="131"/>
      <c r="C389" s="131"/>
      <c r="D389" s="131"/>
      <c r="E389" s="131"/>
      <c r="F389" s="131"/>
    </row>
    <row r="390">
      <c r="A390" s="131"/>
      <c r="B390" s="131"/>
      <c r="C390" s="131"/>
      <c r="D390" s="131"/>
      <c r="E390" s="105"/>
      <c r="F390" s="105"/>
    </row>
    <row r="391">
      <c r="A391" s="131"/>
      <c r="B391" s="131"/>
      <c r="C391" s="131"/>
      <c r="D391" s="131"/>
      <c r="E391" s="109"/>
      <c r="F391" s="109"/>
    </row>
    <row r="392">
      <c r="A392" s="131"/>
      <c r="B392" s="131"/>
      <c r="C392" s="131"/>
      <c r="D392" s="131"/>
      <c r="E392" s="109"/>
      <c r="F392" s="109"/>
    </row>
    <row r="393">
      <c r="A393" s="131"/>
      <c r="B393" s="131"/>
      <c r="C393" s="131"/>
      <c r="D393" s="131"/>
      <c r="E393" s="109"/>
      <c r="F393" s="109"/>
    </row>
    <row r="394">
      <c r="A394" s="131"/>
      <c r="B394" s="131"/>
      <c r="C394" s="131"/>
      <c r="D394" s="131"/>
      <c r="E394" s="109"/>
      <c r="F394" s="109"/>
    </row>
    <row r="395">
      <c r="A395" s="131"/>
      <c r="B395" s="131"/>
      <c r="C395" s="131"/>
      <c r="D395" s="131"/>
      <c r="E395" s="109"/>
      <c r="F395" s="109"/>
    </row>
    <row r="396">
      <c r="A396" s="131"/>
      <c r="B396" s="131"/>
      <c r="C396" s="131"/>
      <c r="D396" s="131"/>
      <c r="E396" s="109"/>
      <c r="F396" s="109"/>
    </row>
    <row r="397">
      <c r="A397" s="131"/>
      <c r="B397" s="131"/>
      <c r="C397" s="131"/>
      <c r="D397" s="131"/>
      <c r="E397" s="109"/>
      <c r="F397" s="109"/>
    </row>
    <row r="398">
      <c r="A398" s="131"/>
      <c r="B398" s="131"/>
      <c r="C398" s="131"/>
      <c r="D398" s="131"/>
      <c r="E398" s="109"/>
      <c r="F398" s="109"/>
    </row>
    <row r="399">
      <c r="A399" s="131"/>
      <c r="B399" s="131"/>
      <c r="C399" s="131"/>
      <c r="D399" s="131"/>
      <c r="E399" s="109"/>
      <c r="F399" s="109"/>
    </row>
    <row r="400">
      <c r="A400" s="131"/>
      <c r="B400" s="131"/>
      <c r="C400" s="131"/>
      <c r="D400" s="131"/>
      <c r="E400" s="109"/>
      <c r="F400" s="109"/>
    </row>
    <row r="401">
      <c r="A401" s="131"/>
      <c r="B401" s="131"/>
      <c r="C401" s="131"/>
      <c r="D401" s="131"/>
      <c r="E401" s="109"/>
      <c r="F401" s="109"/>
    </row>
    <row r="402">
      <c r="A402" s="131"/>
      <c r="B402" s="131"/>
      <c r="C402" s="131"/>
      <c r="D402" s="131"/>
      <c r="E402" s="109"/>
      <c r="F402" s="109"/>
    </row>
    <row r="403">
      <c r="A403" s="131"/>
      <c r="B403" s="131"/>
      <c r="C403" s="131"/>
      <c r="D403" s="131"/>
      <c r="E403" s="109"/>
      <c r="F403" s="109"/>
    </row>
    <row r="404">
      <c r="A404" s="131"/>
      <c r="B404" s="131"/>
      <c r="C404" s="131"/>
      <c r="D404" s="131"/>
      <c r="E404" s="109"/>
      <c r="F404" s="109"/>
    </row>
    <row r="405">
      <c r="A405" s="131"/>
      <c r="B405" s="131"/>
      <c r="C405" s="131"/>
      <c r="D405" s="131"/>
      <c r="E405" s="109"/>
      <c r="F405" s="109"/>
    </row>
    <row r="406">
      <c r="A406" s="131"/>
      <c r="B406" s="131"/>
      <c r="C406" s="131"/>
      <c r="D406" s="131"/>
      <c r="E406" s="109"/>
      <c r="F406" s="109"/>
    </row>
    <row r="407">
      <c r="A407" s="131"/>
      <c r="B407" s="131"/>
      <c r="C407" s="131"/>
      <c r="D407" s="131"/>
      <c r="E407" s="109"/>
      <c r="F407" s="109"/>
    </row>
    <row r="408">
      <c r="A408" s="131"/>
      <c r="B408" s="131"/>
      <c r="C408" s="131"/>
      <c r="D408" s="131"/>
      <c r="E408" s="109"/>
      <c r="F408" s="109"/>
    </row>
    <row r="409">
      <c r="A409" s="131"/>
      <c r="B409" s="131"/>
      <c r="C409" s="131"/>
      <c r="D409" s="131"/>
      <c r="E409" s="109"/>
      <c r="F409" s="109"/>
    </row>
    <row r="410">
      <c r="A410" s="131"/>
      <c r="B410" s="131"/>
      <c r="C410" s="131"/>
      <c r="D410" s="131"/>
      <c r="E410" s="109"/>
      <c r="F410" s="109"/>
    </row>
    <row r="411">
      <c r="A411" s="131"/>
      <c r="B411" s="131"/>
      <c r="C411" s="131"/>
      <c r="D411" s="131"/>
      <c r="E411" s="109"/>
      <c r="F411" s="109"/>
    </row>
    <row r="412">
      <c r="A412" s="131"/>
      <c r="B412" s="131"/>
      <c r="C412" s="131"/>
      <c r="D412" s="131"/>
      <c r="E412" s="109"/>
      <c r="F412" s="109"/>
    </row>
    <row r="413">
      <c r="A413" s="131"/>
      <c r="B413" s="131"/>
      <c r="C413" s="131"/>
      <c r="D413" s="131"/>
      <c r="E413" s="109"/>
      <c r="F413" s="109"/>
    </row>
    <row r="414">
      <c r="A414" s="131"/>
      <c r="B414" s="131"/>
      <c r="C414" s="131"/>
      <c r="D414" s="131"/>
      <c r="E414" s="109"/>
      <c r="F414" s="109"/>
    </row>
    <row r="415">
      <c r="A415" s="131"/>
      <c r="B415" s="131"/>
      <c r="C415" s="131"/>
      <c r="D415" s="131"/>
      <c r="E415" s="109"/>
      <c r="F415" s="109"/>
    </row>
    <row r="416">
      <c r="A416" s="131"/>
      <c r="B416" s="131"/>
      <c r="C416" s="131"/>
      <c r="D416" s="131"/>
      <c r="E416" s="131"/>
      <c r="F416" s="131"/>
    </row>
    <row r="417">
      <c r="A417" s="131"/>
      <c r="B417" s="131"/>
      <c r="C417" s="131"/>
      <c r="D417" s="131"/>
      <c r="E417" s="105"/>
      <c r="F417" s="105"/>
    </row>
    <row r="418">
      <c r="A418" s="131"/>
      <c r="B418" s="131"/>
      <c r="C418" s="131"/>
      <c r="D418" s="131"/>
      <c r="E418" s="107"/>
      <c r="F418" s="107"/>
    </row>
    <row r="419">
      <c r="A419" s="131"/>
      <c r="B419" s="131"/>
      <c r="C419" s="131"/>
      <c r="D419" s="131"/>
      <c r="E419" s="107"/>
      <c r="F419" s="107"/>
    </row>
    <row r="420">
      <c r="A420" s="131"/>
      <c r="B420" s="131"/>
      <c r="C420" s="131"/>
      <c r="D420" s="131"/>
      <c r="E420" s="107"/>
      <c r="F420" s="107"/>
    </row>
    <row r="421">
      <c r="A421" s="131"/>
      <c r="B421" s="131"/>
      <c r="C421" s="131"/>
      <c r="D421" s="131"/>
      <c r="E421" s="107"/>
      <c r="F421" s="107"/>
    </row>
    <row r="422">
      <c r="A422" s="131"/>
      <c r="B422" s="131"/>
      <c r="C422" s="131"/>
      <c r="D422" s="131"/>
      <c r="E422" s="107"/>
      <c r="F422" s="107"/>
    </row>
    <row r="423">
      <c r="A423" s="131"/>
      <c r="B423" s="131"/>
      <c r="C423" s="131"/>
      <c r="D423" s="131"/>
      <c r="E423" s="107"/>
      <c r="F423" s="107"/>
    </row>
    <row r="424">
      <c r="A424" s="131"/>
      <c r="B424" s="131"/>
      <c r="C424" s="131"/>
      <c r="D424" s="131"/>
      <c r="E424" s="107"/>
      <c r="F424" s="107"/>
    </row>
    <row r="425">
      <c r="A425" s="131"/>
      <c r="B425" s="131"/>
      <c r="C425" s="131"/>
      <c r="D425" s="131"/>
      <c r="E425" s="107"/>
      <c r="F425" s="107"/>
    </row>
    <row r="426">
      <c r="A426" s="131"/>
      <c r="B426" s="131"/>
      <c r="C426" s="131"/>
      <c r="D426" s="131"/>
      <c r="E426" s="107"/>
      <c r="F426" s="107"/>
    </row>
    <row r="427">
      <c r="A427" s="131"/>
      <c r="B427" s="131"/>
      <c r="C427" s="131"/>
      <c r="D427" s="131"/>
      <c r="E427" s="107"/>
      <c r="F427" s="107"/>
    </row>
    <row r="428">
      <c r="A428" s="131"/>
      <c r="B428" s="131"/>
      <c r="C428" s="131"/>
      <c r="D428" s="131"/>
      <c r="E428" s="107"/>
      <c r="F428" s="107"/>
    </row>
    <row r="429">
      <c r="A429" s="131"/>
      <c r="B429" s="131"/>
      <c r="C429" s="131"/>
      <c r="D429" s="131"/>
      <c r="E429" s="107"/>
      <c r="F429" s="107"/>
    </row>
    <row r="430">
      <c r="A430" s="131"/>
      <c r="B430" s="131"/>
      <c r="C430" s="131"/>
      <c r="D430" s="131"/>
      <c r="E430" s="107"/>
      <c r="F430" s="107"/>
    </row>
    <row r="431">
      <c r="A431" s="131"/>
      <c r="B431" s="131"/>
      <c r="C431" s="131"/>
      <c r="D431" s="131"/>
      <c r="E431" s="107"/>
      <c r="F431" s="107"/>
    </row>
    <row r="432">
      <c r="A432" s="131"/>
      <c r="B432" s="131"/>
      <c r="C432" s="131"/>
      <c r="D432" s="131"/>
      <c r="E432" s="107"/>
      <c r="F432" s="107"/>
    </row>
    <row r="433">
      <c r="A433" s="131"/>
      <c r="B433" s="131"/>
      <c r="C433" s="131"/>
      <c r="D433" s="131"/>
      <c r="E433" s="107"/>
      <c r="F433" s="107"/>
    </row>
    <row r="434">
      <c r="A434" s="131"/>
      <c r="B434" s="131"/>
      <c r="C434" s="131"/>
      <c r="D434" s="131"/>
      <c r="E434" s="107"/>
      <c r="F434" s="107"/>
    </row>
    <row r="435">
      <c r="A435" s="131"/>
      <c r="B435" s="131"/>
      <c r="C435" s="131"/>
      <c r="D435" s="131"/>
      <c r="E435" s="107"/>
      <c r="F435" s="107"/>
    </row>
    <row r="436">
      <c r="A436" s="131"/>
      <c r="B436" s="131"/>
      <c r="C436" s="131"/>
      <c r="D436" s="131"/>
      <c r="E436" s="107"/>
      <c r="F436" s="107"/>
    </row>
    <row r="437">
      <c r="A437" s="131"/>
      <c r="B437" s="131"/>
      <c r="C437" s="131"/>
      <c r="D437" s="131"/>
      <c r="E437" s="107"/>
      <c r="F437" s="107"/>
    </row>
    <row r="438">
      <c r="A438" s="131"/>
      <c r="B438" s="131"/>
      <c r="C438" s="131"/>
      <c r="D438" s="131"/>
      <c r="E438" s="107"/>
      <c r="F438" s="107"/>
    </row>
    <row r="439">
      <c r="A439" s="131"/>
      <c r="B439" s="131"/>
      <c r="C439" s="131"/>
      <c r="D439" s="131"/>
      <c r="E439" s="107"/>
      <c r="F439" s="107"/>
    </row>
    <row r="440">
      <c r="A440" s="131"/>
      <c r="B440" s="131"/>
      <c r="C440" s="131"/>
      <c r="D440" s="131"/>
      <c r="E440" s="107"/>
      <c r="F440" s="107"/>
    </row>
    <row r="441">
      <c r="A441" s="131"/>
      <c r="B441" s="131"/>
      <c r="C441" s="131"/>
      <c r="D441" s="131"/>
      <c r="E441" s="107"/>
      <c r="F441" s="107"/>
    </row>
    <row r="442">
      <c r="A442" s="131"/>
      <c r="B442" s="131"/>
      <c r="C442" s="131"/>
      <c r="D442" s="131"/>
      <c r="E442" s="107"/>
      <c r="F442" s="107"/>
    </row>
    <row r="443">
      <c r="A443" s="131"/>
      <c r="B443" s="131"/>
      <c r="C443" s="131"/>
      <c r="D443" s="131"/>
      <c r="E443" s="107"/>
      <c r="F443" s="107"/>
    </row>
    <row r="444">
      <c r="A444" s="131"/>
      <c r="B444" s="131"/>
      <c r="C444" s="131"/>
      <c r="D444" s="131"/>
      <c r="E444" s="107"/>
      <c r="F444" s="107"/>
    </row>
    <row r="445">
      <c r="A445" s="131"/>
      <c r="B445" s="131"/>
      <c r="C445" s="131"/>
      <c r="D445" s="131"/>
      <c r="E445" s="107"/>
      <c r="F445" s="107"/>
    </row>
    <row r="446">
      <c r="A446" s="131"/>
      <c r="B446" s="131"/>
      <c r="C446" s="131"/>
      <c r="D446" s="131"/>
      <c r="E446" s="107"/>
      <c r="F446" s="107"/>
    </row>
    <row r="447">
      <c r="A447" s="131"/>
      <c r="B447" s="131"/>
      <c r="C447" s="131"/>
      <c r="D447" s="131"/>
      <c r="E447" s="107"/>
      <c r="F447" s="107"/>
    </row>
    <row r="448">
      <c r="A448" s="131"/>
      <c r="B448" s="131"/>
      <c r="C448" s="131"/>
      <c r="D448" s="131"/>
      <c r="E448" s="107"/>
      <c r="F448" s="107"/>
    </row>
    <row r="449">
      <c r="A449" s="131"/>
      <c r="B449" s="131"/>
      <c r="C449" s="131"/>
      <c r="D449" s="131"/>
      <c r="E449" s="107"/>
      <c r="F449" s="107"/>
    </row>
    <row r="450">
      <c r="A450" s="131"/>
      <c r="B450" s="131"/>
      <c r="C450" s="131"/>
      <c r="D450" s="131"/>
      <c r="E450" s="107"/>
      <c r="F450" s="107"/>
    </row>
    <row r="451">
      <c r="A451" s="131"/>
      <c r="B451" s="131"/>
      <c r="C451" s="131"/>
      <c r="D451" s="131"/>
      <c r="E451" s="107"/>
      <c r="F451" s="107"/>
    </row>
    <row r="452">
      <c r="A452" s="131"/>
      <c r="B452" s="131"/>
      <c r="C452" s="131"/>
      <c r="D452" s="131"/>
      <c r="E452" s="107"/>
      <c r="F452" s="107"/>
    </row>
    <row r="453">
      <c r="A453" s="131"/>
      <c r="B453" s="131"/>
      <c r="C453" s="131"/>
      <c r="D453" s="131"/>
      <c r="E453" s="107"/>
      <c r="F453" s="107"/>
    </row>
    <row r="454">
      <c r="A454" s="131"/>
      <c r="B454" s="131"/>
      <c r="C454" s="131"/>
      <c r="D454" s="131"/>
      <c r="E454" s="116"/>
      <c r="F454" s="107"/>
    </row>
    <row r="455">
      <c r="A455" s="131"/>
      <c r="B455" s="131"/>
      <c r="C455" s="131"/>
      <c r="D455" s="131"/>
      <c r="E455" s="107"/>
      <c r="F455" s="107"/>
    </row>
    <row r="456">
      <c r="A456" s="131"/>
      <c r="B456" s="131"/>
      <c r="C456" s="131"/>
      <c r="D456" s="131"/>
      <c r="E456" s="107"/>
      <c r="F456" s="107"/>
    </row>
    <row r="457">
      <c r="A457" s="131"/>
      <c r="B457" s="131"/>
      <c r="C457" s="131"/>
      <c r="D457" s="131"/>
      <c r="E457" s="107"/>
      <c r="F457" s="107"/>
    </row>
    <row r="458">
      <c r="A458" s="131"/>
      <c r="B458" s="131"/>
      <c r="C458" s="131"/>
      <c r="D458" s="131"/>
      <c r="E458" s="107"/>
      <c r="F458" s="107"/>
    </row>
    <row r="459">
      <c r="A459" s="131"/>
      <c r="B459" s="131"/>
      <c r="C459" s="131"/>
      <c r="D459" s="131"/>
      <c r="E459" s="118"/>
      <c r="F459" s="107"/>
    </row>
    <row r="460">
      <c r="A460" s="131"/>
      <c r="B460" s="131"/>
      <c r="C460" s="131"/>
      <c r="D460" s="131"/>
      <c r="E460" s="118"/>
      <c r="F460" s="107"/>
    </row>
    <row r="461">
      <c r="A461" s="131"/>
      <c r="B461" s="131"/>
      <c r="C461" s="131"/>
      <c r="D461" s="131"/>
      <c r="E461" s="118"/>
      <c r="F461" s="107"/>
    </row>
    <row r="462">
      <c r="A462" s="131"/>
      <c r="B462" s="131"/>
      <c r="C462" s="131"/>
      <c r="D462" s="131"/>
      <c r="E462" s="118"/>
      <c r="F462" s="107"/>
    </row>
    <row r="463">
      <c r="A463" s="131"/>
      <c r="B463" s="131"/>
      <c r="C463" s="131"/>
      <c r="D463" s="131"/>
      <c r="E463" s="119"/>
      <c r="F463" s="119"/>
    </row>
    <row r="464">
      <c r="A464" s="131"/>
      <c r="B464" s="131"/>
      <c r="C464" s="131"/>
      <c r="D464" s="131"/>
      <c r="E464" s="107"/>
      <c r="F464" s="107"/>
    </row>
    <row r="465">
      <c r="A465" s="131"/>
      <c r="B465" s="131"/>
      <c r="C465" s="131"/>
      <c r="D465" s="131"/>
      <c r="E465" s="107"/>
      <c r="F465" s="107"/>
    </row>
    <row r="466">
      <c r="A466" s="131"/>
      <c r="B466" s="131"/>
      <c r="C466" s="131"/>
      <c r="D466" s="131"/>
      <c r="E466" s="107"/>
      <c r="F466" s="107"/>
    </row>
    <row r="467">
      <c r="A467" s="131"/>
      <c r="B467" s="131"/>
      <c r="C467" s="131"/>
      <c r="D467" s="131"/>
      <c r="E467" s="107"/>
      <c r="F467" s="107"/>
    </row>
    <row r="468">
      <c r="A468" s="131"/>
      <c r="B468" s="131"/>
      <c r="C468" s="131"/>
      <c r="D468" s="131"/>
      <c r="E468" s="107"/>
      <c r="F468" s="107"/>
    </row>
    <row r="469">
      <c r="A469" s="131"/>
      <c r="B469" s="131"/>
      <c r="C469" s="131"/>
      <c r="D469" s="131"/>
      <c r="E469" s="107"/>
      <c r="F469" s="107"/>
    </row>
    <row r="470">
      <c r="A470" s="131"/>
      <c r="B470" s="131"/>
      <c r="C470" s="131"/>
      <c r="D470" s="131"/>
      <c r="E470" s="107"/>
      <c r="F470" s="107"/>
    </row>
    <row r="471">
      <c r="A471" s="131"/>
      <c r="B471" s="131"/>
      <c r="C471" s="131"/>
      <c r="D471" s="131"/>
      <c r="E471" s="107"/>
      <c r="F471" s="107"/>
    </row>
    <row r="472">
      <c r="A472" s="131"/>
      <c r="B472" s="131"/>
      <c r="C472" s="131"/>
      <c r="D472" s="131"/>
      <c r="E472" s="107"/>
      <c r="F472" s="107"/>
    </row>
    <row r="473">
      <c r="A473" s="131"/>
      <c r="B473" s="131"/>
      <c r="C473" s="131"/>
      <c r="D473" s="131"/>
      <c r="E473" s="107"/>
      <c r="F473" s="107"/>
    </row>
    <row r="474">
      <c r="A474" s="131"/>
      <c r="B474" s="131"/>
      <c r="C474" s="131"/>
      <c r="D474" s="131"/>
      <c r="E474" s="107"/>
      <c r="F474" s="107"/>
    </row>
    <row r="475">
      <c r="A475" s="131"/>
      <c r="B475" s="131"/>
      <c r="C475" s="131"/>
      <c r="D475" s="131"/>
      <c r="E475" s="107"/>
      <c r="F475" s="107"/>
    </row>
    <row r="476">
      <c r="A476" s="131"/>
      <c r="B476" s="131"/>
      <c r="C476" s="131"/>
      <c r="D476" s="131"/>
      <c r="E476" s="107"/>
      <c r="F476" s="107"/>
    </row>
    <row r="477">
      <c r="A477" s="131"/>
      <c r="B477" s="131"/>
      <c r="C477" s="131"/>
      <c r="D477" s="131"/>
      <c r="E477" s="107"/>
      <c r="F477" s="107"/>
    </row>
    <row r="478">
      <c r="A478" s="131"/>
      <c r="B478" s="131"/>
      <c r="C478" s="131"/>
      <c r="D478" s="131"/>
      <c r="E478" s="107"/>
      <c r="F478" s="115"/>
    </row>
    <row r="479">
      <c r="A479" s="131"/>
      <c r="B479" s="131"/>
      <c r="C479" s="131"/>
      <c r="D479" s="131"/>
      <c r="E479" s="107"/>
      <c r="F479" s="107"/>
    </row>
    <row r="480">
      <c r="A480" s="131"/>
      <c r="B480" s="131"/>
      <c r="C480" s="131"/>
      <c r="D480" s="131"/>
      <c r="E480" s="131"/>
      <c r="F480" s="131"/>
    </row>
    <row r="481">
      <c r="A481" s="131"/>
      <c r="B481" s="131"/>
      <c r="C481" s="131"/>
      <c r="D481" s="131"/>
      <c r="E481" s="131"/>
      <c r="F481" s="131"/>
    </row>
    <row r="482">
      <c r="A482" s="131"/>
      <c r="B482" s="131"/>
      <c r="C482" s="131"/>
      <c r="D482" s="131"/>
      <c r="E482" s="131"/>
      <c r="F482" s="131"/>
    </row>
    <row r="483">
      <c r="A483" s="131"/>
      <c r="B483" s="131"/>
      <c r="C483" s="131"/>
      <c r="D483" s="131"/>
      <c r="E483" s="131"/>
      <c r="F483" s="131"/>
    </row>
    <row r="484">
      <c r="A484" s="131"/>
      <c r="B484" s="131"/>
      <c r="C484" s="131"/>
      <c r="D484" s="131"/>
      <c r="E484" s="131"/>
      <c r="F484" s="131"/>
    </row>
    <row r="485">
      <c r="A485" s="131"/>
      <c r="B485" s="131"/>
      <c r="C485" s="131"/>
      <c r="D485" s="131"/>
      <c r="E485" s="131"/>
      <c r="F485" s="131"/>
    </row>
    <row r="486">
      <c r="A486" s="131"/>
      <c r="B486" s="131"/>
      <c r="C486" s="131"/>
      <c r="D486" s="131"/>
      <c r="E486" s="131"/>
      <c r="F486" s="131"/>
    </row>
    <row r="487">
      <c r="A487" s="131"/>
      <c r="B487" s="131"/>
      <c r="C487" s="131"/>
      <c r="D487" s="131"/>
      <c r="E487" s="131"/>
      <c r="F487" s="131"/>
    </row>
    <row r="488">
      <c r="A488" s="131"/>
      <c r="B488" s="131"/>
      <c r="C488" s="131"/>
      <c r="D488" s="131"/>
      <c r="E488" s="131"/>
      <c r="F488" s="131"/>
    </row>
    <row r="489">
      <c r="A489" s="131"/>
      <c r="B489" s="131"/>
      <c r="C489" s="131"/>
      <c r="D489" s="131"/>
      <c r="E489" s="131"/>
      <c r="F489" s="131"/>
    </row>
    <row r="490">
      <c r="A490" s="131"/>
      <c r="B490" s="131"/>
      <c r="C490" s="131"/>
      <c r="D490" s="131"/>
      <c r="E490" s="131"/>
      <c r="F490" s="131"/>
    </row>
    <row r="491">
      <c r="A491" s="131"/>
      <c r="B491" s="131"/>
      <c r="C491" s="131"/>
      <c r="D491" s="131"/>
      <c r="E491" s="131"/>
      <c r="F491" s="131"/>
    </row>
    <row r="492">
      <c r="A492" s="131"/>
      <c r="B492" s="131"/>
      <c r="C492" s="131"/>
      <c r="D492" s="131"/>
      <c r="E492" s="131"/>
      <c r="F492" s="131"/>
    </row>
    <row r="493">
      <c r="A493" s="131"/>
      <c r="B493" s="131"/>
      <c r="C493" s="131"/>
      <c r="D493" s="131"/>
      <c r="E493" s="131"/>
      <c r="F493" s="131"/>
    </row>
    <row r="494">
      <c r="A494" s="131"/>
      <c r="B494" s="131"/>
      <c r="C494" s="131"/>
      <c r="D494" s="131"/>
      <c r="E494" s="131"/>
      <c r="F494" s="131"/>
    </row>
    <row r="495">
      <c r="A495" s="131"/>
      <c r="B495" s="131"/>
      <c r="C495" s="131"/>
      <c r="D495" s="131"/>
      <c r="E495" s="131"/>
      <c r="F495" s="131"/>
    </row>
    <row r="496">
      <c r="A496" s="131"/>
      <c r="B496" s="131"/>
      <c r="C496" s="131"/>
      <c r="D496" s="131"/>
      <c r="E496" s="131"/>
      <c r="F496" s="131"/>
    </row>
    <row r="497">
      <c r="A497" s="131"/>
      <c r="B497" s="131"/>
      <c r="C497" s="131"/>
      <c r="D497" s="131"/>
      <c r="E497" s="131"/>
      <c r="F497" s="131"/>
    </row>
    <row r="498">
      <c r="A498" s="131"/>
      <c r="B498" s="131"/>
      <c r="C498" s="131"/>
      <c r="D498" s="131"/>
      <c r="E498" s="131"/>
      <c r="F498" s="131"/>
    </row>
    <row r="499">
      <c r="A499" s="131"/>
      <c r="B499" s="131"/>
      <c r="C499" s="131"/>
      <c r="D499" s="131"/>
      <c r="E499" s="131"/>
      <c r="F499" s="131"/>
    </row>
    <row r="500">
      <c r="A500" s="86"/>
      <c r="B500" s="87"/>
      <c r="C500" s="131"/>
      <c r="D500" s="131"/>
      <c r="E500" s="131"/>
      <c r="F500" s="131"/>
      <c r="G500" s="88"/>
      <c r="L500" s="88"/>
      <c r="Q500" s="89"/>
    </row>
    <row r="501">
      <c r="A501" s="131"/>
      <c r="B501" s="131"/>
      <c r="C501" s="131"/>
      <c r="D501" s="131"/>
      <c r="E501" s="131"/>
      <c r="F501" s="131"/>
      <c r="G501" s="91"/>
      <c r="H501" s="92"/>
      <c r="I501" s="92"/>
      <c r="J501" s="93"/>
      <c r="K501" s="93"/>
      <c r="L501" s="93"/>
      <c r="M501" s="93"/>
      <c r="N501" s="93"/>
      <c r="O501" s="93"/>
      <c r="P501" s="93"/>
      <c r="Q501" s="90"/>
      <c r="R501" s="90"/>
      <c r="S501" s="90"/>
      <c r="T501" s="90"/>
      <c r="U501" s="90"/>
      <c r="V501" s="90"/>
      <c r="W501" s="90"/>
    </row>
    <row r="502">
      <c r="A502" s="131"/>
      <c r="B502" s="131"/>
      <c r="C502" s="131"/>
      <c r="D502" s="131"/>
      <c r="E502" s="94"/>
      <c r="F502" s="94"/>
    </row>
    <row r="503">
      <c r="A503" s="131"/>
      <c r="B503" s="131"/>
      <c r="C503" s="131"/>
      <c r="D503" s="131"/>
      <c r="E503" s="95"/>
      <c r="F503" s="96"/>
    </row>
    <row r="504">
      <c r="A504" s="131"/>
      <c r="B504" s="131"/>
      <c r="C504" s="131"/>
      <c r="D504" s="131"/>
      <c r="E504" s="95"/>
      <c r="F504" s="96"/>
    </row>
    <row r="505">
      <c r="A505" s="131"/>
      <c r="B505" s="131"/>
      <c r="C505" s="131"/>
      <c r="D505" s="131"/>
      <c r="E505" s="96"/>
      <c r="F505" s="96"/>
    </row>
    <row r="506">
      <c r="A506" s="131"/>
      <c r="B506" s="131"/>
      <c r="C506" s="131"/>
      <c r="D506" s="131"/>
      <c r="E506" s="96"/>
      <c r="F506" s="96"/>
    </row>
    <row r="507">
      <c r="A507" s="131"/>
      <c r="B507" s="131"/>
      <c r="C507" s="131"/>
      <c r="D507" s="131"/>
      <c r="E507" s="96"/>
      <c r="F507" s="96"/>
    </row>
    <row r="508">
      <c r="A508" s="131"/>
      <c r="B508" s="131"/>
      <c r="C508" s="131"/>
      <c r="D508" s="131"/>
      <c r="E508" s="96"/>
      <c r="F508" s="96"/>
    </row>
    <row r="509">
      <c r="A509" s="131"/>
      <c r="B509" s="131"/>
      <c r="C509" s="131"/>
      <c r="D509" s="131"/>
      <c r="E509" s="96"/>
      <c r="F509" s="96"/>
    </row>
    <row r="510">
      <c r="A510" s="131"/>
      <c r="B510" s="131"/>
      <c r="C510" s="131"/>
      <c r="D510" s="131"/>
      <c r="E510" s="96"/>
      <c r="F510" s="96"/>
    </row>
    <row r="511">
      <c r="A511" s="131"/>
      <c r="B511" s="131"/>
      <c r="C511" s="131"/>
      <c r="D511" s="131"/>
      <c r="E511" s="96"/>
      <c r="F511" s="96"/>
    </row>
    <row r="512">
      <c r="A512" s="131"/>
      <c r="B512" s="131"/>
      <c r="C512" s="131"/>
      <c r="D512" s="131"/>
      <c r="E512" s="96"/>
      <c r="F512" s="96"/>
    </row>
    <row r="513">
      <c r="A513" s="131"/>
      <c r="B513" s="131"/>
      <c r="C513" s="131"/>
      <c r="D513" s="131"/>
      <c r="E513" s="96"/>
      <c r="F513" s="96"/>
    </row>
    <row r="514">
      <c r="A514" s="131"/>
      <c r="B514" s="131"/>
      <c r="C514" s="131"/>
      <c r="D514" s="131"/>
      <c r="E514" s="96"/>
      <c r="F514" s="96"/>
    </row>
    <row r="515">
      <c r="A515" s="131"/>
      <c r="B515" s="131"/>
      <c r="C515" s="131"/>
      <c r="D515" s="131"/>
      <c r="E515" s="96"/>
      <c r="F515" s="96"/>
    </row>
    <row r="516">
      <c r="A516" s="131"/>
      <c r="B516" s="131"/>
      <c r="C516" s="131"/>
      <c r="D516" s="131"/>
      <c r="E516" s="97"/>
      <c r="F516" s="97"/>
    </row>
    <row r="517">
      <c r="A517" s="131"/>
      <c r="B517" s="131"/>
      <c r="C517" s="131"/>
      <c r="D517" s="131"/>
      <c r="E517" s="96"/>
      <c r="F517" s="96"/>
    </row>
    <row r="518">
      <c r="A518" s="131"/>
      <c r="B518" s="131"/>
      <c r="C518" s="131"/>
      <c r="D518" s="131"/>
      <c r="E518" s="96"/>
      <c r="F518" s="96"/>
    </row>
    <row r="519">
      <c r="A519" s="131"/>
      <c r="B519" s="131"/>
      <c r="C519" s="131"/>
      <c r="D519" s="131"/>
      <c r="E519" s="96"/>
      <c r="F519" s="96"/>
    </row>
    <row r="520">
      <c r="A520" s="131"/>
      <c r="B520" s="131"/>
      <c r="C520" s="131"/>
      <c r="D520" s="131"/>
      <c r="E520" s="96"/>
      <c r="F520" s="96"/>
    </row>
    <row r="521">
      <c r="A521" s="131"/>
      <c r="B521" s="131"/>
      <c r="C521" s="131"/>
      <c r="D521" s="131"/>
      <c r="E521" s="96"/>
      <c r="F521" s="96"/>
    </row>
    <row r="522">
      <c r="A522" s="131"/>
      <c r="B522" s="131"/>
      <c r="C522" s="131"/>
      <c r="D522" s="131"/>
      <c r="E522" s="96"/>
      <c r="F522" s="96"/>
    </row>
    <row r="523">
      <c r="A523" s="131"/>
      <c r="B523" s="131"/>
      <c r="C523" s="131"/>
      <c r="D523" s="131"/>
      <c r="E523" s="98"/>
      <c r="F523" s="96"/>
    </row>
    <row r="524">
      <c r="A524" s="131"/>
      <c r="B524" s="131"/>
      <c r="C524" s="131"/>
      <c r="D524" s="131"/>
      <c r="E524" s="99"/>
      <c r="F524" s="99"/>
    </row>
    <row r="525">
      <c r="A525" s="131"/>
      <c r="B525" s="131"/>
      <c r="C525" s="131"/>
      <c r="D525" s="131"/>
      <c r="E525" s="100"/>
      <c r="F525" s="100"/>
    </row>
    <row r="526">
      <c r="A526" s="131"/>
      <c r="B526" s="131"/>
      <c r="C526" s="131"/>
      <c r="D526" s="131"/>
      <c r="E526" s="100"/>
      <c r="F526" s="100"/>
    </row>
    <row r="527">
      <c r="A527" s="131"/>
      <c r="B527" s="131"/>
      <c r="C527" s="131"/>
      <c r="D527" s="131"/>
      <c r="E527" s="100"/>
      <c r="F527" s="100"/>
    </row>
    <row r="528">
      <c r="A528" s="131"/>
      <c r="B528" s="131"/>
      <c r="C528" s="131"/>
      <c r="D528" s="131"/>
      <c r="E528" s="100"/>
      <c r="F528" s="100"/>
    </row>
    <row r="529">
      <c r="A529" s="131"/>
      <c r="B529" s="131"/>
      <c r="C529" s="131"/>
      <c r="D529" s="131"/>
      <c r="E529" s="100"/>
      <c r="F529" s="100"/>
    </row>
    <row r="530">
      <c r="A530" s="131"/>
      <c r="B530" s="131"/>
      <c r="C530" s="131"/>
      <c r="D530" s="131"/>
      <c r="E530" s="100"/>
      <c r="F530" s="100"/>
    </row>
    <row r="531">
      <c r="A531" s="131"/>
      <c r="B531" s="131"/>
      <c r="C531" s="131"/>
      <c r="D531" s="131"/>
      <c r="E531" s="100"/>
      <c r="F531" s="100"/>
    </row>
    <row r="532">
      <c r="A532" s="131"/>
      <c r="B532" s="131"/>
      <c r="C532" s="131"/>
      <c r="D532" s="131"/>
      <c r="E532" s="101"/>
      <c r="F532" s="101"/>
    </row>
    <row r="533">
      <c r="A533" s="131"/>
      <c r="B533" s="131"/>
      <c r="C533" s="131"/>
      <c r="D533" s="131"/>
      <c r="E533" s="100"/>
      <c r="F533" s="100"/>
    </row>
    <row r="534">
      <c r="A534" s="131"/>
      <c r="B534" s="131"/>
      <c r="C534" s="131"/>
      <c r="D534" s="131"/>
      <c r="E534" s="100"/>
      <c r="F534" s="100"/>
    </row>
    <row r="535">
      <c r="A535" s="131"/>
      <c r="B535" s="131"/>
      <c r="C535" s="131"/>
      <c r="D535" s="131"/>
      <c r="E535" s="102"/>
      <c r="F535" s="102"/>
    </row>
    <row r="536">
      <c r="A536" s="131"/>
      <c r="B536" s="131"/>
      <c r="C536" s="131"/>
      <c r="D536" s="131"/>
      <c r="E536" s="103"/>
      <c r="F536" s="103"/>
    </row>
    <row r="537">
      <c r="A537" s="131"/>
      <c r="B537" s="131"/>
      <c r="C537" s="131"/>
      <c r="D537" s="131"/>
      <c r="E537" s="103"/>
      <c r="F537" s="103"/>
    </row>
    <row r="538">
      <c r="A538" s="131"/>
      <c r="B538" s="131"/>
      <c r="C538" s="131"/>
      <c r="D538" s="131"/>
      <c r="E538" s="102"/>
      <c r="F538" s="103"/>
    </row>
    <row r="539">
      <c r="A539" s="131"/>
      <c r="B539" s="131"/>
      <c r="C539" s="131"/>
      <c r="D539" s="131"/>
      <c r="E539" s="103"/>
      <c r="F539" s="103"/>
    </row>
    <row r="540">
      <c r="A540" s="131"/>
      <c r="B540" s="131"/>
      <c r="C540" s="131"/>
      <c r="D540" s="131"/>
      <c r="E540" s="103"/>
      <c r="F540" s="103"/>
    </row>
    <row r="541">
      <c r="A541" s="131"/>
      <c r="B541" s="131"/>
      <c r="C541" s="131"/>
      <c r="D541" s="131"/>
      <c r="E541" s="103"/>
      <c r="F541" s="103"/>
    </row>
    <row r="542">
      <c r="A542" s="131"/>
      <c r="B542" s="131"/>
      <c r="C542" s="131"/>
      <c r="D542" s="131"/>
      <c r="E542" s="103"/>
      <c r="F542" s="103"/>
    </row>
    <row r="543">
      <c r="A543" s="131"/>
      <c r="B543" s="131"/>
      <c r="C543" s="131"/>
      <c r="D543" s="131"/>
      <c r="E543" s="103"/>
      <c r="F543" s="103"/>
    </row>
    <row r="544">
      <c r="A544" s="131"/>
      <c r="B544" s="131"/>
      <c r="C544" s="131"/>
      <c r="D544" s="131"/>
      <c r="E544" s="103"/>
      <c r="F544" s="103"/>
    </row>
    <row r="545">
      <c r="A545" s="131"/>
      <c r="B545" s="131"/>
      <c r="C545" s="131"/>
      <c r="D545" s="131"/>
      <c r="E545" s="103"/>
      <c r="F545" s="103"/>
    </row>
    <row r="546">
      <c r="A546" s="131"/>
      <c r="B546" s="131"/>
      <c r="C546" s="131"/>
      <c r="D546" s="131"/>
      <c r="E546" s="103"/>
      <c r="F546" s="103"/>
    </row>
    <row r="547">
      <c r="A547" s="131"/>
      <c r="B547" s="131"/>
      <c r="C547" s="131"/>
      <c r="D547" s="131"/>
      <c r="E547" s="103"/>
      <c r="F547" s="103"/>
    </row>
    <row r="548">
      <c r="A548" s="131"/>
      <c r="B548" s="131"/>
      <c r="C548" s="131"/>
      <c r="D548" s="131"/>
      <c r="E548" s="103"/>
      <c r="F548" s="103"/>
    </row>
    <row r="549">
      <c r="A549" s="131"/>
      <c r="B549" s="131"/>
      <c r="C549" s="131"/>
      <c r="D549" s="131"/>
      <c r="E549" s="103"/>
      <c r="F549" s="103"/>
    </row>
    <row r="550">
      <c r="A550" s="131"/>
      <c r="B550" s="131"/>
      <c r="C550" s="131"/>
      <c r="D550" s="131"/>
      <c r="E550" s="103"/>
      <c r="F550" s="103"/>
    </row>
    <row r="551">
      <c r="A551" s="131"/>
      <c r="B551" s="131"/>
      <c r="C551" s="131"/>
      <c r="D551" s="131"/>
      <c r="E551" s="103"/>
      <c r="F551" s="103"/>
    </row>
    <row r="552">
      <c r="A552" s="131"/>
      <c r="B552" s="131"/>
      <c r="C552" s="131"/>
      <c r="D552" s="131"/>
      <c r="E552" s="103"/>
      <c r="F552" s="103"/>
    </row>
    <row r="553">
      <c r="A553" s="131"/>
      <c r="B553" s="131"/>
      <c r="C553" s="131"/>
      <c r="D553" s="131"/>
      <c r="E553" s="99"/>
      <c r="F553" s="99"/>
    </row>
    <row r="554">
      <c r="A554" s="131"/>
      <c r="B554" s="131"/>
      <c r="C554" s="131"/>
      <c r="D554" s="131"/>
      <c r="E554" s="100"/>
      <c r="F554" s="100"/>
    </row>
    <row r="555">
      <c r="A555" s="131"/>
      <c r="B555" s="131"/>
      <c r="C555" s="131"/>
      <c r="D555" s="131"/>
      <c r="E555" s="100"/>
      <c r="F555" s="100"/>
    </row>
    <row r="556">
      <c r="A556" s="131"/>
      <c r="B556" s="131"/>
      <c r="C556" s="131"/>
      <c r="D556" s="131"/>
      <c r="E556" s="100"/>
      <c r="F556" s="100"/>
    </row>
    <row r="557">
      <c r="A557" s="131"/>
      <c r="B557" s="131"/>
      <c r="C557" s="131"/>
      <c r="D557" s="131"/>
      <c r="E557" s="100"/>
      <c r="F557" s="100"/>
    </row>
    <row r="558">
      <c r="A558" s="131"/>
      <c r="B558" s="131"/>
      <c r="C558" s="131"/>
      <c r="D558" s="131"/>
      <c r="E558" s="100"/>
      <c r="F558" s="100"/>
    </row>
    <row r="559">
      <c r="A559" s="131"/>
      <c r="B559" s="131"/>
      <c r="C559" s="131"/>
      <c r="D559" s="131"/>
      <c r="E559" s="100"/>
      <c r="F559" s="100"/>
    </row>
    <row r="560">
      <c r="A560" s="131"/>
      <c r="B560" s="131"/>
      <c r="C560" s="131"/>
      <c r="D560" s="131"/>
      <c r="E560" s="100"/>
      <c r="F560" s="100"/>
    </row>
    <row r="561">
      <c r="A561" s="131"/>
      <c r="B561" s="131"/>
      <c r="C561" s="131"/>
      <c r="D561" s="131"/>
      <c r="E561" s="100"/>
      <c r="F561" s="100"/>
    </row>
    <row r="562">
      <c r="A562" s="131"/>
      <c r="B562" s="131"/>
      <c r="C562" s="131"/>
      <c r="D562" s="131"/>
      <c r="E562" s="100"/>
      <c r="F562" s="100"/>
    </row>
    <row r="563">
      <c r="A563" s="131"/>
      <c r="B563" s="131"/>
      <c r="C563" s="131"/>
      <c r="D563" s="131"/>
      <c r="E563" s="100"/>
      <c r="F563" s="100"/>
    </row>
    <row r="564">
      <c r="A564" s="131"/>
      <c r="B564" s="131"/>
      <c r="C564" s="131"/>
      <c r="D564" s="131"/>
      <c r="E564" s="99"/>
      <c r="F564" s="99"/>
    </row>
    <row r="565">
      <c r="A565" s="131"/>
      <c r="B565" s="131"/>
      <c r="C565" s="131"/>
      <c r="D565" s="131"/>
      <c r="E565" s="100"/>
      <c r="F565" s="100"/>
    </row>
    <row r="566">
      <c r="A566" s="131"/>
      <c r="B566" s="131"/>
      <c r="C566" s="131"/>
      <c r="D566" s="131"/>
      <c r="E566" s="100"/>
      <c r="F566" s="100"/>
    </row>
    <row r="567">
      <c r="A567" s="131"/>
      <c r="B567" s="131"/>
      <c r="C567" s="131"/>
      <c r="D567" s="131"/>
      <c r="E567" s="100"/>
      <c r="F567" s="100"/>
    </row>
    <row r="568">
      <c r="A568" s="131"/>
      <c r="B568" s="131"/>
      <c r="C568" s="131"/>
      <c r="D568" s="131"/>
      <c r="E568" s="100"/>
      <c r="F568" s="100"/>
    </row>
    <row r="569">
      <c r="A569" s="131"/>
      <c r="B569" s="131"/>
      <c r="C569" s="131"/>
      <c r="D569" s="131"/>
      <c r="E569" s="100"/>
      <c r="F569" s="100"/>
    </row>
    <row r="570">
      <c r="A570" s="131"/>
      <c r="B570" s="131"/>
      <c r="C570" s="131"/>
      <c r="D570" s="131"/>
      <c r="E570" s="100"/>
      <c r="F570" s="100"/>
    </row>
    <row r="571">
      <c r="A571" s="131"/>
      <c r="B571" s="131"/>
      <c r="C571" s="131"/>
      <c r="D571" s="131"/>
      <c r="E571" s="101"/>
      <c r="F571" s="101"/>
    </row>
    <row r="572">
      <c r="A572" s="131"/>
      <c r="B572" s="131"/>
      <c r="C572" s="131"/>
      <c r="D572" s="131"/>
      <c r="E572" s="101"/>
      <c r="F572" s="101"/>
    </row>
    <row r="573">
      <c r="A573" s="131"/>
      <c r="B573" s="131"/>
      <c r="C573" s="131"/>
      <c r="D573" s="131"/>
      <c r="E573" s="101"/>
      <c r="F573" s="101"/>
    </row>
    <row r="574">
      <c r="A574" s="131"/>
      <c r="B574" s="131"/>
      <c r="C574" s="131"/>
      <c r="D574" s="131"/>
      <c r="E574" s="101"/>
      <c r="F574" s="101"/>
    </row>
    <row r="575">
      <c r="A575" s="131"/>
      <c r="B575" s="131"/>
      <c r="C575" s="131"/>
      <c r="D575" s="131"/>
      <c r="E575" s="101"/>
      <c r="F575" s="101"/>
    </row>
    <row r="576">
      <c r="A576" s="131"/>
      <c r="B576" s="131"/>
      <c r="C576" s="131"/>
      <c r="D576" s="131"/>
      <c r="E576" s="101"/>
      <c r="F576" s="101"/>
    </row>
    <row r="577">
      <c r="A577" s="131"/>
      <c r="B577" s="131"/>
      <c r="C577" s="131"/>
      <c r="D577" s="131"/>
      <c r="E577" s="105"/>
      <c r="F577" s="105"/>
    </row>
    <row r="578">
      <c r="A578" s="131"/>
      <c r="B578" s="131"/>
      <c r="C578" s="131"/>
      <c r="D578" s="131"/>
      <c r="E578" s="106"/>
      <c r="F578" s="106"/>
    </row>
    <row r="579">
      <c r="A579" s="131"/>
      <c r="B579" s="131"/>
      <c r="C579" s="131"/>
      <c r="D579" s="131"/>
      <c r="E579" s="107"/>
      <c r="F579" s="107"/>
    </row>
    <row r="580">
      <c r="A580" s="131"/>
      <c r="B580" s="131"/>
      <c r="C580" s="131"/>
      <c r="D580" s="131"/>
      <c r="E580" s="107"/>
      <c r="F580" s="107"/>
    </row>
    <row r="581">
      <c r="A581" s="131"/>
      <c r="B581" s="131"/>
      <c r="C581" s="131"/>
      <c r="D581" s="131"/>
      <c r="E581" s="108"/>
      <c r="F581" s="108"/>
    </row>
    <row r="582">
      <c r="A582" s="131"/>
      <c r="B582" s="131"/>
      <c r="C582" s="131"/>
      <c r="D582" s="131"/>
      <c r="E582" s="107"/>
      <c r="F582" s="107"/>
    </row>
    <row r="583">
      <c r="A583" s="131"/>
      <c r="B583" s="131"/>
      <c r="C583" s="131"/>
      <c r="D583" s="131"/>
      <c r="E583" s="106"/>
      <c r="F583" s="106"/>
    </row>
    <row r="584">
      <c r="A584" s="131"/>
      <c r="B584" s="131"/>
      <c r="C584" s="131"/>
      <c r="D584" s="131"/>
      <c r="E584" s="107"/>
      <c r="F584" s="107"/>
    </row>
    <row r="585">
      <c r="A585" s="131"/>
      <c r="B585" s="131"/>
      <c r="C585" s="131"/>
      <c r="D585" s="131"/>
      <c r="E585" s="107"/>
      <c r="F585" s="107"/>
    </row>
    <row r="586">
      <c r="A586" s="131"/>
      <c r="B586" s="131"/>
      <c r="C586" s="131"/>
      <c r="D586" s="131"/>
      <c r="E586" s="107"/>
      <c r="F586" s="107"/>
    </row>
    <row r="587">
      <c r="A587" s="131"/>
      <c r="B587" s="131"/>
      <c r="C587" s="131"/>
      <c r="D587" s="131"/>
      <c r="E587" s="107"/>
      <c r="F587" s="107"/>
    </row>
    <row r="588">
      <c r="A588" s="131"/>
      <c r="B588" s="131"/>
      <c r="C588" s="131"/>
      <c r="D588" s="131"/>
      <c r="E588" s="106"/>
      <c r="F588" s="106"/>
    </row>
    <row r="589">
      <c r="A589" s="131"/>
      <c r="B589" s="131"/>
      <c r="C589" s="131"/>
      <c r="D589" s="131"/>
      <c r="E589" s="107"/>
      <c r="F589" s="107"/>
    </row>
    <row r="590">
      <c r="A590" s="131"/>
      <c r="B590" s="131"/>
      <c r="C590" s="131"/>
      <c r="D590" s="131"/>
      <c r="E590" s="109"/>
      <c r="F590" s="109"/>
    </row>
    <row r="591">
      <c r="A591" s="131"/>
      <c r="B591" s="131"/>
      <c r="C591" s="131"/>
      <c r="D591" s="131"/>
      <c r="E591" s="110"/>
      <c r="F591" s="110"/>
    </row>
    <row r="592">
      <c r="A592" s="131"/>
      <c r="B592" s="131"/>
      <c r="C592" s="131"/>
      <c r="D592" s="131"/>
      <c r="E592" s="110"/>
      <c r="F592" s="110"/>
    </row>
    <row r="593">
      <c r="A593" s="131"/>
      <c r="B593" s="131"/>
      <c r="C593" s="131"/>
      <c r="D593" s="131"/>
      <c r="E593" s="111"/>
      <c r="F593" s="111"/>
    </row>
    <row r="594">
      <c r="A594" s="131"/>
      <c r="B594" s="131"/>
      <c r="C594" s="131"/>
      <c r="D594" s="131"/>
      <c r="E594" s="112"/>
      <c r="F594" s="112"/>
    </row>
    <row r="595">
      <c r="A595" s="131"/>
      <c r="B595" s="131"/>
      <c r="C595" s="131"/>
      <c r="D595" s="131"/>
      <c r="E595" s="112"/>
      <c r="F595" s="112"/>
    </row>
    <row r="596">
      <c r="A596" s="131"/>
      <c r="B596" s="131"/>
      <c r="C596" s="131"/>
      <c r="D596" s="131"/>
      <c r="E596" s="112"/>
      <c r="F596" s="112"/>
    </row>
    <row r="597">
      <c r="A597" s="131"/>
      <c r="B597" s="131"/>
      <c r="C597" s="131"/>
      <c r="D597" s="131"/>
      <c r="E597" s="112"/>
      <c r="F597" s="112"/>
    </row>
    <row r="598">
      <c r="A598" s="131"/>
      <c r="B598" s="131"/>
      <c r="C598" s="131"/>
      <c r="D598" s="131"/>
      <c r="E598" s="113"/>
      <c r="F598" s="110"/>
    </row>
    <row r="599">
      <c r="A599" s="131"/>
      <c r="B599" s="131"/>
      <c r="C599" s="131"/>
      <c r="D599" s="131"/>
      <c r="E599" s="114"/>
      <c r="F599" s="114"/>
    </row>
    <row r="600">
      <c r="A600" s="131"/>
      <c r="B600" s="131"/>
      <c r="C600" s="131"/>
      <c r="D600" s="131"/>
      <c r="E600" s="114"/>
      <c r="F600" s="114"/>
    </row>
    <row r="601">
      <c r="A601" s="131"/>
      <c r="B601" s="131"/>
      <c r="C601" s="131"/>
      <c r="D601" s="131"/>
      <c r="E601" s="114"/>
      <c r="F601" s="114"/>
    </row>
    <row r="602">
      <c r="A602" s="131"/>
      <c r="B602" s="131"/>
      <c r="C602" s="131"/>
      <c r="D602" s="131"/>
      <c r="E602" s="114"/>
      <c r="F602" s="114"/>
    </row>
    <row r="603">
      <c r="A603" s="131"/>
      <c r="B603" s="131"/>
      <c r="C603" s="131"/>
      <c r="D603" s="131"/>
      <c r="E603" s="114"/>
      <c r="F603" s="114"/>
    </row>
    <row r="604">
      <c r="A604" s="131"/>
      <c r="B604" s="131"/>
      <c r="C604" s="131"/>
      <c r="D604" s="131"/>
      <c r="E604" s="114"/>
      <c r="F604" s="114"/>
    </row>
    <row r="605">
      <c r="A605" s="131"/>
      <c r="B605" s="131"/>
      <c r="C605" s="131"/>
      <c r="D605" s="131"/>
      <c r="E605" s="114"/>
      <c r="F605" s="114"/>
    </row>
    <row r="606">
      <c r="A606" s="131"/>
      <c r="B606" s="131"/>
      <c r="C606" s="131"/>
      <c r="D606" s="131"/>
      <c r="E606" s="114"/>
      <c r="F606" s="114"/>
    </row>
    <row r="607">
      <c r="A607" s="131"/>
      <c r="B607" s="131"/>
      <c r="C607" s="131"/>
      <c r="D607" s="131"/>
      <c r="E607" s="114"/>
      <c r="F607" s="114"/>
    </row>
    <row r="608">
      <c r="A608" s="131"/>
      <c r="B608" s="131"/>
      <c r="C608" s="131"/>
      <c r="D608" s="131"/>
      <c r="E608" s="114"/>
      <c r="F608" s="114"/>
    </row>
    <row r="609">
      <c r="A609" s="131"/>
      <c r="B609" s="131"/>
      <c r="C609" s="131"/>
      <c r="D609" s="131"/>
      <c r="E609" s="114"/>
      <c r="F609" s="114"/>
    </row>
    <row r="610">
      <c r="A610" s="131"/>
      <c r="B610" s="131"/>
      <c r="C610" s="131"/>
      <c r="D610" s="131"/>
      <c r="E610" s="114"/>
      <c r="F610" s="114"/>
    </row>
    <row r="611">
      <c r="A611" s="131"/>
      <c r="B611" s="131"/>
      <c r="C611" s="131"/>
      <c r="D611" s="131"/>
      <c r="E611" s="114"/>
      <c r="F611" s="114"/>
    </row>
    <row r="612">
      <c r="A612" s="131"/>
      <c r="B612" s="131"/>
      <c r="C612" s="131"/>
      <c r="D612" s="131"/>
      <c r="E612" s="114"/>
      <c r="F612" s="114"/>
    </row>
    <row r="613">
      <c r="A613" s="131"/>
      <c r="B613" s="131"/>
      <c r="C613" s="131"/>
      <c r="D613" s="131"/>
      <c r="E613" s="114"/>
      <c r="F613" s="114"/>
    </row>
    <row r="614">
      <c r="A614" s="131"/>
      <c r="B614" s="131"/>
      <c r="C614" s="131"/>
      <c r="D614" s="131"/>
      <c r="E614" s="114"/>
      <c r="F614" s="114"/>
    </row>
    <row r="615">
      <c r="A615" s="131"/>
      <c r="B615" s="131"/>
      <c r="C615" s="131"/>
      <c r="D615" s="131"/>
      <c r="E615" s="114"/>
      <c r="F615" s="114"/>
    </row>
    <row r="616">
      <c r="A616" s="131"/>
      <c r="B616" s="131"/>
      <c r="C616" s="131"/>
      <c r="D616" s="131"/>
      <c r="E616" s="114"/>
      <c r="F616" s="114"/>
    </row>
    <row r="617">
      <c r="A617" s="131"/>
      <c r="B617" s="131"/>
      <c r="C617" s="131"/>
      <c r="D617" s="131"/>
      <c r="E617" s="114"/>
      <c r="F617" s="114"/>
    </row>
    <row r="618">
      <c r="A618" s="131"/>
      <c r="B618" s="131"/>
      <c r="C618" s="131"/>
      <c r="D618" s="131"/>
      <c r="E618" s="114"/>
      <c r="F618" s="114"/>
    </row>
    <row r="619">
      <c r="A619" s="131"/>
      <c r="B619" s="131"/>
      <c r="C619" s="131"/>
      <c r="D619" s="131"/>
      <c r="E619" s="131"/>
      <c r="F619" s="131"/>
    </row>
    <row r="620">
      <c r="A620" s="131"/>
      <c r="B620" s="131"/>
      <c r="C620" s="131"/>
      <c r="D620" s="131"/>
      <c r="E620" s="105"/>
      <c r="F620" s="105"/>
    </row>
    <row r="621">
      <c r="A621" s="131"/>
      <c r="B621" s="131"/>
      <c r="C621" s="131"/>
      <c r="D621" s="131"/>
      <c r="E621" s="115"/>
      <c r="F621" s="107"/>
    </row>
    <row r="622">
      <c r="A622" s="131"/>
      <c r="B622" s="131"/>
      <c r="C622" s="131"/>
      <c r="D622" s="131"/>
      <c r="E622" s="107"/>
      <c r="F622" s="107"/>
    </row>
    <row r="623">
      <c r="A623" s="131"/>
      <c r="B623" s="131"/>
      <c r="C623" s="131"/>
      <c r="D623" s="131"/>
      <c r="E623" s="116"/>
      <c r="F623" s="107"/>
    </row>
    <row r="624">
      <c r="A624" s="131"/>
      <c r="B624" s="131"/>
      <c r="C624" s="131"/>
      <c r="D624" s="131"/>
      <c r="E624" s="107"/>
      <c r="F624" s="107"/>
    </row>
    <row r="625">
      <c r="A625" s="131"/>
      <c r="B625" s="131"/>
      <c r="C625" s="131"/>
      <c r="D625" s="131"/>
      <c r="E625" s="107"/>
      <c r="F625" s="107"/>
    </row>
    <row r="626">
      <c r="A626" s="131"/>
      <c r="B626" s="131"/>
      <c r="C626" s="131"/>
      <c r="D626" s="131"/>
      <c r="E626" s="107"/>
      <c r="F626" s="107"/>
    </row>
    <row r="627">
      <c r="A627" s="131"/>
      <c r="B627" s="131"/>
      <c r="C627" s="131"/>
      <c r="D627" s="131"/>
      <c r="E627" s="107"/>
      <c r="F627" s="107"/>
    </row>
    <row r="628">
      <c r="A628" s="131"/>
      <c r="B628" s="131"/>
      <c r="C628" s="131"/>
      <c r="D628" s="131"/>
      <c r="E628" s="107"/>
      <c r="F628" s="107"/>
    </row>
    <row r="629">
      <c r="A629" s="131"/>
      <c r="B629" s="131"/>
      <c r="C629" s="131"/>
      <c r="D629" s="131"/>
      <c r="E629" s="107"/>
      <c r="F629" s="107"/>
    </row>
    <row r="630">
      <c r="A630" s="131"/>
      <c r="B630" s="131"/>
      <c r="C630" s="131"/>
      <c r="D630" s="131"/>
      <c r="E630" s="107"/>
      <c r="F630" s="107"/>
    </row>
    <row r="631">
      <c r="A631" s="131"/>
      <c r="B631" s="131"/>
      <c r="C631" s="131"/>
      <c r="D631" s="131"/>
      <c r="E631" s="107"/>
      <c r="F631" s="107"/>
    </row>
    <row r="632">
      <c r="A632" s="131"/>
      <c r="B632" s="131"/>
      <c r="C632" s="131"/>
      <c r="D632" s="131"/>
      <c r="E632" s="107"/>
      <c r="F632" s="107"/>
    </row>
    <row r="633">
      <c r="A633" s="131"/>
      <c r="B633" s="131"/>
      <c r="C633" s="131"/>
      <c r="D633" s="131"/>
      <c r="E633" s="107"/>
      <c r="F633" s="107"/>
    </row>
    <row r="634">
      <c r="A634" s="131"/>
      <c r="B634" s="131"/>
      <c r="C634" s="131"/>
      <c r="D634" s="131"/>
      <c r="E634" s="107"/>
      <c r="F634" s="107"/>
    </row>
    <row r="635">
      <c r="A635" s="131"/>
      <c r="B635" s="131"/>
      <c r="C635" s="131"/>
      <c r="D635" s="131"/>
      <c r="E635" s="107"/>
      <c r="F635" s="107"/>
    </row>
    <row r="636">
      <c r="A636" s="131"/>
      <c r="B636" s="131"/>
      <c r="C636" s="131"/>
      <c r="D636" s="131"/>
      <c r="E636" s="107"/>
      <c r="F636" s="107"/>
    </row>
    <row r="637">
      <c r="A637" s="131"/>
      <c r="B637" s="131"/>
      <c r="C637" s="131"/>
      <c r="D637" s="131"/>
      <c r="E637" s="107"/>
      <c r="F637" s="107"/>
    </row>
    <row r="638">
      <c r="A638" s="131"/>
      <c r="B638" s="131"/>
      <c r="C638" s="131"/>
      <c r="D638" s="131"/>
      <c r="E638" s="98"/>
      <c r="F638" s="107"/>
    </row>
    <row r="639">
      <c r="A639" s="131"/>
      <c r="B639" s="131"/>
      <c r="C639" s="131"/>
      <c r="D639" s="131"/>
      <c r="E639" s="131"/>
      <c r="F639" s="131"/>
    </row>
    <row r="640">
      <c r="A640" s="131"/>
      <c r="B640" s="131"/>
      <c r="C640" s="131"/>
      <c r="D640" s="131"/>
      <c r="E640" s="105"/>
      <c r="F640" s="105"/>
    </row>
    <row r="641">
      <c r="A641" s="131"/>
      <c r="B641" s="131"/>
      <c r="C641" s="131"/>
      <c r="D641" s="131"/>
      <c r="E641" s="109"/>
      <c r="F641" s="109"/>
    </row>
    <row r="642">
      <c r="A642" s="131"/>
      <c r="B642" s="131"/>
      <c r="C642" s="131"/>
      <c r="D642" s="131"/>
      <c r="E642" s="109"/>
      <c r="F642" s="109"/>
    </row>
    <row r="643">
      <c r="A643" s="131"/>
      <c r="B643" s="131"/>
      <c r="C643" s="131"/>
      <c r="D643" s="131"/>
      <c r="E643" s="109"/>
      <c r="F643" s="109"/>
    </row>
    <row r="644">
      <c r="A644" s="131"/>
      <c r="B644" s="131"/>
      <c r="C644" s="131"/>
      <c r="D644" s="131"/>
      <c r="E644" s="109"/>
      <c r="F644" s="109"/>
    </row>
    <row r="645">
      <c r="A645" s="131"/>
      <c r="B645" s="131"/>
      <c r="C645" s="131"/>
      <c r="D645" s="131"/>
      <c r="E645" s="109"/>
      <c r="F645" s="109"/>
    </row>
    <row r="646">
      <c r="A646" s="131"/>
      <c r="B646" s="131"/>
      <c r="C646" s="131"/>
      <c r="D646" s="131"/>
      <c r="E646" s="109"/>
      <c r="F646" s="109"/>
    </row>
    <row r="647">
      <c r="A647" s="131"/>
      <c r="B647" s="131"/>
      <c r="C647" s="131"/>
      <c r="D647" s="131"/>
      <c r="E647" s="109"/>
      <c r="F647" s="109"/>
    </row>
    <row r="648">
      <c r="A648" s="131"/>
      <c r="B648" s="131"/>
      <c r="C648" s="131"/>
      <c r="D648" s="131"/>
      <c r="E648" s="109"/>
      <c r="F648" s="109"/>
    </row>
    <row r="649">
      <c r="A649" s="131"/>
      <c r="B649" s="131"/>
      <c r="C649" s="131"/>
      <c r="D649" s="131"/>
      <c r="E649" s="109"/>
      <c r="F649" s="109"/>
    </row>
    <row r="650">
      <c r="A650" s="131"/>
      <c r="B650" s="131"/>
      <c r="C650" s="131"/>
      <c r="D650" s="131"/>
      <c r="E650" s="109"/>
      <c r="F650" s="109"/>
    </row>
    <row r="651">
      <c r="A651" s="131"/>
      <c r="B651" s="131"/>
      <c r="C651" s="131"/>
      <c r="D651" s="131"/>
      <c r="E651" s="109"/>
      <c r="F651" s="109"/>
    </row>
    <row r="652">
      <c r="A652" s="131"/>
      <c r="B652" s="131"/>
      <c r="C652" s="131"/>
      <c r="D652" s="131"/>
      <c r="E652" s="109"/>
      <c r="F652" s="109"/>
    </row>
    <row r="653">
      <c r="A653" s="131"/>
      <c r="B653" s="131"/>
      <c r="C653" s="131"/>
      <c r="D653" s="131"/>
      <c r="E653" s="109"/>
      <c r="F653" s="109"/>
    </row>
    <row r="654">
      <c r="A654" s="131"/>
      <c r="B654" s="131"/>
      <c r="C654" s="131"/>
      <c r="D654" s="131"/>
      <c r="E654" s="109"/>
      <c r="F654" s="109"/>
    </row>
    <row r="655">
      <c r="A655" s="131"/>
      <c r="B655" s="131"/>
      <c r="C655" s="131"/>
      <c r="D655" s="131"/>
      <c r="E655" s="109"/>
      <c r="F655" s="109"/>
    </row>
    <row r="656">
      <c r="A656" s="131"/>
      <c r="B656" s="131"/>
      <c r="C656" s="131"/>
      <c r="D656" s="131"/>
      <c r="E656" s="109"/>
      <c r="F656" s="109"/>
    </row>
    <row r="657">
      <c r="A657" s="131"/>
      <c r="B657" s="131"/>
      <c r="C657" s="131"/>
      <c r="D657" s="131"/>
      <c r="E657" s="109"/>
      <c r="F657" s="109"/>
    </row>
    <row r="658">
      <c r="A658" s="131"/>
      <c r="B658" s="131"/>
      <c r="C658" s="131"/>
      <c r="D658" s="131"/>
      <c r="E658" s="109"/>
      <c r="F658" s="109"/>
    </row>
    <row r="659">
      <c r="A659" s="131"/>
      <c r="B659" s="131"/>
      <c r="C659" s="131"/>
      <c r="D659" s="131"/>
      <c r="E659" s="109"/>
      <c r="F659" s="109"/>
    </row>
    <row r="660">
      <c r="A660" s="131"/>
      <c r="B660" s="131"/>
      <c r="C660" s="131"/>
      <c r="D660" s="131"/>
      <c r="E660" s="109"/>
      <c r="F660" s="109"/>
    </row>
    <row r="661">
      <c r="A661" s="131"/>
      <c r="B661" s="131"/>
      <c r="C661" s="131"/>
      <c r="D661" s="131"/>
      <c r="E661" s="109"/>
      <c r="F661" s="109"/>
    </row>
    <row r="662">
      <c r="A662" s="131"/>
      <c r="B662" s="131"/>
      <c r="C662" s="131"/>
      <c r="D662" s="131"/>
      <c r="E662" s="109"/>
      <c r="F662" s="109"/>
    </row>
    <row r="663">
      <c r="A663" s="131"/>
      <c r="B663" s="131"/>
      <c r="C663" s="131"/>
      <c r="D663" s="131"/>
      <c r="E663" s="109"/>
      <c r="F663" s="109"/>
    </row>
    <row r="664">
      <c r="A664" s="131"/>
      <c r="B664" s="131"/>
      <c r="C664" s="131"/>
      <c r="D664" s="131"/>
      <c r="E664" s="109"/>
      <c r="F664" s="109"/>
    </row>
    <row r="665">
      <c r="A665" s="131"/>
      <c r="B665" s="131"/>
      <c r="C665" s="131"/>
      <c r="D665" s="131"/>
      <c r="E665" s="109"/>
      <c r="F665" s="109"/>
    </row>
    <row r="666">
      <c r="A666" s="131"/>
      <c r="B666" s="131"/>
      <c r="C666" s="131"/>
      <c r="D666" s="131"/>
      <c r="E666" s="131"/>
      <c r="F666" s="131"/>
    </row>
    <row r="667">
      <c r="A667" s="131"/>
      <c r="B667" s="131"/>
      <c r="C667" s="131"/>
      <c r="D667" s="131"/>
      <c r="E667" s="105"/>
      <c r="F667" s="105"/>
    </row>
    <row r="668">
      <c r="A668" s="131"/>
      <c r="B668" s="131"/>
      <c r="C668" s="131"/>
      <c r="D668" s="131"/>
      <c r="E668" s="107"/>
      <c r="F668" s="107"/>
    </row>
    <row r="669">
      <c r="A669" s="131"/>
      <c r="B669" s="131"/>
      <c r="C669" s="131"/>
      <c r="D669" s="131"/>
      <c r="E669" s="107"/>
      <c r="F669" s="107"/>
    </row>
    <row r="670">
      <c r="A670" s="131"/>
      <c r="B670" s="131"/>
      <c r="C670" s="131"/>
      <c r="D670" s="131"/>
      <c r="E670" s="107"/>
      <c r="F670" s="107"/>
    </row>
    <row r="671">
      <c r="A671" s="131"/>
      <c r="B671" s="131"/>
      <c r="C671" s="131"/>
      <c r="D671" s="131"/>
      <c r="E671" s="107"/>
      <c r="F671" s="107"/>
    </row>
    <row r="672">
      <c r="A672" s="131"/>
      <c r="B672" s="131"/>
      <c r="C672" s="131"/>
      <c r="D672" s="131"/>
      <c r="E672" s="107"/>
      <c r="F672" s="107"/>
    </row>
    <row r="673">
      <c r="A673" s="131"/>
      <c r="B673" s="131"/>
      <c r="C673" s="131"/>
      <c r="D673" s="131"/>
      <c r="E673" s="107"/>
      <c r="F673" s="107"/>
    </row>
    <row r="674">
      <c r="A674" s="131"/>
      <c r="B674" s="131"/>
      <c r="C674" s="131"/>
      <c r="D674" s="131"/>
      <c r="E674" s="107"/>
      <c r="F674" s="107"/>
    </row>
    <row r="675">
      <c r="A675" s="131"/>
      <c r="B675" s="131"/>
      <c r="C675" s="131"/>
      <c r="D675" s="131"/>
      <c r="E675" s="107"/>
      <c r="F675" s="107"/>
    </row>
    <row r="676">
      <c r="A676" s="131"/>
      <c r="B676" s="131"/>
      <c r="C676" s="131"/>
      <c r="D676" s="131"/>
      <c r="E676" s="107"/>
      <c r="F676" s="107"/>
    </row>
    <row r="677">
      <c r="A677" s="131"/>
      <c r="B677" s="131"/>
      <c r="C677" s="131"/>
      <c r="D677" s="131"/>
      <c r="E677" s="107"/>
      <c r="F677" s="107"/>
    </row>
    <row r="678">
      <c r="A678" s="131"/>
      <c r="B678" s="131"/>
      <c r="C678" s="131"/>
      <c r="D678" s="131"/>
      <c r="E678" s="107"/>
      <c r="F678" s="107"/>
    </row>
    <row r="679">
      <c r="A679" s="131"/>
      <c r="B679" s="131"/>
      <c r="C679" s="131"/>
      <c r="D679" s="131"/>
      <c r="E679" s="107"/>
      <c r="F679" s="107"/>
    </row>
    <row r="680">
      <c r="A680" s="131"/>
      <c r="B680" s="131"/>
      <c r="C680" s="131"/>
      <c r="D680" s="131"/>
      <c r="E680" s="107"/>
      <c r="F680" s="107"/>
    </row>
    <row r="681">
      <c r="A681" s="131"/>
      <c r="B681" s="131"/>
      <c r="C681" s="131"/>
      <c r="D681" s="131"/>
      <c r="E681" s="107"/>
      <c r="F681" s="107"/>
    </row>
    <row r="682">
      <c r="A682" s="131"/>
      <c r="B682" s="131"/>
      <c r="C682" s="131"/>
      <c r="D682" s="131"/>
      <c r="E682" s="107"/>
      <c r="F682" s="107"/>
    </row>
    <row r="683">
      <c r="A683" s="131"/>
      <c r="B683" s="131"/>
      <c r="C683" s="131"/>
      <c r="D683" s="131"/>
      <c r="E683" s="107"/>
      <c r="F683" s="107"/>
    </row>
    <row r="684">
      <c r="A684" s="131"/>
      <c r="B684" s="131"/>
      <c r="C684" s="131"/>
      <c r="D684" s="131"/>
      <c r="E684" s="107"/>
      <c r="F684" s="107"/>
    </row>
    <row r="685">
      <c r="A685" s="131"/>
      <c r="B685" s="131"/>
      <c r="C685" s="131"/>
      <c r="D685" s="131"/>
      <c r="E685" s="107"/>
      <c r="F685" s="107"/>
    </row>
    <row r="686">
      <c r="A686" s="131"/>
      <c r="B686" s="131"/>
      <c r="C686" s="131"/>
      <c r="D686" s="131"/>
      <c r="E686" s="107"/>
      <c r="F686" s="107"/>
    </row>
    <row r="687">
      <c r="A687" s="131"/>
      <c r="B687" s="131"/>
      <c r="C687" s="131"/>
      <c r="D687" s="131"/>
      <c r="E687" s="107"/>
      <c r="F687" s="107"/>
    </row>
    <row r="688">
      <c r="A688" s="131"/>
      <c r="B688" s="131"/>
      <c r="C688" s="131"/>
      <c r="D688" s="131"/>
      <c r="E688" s="107"/>
      <c r="F688" s="107"/>
    </row>
    <row r="689">
      <c r="A689" s="131"/>
      <c r="B689" s="131"/>
      <c r="C689" s="131"/>
      <c r="D689" s="131"/>
      <c r="E689" s="107"/>
      <c r="F689" s="107"/>
    </row>
    <row r="690">
      <c r="A690" s="131"/>
      <c r="B690" s="131"/>
      <c r="C690" s="131"/>
      <c r="D690" s="131"/>
      <c r="E690" s="107"/>
      <c r="F690" s="107"/>
    </row>
    <row r="691">
      <c r="A691" s="131"/>
      <c r="B691" s="131"/>
      <c r="C691" s="131"/>
      <c r="D691" s="131"/>
      <c r="E691" s="107"/>
      <c r="F691" s="107"/>
    </row>
    <row r="692">
      <c r="A692" s="131"/>
      <c r="B692" s="131"/>
      <c r="C692" s="131"/>
      <c r="D692" s="131"/>
      <c r="E692" s="107"/>
      <c r="F692" s="107"/>
    </row>
    <row r="693">
      <c r="A693" s="131"/>
      <c r="B693" s="131"/>
      <c r="C693" s="131"/>
      <c r="D693" s="131"/>
      <c r="E693" s="107"/>
      <c r="F693" s="107"/>
    </row>
    <row r="694">
      <c r="A694" s="131"/>
      <c r="B694" s="131"/>
      <c r="C694" s="131"/>
      <c r="D694" s="131"/>
      <c r="E694" s="107"/>
      <c r="F694" s="107"/>
    </row>
    <row r="695">
      <c r="A695" s="131"/>
      <c r="B695" s="131"/>
      <c r="C695" s="131"/>
      <c r="D695" s="131"/>
      <c r="E695" s="107"/>
      <c r="F695" s="107"/>
    </row>
    <row r="696">
      <c r="A696" s="131"/>
      <c r="B696" s="131"/>
      <c r="C696" s="131"/>
      <c r="D696" s="131"/>
      <c r="E696" s="107"/>
      <c r="F696" s="107"/>
    </row>
    <row r="697">
      <c r="A697" s="131"/>
      <c r="B697" s="131"/>
      <c r="C697" s="131"/>
      <c r="D697" s="131"/>
      <c r="E697" s="107"/>
      <c r="F697" s="107"/>
    </row>
    <row r="698">
      <c r="A698" s="131"/>
      <c r="B698" s="131"/>
      <c r="C698" s="131"/>
      <c r="D698" s="131"/>
      <c r="E698" s="107"/>
      <c r="F698" s="107"/>
    </row>
    <row r="699">
      <c r="A699" s="131"/>
      <c r="B699" s="131"/>
      <c r="C699" s="131"/>
      <c r="D699" s="131"/>
      <c r="E699" s="107"/>
      <c r="F699" s="107"/>
    </row>
    <row r="700">
      <c r="A700" s="131"/>
      <c r="B700" s="131"/>
      <c r="C700" s="131"/>
      <c r="D700" s="131"/>
      <c r="E700" s="107"/>
      <c r="F700" s="107"/>
    </row>
    <row r="701">
      <c r="A701" s="131"/>
      <c r="B701" s="131"/>
      <c r="C701" s="131"/>
      <c r="D701" s="131"/>
      <c r="E701" s="107"/>
      <c r="F701" s="107"/>
    </row>
    <row r="702">
      <c r="A702" s="131"/>
      <c r="B702" s="131"/>
      <c r="C702" s="131"/>
      <c r="D702" s="131"/>
      <c r="E702" s="107"/>
      <c r="F702" s="107"/>
    </row>
    <row r="703">
      <c r="A703" s="131"/>
      <c r="B703" s="131"/>
      <c r="C703" s="131"/>
      <c r="D703" s="131"/>
      <c r="E703" s="107"/>
      <c r="F703" s="107"/>
    </row>
    <row r="704">
      <c r="A704" s="131"/>
      <c r="B704" s="131"/>
      <c r="C704" s="131"/>
      <c r="D704" s="131"/>
      <c r="E704" s="116"/>
      <c r="F704" s="107"/>
    </row>
    <row r="705">
      <c r="A705" s="131"/>
      <c r="B705" s="131"/>
      <c r="C705" s="131"/>
      <c r="D705" s="131"/>
      <c r="E705" s="107"/>
      <c r="F705" s="107"/>
    </row>
    <row r="706">
      <c r="A706" s="131"/>
      <c r="B706" s="131"/>
      <c r="C706" s="131"/>
      <c r="D706" s="131"/>
      <c r="E706" s="107"/>
      <c r="F706" s="107"/>
    </row>
    <row r="707">
      <c r="A707" s="131"/>
      <c r="B707" s="131"/>
      <c r="C707" s="131"/>
      <c r="D707" s="131"/>
      <c r="E707" s="107"/>
      <c r="F707" s="107"/>
    </row>
    <row r="708">
      <c r="A708" s="131"/>
      <c r="B708" s="131"/>
      <c r="C708" s="131"/>
      <c r="D708" s="131"/>
      <c r="E708" s="107"/>
      <c r="F708" s="107"/>
    </row>
    <row r="709">
      <c r="A709" s="131"/>
      <c r="B709" s="131"/>
      <c r="C709" s="131"/>
      <c r="D709" s="131"/>
      <c r="E709" s="118"/>
      <c r="F709" s="107"/>
    </row>
    <row r="710">
      <c r="A710" s="131"/>
      <c r="B710" s="131"/>
      <c r="C710" s="131"/>
      <c r="D710" s="131"/>
      <c r="E710" s="118"/>
      <c r="F710" s="107"/>
    </row>
    <row r="711">
      <c r="A711" s="131"/>
      <c r="B711" s="131"/>
      <c r="C711" s="131"/>
      <c r="D711" s="131"/>
      <c r="E711" s="118"/>
      <c r="F711" s="107"/>
    </row>
    <row r="712">
      <c r="A712" s="131"/>
      <c r="B712" s="131"/>
      <c r="C712" s="131"/>
      <c r="D712" s="131"/>
      <c r="E712" s="118"/>
      <c r="F712" s="107"/>
    </row>
    <row r="713">
      <c r="A713" s="131"/>
      <c r="B713" s="131"/>
      <c r="C713" s="131"/>
      <c r="D713" s="131"/>
      <c r="E713" s="119"/>
      <c r="F713" s="119"/>
    </row>
    <row r="714">
      <c r="A714" s="131"/>
      <c r="B714" s="131"/>
      <c r="C714" s="131"/>
      <c r="D714" s="131"/>
      <c r="E714" s="107"/>
      <c r="F714" s="107"/>
    </row>
    <row r="715">
      <c r="A715" s="131"/>
      <c r="B715" s="131"/>
      <c r="C715" s="131"/>
      <c r="D715" s="131"/>
      <c r="E715" s="107"/>
      <c r="F715" s="107"/>
    </row>
    <row r="716">
      <c r="A716" s="131"/>
      <c r="B716" s="131"/>
      <c r="C716" s="131"/>
      <c r="D716" s="131"/>
      <c r="E716" s="107"/>
      <c r="F716" s="107"/>
    </row>
    <row r="717">
      <c r="A717" s="131"/>
      <c r="B717" s="131"/>
      <c r="C717" s="131"/>
      <c r="D717" s="131"/>
      <c r="E717" s="107"/>
      <c r="F717" s="107"/>
    </row>
    <row r="718">
      <c r="A718" s="131"/>
      <c r="B718" s="131"/>
      <c r="C718" s="131"/>
      <c r="D718" s="131"/>
      <c r="E718" s="107"/>
      <c r="F718" s="107"/>
    </row>
    <row r="719">
      <c r="A719" s="131"/>
      <c r="B719" s="131"/>
      <c r="C719" s="131"/>
      <c r="D719" s="131"/>
      <c r="E719" s="107"/>
      <c r="F719" s="107"/>
    </row>
    <row r="720">
      <c r="A720" s="131"/>
      <c r="B720" s="131"/>
      <c r="C720" s="131"/>
      <c r="D720" s="131"/>
      <c r="E720" s="107"/>
      <c r="F720" s="107"/>
    </row>
    <row r="721">
      <c r="A721" s="131"/>
      <c r="B721" s="131"/>
      <c r="C721" s="131"/>
      <c r="D721" s="131"/>
      <c r="E721" s="107"/>
      <c r="F721" s="107"/>
    </row>
    <row r="722">
      <c r="A722" s="131"/>
      <c r="B722" s="131"/>
      <c r="C722" s="131"/>
      <c r="D722" s="131"/>
      <c r="E722" s="107"/>
      <c r="F722" s="107"/>
    </row>
    <row r="723">
      <c r="A723" s="131"/>
      <c r="B723" s="131"/>
      <c r="C723" s="131"/>
      <c r="D723" s="131"/>
      <c r="E723" s="107"/>
      <c r="F723" s="107"/>
    </row>
    <row r="724">
      <c r="A724" s="131"/>
      <c r="B724" s="131"/>
      <c r="C724" s="131"/>
      <c r="D724" s="131"/>
      <c r="E724" s="107"/>
      <c r="F724" s="107"/>
    </row>
    <row r="725">
      <c r="A725" s="131"/>
      <c r="B725" s="131"/>
      <c r="C725" s="131"/>
      <c r="D725" s="131"/>
      <c r="E725" s="107"/>
      <c r="F725" s="107"/>
    </row>
    <row r="726">
      <c r="A726" s="131"/>
      <c r="B726" s="131"/>
      <c r="C726" s="131"/>
      <c r="D726" s="131"/>
      <c r="E726" s="107"/>
      <c r="F726" s="107"/>
    </row>
    <row r="727">
      <c r="A727" s="131"/>
      <c r="B727" s="131"/>
      <c r="C727" s="131"/>
      <c r="D727" s="131"/>
      <c r="E727" s="107"/>
      <c r="F727" s="107"/>
    </row>
    <row r="728">
      <c r="A728" s="131"/>
      <c r="B728" s="131"/>
      <c r="C728" s="131"/>
      <c r="D728" s="131"/>
      <c r="E728" s="107"/>
      <c r="F728" s="115"/>
    </row>
    <row r="729">
      <c r="A729" s="131"/>
      <c r="B729" s="131"/>
      <c r="C729" s="131"/>
      <c r="D729" s="131"/>
      <c r="E729" s="107"/>
      <c r="F729" s="107"/>
    </row>
    <row r="730">
      <c r="A730" s="131"/>
      <c r="B730" s="131"/>
      <c r="C730" s="131"/>
      <c r="D730" s="131"/>
      <c r="E730" s="131"/>
      <c r="F730" s="131"/>
    </row>
    <row r="731">
      <c r="A731" s="131"/>
      <c r="B731" s="131"/>
      <c r="C731" s="131"/>
      <c r="D731" s="131"/>
      <c r="E731" s="131"/>
      <c r="F731" s="131"/>
    </row>
    <row r="732">
      <c r="A732" s="131"/>
      <c r="B732" s="131"/>
      <c r="C732" s="131"/>
      <c r="D732" s="131"/>
      <c r="E732" s="131"/>
      <c r="F732" s="131"/>
    </row>
    <row r="733">
      <c r="A733" s="131"/>
      <c r="B733" s="131"/>
      <c r="C733" s="131"/>
      <c r="D733" s="131"/>
      <c r="E733" s="131"/>
      <c r="F733" s="131"/>
    </row>
    <row r="734">
      <c r="A734" s="131"/>
      <c r="B734" s="131"/>
      <c r="C734" s="131"/>
      <c r="D734" s="131"/>
      <c r="E734" s="131"/>
      <c r="F734" s="131"/>
    </row>
    <row r="735">
      <c r="A735" s="131"/>
      <c r="B735" s="131"/>
      <c r="C735" s="131"/>
      <c r="D735" s="131"/>
      <c r="E735" s="131"/>
      <c r="F735" s="131"/>
    </row>
    <row r="736">
      <c r="A736" s="131"/>
      <c r="B736" s="131"/>
      <c r="C736" s="131"/>
      <c r="D736" s="131"/>
      <c r="E736" s="131"/>
      <c r="F736" s="131"/>
    </row>
    <row r="737">
      <c r="A737" s="131"/>
      <c r="B737" s="131"/>
      <c r="C737" s="131"/>
      <c r="D737" s="131"/>
      <c r="E737" s="131"/>
      <c r="F737" s="131"/>
    </row>
    <row r="738">
      <c r="A738" s="131"/>
      <c r="B738" s="131"/>
      <c r="C738" s="131"/>
      <c r="D738" s="131"/>
      <c r="E738" s="131"/>
      <c r="F738" s="131"/>
    </row>
    <row r="739">
      <c r="A739" s="131"/>
      <c r="B739" s="131"/>
      <c r="C739" s="131"/>
      <c r="D739" s="131"/>
      <c r="E739" s="131"/>
      <c r="F739" s="131"/>
    </row>
    <row r="740">
      <c r="A740" s="131"/>
      <c r="B740" s="131"/>
      <c r="C740" s="131"/>
      <c r="D740" s="131"/>
      <c r="E740" s="131"/>
      <c r="F740" s="131"/>
    </row>
    <row r="741">
      <c r="A741" s="131"/>
      <c r="B741" s="131"/>
      <c r="C741" s="131"/>
      <c r="D741" s="131"/>
      <c r="E741" s="131"/>
      <c r="F741" s="131"/>
    </row>
    <row r="742">
      <c r="A742" s="131"/>
      <c r="B742" s="131"/>
      <c r="C742" s="131"/>
      <c r="D742" s="131"/>
      <c r="E742" s="131"/>
      <c r="F742" s="131"/>
    </row>
    <row r="743">
      <c r="A743" s="131"/>
      <c r="B743" s="131"/>
      <c r="C743" s="131"/>
      <c r="D743" s="131"/>
      <c r="E743" s="131"/>
      <c r="F743" s="131"/>
    </row>
    <row r="744">
      <c r="A744" s="131"/>
      <c r="B744" s="131"/>
      <c r="C744" s="131"/>
      <c r="D744" s="131"/>
      <c r="E744" s="131"/>
      <c r="F744" s="131"/>
    </row>
    <row r="745">
      <c r="A745" s="131"/>
      <c r="B745" s="131"/>
      <c r="C745" s="131"/>
      <c r="D745" s="131"/>
      <c r="E745" s="131"/>
      <c r="F745" s="131"/>
    </row>
    <row r="746">
      <c r="A746" s="131"/>
      <c r="B746" s="131"/>
      <c r="C746" s="131"/>
      <c r="D746" s="131"/>
      <c r="E746" s="131"/>
      <c r="F746" s="131"/>
    </row>
    <row r="747">
      <c r="A747" s="131"/>
      <c r="B747" s="131"/>
      <c r="C747" s="131"/>
      <c r="D747" s="131"/>
      <c r="E747" s="131"/>
      <c r="F747" s="131"/>
    </row>
    <row r="748">
      <c r="A748" s="131"/>
      <c r="B748" s="131"/>
      <c r="C748" s="131"/>
      <c r="D748" s="131"/>
      <c r="E748" s="131"/>
      <c r="F748" s="131"/>
    </row>
    <row r="749">
      <c r="A749" s="131"/>
      <c r="B749" s="131"/>
      <c r="C749" s="131"/>
      <c r="D749" s="131"/>
      <c r="E749" s="131"/>
      <c r="F749" s="131"/>
    </row>
    <row r="750">
      <c r="A750" s="131"/>
      <c r="B750" s="131"/>
      <c r="C750" s="131"/>
      <c r="D750" s="131"/>
      <c r="E750" s="110"/>
      <c r="F750" s="110"/>
    </row>
    <row r="751">
      <c r="A751" s="131"/>
      <c r="B751" s="131"/>
      <c r="C751" s="131"/>
      <c r="D751" s="131"/>
      <c r="E751" s="111"/>
      <c r="F751" s="111"/>
    </row>
    <row r="752">
      <c r="A752" s="86"/>
      <c r="B752" s="87"/>
      <c r="C752" s="131"/>
      <c r="D752" s="131"/>
      <c r="E752" s="131"/>
      <c r="F752" s="131"/>
      <c r="G752" s="88"/>
      <c r="L752" s="88"/>
      <c r="Q752" s="89"/>
    </row>
    <row r="753">
      <c r="A753" s="131"/>
      <c r="B753" s="131"/>
      <c r="C753" s="131"/>
      <c r="D753" s="131"/>
      <c r="E753" s="131"/>
      <c r="F753" s="131"/>
      <c r="G753" s="91"/>
      <c r="H753" s="92"/>
      <c r="I753" s="92"/>
      <c r="J753" s="93"/>
      <c r="K753" s="93"/>
      <c r="L753" s="93"/>
      <c r="M753" s="93"/>
      <c r="N753" s="93"/>
      <c r="O753" s="93"/>
      <c r="P753" s="93"/>
      <c r="Q753" s="90"/>
      <c r="R753" s="90"/>
      <c r="S753" s="90"/>
      <c r="T753" s="90"/>
      <c r="U753" s="90"/>
      <c r="V753" s="90"/>
      <c r="W753" s="90"/>
    </row>
    <row r="754">
      <c r="A754" s="131"/>
      <c r="B754" s="131"/>
      <c r="C754" s="131"/>
      <c r="D754" s="131"/>
      <c r="E754" s="94"/>
      <c r="F754" s="94"/>
    </row>
    <row r="755">
      <c r="A755" s="131"/>
      <c r="B755" s="131"/>
      <c r="C755" s="131"/>
      <c r="D755" s="131"/>
      <c r="E755" s="95"/>
      <c r="F755" s="96"/>
    </row>
    <row r="756">
      <c r="A756" s="131"/>
      <c r="B756" s="131"/>
      <c r="C756" s="131"/>
      <c r="D756" s="131"/>
      <c r="E756" s="95"/>
      <c r="F756" s="96"/>
    </row>
    <row r="757">
      <c r="A757" s="131"/>
      <c r="B757" s="131"/>
      <c r="C757" s="131"/>
      <c r="D757" s="131"/>
      <c r="E757" s="96"/>
      <c r="F757" s="96"/>
    </row>
    <row r="758">
      <c r="A758" s="131"/>
      <c r="B758" s="131"/>
      <c r="C758" s="131"/>
      <c r="D758" s="131"/>
      <c r="E758" s="96"/>
      <c r="F758" s="96"/>
    </row>
    <row r="759">
      <c r="A759" s="131"/>
      <c r="B759" s="131"/>
      <c r="C759" s="131"/>
      <c r="D759" s="131"/>
      <c r="E759" s="96"/>
      <c r="F759" s="96"/>
    </row>
    <row r="760">
      <c r="A760" s="131"/>
      <c r="B760" s="131"/>
      <c r="C760" s="131"/>
      <c r="D760" s="131"/>
      <c r="E760" s="96"/>
      <c r="F760" s="96"/>
    </row>
    <row r="761">
      <c r="A761" s="131"/>
      <c r="B761" s="131"/>
      <c r="C761" s="131"/>
      <c r="D761" s="131"/>
      <c r="E761" s="96"/>
      <c r="F761" s="96"/>
    </row>
    <row r="762">
      <c r="A762" s="131"/>
      <c r="B762" s="131"/>
      <c r="C762" s="131"/>
      <c r="D762" s="131"/>
      <c r="E762" s="96"/>
      <c r="F762" s="96"/>
    </row>
    <row r="763">
      <c r="A763" s="131"/>
      <c r="B763" s="131"/>
      <c r="C763" s="131"/>
      <c r="D763" s="131"/>
      <c r="E763" s="96"/>
      <c r="F763" s="96"/>
    </row>
    <row r="764">
      <c r="A764" s="131"/>
      <c r="B764" s="131"/>
      <c r="C764" s="131"/>
      <c r="D764" s="131"/>
      <c r="E764" s="96"/>
      <c r="F764" s="96"/>
    </row>
    <row r="765">
      <c r="A765" s="131"/>
      <c r="B765" s="131"/>
      <c r="C765" s="131"/>
      <c r="D765" s="131"/>
      <c r="E765" s="96"/>
      <c r="F765" s="96"/>
    </row>
    <row r="766">
      <c r="A766" s="131"/>
      <c r="B766" s="131"/>
      <c r="C766" s="131"/>
      <c r="D766" s="131"/>
      <c r="E766" s="96"/>
      <c r="F766" s="96"/>
    </row>
    <row r="767">
      <c r="A767" s="131"/>
      <c r="B767" s="131"/>
      <c r="C767" s="131"/>
      <c r="D767" s="131"/>
      <c r="E767" s="96"/>
      <c r="F767" s="96"/>
    </row>
    <row r="768">
      <c r="A768" s="131"/>
      <c r="B768" s="131"/>
      <c r="C768" s="131"/>
      <c r="D768" s="131"/>
      <c r="E768" s="97"/>
      <c r="F768" s="97"/>
    </row>
    <row r="769">
      <c r="A769" s="131"/>
      <c r="B769" s="131"/>
      <c r="C769" s="131"/>
      <c r="D769" s="131"/>
      <c r="E769" s="96"/>
      <c r="F769" s="96"/>
    </row>
    <row r="770">
      <c r="A770" s="131"/>
      <c r="B770" s="131"/>
      <c r="C770" s="131"/>
      <c r="D770" s="131"/>
      <c r="E770" s="96"/>
      <c r="F770" s="96"/>
    </row>
    <row r="771">
      <c r="A771" s="131"/>
      <c r="B771" s="131"/>
      <c r="C771" s="131"/>
      <c r="D771" s="131"/>
      <c r="E771" s="96"/>
      <c r="F771" s="96"/>
    </row>
    <row r="772">
      <c r="A772" s="131"/>
      <c r="B772" s="131"/>
      <c r="C772" s="131"/>
      <c r="D772" s="131"/>
      <c r="E772" s="96"/>
      <c r="F772" s="96"/>
    </row>
    <row r="773">
      <c r="A773" s="131"/>
      <c r="B773" s="131"/>
      <c r="C773" s="131"/>
      <c r="D773" s="131"/>
      <c r="E773" s="96"/>
      <c r="F773" s="96"/>
    </row>
    <row r="774">
      <c r="A774" s="131"/>
      <c r="B774" s="131"/>
      <c r="C774" s="131"/>
      <c r="D774" s="131"/>
      <c r="E774" s="96"/>
      <c r="F774" s="96"/>
    </row>
    <row r="775">
      <c r="A775" s="131"/>
      <c r="B775" s="131"/>
      <c r="C775" s="131"/>
      <c r="D775" s="131"/>
      <c r="E775" s="98"/>
      <c r="F775" s="96"/>
    </row>
    <row r="776">
      <c r="A776" s="131"/>
      <c r="B776" s="131"/>
      <c r="C776" s="131"/>
      <c r="D776" s="131"/>
      <c r="E776" s="99"/>
      <c r="F776" s="99"/>
    </row>
    <row r="777">
      <c r="A777" s="131"/>
      <c r="B777" s="131"/>
      <c r="C777" s="131"/>
      <c r="D777" s="131"/>
      <c r="E777" s="100"/>
      <c r="F777" s="100"/>
    </row>
    <row r="778">
      <c r="A778" s="131"/>
      <c r="B778" s="131"/>
      <c r="C778" s="131"/>
      <c r="D778" s="131"/>
      <c r="E778" s="100"/>
      <c r="F778" s="100"/>
    </row>
    <row r="779">
      <c r="A779" s="131"/>
      <c r="B779" s="131"/>
      <c r="C779" s="131"/>
      <c r="D779" s="131"/>
      <c r="E779" s="100"/>
      <c r="F779" s="100"/>
    </row>
    <row r="780">
      <c r="A780" s="131"/>
      <c r="B780" s="131"/>
      <c r="C780" s="131"/>
      <c r="D780" s="131"/>
      <c r="E780" s="100"/>
      <c r="F780" s="100"/>
    </row>
    <row r="781">
      <c r="A781" s="131"/>
      <c r="B781" s="131"/>
      <c r="C781" s="131"/>
      <c r="D781" s="131"/>
      <c r="E781" s="100"/>
      <c r="F781" s="100"/>
    </row>
    <row r="782">
      <c r="A782" s="131"/>
      <c r="B782" s="131"/>
      <c r="C782" s="131"/>
      <c r="D782" s="131"/>
      <c r="E782" s="100"/>
      <c r="F782" s="100"/>
    </row>
    <row r="783">
      <c r="A783" s="131"/>
      <c r="B783" s="131"/>
      <c r="C783" s="131"/>
      <c r="D783" s="131"/>
      <c r="E783" s="100"/>
      <c r="F783" s="100"/>
    </row>
    <row r="784">
      <c r="A784" s="131"/>
      <c r="B784" s="131"/>
      <c r="C784" s="131"/>
      <c r="D784" s="131"/>
      <c r="E784" s="101"/>
      <c r="F784" s="101"/>
    </row>
    <row r="785">
      <c r="A785" s="131"/>
      <c r="B785" s="131"/>
      <c r="C785" s="131"/>
      <c r="D785" s="131"/>
      <c r="E785" s="100"/>
      <c r="F785" s="100"/>
    </row>
    <row r="786">
      <c r="A786" s="131"/>
      <c r="B786" s="131"/>
      <c r="C786" s="131"/>
      <c r="D786" s="131"/>
      <c r="E786" s="100"/>
      <c r="F786" s="100"/>
    </row>
    <row r="787">
      <c r="A787" s="131"/>
      <c r="B787" s="131"/>
      <c r="C787" s="131"/>
      <c r="D787" s="131"/>
      <c r="E787" s="102"/>
      <c r="F787" s="102"/>
    </row>
    <row r="788">
      <c r="A788" s="131"/>
      <c r="B788" s="131"/>
      <c r="C788" s="131"/>
      <c r="D788" s="131"/>
      <c r="E788" s="103"/>
      <c r="F788" s="103"/>
    </row>
    <row r="789">
      <c r="A789" s="131"/>
      <c r="B789" s="131"/>
      <c r="C789" s="131"/>
      <c r="D789" s="131"/>
      <c r="E789" s="103"/>
      <c r="F789" s="103"/>
    </row>
    <row r="790">
      <c r="A790" s="131"/>
      <c r="B790" s="131"/>
      <c r="C790" s="131"/>
      <c r="D790" s="131"/>
      <c r="E790" s="102"/>
      <c r="F790" s="103"/>
    </row>
    <row r="791">
      <c r="A791" s="131"/>
      <c r="B791" s="131"/>
      <c r="C791" s="131"/>
      <c r="D791" s="131"/>
      <c r="E791" s="103"/>
      <c r="F791" s="103"/>
    </row>
    <row r="792">
      <c r="A792" s="131"/>
      <c r="B792" s="131"/>
      <c r="C792" s="131"/>
      <c r="D792" s="131"/>
      <c r="E792" s="103"/>
      <c r="F792" s="103"/>
    </row>
    <row r="793">
      <c r="A793" s="131"/>
      <c r="B793" s="131"/>
      <c r="C793" s="131"/>
      <c r="D793" s="131"/>
      <c r="E793" s="103"/>
      <c r="F793" s="103"/>
    </row>
    <row r="794">
      <c r="A794" s="131"/>
      <c r="B794" s="131"/>
      <c r="C794" s="131"/>
      <c r="D794" s="131"/>
      <c r="E794" s="103"/>
      <c r="F794" s="103"/>
    </row>
    <row r="795">
      <c r="A795" s="131"/>
      <c r="B795" s="131"/>
      <c r="C795" s="131"/>
      <c r="D795" s="131"/>
      <c r="E795" s="103"/>
      <c r="F795" s="103"/>
    </row>
    <row r="796">
      <c r="A796" s="131"/>
      <c r="B796" s="131"/>
      <c r="C796" s="131"/>
      <c r="D796" s="131"/>
      <c r="E796" s="103"/>
      <c r="F796" s="103"/>
    </row>
    <row r="797">
      <c r="A797" s="131"/>
      <c r="B797" s="131"/>
      <c r="C797" s="131"/>
      <c r="D797" s="131"/>
      <c r="E797" s="103"/>
      <c r="F797" s="103"/>
    </row>
    <row r="798">
      <c r="A798" s="131"/>
      <c r="B798" s="131"/>
      <c r="C798" s="131"/>
      <c r="D798" s="131"/>
      <c r="E798" s="103"/>
      <c r="F798" s="103"/>
    </row>
    <row r="799">
      <c r="A799" s="131"/>
      <c r="B799" s="131"/>
      <c r="C799" s="131"/>
      <c r="D799" s="131"/>
      <c r="E799" s="103"/>
      <c r="F799" s="103"/>
    </row>
    <row r="800">
      <c r="A800" s="131"/>
      <c r="B800" s="131"/>
      <c r="C800" s="131"/>
      <c r="D800" s="131"/>
      <c r="E800" s="103"/>
      <c r="F800" s="103"/>
    </row>
    <row r="801">
      <c r="A801" s="131"/>
      <c r="B801" s="131"/>
      <c r="C801" s="131"/>
      <c r="D801" s="131"/>
      <c r="E801" s="103"/>
      <c r="F801" s="103"/>
    </row>
    <row r="802">
      <c r="A802" s="131"/>
      <c r="B802" s="131"/>
      <c r="C802" s="131"/>
      <c r="D802" s="131"/>
      <c r="E802" s="103"/>
      <c r="F802" s="103"/>
    </row>
    <row r="803">
      <c r="A803" s="131"/>
      <c r="B803" s="131"/>
      <c r="C803" s="131"/>
      <c r="D803" s="131"/>
      <c r="E803" s="103"/>
      <c r="F803" s="103"/>
    </row>
    <row r="804">
      <c r="A804" s="131"/>
      <c r="B804" s="131"/>
      <c r="C804" s="131"/>
      <c r="D804" s="131"/>
      <c r="E804" s="103"/>
      <c r="F804" s="103"/>
    </row>
    <row r="805">
      <c r="A805" s="131"/>
      <c r="B805" s="131"/>
      <c r="C805" s="131"/>
      <c r="D805" s="131"/>
      <c r="E805" s="99"/>
      <c r="F805" s="99"/>
    </row>
    <row r="806">
      <c r="A806" s="131"/>
      <c r="B806" s="131"/>
      <c r="C806" s="131"/>
      <c r="D806" s="131"/>
      <c r="E806" s="100"/>
      <c r="F806" s="100"/>
    </row>
    <row r="807">
      <c r="A807" s="131"/>
      <c r="B807" s="131"/>
      <c r="C807" s="131"/>
      <c r="D807" s="131"/>
      <c r="E807" s="100"/>
      <c r="F807" s="100"/>
    </row>
    <row r="808">
      <c r="A808" s="131"/>
      <c r="B808" s="131"/>
      <c r="C808" s="131"/>
      <c r="D808" s="131"/>
      <c r="E808" s="100"/>
      <c r="F808" s="100"/>
    </row>
    <row r="809">
      <c r="A809" s="131"/>
      <c r="B809" s="131"/>
      <c r="C809" s="131"/>
      <c r="D809" s="131"/>
      <c r="E809" s="100"/>
      <c r="F809" s="100"/>
    </row>
    <row r="810">
      <c r="A810" s="131"/>
      <c r="B810" s="131"/>
      <c r="C810" s="131"/>
      <c r="D810" s="131"/>
      <c r="E810" s="100"/>
      <c r="F810" s="100"/>
    </row>
    <row r="811">
      <c r="A811" s="131"/>
      <c r="B811" s="131"/>
      <c r="C811" s="131"/>
      <c r="D811" s="131"/>
      <c r="E811" s="100"/>
      <c r="F811" s="100"/>
    </row>
    <row r="812">
      <c r="A812" s="131"/>
      <c r="B812" s="131"/>
      <c r="C812" s="131"/>
      <c r="D812" s="131"/>
      <c r="E812" s="100"/>
      <c r="F812" s="100"/>
    </row>
    <row r="813">
      <c r="A813" s="131"/>
      <c r="B813" s="131"/>
      <c r="C813" s="131"/>
      <c r="D813" s="131"/>
      <c r="E813" s="100"/>
      <c r="F813" s="100"/>
    </row>
    <row r="814">
      <c r="A814" s="131"/>
      <c r="B814" s="131"/>
      <c r="C814" s="131"/>
      <c r="D814" s="131"/>
      <c r="E814" s="100"/>
      <c r="F814" s="100"/>
    </row>
    <row r="815">
      <c r="A815" s="131"/>
      <c r="B815" s="131"/>
      <c r="C815" s="131"/>
      <c r="D815" s="131"/>
      <c r="E815" s="100"/>
      <c r="F815" s="100"/>
    </row>
    <row r="816">
      <c r="A816" s="131"/>
      <c r="B816" s="131"/>
      <c r="C816" s="131"/>
      <c r="D816" s="131"/>
      <c r="E816" s="99"/>
      <c r="F816" s="99"/>
    </row>
    <row r="817">
      <c r="A817" s="131"/>
      <c r="B817" s="131"/>
      <c r="C817" s="131"/>
      <c r="D817" s="131"/>
      <c r="E817" s="100"/>
      <c r="F817" s="100"/>
    </row>
    <row r="818">
      <c r="A818" s="131"/>
      <c r="B818" s="131"/>
      <c r="C818" s="131"/>
      <c r="D818" s="131"/>
      <c r="E818" s="100"/>
      <c r="F818" s="100"/>
    </row>
    <row r="819">
      <c r="A819" s="131"/>
      <c r="B819" s="131"/>
      <c r="C819" s="131"/>
      <c r="D819" s="131"/>
      <c r="E819" s="100"/>
      <c r="F819" s="100"/>
    </row>
    <row r="820">
      <c r="A820" s="131"/>
      <c r="B820" s="131"/>
      <c r="C820" s="131"/>
      <c r="D820" s="131"/>
      <c r="E820" s="100"/>
      <c r="F820" s="100"/>
    </row>
    <row r="821">
      <c r="A821" s="131"/>
      <c r="B821" s="131"/>
      <c r="C821" s="131"/>
      <c r="D821" s="131"/>
      <c r="E821" s="100"/>
      <c r="F821" s="100"/>
    </row>
    <row r="822">
      <c r="A822" s="131"/>
      <c r="B822" s="131"/>
      <c r="C822" s="131"/>
      <c r="D822" s="131"/>
      <c r="E822" s="100"/>
      <c r="F822" s="100"/>
    </row>
    <row r="823">
      <c r="A823" s="131"/>
      <c r="B823" s="131"/>
      <c r="C823" s="131"/>
      <c r="D823" s="131"/>
      <c r="E823" s="101"/>
      <c r="F823" s="101"/>
    </row>
    <row r="824">
      <c r="A824" s="131"/>
      <c r="B824" s="131"/>
      <c r="C824" s="131"/>
      <c r="D824" s="131"/>
      <c r="E824" s="101"/>
      <c r="F824" s="101"/>
    </row>
    <row r="825">
      <c r="A825" s="131"/>
      <c r="B825" s="131"/>
      <c r="C825" s="131"/>
      <c r="D825" s="131"/>
      <c r="E825" s="101"/>
      <c r="F825" s="101"/>
    </row>
    <row r="826">
      <c r="A826" s="131"/>
      <c r="B826" s="131"/>
      <c r="C826" s="131"/>
      <c r="D826" s="131"/>
      <c r="E826" s="101"/>
      <c r="F826" s="101"/>
    </row>
    <row r="827">
      <c r="A827" s="131"/>
      <c r="B827" s="131"/>
      <c r="C827" s="131"/>
      <c r="D827" s="131"/>
      <c r="E827" s="101"/>
      <c r="F827" s="101"/>
    </row>
    <row r="828">
      <c r="A828" s="131"/>
      <c r="B828" s="131"/>
      <c r="C828" s="131"/>
      <c r="D828" s="131"/>
      <c r="E828" s="101"/>
      <c r="F828" s="101"/>
    </row>
    <row r="829">
      <c r="A829" s="131"/>
      <c r="B829" s="131"/>
      <c r="C829" s="131"/>
      <c r="D829" s="131"/>
      <c r="E829" s="105"/>
      <c r="F829" s="105"/>
    </row>
    <row r="830">
      <c r="A830" s="131"/>
      <c r="B830" s="131"/>
      <c r="C830" s="131"/>
      <c r="D830" s="131"/>
      <c r="E830" s="106"/>
      <c r="F830" s="106"/>
    </row>
    <row r="831">
      <c r="A831" s="131"/>
      <c r="B831" s="131"/>
      <c r="C831" s="131"/>
      <c r="D831" s="131"/>
      <c r="E831" s="107"/>
      <c r="F831" s="107"/>
    </row>
    <row r="832">
      <c r="A832" s="131"/>
      <c r="B832" s="131"/>
      <c r="C832" s="131"/>
      <c r="D832" s="131"/>
      <c r="E832" s="107"/>
      <c r="F832" s="107"/>
    </row>
    <row r="833">
      <c r="A833" s="131"/>
      <c r="B833" s="131"/>
      <c r="C833" s="131"/>
      <c r="D833" s="131"/>
      <c r="E833" s="108"/>
      <c r="F833" s="108"/>
    </row>
    <row r="834">
      <c r="A834" s="131"/>
      <c r="B834" s="131"/>
      <c r="C834" s="131"/>
      <c r="D834" s="131"/>
      <c r="E834" s="107"/>
      <c r="F834" s="107"/>
    </row>
    <row r="835">
      <c r="A835" s="131"/>
      <c r="B835" s="131"/>
      <c r="C835" s="131"/>
      <c r="D835" s="131"/>
      <c r="E835" s="106"/>
      <c r="F835" s="106"/>
    </row>
    <row r="836">
      <c r="A836" s="131"/>
      <c r="B836" s="131"/>
      <c r="C836" s="131"/>
      <c r="D836" s="131"/>
      <c r="E836" s="107"/>
      <c r="F836" s="107"/>
    </row>
    <row r="837">
      <c r="A837" s="131"/>
      <c r="B837" s="131"/>
      <c r="C837" s="131"/>
      <c r="D837" s="131"/>
      <c r="E837" s="107"/>
      <c r="F837" s="107"/>
    </row>
    <row r="838">
      <c r="A838" s="131"/>
      <c r="B838" s="131"/>
      <c r="C838" s="131"/>
      <c r="D838" s="131"/>
      <c r="E838" s="107"/>
      <c r="F838" s="107"/>
    </row>
    <row r="839">
      <c r="A839" s="131"/>
      <c r="B839" s="131"/>
      <c r="C839" s="131"/>
      <c r="D839" s="131"/>
      <c r="E839" s="107"/>
      <c r="F839" s="107"/>
    </row>
    <row r="840">
      <c r="A840" s="131"/>
      <c r="B840" s="131"/>
      <c r="C840" s="131"/>
      <c r="D840" s="131"/>
      <c r="E840" s="106"/>
      <c r="F840" s="106"/>
    </row>
    <row r="841">
      <c r="A841" s="131"/>
      <c r="B841" s="131"/>
      <c r="C841" s="131"/>
      <c r="D841" s="131"/>
      <c r="E841" s="107"/>
      <c r="F841" s="107"/>
    </row>
    <row r="842">
      <c r="A842" s="131"/>
      <c r="B842" s="131"/>
      <c r="C842" s="131"/>
      <c r="D842" s="131"/>
      <c r="E842" s="109"/>
      <c r="F842" s="109"/>
    </row>
    <row r="843">
      <c r="A843" s="131"/>
      <c r="B843" s="131"/>
      <c r="C843" s="131"/>
      <c r="D843" s="131"/>
      <c r="E843" s="110"/>
      <c r="F843" s="110"/>
    </row>
    <row r="844">
      <c r="A844" s="131"/>
      <c r="B844" s="131"/>
      <c r="C844" s="131"/>
      <c r="D844" s="131"/>
      <c r="E844" s="110"/>
      <c r="F844" s="110"/>
    </row>
    <row r="845">
      <c r="A845" s="131"/>
      <c r="B845" s="131"/>
      <c r="C845" s="131"/>
      <c r="D845" s="131"/>
      <c r="E845" s="111"/>
      <c r="F845" s="111"/>
    </row>
    <row r="846">
      <c r="A846" s="86"/>
      <c r="B846" s="87"/>
      <c r="C846" s="131"/>
      <c r="D846" s="131"/>
      <c r="E846" s="131"/>
      <c r="F846" s="131"/>
      <c r="G846" s="121"/>
      <c r="H846" s="13"/>
      <c r="I846" s="13"/>
      <c r="J846" s="13"/>
      <c r="K846" s="14"/>
      <c r="L846" s="121"/>
      <c r="M846" s="13"/>
      <c r="N846" s="13"/>
      <c r="O846" s="13"/>
      <c r="P846" s="14"/>
      <c r="Q846" s="122"/>
      <c r="R846" s="13"/>
      <c r="S846" s="13"/>
      <c r="T846" s="13"/>
      <c r="U846" s="13"/>
      <c r="V846" s="13"/>
      <c r="W846" s="14"/>
    </row>
    <row r="847">
      <c r="A847" s="131"/>
      <c r="B847" s="131"/>
      <c r="C847" s="131"/>
      <c r="D847" s="131"/>
      <c r="E847" s="131"/>
      <c r="F847" s="131"/>
      <c r="G847" s="123"/>
      <c r="H847" s="124"/>
      <c r="I847" s="124"/>
      <c r="J847" s="125"/>
      <c r="K847" s="125"/>
      <c r="L847" s="126"/>
      <c r="M847" s="125"/>
      <c r="N847" s="125"/>
      <c r="O847" s="125"/>
      <c r="P847" s="127"/>
      <c r="Q847" s="128"/>
      <c r="R847" s="129"/>
      <c r="S847" s="129"/>
      <c r="T847" s="129"/>
      <c r="U847" s="129"/>
      <c r="V847" s="129"/>
      <c r="W847" s="130"/>
    </row>
    <row r="848">
      <c r="A848" s="131"/>
      <c r="B848" s="131"/>
      <c r="C848" s="131"/>
      <c r="D848" s="131"/>
      <c r="E848" s="94"/>
      <c r="F848" s="94"/>
    </row>
    <row r="849">
      <c r="A849" s="131"/>
      <c r="B849" s="131"/>
      <c r="C849" s="131"/>
      <c r="D849" s="131"/>
      <c r="E849" s="95"/>
      <c r="F849" s="96"/>
    </row>
    <row r="850">
      <c r="A850" s="131"/>
      <c r="B850" s="131"/>
      <c r="C850" s="131"/>
      <c r="D850" s="131"/>
      <c r="E850" s="95"/>
      <c r="F850" s="96"/>
    </row>
    <row r="851">
      <c r="A851" s="131"/>
      <c r="B851" s="131"/>
      <c r="C851" s="131"/>
      <c r="D851" s="131"/>
      <c r="E851" s="96"/>
      <c r="F851" s="96"/>
    </row>
    <row r="852">
      <c r="A852" s="131"/>
      <c r="B852" s="131"/>
      <c r="C852" s="131"/>
      <c r="D852" s="131"/>
      <c r="E852" s="96"/>
      <c r="F852" s="96"/>
    </row>
    <row r="853">
      <c r="A853" s="131"/>
      <c r="B853" s="131"/>
      <c r="C853" s="131"/>
      <c r="D853" s="131"/>
      <c r="E853" s="96"/>
      <c r="F853" s="96"/>
    </row>
    <row r="854">
      <c r="A854" s="131"/>
      <c r="B854" s="131"/>
      <c r="C854" s="131"/>
      <c r="D854" s="131"/>
      <c r="E854" s="96"/>
      <c r="F854" s="96"/>
    </row>
    <row r="855">
      <c r="A855" s="131"/>
      <c r="B855" s="131"/>
      <c r="C855" s="131"/>
      <c r="D855" s="131"/>
      <c r="E855" s="96"/>
      <c r="F855" s="96"/>
    </row>
    <row r="856">
      <c r="A856" s="131"/>
      <c r="B856" s="131"/>
      <c r="C856" s="131"/>
      <c r="D856" s="131"/>
      <c r="E856" s="96"/>
      <c r="F856" s="96"/>
    </row>
    <row r="857">
      <c r="A857" s="131"/>
      <c r="B857" s="131"/>
      <c r="C857" s="131"/>
      <c r="D857" s="131"/>
      <c r="E857" s="96"/>
      <c r="F857" s="96"/>
    </row>
    <row r="858">
      <c r="A858" s="131"/>
      <c r="B858" s="131"/>
      <c r="C858" s="131"/>
      <c r="D858" s="131"/>
      <c r="E858" s="96"/>
      <c r="F858" s="96"/>
    </row>
    <row r="859">
      <c r="A859" s="131"/>
      <c r="B859" s="131"/>
      <c r="C859" s="131"/>
      <c r="D859" s="131"/>
      <c r="E859" s="96"/>
      <c r="F859" s="96"/>
    </row>
    <row r="860">
      <c r="A860" s="131"/>
      <c r="B860" s="131"/>
      <c r="C860" s="131"/>
      <c r="D860" s="131"/>
      <c r="E860" s="96"/>
      <c r="F860" s="96"/>
    </row>
    <row r="861">
      <c r="A861" s="131"/>
      <c r="B861" s="131"/>
      <c r="C861" s="131"/>
      <c r="D861" s="131"/>
      <c r="E861" s="96"/>
      <c r="F861" s="96"/>
    </row>
    <row r="862">
      <c r="A862" s="131"/>
      <c r="B862" s="131"/>
      <c r="C862" s="131"/>
      <c r="D862" s="131"/>
      <c r="E862" s="97"/>
      <c r="F862" s="97"/>
    </row>
    <row r="863">
      <c r="A863" s="131"/>
      <c r="B863" s="131"/>
      <c r="C863" s="131"/>
      <c r="D863" s="131"/>
      <c r="E863" s="96"/>
      <c r="F863" s="96"/>
    </row>
    <row r="864">
      <c r="A864" s="131"/>
      <c r="B864" s="131"/>
      <c r="C864" s="131"/>
      <c r="D864" s="131"/>
      <c r="E864" s="96"/>
      <c r="F864" s="96"/>
    </row>
    <row r="865">
      <c r="A865" s="131"/>
      <c r="B865" s="131"/>
      <c r="C865" s="131"/>
      <c r="D865" s="131"/>
      <c r="E865" s="96"/>
      <c r="F865" s="96"/>
    </row>
    <row r="866">
      <c r="A866" s="131"/>
      <c r="B866" s="131"/>
      <c r="C866" s="131"/>
      <c r="D866" s="131"/>
      <c r="E866" s="96"/>
      <c r="F866" s="96"/>
    </row>
    <row r="867">
      <c r="A867" s="131"/>
      <c r="B867" s="131"/>
      <c r="C867" s="131"/>
      <c r="D867" s="131"/>
      <c r="E867" s="96"/>
      <c r="F867" s="96"/>
    </row>
    <row r="868">
      <c r="A868" s="131"/>
      <c r="B868" s="131"/>
      <c r="C868" s="131"/>
      <c r="D868" s="131"/>
      <c r="E868" s="96"/>
      <c r="F868" s="96"/>
    </row>
    <row r="869">
      <c r="A869" s="131"/>
      <c r="B869" s="131"/>
      <c r="C869" s="131"/>
      <c r="D869" s="131"/>
      <c r="E869" s="98"/>
      <c r="F869" s="96"/>
    </row>
    <row r="870">
      <c r="A870" s="131"/>
      <c r="B870" s="131"/>
      <c r="C870" s="131"/>
      <c r="D870" s="131"/>
      <c r="E870" s="99"/>
      <c r="F870" s="99"/>
    </row>
    <row r="871">
      <c r="A871" s="131"/>
      <c r="B871" s="131"/>
      <c r="C871" s="131"/>
      <c r="D871" s="131"/>
      <c r="E871" s="100"/>
      <c r="F871" s="100"/>
    </row>
    <row r="872">
      <c r="A872" s="131"/>
      <c r="B872" s="131"/>
      <c r="C872" s="131"/>
      <c r="D872" s="131"/>
      <c r="E872" s="100"/>
      <c r="F872" s="100"/>
    </row>
    <row r="873">
      <c r="A873" s="131"/>
      <c r="B873" s="131"/>
      <c r="C873" s="131"/>
      <c r="D873" s="131"/>
      <c r="E873" s="100"/>
      <c r="F873" s="100"/>
    </row>
    <row r="874">
      <c r="A874" s="131"/>
      <c r="B874" s="131"/>
      <c r="C874" s="131"/>
      <c r="D874" s="131"/>
      <c r="E874" s="100"/>
      <c r="F874" s="100"/>
    </row>
    <row r="875">
      <c r="A875" s="131"/>
      <c r="B875" s="131"/>
      <c r="C875" s="131"/>
      <c r="D875" s="131"/>
      <c r="E875" s="100"/>
      <c r="F875" s="100"/>
    </row>
    <row r="876">
      <c r="A876" s="131"/>
      <c r="B876" s="131"/>
      <c r="C876" s="131"/>
      <c r="D876" s="131"/>
      <c r="E876" s="100"/>
      <c r="F876" s="100"/>
    </row>
    <row r="877">
      <c r="A877" s="131"/>
      <c r="B877" s="131"/>
      <c r="C877" s="131"/>
      <c r="D877" s="131"/>
      <c r="E877" s="100"/>
      <c r="F877" s="100"/>
    </row>
    <row r="878">
      <c r="A878" s="131"/>
      <c r="B878" s="131"/>
      <c r="C878" s="131"/>
      <c r="D878" s="131"/>
      <c r="E878" s="101"/>
      <c r="F878" s="101"/>
    </row>
    <row r="879">
      <c r="A879" s="131"/>
      <c r="B879" s="131"/>
      <c r="C879" s="131"/>
      <c r="D879" s="131"/>
      <c r="E879" s="100"/>
      <c r="F879" s="100"/>
    </row>
    <row r="880">
      <c r="A880" s="131"/>
      <c r="B880" s="131"/>
      <c r="C880" s="131"/>
      <c r="D880" s="131"/>
      <c r="E880" s="100"/>
      <c r="F880" s="100"/>
    </row>
    <row r="881">
      <c r="A881" s="131"/>
      <c r="B881" s="131"/>
      <c r="C881" s="131"/>
      <c r="D881" s="131"/>
      <c r="E881" s="102"/>
      <c r="F881" s="102"/>
    </row>
    <row r="882">
      <c r="A882" s="131"/>
      <c r="B882" s="131"/>
      <c r="C882" s="131"/>
      <c r="D882" s="131"/>
      <c r="E882" s="103"/>
      <c r="F882" s="103"/>
    </row>
    <row r="883">
      <c r="A883" s="131"/>
      <c r="B883" s="131"/>
      <c r="C883" s="131"/>
      <c r="D883" s="131"/>
      <c r="E883" s="103"/>
      <c r="F883" s="103"/>
    </row>
    <row r="884">
      <c r="A884" s="131"/>
      <c r="B884" s="131"/>
      <c r="C884" s="131"/>
      <c r="D884" s="131"/>
      <c r="E884" s="102"/>
      <c r="F884" s="103"/>
    </row>
    <row r="885">
      <c r="A885" s="131"/>
      <c r="B885" s="131"/>
      <c r="C885" s="131"/>
      <c r="D885" s="131"/>
      <c r="E885" s="103"/>
      <c r="F885" s="103"/>
    </row>
    <row r="886">
      <c r="A886" s="131"/>
      <c r="B886" s="131"/>
      <c r="C886" s="131"/>
      <c r="D886" s="131"/>
      <c r="E886" s="103"/>
      <c r="F886" s="103"/>
    </row>
    <row r="887">
      <c r="A887" s="131"/>
      <c r="B887" s="131"/>
      <c r="C887" s="131"/>
      <c r="D887" s="131"/>
      <c r="E887" s="103"/>
      <c r="F887" s="103"/>
    </row>
    <row r="888">
      <c r="A888" s="131"/>
      <c r="B888" s="131"/>
      <c r="C888" s="131"/>
      <c r="D888" s="131"/>
      <c r="E888" s="103"/>
      <c r="F888" s="103"/>
    </row>
    <row r="889">
      <c r="A889" s="131"/>
      <c r="B889" s="131"/>
      <c r="C889" s="131"/>
      <c r="D889" s="131"/>
      <c r="E889" s="103"/>
      <c r="F889" s="103"/>
    </row>
    <row r="890">
      <c r="A890" s="131"/>
      <c r="B890" s="131"/>
      <c r="C890" s="131"/>
      <c r="D890" s="131"/>
      <c r="E890" s="103"/>
      <c r="F890" s="103"/>
    </row>
    <row r="891">
      <c r="A891" s="131"/>
      <c r="B891" s="131"/>
      <c r="C891" s="131"/>
      <c r="D891" s="131"/>
      <c r="E891" s="103"/>
      <c r="F891" s="103"/>
    </row>
    <row r="892">
      <c r="A892" s="131"/>
      <c r="B892" s="131"/>
      <c r="C892" s="131"/>
      <c r="D892" s="131"/>
      <c r="E892" s="103"/>
      <c r="F892" s="103"/>
    </row>
    <row r="893">
      <c r="A893" s="131"/>
      <c r="B893" s="131"/>
      <c r="C893" s="131"/>
      <c r="D893" s="131"/>
      <c r="E893" s="103"/>
      <c r="F893" s="103"/>
    </row>
    <row r="894">
      <c r="A894" s="131"/>
      <c r="B894" s="131"/>
      <c r="C894" s="131"/>
      <c r="D894" s="131"/>
      <c r="E894" s="103"/>
      <c r="F894" s="103"/>
    </row>
    <row r="895">
      <c r="A895" s="131"/>
      <c r="B895" s="131"/>
      <c r="C895" s="131"/>
      <c r="D895" s="131"/>
      <c r="E895" s="103"/>
      <c r="F895" s="103"/>
    </row>
    <row r="896">
      <c r="A896" s="131"/>
      <c r="B896" s="131"/>
      <c r="C896" s="131"/>
      <c r="D896" s="131"/>
      <c r="E896" s="103"/>
      <c r="F896" s="103"/>
    </row>
    <row r="897">
      <c r="A897" s="131"/>
      <c r="B897" s="131"/>
      <c r="C897" s="131"/>
      <c r="D897" s="131"/>
      <c r="E897" s="103"/>
      <c r="F897" s="103"/>
    </row>
    <row r="898">
      <c r="A898" s="131"/>
      <c r="B898" s="131"/>
      <c r="C898" s="131"/>
      <c r="D898" s="131"/>
      <c r="E898" s="103"/>
      <c r="F898" s="103"/>
    </row>
    <row r="899">
      <c r="A899" s="131"/>
      <c r="B899" s="131"/>
      <c r="C899" s="131"/>
      <c r="D899" s="131"/>
      <c r="E899" s="99"/>
      <c r="F899" s="99"/>
    </row>
    <row r="900">
      <c r="A900" s="131"/>
      <c r="B900" s="131"/>
      <c r="C900" s="131"/>
      <c r="D900" s="131"/>
      <c r="E900" s="100"/>
      <c r="F900" s="100"/>
    </row>
    <row r="901">
      <c r="A901" s="131"/>
      <c r="B901" s="131"/>
      <c r="C901" s="131"/>
      <c r="D901" s="131"/>
      <c r="E901" s="100"/>
      <c r="F901" s="100"/>
    </row>
    <row r="902">
      <c r="A902" s="131"/>
      <c r="B902" s="131"/>
      <c r="C902" s="131"/>
      <c r="D902" s="131"/>
      <c r="E902" s="100"/>
      <c r="F902" s="100"/>
    </row>
    <row r="903">
      <c r="A903" s="131"/>
      <c r="B903" s="131"/>
      <c r="C903" s="131"/>
      <c r="D903" s="131"/>
      <c r="E903" s="100"/>
      <c r="F903" s="100"/>
    </row>
    <row r="904">
      <c r="A904" s="131"/>
      <c r="B904" s="131"/>
      <c r="C904" s="131"/>
      <c r="D904" s="131"/>
      <c r="E904" s="100"/>
      <c r="F904" s="100"/>
    </row>
    <row r="905">
      <c r="A905" s="131"/>
      <c r="B905" s="131"/>
      <c r="C905" s="131"/>
      <c r="D905" s="131"/>
      <c r="E905" s="100"/>
      <c r="F905" s="100"/>
    </row>
    <row r="906">
      <c r="A906" s="131"/>
      <c r="B906" s="131"/>
      <c r="C906" s="131"/>
      <c r="D906" s="131"/>
      <c r="E906" s="100"/>
      <c r="F906" s="100"/>
    </row>
    <row r="907">
      <c r="A907" s="131"/>
      <c r="B907" s="131"/>
      <c r="C907" s="131"/>
      <c r="D907" s="131"/>
      <c r="E907" s="100"/>
      <c r="F907" s="100"/>
    </row>
    <row r="908">
      <c r="A908" s="131"/>
      <c r="B908" s="131"/>
      <c r="C908" s="131"/>
      <c r="D908" s="131"/>
      <c r="E908" s="100"/>
      <c r="F908" s="100"/>
    </row>
    <row r="909">
      <c r="A909" s="131"/>
      <c r="B909" s="131"/>
      <c r="C909" s="131"/>
      <c r="D909" s="131"/>
      <c r="E909" s="100"/>
      <c r="F909" s="100"/>
    </row>
    <row r="910">
      <c r="A910" s="131"/>
      <c r="B910" s="131"/>
      <c r="C910" s="131"/>
      <c r="D910" s="131"/>
      <c r="E910" s="99"/>
      <c r="F910" s="99"/>
    </row>
    <row r="911">
      <c r="A911" s="131"/>
      <c r="B911" s="131"/>
      <c r="C911" s="131"/>
      <c r="D911" s="131"/>
      <c r="E911" s="100"/>
      <c r="F911" s="100"/>
    </row>
    <row r="912">
      <c r="A912" s="131"/>
      <c r="B912" s="131"/>
      <c r="C912" s="131"/>
      <c r="D912" s="131"/>
      <c r="E912" s="100"/>
      <c r="F912" s="100"/>
    </row>
    <row r="913">
      <c r="A913" s="131"/>
      <c r="B913" s="131"/>
      <c r="C913" s="131"/>
      <c r="D913" s="131"/>
      <c r="E913" s="100"/>
      <c r="F913" s="100"/>
    </row>
    <row r="914">
      <c r="A914" s="131"/>
      <c r="B914" s="131"/>
      <c r="C914" s="131"/>
      <c r="D914" s="131"/>
      <c r="E914" s="100"/>
      <c r="F914" s="100"/>
    </row>
    <row r="915">
      <c r="A915" s="131"/>
      <c r="B915" s="131"/>
      <c r="C915" s="131"/>
      <c r="D915" s="131"/>
      <c r="E915" s="100"/>
      <c r="F915" s="100"/>
    </row>
    <row r="916">
      <c r="A916" s="131"/>
      <c r="B916" s="131"/>
      <c r="C916" s="131"/>
      <c r="D916" s="131"/>
      <c r="E916" s="100"/>
      <c r="F916" s="100"/>
    </row>
    <row r="917">
      <c r="A917" s="131"/>
      <c r="B917" s="131"/>
      <c r="C917" s="131"/>
      <c r="D917" s="131"/>
      <c r="E917" s="101"/>
      <c r="F917" s="101"/>
    </row>
    <row r="918">
      <c r="A918" s="131"/>
      <c r="B918" s="131"/>
      <c r="C918" s="131"/>
      <c r="D918" s="131"/>
      <c r="E918" s="101"/>
      <c r="F918" s="101"/>
    </row>
    <row r="919">
      <c r="A919" s="131"/>
      <c r="B919" s="131"/>
      <c r="C919" s="131"/>
      <c r="D919" s="131"/>
      <c r="E919" s="101"/>
      <c r="F919" s="101"/>
    </row>
    <row r="920">
      <c r="A920" s="131"/>
      <c r="B920" s="131"/>
      <c r="C920" s="131"/>
      <c r="D920" s="131"/>
      <c r="E920" s="101"/>
      <c r="F920" s="101"/>
    </row>
    <row r="921">
      <c r="A921" s="131"/>
      <c r="B921" s="131"/>
      <c r="C921" s="131"/>
      <c r="D921" s="131"/>
      <c r="E921" s="101"/>
      <c r="F921" s="101"/>
    </row>
    <row r="922">
      <c r="A922" s="131"/>
      <c r="B922" s="131"/>
      <c r="C922" s="131"/>
      <c r="D922" s="131"/>
      <c r="E922" s="101"/>
      <c r="F922" s="101"/>
    </row>
    <row r="923">
      <c r="A923" s="131"/>
      <c r="B923" s="131"/>
      <c r="C923" s="131"/>
      <c r="D923" s="131"/>
      <c r="E923" s="105"/>
      <c r="F923" s="105"/>
    </row>
    <row r="924">
      <c r="A924" s="131"/>
      <c r="B924" s="131"/>
      <c r="C924" s="131"/>
      <c r="D924" s="131"/>
      <c r="E924" s="106"/>
      <c r="F924" s="106"/>
    </row>
    <row r="925">
      <c r="A925" s="131"/>
      <c r="B925" s="131"/>
      <c r="C925" s="131"/>
      <c r="D925" s="131"/>
      <c r="E925" s="107"/>
      <c r="F925" s="107"/>
    </row>
    <row r="926">
      <c r="A926" s="131"/>
      <c r="B926" s="131"/>
      <c r="C926" s="131"/>
      <c r="D926" s="131"/>
      <c r="E926" s="107"/>
      <c r="F926" s="107"/>
    </row>
    <row r="927">
      <c r="A927" s="131"/>
      <c r="B927" s="131"/>
      <c r="C927" s="131"/>
      <c r="D927" s="131"/>
      <c r="E927" s="108"/>
      <c r="F927" s="108"/>
    </row>
    <row r="928">
      <c r="A928" s="131"/>
      <c r="B928" s="131"/>
      <c r="C928" s="131"/>
      <c r="D928" s="131"/>
      <c r="E928" s="107"/>
      <c r="F928" s="107"/>
    </row>
    <row r="929">
      <c r="A929" s="131"/>
      <c r="B929" s="131"/>
      <c r="C929" s="131"/>
      <c r="D929" s="131"/>
      <c r="E929" s="106"/>
      <c r="F929" s="106"/>
    </row>
    <row r="930">
      <c r="A930" s="131"/>
      <c r="B930" s="131"/>
      <c r="C930" s="131"/>
      <c r="D930" s="131"/>
      <c r="E930" s="107"/>
      <c r="F930" s="107"/>
    </row>
    <row r="931">
      <c r="A931" s="131"/>
      <c r="B931" s="131"/>
      <c r="C931" s="131"/>
      <c r="D931" s="131"/>
      <c r="E931" s="107"/>
      <c r="F931" s="107"/>
    </row>
    <row r="932">
      <c r="A932" s="131"/>
      <c r="B932" s="131"/>
      <c r="C932" s="131"/>
      <c r="D932" s="131"/>
      <c r="E932" s="107"/>
      <c r="F932" s="107"/>
    </row>
    <row r="933">
      <c r="A933" s="131"/>
      <c r="B933" s="131"/>
      <c r="C933" s="131"/>
      <c r="D933" s="131"/>
      <c r="E933" s="107"/>
      <c r="F933" s="107"/>
    </row>
    <row r="934">
      <c r="A934" s="131"/>
      <c r="B934" s="131"/>
      <c r="C934" s="131"/>
      <c r="D934" s="131"/>
      <c r="E934" s="106"/>
      <c r="F934" s="106"/>
    </row>
    <row r="935">
      <c r="A935" s="131"/>
      <c r="B935" s="131"/>
      <c r="C935" s="131"/>
      <c r="D935" s="131"/>
      <c r="E935" s="107"/>
      <c r="F935" s="107"/>
    </row>
    <row r="936">
      <c r="A936" s="131"/>
      <c r="B936" s="131"/>
      <c r="C936" s="131"/>
      <c r="D936" s="131"/>
      <c r="E936" s="109"/>
      <c r="F936" s="109"/>
    </row>
    <row r="937">
      <c r="A937" s="131"/>
      <c r="B937" s="131"/>
      <c r="C937" s="131"/>
      <c r="D937" s="131"/>
      <c r="E937" s="110"/>
      <c r="F937" s="110"/>
    </row>
    <row r="938">
      <c r="A938" s="131"/>
      <c r="B938" s="131"/>
      <c r="C938" s="131"/>
      <c r="D938" s="131"/>
      <c r="E938" s="110"/>
      <c r="F938" s="110"/>
    </row>
    <row r="939">
      <c r="A939" s="131"/>
      <c r="B939" s="131"/>
      <c r="C939" s="131"/>
      <c r="D939" s="131"/>
      <c r="E939" s="111"/>
      <c r="F939" s="111"/>
    </row>
    <row r="940">
      <c r="A940" s="131"/>
      <c r="B940" s="131"/>
      <c r="C940" s="131"/>
      <c r="D940" s="131"/>
      <c r="E940" s="131"/>
      <c r="F940" s="131"/>
    </row>
    <row r="941">
      <c r="A941" s="131"/>
      <c r="B941" s="131"/>
      <c r="C941" s="131"/>
      <c r="D941" s="131"/>
      <c r="E941" s="131"/>
      <c r="F941" s="131"/>
    </row>
    <row r="942">
      <c r="A942" s="131"/>
      <c r="B942" s="131"/>
      <c r="C942" s="131"/>
      <c r="D942" s="131"/>
      <c r="E942" s="131"/>
      <c r="F942" s="131"/>
    </row>
    <row r="943">
      <c r="A943" s="131"/>
      <c r="B943" s="131"/>
      <c r="C943" s="131"/>
      <c r="D943" s="131"/>
      <c r="E943" s="131"/>
      <c r="F943" s="131"/>
    </row>
    <row r="944">
      <c r="A944" s="131"/>
      <c r="B944" s="131"/>
      <c r="C944" s="131"/>
      <c r="D944" s="131"/>
      <c r="E944" s="131"/>
      <c r="F944" s="131"/>
    </row>
    <row r="945">
      <c r="A945" s="131"/>
      <c r="B945" s="131"/>
      <c r="C945" s="131"/>
      <c r="D945" s="131"/>
      <c r="E945" s="131"/>
      <c r="F945" s="131"/>
    </row>
    <row r="946">
      <c r="A946" s="131"/>
      <c r="B946" s="131"/>
      <c r="C946" s="131"/>
      <c r="D946" s="131"/>
      <c r="E946" s="131"/>
      <c r="F946" s="131"/>
    </row>
    <row r="947">
      <c r="A947" s="131"/>
      <c r="B947" s="131"/>
      <c r="C947" s="131"/>
      <c r="D947" s="131"/>
      <c r="E947" s="131"/>
      <c r="F947" s="131"/>
    </row>
    <row r="948">
      <c r="A948" s="131"/>
      <c r="B948" s="131"/>
      <c r="C948" s="131"/>
      <c r="D948" s="131"/>
      <c r="E948" s="131"/>
      <c r="F948" s="131"/>
    </row>
    <row r="949">
      <c r="A949" s="131"/>
      <c r="B949" s="131"/>
      <c r="C949" s="131"/>
      <c r="D949" s="131"/>
      <c r="E949" s="131"/>
      <c r="F949" s="131"/>
    </row>
    <row r="950">
      <c r="A950" s="131"/>
      <c r="B950" s="131"/>
      <c r="C950" s="131"/>
      <c r="D950" s="131"/>
      <c r="E950" s="131"/>
      <c r="F950" s="131"/>
    </row>
    <row r="951">
      <c r="A951" s="131"/>
      <c r="B951" s="131"/>
      <c r="C951" s="131"/>
      <c r="D951" s="131"/>
      <c r="E951" s="131"/>
      <c r="F951" s="131"/>
    </row>
    <row r="952">
      <c r="A952" s="131"/>
      <c r="B952" s="131"/>
      <c r="C952" s="131"/>
      <c r="D952" s="131"/>
      <c r="E952" s="131"/>
      <c r="F952" s="131"/>
    </row>
    <row r="953">
      <c r="A953" s="131"/>
      <c r="B953" s="131"/>
      <c r="C953" s="131"/>
      <c r="D953" s="131"/>
      <c r="E953" s="131"/>
      <c r="F953" s="131"/>
    </row>
    <row r="954">
      <c r="A954" s="131"/>
      <c r="B954" s="131"/>
      <c r="C954" s="131"/>
      <c r="D954" s="131"/>
      <c r="E954" s="131"/>
      <c r="F954" s="131"/>
    </row>
    <row r="955">
      <c r="A955" s="131"/>
      <c r="B955" s="131"/>
      <c r="C955" s="131"/>
      <c r="D955" s="131"/>
      <c r="E955" s="131"/>
      <c r="F955" s="131"/>
    </row>
    <row r="956">
      <c r="A956" s="131"/>
      <c r="B956" s="131"/>
      <c r="C956" s="131"/>
      <c r="D956" s="131"/>
      <c r="E956" s="131"/>
      <c r="F956" s="131"/>
    </row>
    <row r="957">
      <c r="A957" s="131"/>
      <c r="B957" s="131"/>
      <c r="C957" s="131"/>
      <c r="D957" s="131"/>
      <c r="E957" s="131"/>
      <c r="F957" s="131"/>
    </row>
    <row r="958">
      <c r="A958" s="131"/>
      <c r="B958" s="131"/>
      <c r="C958" s="131"/>
      <c r="D958" s="131"/>
      <c r="E958" s="131"/>
      <c r="F958" s="131"/>
    </row>
    <row r="959">
      <c r="A959" s="131"/>
      <c r="B959" s="131"/>
      <c r="C959" s="131"/>
      <c r="D959" s="131"/>
      <c r="E959" s="131"/>
      <c r="F959" s="131"/>
    </row>
    <row r="960">
      <c r="A960" s="131"/>
      <c r="B960" s="131"/>
      <c r="C960" s="131"/>
      <c r="D960" s="131"/>
      <c r="E960" s="131"/>
      <c r="F960" s="131"/>
    </row>
    <row r="961">
      <c r="A961" s="131"/>
      <c r="B961" s="131"/>
      <c r="C961" s="131"/>
      <c r="D961" s="131"/>
      <c r="E961" s="131"/>
      <c r="F961" s="131"/>
    </row>
    <row r="962">
      <c r="A962" s="131"/>
      <c r="B962" s="131"/>
      <c r="C962" s="131"/>
      <c r="D962" s="131"/>
      <c r="E962" s="131"/>
      <c r="F962" s="131"/>
    </row>
    <row r="963">
      <c r="A963" s="131"/>
      <c r="B963" s="131"/>
      <c r="C963" s="131"/>
      <c r="D963" s="131"/>
      <c r="E963" s="131"/>
      <c r="F963" s="131"/>
    </row>
    <row r="964">
      <c r="A964" s="131"/>
      <c r="B964" s="131"/>
      <c r="C964" s="131"/>
      <c r="D964" s="131"/>
      <c r="E964" s="131"/>
      <c r="F964" s="131"/>
    </row>
    <row r="965">
      <c r="A965" s="131"/>
      <c r="B965" s="131"/>
      <c r="C965" s="131"/>
      <c r="D965" s="131"/>
      <c r="E965" s="131"/>
      <c r="F965" s="131"/>
    </row>
    <row r="966">
      <c r="A966" s="131"/>
      <c r="B966" s="131"/>
      <c r="C966" s="131"/>
      <c r="D966" s="131"/>
      <c r="E966" s="131"/>
      <c r="F966" s="131"/>
    </row>
    <row r="967">
      <c r="A967" s="131"/>
      <c r="B967" s="131"/>
      <c r="C967" s="131"/>
      <c r="D967" s="131"/>
      <c r="E967" s="131"/>
      <c r="F967" s="131"/>
    </row>
    <row r="968">
      <c r="A968" s="131"/>
      <c r="B968" s="131"/>
      <c r="C968" s="131"/>
      <c r="D968" s="131"/>
      <c r="E968" s="131"/>
      <c r="F968" s="131"/>
    </row>
    <row r="969">
      <c r="A969" s="131"/>
      <c r="B969" s="131"/>
      <c r="C969" s="131"/>
      <c r="D969" s="131"/>
      <c r="E969" s="131"/>
      <c r="F969" s="131"/>
    </row>
    <row r="970">
      <c r="A970" s="131"/>
      <c r="B970" s="131"/>
      <c r="C970" s="131"/>
      <c r="D970" s="131"/>
      <c r="E970" s="131"/>
      <c r="F970" s="131"/>
    </row>
    <row r="971">
      <c r="A971" s="131"/>
      <c r="B971" s="131"/>
      <c r="C971" s="131"/>
      <c r="D971" s="131"/>
      <c r="E971" s="131"/>
      <c r="F971" s="131"/>
    </row>
    <row r="972">
      <c r="A972" s="131"/>
      <c r="B972" s="131"/>
      <c r="C972" s="131"/>
      <c r="D972" s="131"/>
      <c r="E972" s="131"/>
      <c r="F972" s="131"/>
    </row>
    <row r="973">
      <c r="A973" s="131"/>
      <c r="B973" s="131"/>
      <c r="C973" s="131"/>
      <c r="D973" s="131"/>
      <c r="E973" s="131"/>
      <c r="F973" s="131"/>
    </row>
    <row r="974">
      <c r="A974" s="131"/>
      <c r="B974" s="131"/>
      <c r="C974" s="131"/>
      <c r="D974" s="131"/>
      <c r="E974" s="131"/>
      <c r="F974" s="131"/>
    </row>
    <row r="975">
      <c r="A975" s="131"/>
      <c r="B975" s="131"/>
      <c r="C975" s="131"/>
      <c r="D975" s="131"/>
      <c r="E975" s="131"/>
      <c r="F975" s="131"/>
    </row>
    <row r="976">
      <c r="A976" s="131"/>
      <c r="B976" s="131"/>
      <c r="C976" s="131"/>
      <c r="D976" s="131"/>
      <c r="E976" s="131"/>
      <c r="F976" s="131"/>
    </row>
    <row r="977">
      <c r="A977" s="131"/>
      <c r="B977" s="131"/>
      <c r="C977" s="131"/>
      <c r="D977" s="131"/>
      <c r="E977" s="131"/>
      <c r="F977" s="131"/>
    </row>
    <row r="978">
      <c r="A978" s="131"/>
      <c r="B978" s="131"/>
      <c r="C978" s="131"/>
      <c r="D978" s="131"/>
      <c r="E978" s="131"/>
      <c r="F978" s="131"/>
    </row>
    <row r="979">
      <c r="A979" s="131"/>
      <c r="B979" s="131"/>
      <c r="C979" s="131"/>
      <c r="D979" s="131"/>
      <c r="E979" s="131"/>
      <c r="F979" s="131"/>
    </row>
    <row r="980">
      <c r="A980" s="131"/>
      <c r="B980" s="131"/>
      <c r="C980" s="131"/>
      <c r="D980" s="131"/>
      <c r="E980" s="131"/>
      <c r="F980" s="131"/>
    </row>
    <row r="981">
      <c r="A981" s="131"/>
      <c r="B981" s="131"/>
      <c r="C981" s="131"/>
      <c r="D981" s="131"/>
      <c r="E981" s="131"/>
      <c r="F981" s="131"/>
    </row>
    <row r="982">
      <c r="A982" s="131"/>
      <c r="B982" s="131"/>
      <c r="C982" s="131"/>
      <c r="D982" s="131"/>
      <c r="E982" s="131"/>
      <c r="F982" s="131"/>
    </row>
    <row r="983">
      <c r="A983" s="131"/>
      <c r="B983" s="131"/>
      <c r="C983" s="131"/>
      <c r="D983" s="131"/>
      <c r="E983" s="131"/>
      <c r="F983" s="131"/>
    </row>
    <row r="984">
      <c r="A984" s="131"/>
      <c r="B984" s="131"/>
      <c r="C984" s="131"/>
      <c r="D984" s="131"/>
      <c r="E984" s="131"/>
      <c r="F984" s="131"/>
    </row>
    <row r="985">
      <c r="A985" s="131"/>
      <c r="B985" s="131"/>
      <c r="C985" s="131"/>
      <c r="D985" s="131"/>
      <c r="E985" s="131"/>
      <c r="F985" s="131"/>
    </row>
    <row r="986">
      <c r="A986" s="131"/>
      <c r="B986" s="131"/>
      <c r="C986" s="131"/>
      <c r="D986" s="131"/>
      <c r="E986" s="131"/>
      <c r="F986" s="131"/>
    </row>
    <row r="987">
      <c r="A987" s="131"/>
      <c r="B987" s="131"/>
      <c r="C987" s="131"/>
      <c r="D987" s="131"/>
      <c r="E987" s="131"/>
      <c r="F987" s="131"/>
    </row>
    <row r="988">
      <c r="A988" s="131"/>
      <c r="B988" s="131"/>
      <c r="C988" s="131"/>
      <c r="D988" s="131"/>
      <c r="E988" s="131"/>
      <c r="F988" s="131"/>
    </row>
    <row r="989">
      <c r="A989" s="131"/>
      <c r="B989" s="131"/>
      <c r="C989" s="131"/>
      <c r="D989" s="131"/>
      <c r="E989" s="131"/>
      <c r="F989" s="131"/>
    </row>
    <row r="990">
      <c r="A990" s="131"/>
      <c r="B990" s="131"/>
      <c r="C990" s="131"/>
      <c r="D990" s="131"/>
      <c r="E990" s="131"/>
      <c r="F990" s="131"/>
    </row>
    <row r="991">
      <c r="A991" s="131"/>
      <c r="B991" s="131"/>
      <c r="C991" s="131"/>
      <c r="D991" s="131"/>
      <c r="E991" s="131"/>
      <c r="F991" s="131"/>
    </row>
    <row r="992">
      <c r="A992" s="131"/>
      <c r="B992" s="131"/>
      <c r="C992" s="131"/>
      <c r="D992" s="131"/>
      <c r="E992" s="131"/>
      <c r="F992" s="131"/>
    </row>
    <row r="993">
      <c r="A993" s="131"/>
      <c r="B993" s="131"/>
      <c r="C993" s="131"/>
      <c r="D993" s="131"/>
      <c r="E993" s="131"/>
      <c r="F993" s="131"/>
    </row>
    <row r="994">
      <c r="A994" s="131"/>
      <c r="B994" s="131"/>
      <c r="C994" s="131"/>
      <c r="D994" s="131"/>
      <c r="E994" s="131"/>
      <c r="F994" s="131"/>
    </row>
  </sheetData>
  <mergeCells count="12">
    <mergeCell ref="L500:P500"/>
    <mergeCell ref="Q500:W500"/>
    <mergeCell ref="G752:K752"/>
    <mergeCell ref="L752:P752"/>
    <mergeCell ref="Q752:W752"/>
    <mergeCell ref="G846:K846"/>
    <mergeCell ref="L846:P846"/>
    <mergeCell ref="Q846:W846"/>
    <mergeCell ref="G1:K1"/>
    <mergeCell ref="L1:P1"/>
    <mergeCell ref="Q1:W1"/>
    <mergeCell ref="G500:K500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2" max="22" width="16.29"/>
    <col customWidth="1" min="23" max="23" width="16.14"/>
  </cols>
  <sheetData>
    <row r="1">
      <c r="A1" s="86" t="s">
        <v>554</v>
      </c>
      <c r="B1" s="87" t="s">
        <v>27</v>
      </c>
      <c r="G1" s="121" t="s">
        <v>555</v>
      </c>
      <c r="H1" s="13"/>
      <c r="I1" s="13"/>
      <c r="J1" s="13"/>
      <c r="K1" s="14"/>
      <c r="L1" s="121" t="s">
        <v>556</v>
      </c>
      <c r="M1" s="13"/>
      <c r="N1" s="13"/>
      <c r="O1" s="13"/>
      <c r="P1" s="14"/>
      <c r="Q1" s="122" t="s">
        <v>33</v>
      </c>
      <c r="R1" s="13"/>
      <c r="S1" s="13"/>
      <c r="T1" s="13"/>
      <c r="U1" s="13"/>
      <c r="V1" s="13"/>
      <c r="W1" s="14"/>
    </row>
    <row r="2">
      <c r="A2" s="90" t="s">
        <v>41</v>
      </c>
      <c r="B2" s="90" t="s">
        <v>42</v>
      </c>
      <c r="C2" s="90" t="s">
        <v>43</v>
      </c>
      <c r="D2" s="90" t="s">
        <v>44</v>
      </c>
      <c r="E2" s="90" t="s">
        <v>45</v>
      </c>
      <c r="F2" s="90" t="s">
        <v>46</v>
      </c>
      <c r="G2" s="123" t="s">
        <v>557</v>
      </c>
      <c r="H2" s="124" t="s">
        <v>558</v>
      </c>
      <c r="I2" s="124" t="s">
        <v>559</v>
      </c>
      <c r="J2" s="125" t="s">
        <v>560</v>
      </c>
      <c r="K2" s="125" t="s">
        <v>561</v>
      </c>
      <c r="L2" s="126" t="s">
        <v>562</v>
      </c>
      <c r="M2" s="125" t="s">
        <v>563</v>
      </c>
      <c r="N2" s="125" t="s">
        <v>564</v>
      </c>
      <c r="O2" s="125" t="s">
        <v>565</v>
      </c>
      <c r="P2" s="127" t="s">
        <v>566</v>
      </c>
      <c r="Q2" s="128" t="s">
        <v>567</v>
      </c>
      <c r="R2" s="129" t="s">
        <v>568</v>
      </c>
      <c r="S2" s="129" t="s">
        <v>569</v>
      </c>
      <c r="T2" s="129" t="s">
        <v>570</v>
      </c>
      <c r="U2" s="129" t="s">
        <v>571</v>
      </c>
      <c r="V2" s="129" t="s">
        <v>572</v>
      </c>
      <c r="W2" s="130" t="s">
        <v>573</v>
      </c>
    </row>
    <row r="3">
      <c r="A3" s="131">
        <f>IFERROR(__xludf.DUMMYFUNCTION("QUERY(MASTERLIST!A3:F997, ""SELECT *"", 0)"),1.0)</f>
        <v>1</v>
      </c>
      <c r="B3" s="131"/>
      <c r="C3" s="131">
        <f>IFERROR(__xludf.DUMMYFUNCTION("""COMPUTED_VALUE"""),1.0)</f>
        <v>1</v>
      </c>
      <c r="D3" s="131" t="b">
        <f>IFERROR(__xludf.DUMMYFUNCTION("""COMPUTED_VALUE"""),TRUE)</f>
        <v>1</v>
      </c>
      <c r="E3" s="94" t="str">
        <f>IFERROR(__xludf.DUMMYFUNCTION("""COMPUTED_VALUE"""),"ARANDA")</f>
        <v>ARANDA</v>
      </c>
      <c r="F3" s="94" t="str">
        <f>IFERROR(__xludf.DUMMYFUNCTION("""COMPUTED_VALUE"""),"KAI")</f>
        <v>KAI</v>
      </c>
    </row>
    <row r="4">
      <c r="A4" s="131">
        <f>IFERROR(__xludf.DUMMYFUNCTION("""COMPUTED_VALUE"""),2.0)</f>
        <v>2</v>
      </c>
      <c r="B4" s="131"/>
      <c r="C4" s="131">
        <f>IFERROR(__xludf.DUMMYFUNCTION("""COMPUTED_VALUE"""),1.0)</f>
        <v>1</v>
      </c>
      <c r="D4" s="131" t="b">
        <f>IFERROR(__xludf.DUMMYFUNCTION("""COMPUTED_VALUE"""),FALSE)</f>
        <v>0</v>
      </c>
      <c r="E4" s="95" t="str">
        <f>IFERROR(__xludf.DUMMYFUNCTION("""COMPUTED_VALUE"""),"ARCILLA")</f>
        <v>ARCILLA</v>
      </c>
      <c r="F4" s="96" t="str">
        <f>IFERROR(__xludf.DUMMYFUNCTION("""COMPUTED_VALUE"""),"DANIELA")</f>
        <v>DANIELA</v>
      </c>
    </row>
    <row r="5">
      <c r="A5" s="131">
        <f>IFERROR(__xludf.DUMMYFUNCTION("""COMPUTED_VALUE"""),3.0)</f>
        <v>3</v>
      </c>
      <c r="B5" s="131"/>
      <c r="C5" s="131">
        <f>IFERROR(__xludf.DUMMYFUNCTION("""COMPUTED_VALUE"""),1.0)</f>
        <v>1</v>
      </c>
      <c r="D5" s="131" t="b">
        <f>IFERROR(__xludf.DUMMYFUNCTION("""COMPUTED_VALUE"""),FALSE)</f>
        <v>0</v>
      </c>
      <c r="E5" s="95" t="str">
        <f>IFERROR(__xludf.DUMMYFUNCTION("""COMPUTED_VALUE"""),"ANDRE")</f>
        <v>ANDRE</v>
      </c>
      <c r="F5" s="96" t="str">
        <f>IFERROR(__xludf.DUMMYFUNCTION("""COMPUTED_VALUE"""),"CARLA")</f>
        <v>CARLA</v>
      </c>
    </row>
    <row r="6">
      <c r="A6" s="131">
        <f>IFERROR(__xludf.DUMMYFUNCTION("""COMPUTED_VALUE"""),4.0)</f>
        <v>4</v>
      </c>
      <c r="B6" s="131"/>
      <c r="C6" s="131">
        <f>IFERROR(__xludf.DUMMYFUNCTION("""COMPUTED_VALUE"""),1.0)</f>
        <v>1</v>
      </c>
      <c r="D6" s="131" t="b">
        <f>IFERROR(__xludf.DUMMYFUNCTION("""COMPUTED_VALUE"""),FALSE)</f>
        <v>0</v>
      </c>
      <c r="E6" s="96" t="str">
        <f>IFERROR(__xludf.DUMMYFUNCTION("""COMPUTED_VALUE"""),"BALDELOVAR")</f>
        <v>BALDELOVAR</v>
      </c>
      <c r="F6" s="96" t="str">
        <f>IFERROR(__xludf.DUMMYFUNCTION("""COMPUTED_VALUE"""),"LEANNE")</f>
        <v>LEANNE</v>
      </c>
    </row>
    <row r="7">
      <c r="A7" s="131">
        <f>IFERROR(__xludf.DUMMYFUNCTION("""COMPUTED_VALUE"""),5.0)</f>
        <v>5</v>
      </c>
      <c r="B7" s="131"/>
      <c r="C7" s="131">
        <f>IFERROR(__xludf.DUMMYFUNCTION("""COMPUTED_VALUE"""),1.0)</f>
        <v>1</v>
      </c>
      <c r="D7" s="131" t="b">
        <f>IFERROR(__xludf.DUMMYFUNCTION("""COMPUTED_VALUE"""),FALSE)</f>
        <v>0</v>
      </c>
      <c r="E7" s="96" t="str">
        <f>IFERROR(__xludf.DUMMYFUNCTION("""COMPUTED_VALUE"""),"BANTAYAN")</f>
        <v>BANTAYAN</v>
      </c>
      <c r="F7" s="96" t="str">
        <f>IFERROR(__xludf.DUMMYFUNCTION("""COMPUTED_VALUE"""),"EURASIA")</f>
        <v>EURASIA</v>
      </c>
    </row>
    <row r="8">
      <c r="A8" s="131">
        <f>IFERROR(__xludf.DUMMYFUNCTION("""COMPUTED_VALUE"""),6.0)</f>
        <v>6</v>
      </c>
      <c r="B8" s="131"/>
      <c r="C8" s="131">
        <f>IFERROR(__xludf.DUMMYFUNCTION("""COMPUTED_VALUE"""),1.0)</f>
        <v>1</v>
      </c>
      <c r="D8" s="131" t="b">
        <f>IFERROR(__xludf.DUMMYFUNCTION("""COMPUTED_VALUE"""),FALSE)</f>
        <v>0</v>
      </c>
      <c r="E8" s="96" t="str">
        <f>IFERROR(__xludf.DUMMYFUNCTION("""COMPUTED_VALUE"""),"BUCTOT")</f>
        <v>BUCTOT</v>
      </c>
      <c r="F8" s="96" t="str">
        <f>IFERROR(__xludf.DUMMYFUNCTION("""COMPUTED_VALUE"""),"JEZEBEL")</f>
        <v>JEZEBEL</v>
      </c>
    </row>
    <row r="9">
      <c r="A9" s="131">
        <f>IFERROR(__xludf.DUMMYFUNCTION("""COMPUTED_VALUE"""),7.0)</f>
        <v>7</v>
      </c>
      <c r="B9" s="131"/>
      <c r="C9" s="131">
        <f>IFERROR(__xludf.DUMMYFUNCTION("""COMPUTED_VALUE"""),1.0)</f>
        <v>1</v>
      </c>
      <c r="D9" s="131" t="b">
        <f>IFERROR(__xludf.DUMMYFUNCTION("""COMPUTED_VALUE"""),FALSE)</f>
        <v>0</v>
      </c>
      <c r="E9" s="96" t="str">
        <f>IFERROR(__xludf.DUMMYFUNCTION("""COMPUTED_VALUE"""),"ENCARNACION")</f>
        <v>ENCARNACION</v>
      </c>
      <c r="F9" s="96" t="str">
        <f>IFERROR(__xludf.DUMMYFUNCTION("""COMPUTED_VALUE"""),"KRISTEL")</f>
        <v>KRISTEL</v>
      </c>
    </row>
    <row r="10">
      <c r="A10" s="131">
        <f>IFERROR(__xludf.DUMMYFUNCTION("""COMPUTED_VALUE"""),8.0)</f>
        <v>8</v>
      </c>
      <c r="B10" s="131"/>
      <c r="C10" s="131">
        <f>IFERROR(__xludf.DUMMYFUNCTION("""COMPUTED_VALUE"""),1.0)</f>
        <v>1</v>
      </c>
      <c r="D10" s="131" t="b">
        <f>IFERROR(__xludf.DUMMYFUNCTION("""COMPUTED_VALUE"""),FALSE)</f>
        <v>0</v>
      </c>
      <c r="E10" s="96" t="str">
        <f>IFERROR(__xludf.DUMMYFUNCTION("""COMPUTED_VALUE"""),"GUTIERREZ")</f>
        <v>GUTIERREZ</v>
      </c>
      <c r="F10" s="96" t="str">
        <f>IFERROR(__xludf.DUMMYFUNCTION("""COMPUTED_VALUE"""),"PAOLA")</f>
        <v>PAOLA</v>
      </c>
    </row>
    <row r="11">
      <c r="A11" s="131">
        <f>IFERROR(__xludf.DUMMYFUNCTION("""COMPUTED_VALUE"""),9.0)</f>
        <v>9</v>
      </c>
      <c r="B11" s="131"/>
      <c r="C11" s="131">
        <f>IFERROR(__xludf.DUMMYFUNCTION("""COMPUTED_VALUE"""),1.0)</f>
        <v>1</v>
      </c>
      <c r="D11" s="131" t="b">
        <f>IFERROR(__xludf.DUMMYFUNCTION("""COMPUTED_VALUE"""),FALSE)</f>
        <v>0</v>
      </c>
      <c r="E11" s="96" t="str">
        <f>IFERROR(__xludf.DUMMYFUNCTION("""COMPUTED_VALUE"""),"HISPANO")</f>
        <v>HISPANO</v>
      </c>
      <c r="F11" s="96" t="str">
        <f>IFERROR(__xludf.DUMMYFUNCTION("""COMPUTED_VALUE"""),"HANNA")</f>
        <v>HANNA</v>
      </c>
    </row>
    <row r="12">
      <c r="A12" s="131">
        <f>IFERROR(__xludf.DUMMYFUNCTION("""COMPUTED_VALUE"""),10.0)</f>
        <v>10</v>
      </c>
      <c r="B12" s="131"/>
      <c r="C12" s="131">
        <f>IFERROR(__xludf.DUMMYFUNCTION("""COMPUTED_VALUE"""),1.0)</f>
        <v>1</v>
      </c>
      <c r="D12" s="131" t="b">
        <f>IFERROR(__xludf.DUMMYFUNCTION("""COMPUTED_VALUE"""),FALSE)</f>
        <v>0</v>
      </c>
      <c r="E12" s="96" t="str">
        <f>IFERROR(__xludf.DUMMYFUNCTION("""COMPUTED_VALUE"""),"MALOLOY-ON")</f>
        <v>MALOLOY-ON</v>
      </c>
      <c r="F12" s="96" t="str">
        <f>IFERROR(__xludf.DUMMYFUNCTION("""COMPUTED_VALUE"""),"MARIANA")</f>
        <v>MARIANA</v>
      </c>
    </row>
    <row r="13">
      <c r="A13" s="131">
        <f>IFERROR(__xludf.DUMMYFUNCTION("""COMPUTED_VALUE"""),11.0)</f>
        <v>11</v>
      </c>
      <c r="B13" s="131"/>
      <c r="C13" s="131">
        <f>IFERROR(__xludf.DUMMYFUNCTION("""COMPUTED_VALUE"""),1.0)</f>
        <v>1</v>
      </c>
      <c r="D13" s="131" t="b">
        <f>IFERROR(__xludf.DUMMYFUNCTION("""COMPUTED_VALUE"""),FALSE)</f>
        <v>0</v>
      </c>
      <c r="E13" s="96" t="str">
        <f>IFERROR(__xludf.DUMMYFUNCTION("""COMPUTED_VALUE"""),"MALOLOY-ON")</f>
        <v>MALOLOY-ON</v>
      </c>
      <c r="F13" s="96" t="str">
        <f>IFERROR(__xludf.DUMMYFUNCTION("""COMPUTED_VALUE"""),"JOISEALAY")</f>
        <v>JOISEALAY</v>
      </c>
    </row>
    <row r="14">
      <c r="A14" s="131">
        <f>IFERROR(__xludf.DUMMYFUNCTION("""COMPUTED_VALUE"""),12.0)</f>
        <v>12</v>
      </c>
      <c r="B14" s="131"/>
      <c r="C14" s="131">
        <f>IFERROR(__xludf.DUMMYFUNCTION("""COMPUTED_VALUE"""),1.0)</f>
        <v>1</v>
      </c>
      <c r="D14" s="131" t="b">
        <f>IFERROR(__xludf.DUMMYFUNCTION("""COMPUTED_VALUE"""),FALSE)</f>
        <v>0</v>
      </c>
      <c r="E14" s="96" t="str">
        <f>IFERROR(__xludf.DUMMYFUNCTION("""COMPUTED_VALUE"""),"ORQUIA")</f>
        <v>ORQUIA</v>
      </c>
      <c r="F14" s="96" t="str">
        <f>IFERROR(__xludf.DUMMYFUNCTION("""COMPUTED_VALUE"""),"KAYLA")</f>
        <v>KAYLA</v>
      </c>
    </row>
    <row r="15">
      <c r="A15" s="131">
        <f>IFERROR(__xludf.DUMMYFUNCTION("""COMPUTED_VALUE"""),13.0)</f>
        <v>13</v>
      </c>
      <c r="B15" s="131"/>
      <c r="C15" s="131">
        <f>IFERROR(__xludf.DUMMYFUNCTION("""COMPUTED_VALUE"""),1.0)</f>
        <v>1</v>
      </c>
      <c r="D15" s="131" t="b">
        <f>IFERROR(__xludf.DUMMYFUNCTION("""COMPUTED_VALUE"""),FALSE)</f>
        <v>0</v>
      </c>
      <c r="E15" s="96" t="str">
        <f>IFERROR(__xludf.DUMMYFUNCTION("""COMPUTED_VALUE"""),"PIGAO")</f>
        <v>PIGAO</v>
      </c>
      <c r="F15" s="96" t="str">
        <f>IFERROR(__xludf.DUMMYFUNCTION("""COMPUTED_VALUE"""),"HANNAH")</f>
        <v>HANNAH</v>
      </c>
    </row>
    <row r="16">
      <c r="A16" s="131">
        <f>IFERROR(__xludf.DUMMYFUNCTION("""COMPUTED_VALUE"""),14.0)</f>
        <v>14</v>
      </c>
      <c r="B16" s="131"/>
      <c r="C16" s="131">
        <f>IFERROR(__xludf.DUMMYFUNCTION("""COMPUTED_VALUE"""),1.0)</f>
        <v>1</v>
      </c>
      <c r="D16" s="131" t="b">
        <f>IFERROR(__xludf.DUMMYFUNCTION("""COMPUTED_VALUE"""),FALSE)</f>
        <v>0</v>
      </c>
      <c r="E16" s="96" t="str">
        <f>IFERROR(__xludf.DUMMYFUNCTION("""COMPUTED_VALUE"""),"RELEVO")</f>
        <v>RELEVO</v>
      </c>
      <c r="F16" s="96" t="str">
        <f>IFERROR(__xludf.DUMMYFUNCTION("""COMPUTED_VALUE"""),"RICA")</f>
        <v>RICA</v>
      </c>
    </row>
    <row r="17">
      <c r="A17" s="131">
        <f>IFERROR(__xludf.DUMMYFUNCTION("""COMPUTED_VALUE"""),15.0)</f>
        <v>15</v>
      </c>
      <c r="B17" s="131"/>
      <c r="C17" s="131">
        <f>IFERROR(__xludf.DUMMYFUNCTION("""COMPUTED_VALUE"""),1.0)</f>
        <v>1</v>
      </c>
      <c r="D17" s="131" t="b">
        <f>IFERROR(__xludf.DUMMYFUNCTION("""COMPUTED_VALUE"""),FALSE)</f>
        <v>0</v>
      </c>
      <c r="E17" s="97" t="str">
        <f>IFERROR(__xludf.DUMMYFUNCTION("""COMPUTED_VALUE"""),"REYES")</f>
        <v>REYES</v>
      </c>
      <c r="F17" s="97" t="str">
        <f>IFERROR(__xludf.DUMMYFUNCTION("""COMPUTED_VALUE"""),"ARIANNE")</f>
        <v>ARIANNE</v>
      </c>
    </row>
    <row r="18">
      <c r="A18" s="131">
        <f>IFERROR(__xludf.DUMMYFUNCTION("""COMPUTED_VALUE"""),16.0)</f>
        <v>16</v>
      </c>
      <c r="B18" s="131"/>
      <c r="C18" s="131">
        <f>IFERROR(__xludf.DUMMYFUNCTION("""COMPUTED_VALUE"""),1.0)</f>
        <v>1</v>
      </c>
      <c r="D18" s="131" t="b">
        <f>IFERROR(__xludf.DUMMYFUNCTION("""COMPUTED_VALUE"""),FALSE)</f>
        <v>0</v>
      </c>
      <c r="E18" s="96" t="str">
        <f>IFERROR(__xludf.DUMMYFUNCTION("""COMPUTED_VALUE"""),"ROMANO")</f>
        <v>ROMANO</v>
      </c>
      <c r="F18" s="96" t="str">
        <f>IFERROR(__xludf.DUMMYFUNCTION("""COMPUTED_VALUE"""),"ROZANE")</f>
        <v>ROZANE</v>
      </c>
    </row>
    <row r="19">
      <c r="A19" s="131">
        <f>IFERROR(__xludf.DUMMYFUNCTION("""COMPUTED_VALUE"""),17.0)</f>
        <v>17</v>
      </c>
      <c r="B19" s="131"/>
      <c r="C19" s="131">
        <f>IFERROR(__xludf.DUMMYFUNCTION("""COMPUTED_VALUE"""),1.0)</f>
        <v>1</v>
      </c>
      <c r="D19" s="131" t="b">
        <f>IFERROR(__xludf.DUMMYFUNCTION("""COMPUTED_VALUE"""),FALSE)</f>
        <v>0</v>
      </c>
      <c r="E19" s="96" t="str">
        <f>IFERROR(__xludf.DUMMYFUNCTION("""COMPUTED_VALUE"""),"SEBASTIAN")</f>
        <v>SEBASTIAN</v>
      </c>
      <c r="F19" s="96" t="str">
        <f>IFERROR(__xludf.DUMMYFUNCTION("""COMPUTED_VALUE"""),"JENNIFER")</f>
        <v>JENNIFER</v>
      </c>
    </row>
    <row r="20">
      <c r="A20" s="131">
        <f>IFERROR(__xludf.DUMMYFUNCTION("""COMPUTED_VALUE"""),18.0)</f>
        <v>18</v>
      </c>
      <c r="B20" s="131"/>
      <c r="C20" s="131">
        <f>IFERROR(__xludf.DUMMYFUNCTION("""COMPUTED_VALUE"""),1.0)</f>
        <v>1</v>
      </c>
      <c r="D20" s="131" t="b">
        <f>IFERROR(__xludf.DUMMYFUNCTION("""COMPUTED_VALUE"""),FALSE)</f>
        <v>0</v>
      </c>
      <c r="E20" s="96" t="str">
        <f>IFERROR(__xludf.DUMMYFUNCTION("""COMPUTED_VALUE"""),"SIMON")</f>
        <v>SIMON</v>
      </c>
      <c r="F20" s="96" t="str">
        <f>IFERROR(__xludf.DUMMYFUNCTION("""COMPUTED_VALUE"""),"SHERRIE")</f>
        <v>SHERRIE</v>
      </c>
    </row>
    <row r="21">
      <c r="A21" s="131">
        <f>IFERROR(__xludf.DUMMYFUNCTION("""COMPUTED_VALUE"""),19.0)</f>
        <v>19</v>
      </c>
      <c r="B21" s="131">
        <f>IFERROR(__xludf.DUMMYFUNCTION("""COMPUTED_VALUE"""),15.0)</f>
        <v>15</v>
      </c>
      <c r="C21" s="131">
        <f>IFERROR(__xludf.DUMMYFUNCTION("""COMPUTED_VALUE"""),1.0)</f>
        <v>1</v>
      </c>
      <c r="D21" s="131" t="b">
        <f>IFERROR(__xludf.DUMMYFUNCTION("""COMPUTED_VALUE"""),FALSE)</f>
        <v>0</v>
      </c>
      <c r="E21" s="96" t="str">
        <f>IFERROR(__xludf.DUMMYFUNCTION("""COMPUTED_VALUE"""),"TAMIDLES")</f>
        <v>TAMIDLES</v>
      </c>
      <c r="F21" s="96" t="str">
        <f>IFERROR(__xludf.DUMMYFUNCTION("""COMPUTED_VALUE"""),"CZARINA")</f>
        <v>CZARINA</v>
      </c>
    </row>
    <row r="22">
      <c r="A22" s="131">
        <f>IFERROR(__xludf.DUMMYFUNCTION("""COMPUTED_VALUE"""),20.0)</f>
        <v>20</v>
      </c>
      <c r="B22" s="131">
        <f>IFERROR(__xludf.DUMMYFUNCTION("""COMPUTED_VALUE"""),15.0)</f>
        <v>15</v>
      </c>
      <c r="C22" s="131">
        <f>IFERROR(__xludf.DUMMYFUNCTION("""COMPUTED_VALUE"""),1.0)</f>
        <v>1</v>
      </c>
      <c r="D22" s="131" t="b">
        <f>IFERROR(__xludf.DUMMYFUNCTION("""COMPUTED_VALUE"""),FALSE)</f>
        <v>0</v>
      </c>
      <c r="E22" s="96" t="str">
        <f>IFERROR(__xludf.DUMMYFUNCTION("""COMPUTED_VALUE"""),"ULAN")</f>
        <v>ULAN</v>
      </c>
      <c r="F22" s="96" t="str">
        <f>IFERROR(__xludf.DUMMYFUNCTION("""COMPUTED_VALUE"""),"MCWAYNE")</f>
        <v>MCWAYNE</v>
      </c>
    </row>
    <row r="23">
      <c r="A23" s="131">
        <f>IFERROR(__xludf.DUMMYFUNCTION("""COMPUTED_VALUE"""),21.0)</f>
        <v>21</v>
      </c>
      <c r="B23" s="131"/>
      <c r="C23" s="131">
        <f>IFERROR(__xludf.DUMMYFUNCTION("""COMPUTED_VALUE"""),1.0)</f>
        <v>1</v>
      </c>
      <c r="D23" s="131" t="b">
        <f>IFERROR(__xludf.DUMMYFUNCTION("""COMPUTED_VALUE"""),FALSE)</f>
        <v>0</v>
      </c>
      <c r="E23" s="96" t="str">
        <f>IFERROR(__xludf.DUMMYFUNCTION("""COMPUTED_VALUE"""),"VILLARTA")</f>
        <v>VILLARTA</v>
      </c>
      <c r="F23" s="96" t="str">
        <f>IFERROR(__xludf.DUMMYFUNCTION("""COMPUTED_VALUE"""),"JERICKA")</f>
        <v>JERICKA</v>
      </c>
    </row>
    <row r="24">
      <c r="A24" s="131">
        <f>IFERROR(__xludf.DUMMYFUNCTION("""COMPUTED_VALUE"""),22.0)</f>
        <v>22</v>
      </c>
      <c r="B24" s="131"/>
      <c r="C24" s="131"/>
      <c r="D24" s="131" t="b">
        <f>IFERROR(__xludf.DUMMYFUNCTION("""COMPUTED_VALUE"""),FALSE)</f>
        <v>0</v>
      </c>
      <c r="E24" s="98"/>
      <c r="F24" s="96" t="str">
        <f>IFERROR(__xludf.DUMMYFUNCTION("""COMPUTED_VALUE"""),"ANGEL")</f>
        <v>ANGEL</v>
      </c>
    </row>
    <row r="25">
      <c r="A25" s="131">
        <f>IFERROR(__xludf.DUMMYFUNCTION("""COMPUTED_VALUE"""),23.0)</f>
        <v>23</v>
      </c>
      <c r="B25" s="131"/>
      <c r="C25" s="131">
        <f>IFERROR(__xludf.DUMMYFUNCTION("""COMPUTED_VALUE"""),23.0)</f>
        <v>23</v>
      </c>
      <c r="D25" s="131" t="b">
        <f>IFERROR(__xludf.DUMMYFUNCTION("""COMPUTED_VALUE"""),TRUE)</f>
        <v>1</v>
      </c>
      <c r="E25" s="99" t="str">
        <f>IFERROR(__xludf.DUMMYFUNCTION("""COMPUTED_VALUE"""),"AVANCENA")</f>
        <v>AVANCENA</v>
      </c>
      <c r="F25" s="99" t="str">
        <f>IFERROR(__xludf.DUMMYFUNCTION("""COMPUTED_VALUE"""),"AIMEE")</f>
        <v>AIMEE</v>
      </c>
    </row>
    <row r="26">
      <c r="A26" s="131">
        <f>IFERROR(__xludf.DUMMYFUNCTION("""COMPUTED_VALUE"""),24.0)</f>
        <v>24</v>
      </c>
      <c r="B26" s="131"/>
      <c r="C26" s="131">
        <f>IFERROR(__xludf.DUMMYFUNCTION("""COMPUTED_VALUE"""),23.0)</f>
        <v>23</v>
      </c>
      <c r="D26" s="131" t="b">
        <f>IFERROR(__xludf.DUMMYFUNCTION("""COMPUTED_VALUE"""),FALSE)</f>
        <v>0</v>
      </c>
      <c r="E26" s="100" t="str">
        <f>IFERROR(__xludf.DUMMYFUNCTION("""COMPUTED_VALUE"""),"CABO")</f>
        <v>CABO</v>
      </c>
      <c r="F26" s="100" t="str">
        <f>IFERROR(__xludf.DUMMYFUNCTION("""COMPUTED_VALUE"""),"MELANIE")</f>
        <v>MELANIE</v>
      </c>
    </row>
    <row r="27">
      <c r="A27" s="131">
        <f>IFERROR(__xludf.DUMMYFUNCTION("""COMPUTED_VALUE"""),25.0)</f>
        <v>25</v>
      </c>
      <c r="B27" s="131">
        <f>IFERROR(__xludf.DUMMYFUNCTION("""COMPUTED_VALUE"""),24.0)</f>
        <v>24</v>
      </c>
      <c r="C27" s="131">
        <f>IFERROR(__xludf.DUMMYFUNCTION("""COMPUTED_VALUE"""),23.0)</f>
        <v>23</v>
      </c>
      <c r="D27" s="131" t="b">
        <f>IFERROR(__xludf.DUMMYFUNCTION("""COMPUTED_VALUE"""),FALSE)</f>
        <v>0</v>
      </c>
      <c r="E27" s="100" t="str">
        <f>IFERROR(__xludf.DUMMYFUNCTION("""COMPUTED_VALUE"""),"CARLOS")</f>
        <v>CARLOS</v>
      </c>
      <c r="F27" s="100" t="str">
        <f>IFERROR(__xludf.DUMMYFUNCTION("""COMPUTED_VALUE"""),"FRANCINE")</f>
        <v>FRANCINE</v>
      </c>
    </row>
    <row r="28">
      <c r="A28" s="131">
        <f>IFERROR(__xludf.DUMMYFUNCTION("""COMPUTED_VALUE"""),26.0)</f>
        <v>26</v>
      </c>
      <c r="B28" s="131"/>
      <c r="C28" s="131">
        <f>IFERROR(__xludf.DUMMYFUNCTION("""COMPUTED_VALUE"""),23.0)</f>
        <v>23</v>
      </c>
      <c r="D28" s="131" t="b">
        <f>IFERROR(__xludf.DUMMYFUNCTION("""COMPUTED_VALUE"""),FALSE)</f>
        <v>0</v>
      </c>
      <c r="E28" s="100" t="str">
        <f>IFERROR(__xludf.DUMMYFUNCTION("""COMPUTED_VALUE"""),"DALIOAN")</f>
        <v>DALIOAN</v>
      </c>
      <c r="F28" s="100" t="str">
        <f>IFERROR(__xludf.DUMMYFUNCTION("""COMPUTED_VALUE"""),"MONIQUE")</f>
        <v>MONIQUE</v>
      </c>
    </row>
    <row r="29">
      <c r="A29" s="131">
        <f>IFERROR(__xludf.DUMMYFUNCTION("""COMPUTED_VALUE"""),27.0)</f>
        <v>27</v>
      </c>
      <c r="B29" s="131"/>
      <c r="C29" s="131">
        <f>IFERROR(__xludf.DUMMYFUNCTION("""COMPUTED_VALUE"""),23.0)</f>
        <v>23</v>
      </c>
      <c r="D29" s="131" t="b">
        <f>IFERROR(__xludf.DUMMYFUNCTION("""COMPUTED_VALUE"""),FALSE)</f>
        <v>0</v>
      </c>
      <c r="E29" s="100" t="str">
        <f>IFERROR(__xludf.DUMMYFUNCTION("""COMPUTED_VALUE"""),"GELICAME")</f>
        <v>GELICAME</v>
      </c>
      <c r="F29" s="100" t="str">
        <f>IFERROR(__xludf.DUMMYFUNCTION("""COMPUTED_VALUE"""),"ARYHANA")</f>
        <v>ARYHANA</v>
      </c>
    </row>
    <row r="30">
      <c r="A30" s="131">
        <f>IFERROR(__xludf.DUMMYFUNCTION("""COMPUTED_VALUE"""),28.0)</f>
        <v>28</v>
      </c>
      <c r="B30" s="131"/>
      <c r="C30" s="131">
        <f>IFERROR(__xludf.DUMMYFUNCTION("""COMPUTED_VALUE"""),23.0)</f>
        <v>23</v>
      </c>
      <c r="D30" s="131" t="b">
        <f>IFERROR(__xludf.DUMMYFUNCTION("""COMPUTED_VALUE"""),FALSE)</f>
        <v>0</v>
      </c>
      <c r="E30" s="100" t="str">
        <f>IFERROR(__xludf.DUMMYFUNCTION("""COMPUTED_VALUE"""),"GUIMONG")</f>
        <v>GUIMONG</v>
      </c>
      <c r="F30" s="100" t="str">
        <f>IFERROR(__xludf.DUMMYFUNCTION("""COMPUTED_VALUE"""),"FAITH")</f>
        <v>FAITH</v>
      </c>
    </row>
    <row r="31">
      <c r="A31" s="131">
        <f>IFERROR(__xludf.DUMMYFUNCTION("""COMPUTED_VALUE"""),29.0)</f>
        <v>29</v>
      </c>
      <c r="B31" s="131"/>
      <c r="C31" s="131">
        <f>IFERROR(__xludf.DUMMYFUNCTION("""COMPUTED_VALUE"""),23.0)</f>
        <v>23</v>
      </c>
      <c r="D31" s="131" t="b">
        <f>IFERROR(__xludf.DUMMYFUNCTION("""COMPUTED_VALUE"""),FALSE)</f>
        <v>0</v>
      </c>
      <c r="E31" s="100" t="str">
        <f>IFERROR(__xludf.DUMMYFUNCTION("""COMPUTED_VALUE"""),"MANALOTO")</f>
        <v>MANALOTO</v>
      </c>
      <c r="F31" s="100" t="str">
        <f>IFERROR(__xludf.DUMMYFUNCTION("""COMPUTED_VALUE"""),"YOSHA")</f>
        <v>YOSHA</v>
      </c>
    </row>
    <row r="32">
      <c r="A32" s="131">
        <f>IFERROR(__xludf.DUMMYFUNCTION("""COMPUTED_VALUE"""),30.0)</f>
        <v>30</v>
      </c>
      <c r="B32" s="131"/>
      <c r="C32" s="131">
        <f>IFERROR(__xludf.DUMMYFUNCTION("""COMPUTED_VALUE"""),23.0)</f>
        <v>23</v>
      </c>
      <c r="D32" s="131" t="b">
        <f>IFERROR(__xludf.DUMMYFUNCTION("""COMPUTED_VALUE"""),FALSE)</f>
        <v>0</v>
      </c>
      <c r="E32" s="100" t="str">
        <f>IFERROR(__xludf.DUMMYFUNCTION("""COMPUTED_VALUE"""),"MARINAS")</f>
        <v>MARINAS</v>
      </c>
      <c r="F32" s="100" t="str">
        <f>IFERROR(__xludf.DUMMYFUNCTION("""COMPUTED_VALUE"""),"CHERRY")</f>
        <v>CHERRY</v>
      </c>
    </row>
    <row r="33">
      <c r="A33" s="131">
        <f>IFERROR(__xludf.DUMMYFUNCTION("""COMPUTED_VALUE"""),31.0)</f>
        <v>31</v>
      </c>
      <c r="B33" s="131"/>
      <c r="C33" s="131">
        <f>IFERROR(__xludf.DUMMYFUNCTION("""COMPUTED_VALUE"""),23.0)</f>
        <v>23</v>
      </c>
      <c r="D33" s="131" t="b">
        <f>IFERROR(__xludf.DUMMYFUNCTION("""COMPUTED_VALUE"""),FALSE)</f>
        <v>0</v>
      </c>
      <c r="E33" s="101" t="str">
        <f>IFERROR(__xludf.DUMMYFUNCTION("""COMPUTED_VALUE"""),"JIMENEZ")</f>
        <v>JIMENEZ</v>
      </c>
      <c r="F33" s="101" t="str">
        <f>IFERROR(__xludf.DUMMYFUNCTION("""COMPUTED_VALUE"""),"RUTH JHAMELA")</f>
        <v>RUTH JHAMELA</v>
      </c>
    </row>
    <row r="34">
      <c r="A34" s="131">
        <f>IFERROR(__xludf.DUMMYFUNCTION("""COMPUTED_VALUE"""),32.0)</f>
        <v>32</v>
      </c>
      <c r="B34" s="131"/>
      <c r="C34" s="131">
        <f>IFERROR(__xludf.DUMMYFUNCTION("""COMPUTED_VALUE"""),23.0)</f>
        <v>23</v>
      </c>
      <c r="D34" s="131" t="b">
        <f>IFERROR(__xludf.DUMMYFUNCTION("""COMPUTED_VALUE"""),FALSE)</f>
        <v>0</v>
      </c>
      <c r="E34" s="100" t="str">
        <f>IFERROR(__xludf.DUMMYFUNCTION("""COMPUTED_VALUE"""),"GUILLERMO")</f>
        <v>GUILLERMO</v>
      </c>
      <c r="F34" s="100" t="str">
        <f>IFERROR(__xludf.DUMMYFUNCTION("""COMPUTED_VALUE"""),"STAR")</f>
        <v>STAR</v>
      </c>
    </row>
    <row r="35">
      <c r="A35" s="131">
        <f>IFERROR(__xludf.DUMMYFUNCTION("""COMPUTED_VALUE"""),33.0)</f>
        <v>33</v>
      </c>
      <c r="B35" s="131"/>
      <c r="C35" s="131">
        <f>IFERROR(__xludf.DUMMYFUNCTION("""COMPUTED_VALUE"""),23.0)</f>
        <v>23</v>
      </c>
      <c r="D35" s="131" t="b">
        <f>IFERROR(__xludf.DUMMYFUNCTION("""COMPUTED_VALUE"""),FALSE)</f>
        <v>0</v>
      </c>
      <c r="E35" s="100" t="str">
        <f>IFERROR(__xludf.DUMMYFUNCTION("""COMPUTED_VALUE"""),"CATENZA")</f>
        <v>CATENZA</v>
      </c>
      <c r="F35" s="100" t="str">
        <f>IFERROR(__xludf.DUMMYFUNCTION("""COMPUTED_VALUE"""),"PRINCESS")</f>
        <v>PRINCESS</v>
      </c>
    </row>
    <row r="36">
      <c r="A36" s="131">
        <f>IFERROR(__xludf.DUMMYFUNCTION("""COMPUTED_VALUE"""),34.0)</f>
        <v>34</v>
      </c>
      <c r="B36" s="131"/>
      <c r="C36" s="131">
        <f>IFERROR(__xludf.DUMMYFUNCTION("""COMPUTED_VALUE"""),23.0)</f>
        <v>23</v>
      </c>
      <c r="D36" s="131" t="b">
        <f>IFERROR(__xludf.DUMMYFUNCTION("""COMPUTED_VALUE"""),FALSE)</f>
        <v>0</v>
      </c>
      <c r="E36" s="102" t="str">
        <f>IFERROR(__xludf.DUMMYFUNCTION("""COMPUTED_VALUE"""),"GORDON")</f>
        <v>GORDON</v>
      </c>
      <c r="F36" s="102" t="str">
        <f>IFERROR(__xludf.DUMMYFUNCTION("""COMPUTED_VALUE"""),"HARRY")</f>
        <v>HARRY</v>
      </c>
    </row>
    <row r="37">
      <c r="A37" s="131">
        <f>IFERROR(__xludf.DUMMYFUNCTION("""COMPUTED_VALUE"""),35.0)</f>
        <v>35</v>
      </c>
      <c r="B37" s="131"/>
      <c r="C37" s="131">
        <f>IFERROR(__xludf.DUMMYFUNCTION("""COMPUTED_VALUE"""),23.0)</f>
        <v>23</v>
      </c>
      <c r="D37" s="131" t="b">
        <f>IFERROR(__xludf.DUMMYFUNCTION("""COMPUTED_VALUE"""),FALSE)</f>
        <v>0</v>
      </c>
      <c r="E37" s="103" t="str">
        <f>IFERROR(__xludf.DUMMYFUNCTION("""COMPUTED_VALUE"""),"AVILLANO")</f>
        <v>AVILLANO</v>
      </c>
      <c r="F37" s="103" t="str">
        <f>IFERROR(__xludf.DUMMYFUNCTION("""COMPUTED_VALUE"""),"ANGEL DIANNE")</f>
        <v>ANGEL DIANNE</v>
      </c>
    </row>
    <row r="38">
      <c r="A38" s="131">
        <f>IFERROR(__xludf.DUMMYFUNCTION("""COMPUTED_VALUE"""),36.0)</f>
        <v>36</v>
      </c>
      <c r="B38" s="131"/>
      <c r="C38" s="131">
        <f>IFERROR(__xludf.DUMMYFUNCTION("""COMPUTED_VALUE"""),23.0)</f>
        <v>23</v>
      </c>
      <c r="D38" s="131" t="b">
        <f>IFERROR(__xludf.DUMMYFUNCTION("""COMPUTED_VALUE"""),FALSE)</f>
        <v>0</v>
      </c>
      <c r="E38" s="103" t="str">
        <f>IFERROR(__xludf.DUMMYFUNCTION("""COMPUTED_VALUE"""),"BALTAZAR")</f>
        <v>BALTAZAR</v>
      </c>
      <c r="F38" s="103" t="str">
        <f>IFERROR(__xludf.DUMMYFUNCTION("""COMPUTED_VALUE"""),"ARSTON")</f>
        <v>ARSTON</v>
      </c>
    </row>
    <row r="39">
      <c r="A39" s="131">
        <f>IFERROR(__xludf.DUMMYFUNCTION("""COMPUTED_VALUE"""),37.0)</f>
        <v>37</v>
      </c>
      <c r="B39" s="131"/>
      <c r="C39" s="131">
        <f>IFERROR(__xludf.DUMMYFUNCTION("""COMPUTED_VALUE"""),23.0)</f>
        <v>23</v>
      </c>
      <c r="D39" s="131" t="b">
        <f>IFERROR(__xludf.DUMMYFUNCTION("""COMPUTED_VALUE"""),FALSE)</f>
        <v>0</v>
      </c>
      <c r="E39" s="102" t="str">
        <f>IFERROR(__xludf.DUMMYFUNCTION("""COMPUTED_VALUE"""),"SISON")</f>
        <v>SISON</v>
      </c>
      <c r="F39" s="103" t="str">
        <f>IFERROR(__xludf.DUMMYFUNCTION("""COMPUTED_VALUE"""),"KRISTA MAE")</f>
        <v>KRISTA MAE</v>
      </c>
    </row>
    <row r="40">
      <c r="A40" s="131">
        <f>IFERROR(__xludf.DUMMYFUNCTION("""COMPUTED_VALUE"""),38.0)</f>
        <v>38</v>
      </c>
      <c r="B40" s="131"/>
      <c r="C40" s="131">
        <f>IFERROR(__xludf.DUMMYFUNCTION("""COMPUTED_VALUE"""),23.0)</f>
        <v>23</v>
      </c>
      <c r="D40" s="131" t="b">
        <f>IFERROR(__xludf.DUMMYFUNCTION("""COMPUTED_VALUE"""),FALSE)</f>
        <v>0</v>
      </c>
      <c r="E40" s="103" t="str">
        <f>IFERROR(__xludf.DUMMYFUNCTION("""COMPUTED_VALUE"""),"GARCIA")</f>
        <v>GARCIA</v>
      </c>
      <c r="F40" s="103" t="str">
        <f>IFERROR(__xludf.DUMMYFUNCTION("""COMPUTED_VALUE"""),"SELTHIEL")</f>
        <v>SELTHIEL</v>
      </c>
    </row>
    <row r="41">
      <c r="A41" s="131">
        <f>IFERROR(__xludf.DUMMYFUNCTION("""COMPUTED_VALUE"""),39.0)</f>
        <v>39</v>
      </c>
      <c r="B41" s="131"/>
      <c r="C41" s="131">
        <f>IFERROR(__xludf.DUMMYFUNCTION("""COMPUTED_VALUE"""),23.0)</f>
        <v>23</v>
      </c>
      <c r="D41" s="131" t="b">
        <f>IFERROR(__xludf.DUMMYFUNCTION("""COMPUTED_VALUE"""),FALSE)</f>
        <v>0</v>
      </c>
      <c r="E41" s="103" t="str">
        <f>IFERROR(__xludf.DUMMYFUNCTION("""COMPUTED_VALUE"""),"HIJARA")</f>
        <v>HIJARA</v>
      </c>
      <c r="F41" s="103" t="str">
        <f>IFERROR(__xludf.DUMMYFUNCTION("""COMPUTED_VALUE"""),"JAIHMIER VIELLE")</f>
        <v>JAIHMIER VIELLE</v>
      </c>
    </row>
    <row r="42">
      <c r="A42" s="131">
        <f>IFERROR(__xludf.DUMMYFUNCTION("""COMPUTED_VALUE"""),40.0)</f>
        <v>40</v>
      </c>
      <c r="B42" s="131"/>
      <c r="C42" s="131">
        <f>IFERROR(__xludf.DUMMYFUNCTION("""COMPUTED_VALUE"""),23.0)</f>
        <v>23</v>
      </c>
      <c r="D42" s="131" t="b">
        <f>IFERROR(__xludf.DUMMYFUNCTION("""COMPUTED_VALUE"""),FALSE)</f>
        <v>0</v>
      </c>
      <c r="E42" s="103" t="str">
        <f>IFERROR(__xludf.DUMMYFUNCTION("""COMPUTED_VALUE"""),"MAGBANUA")</f>
        <v>MAGBANUA</v>
      </c>
      <c r="F42" s="103" t="str">
        <f>IFERROR(__xludf.DUMMYFUNCTION("""COMPUTED_VALUE"""),"MANUEL HARVEY")</f>
        <v>MANUEL HARVEY</v>
      </c>
    </row>
    <row r="43">
      <c r="A43" s="131">
        <f>IFERROR(__xludf.DUMMYFUNCTION("""COMPUTED_VALUE"""),41.0)</f>
        <v>41</v>
      </c>
      <c r="B43" s="131"/>
      <c r="C43" s="131">
        <f>IFERROR(__xludf.DUMMYFUNCTION("""COMPUTED_VALUE"""),23.0)</f>
        <v>23</v>
      </c>
      <c r="D43" s="131" t="b">
        <f>IFERROR(__xludf.DUMMYFUNCTION("""COMPUTED_VALUE"""),FALSE)</f>
        <v>0</v>
      </c>
      <c r="E43" s="103" t="str">
        <f>IFERROR(__xludf.DUMMYFUNCTION("""COMPUTED_VALUE"""),"TABOY")</f>
        <v>TABOY</v>
      </c>
      <c r="F43" s="103" t="str">
        <f>IFERROR(__xludf.DUMMYFUNCTION("""COMPUTED_VALUE"""),"PRIMO KLYDE")</f>
        <v>PRIMO KLYDE</v>
      </c>
    </row>
    <row r="44">
      <c r="A44" s="131">
        <f>IFERROR(__xludf.DUMMYFUNCTION("""COMPUTED_VALUE"""),42.0)</f>
        <v>42</v>
      </c>
      <c r="B44" s="131"/>
      <c r="C44" s="131"/>
      <c r="D44" s="131" t="b">
        <f>IFERROR(__xludf.DUMMYFUNCTION("""COMPUTED_VALUE"""),FALSE)</f>
        <v>0</v>
      </c>
      <c r="E44" s="103"/>
      <c r="F44" s="103"/>
    </row>
    <row r="45">
      <c r="A45" s="131">
        <f>IFERROR(__xludf.DUMMYFUNCTION("""COMPUTED_VALUE"""),43.0)</f>
        <v>43</v>
      </c>
      <c r="B45" s="131"/>
      <c r="C45" s="131">
        <f>IFERROR(__xludf.DUMMYFUNCTION("""COMPUTED_VALUE"""),23.0)</f>
        <v>23</v>
      </c>
      <c r="D45" s="131" t="b">
        <f>IFERROR(__xludf.DUMMYFUNCTION("""COMPUTED_VALUE"""),FALSE)</f>
        <v>0</v>
      </c>
      <c r="E45" s="103" t="str">
        <f>IFERROR(__xludf.DUMMYFUNCTION("""COMPUTED_VALUE"""),"SABEJON")</f>
        <v>SABEJON</v>
      </c>
      <c r="F45" s="103" t="str">
        <f>IFERROR(__xludf.DUMMYFUNCTION("""COMPUTED_VALUE"""),"KENNETH")</f>
        <v>KENNETH</v>
      </c>
    </row>
    <row r="46">
      <c r="A46" s="131">
        <f>IFERROR(__xludf.DUMMYFUNCTION("""COMPUTED_VALUE"""),44.0)</f>
        <v>44</v>
      </c>
      <c r="B46" s="131"/>
      <c r="C46" s="131">
        <f>IFERROR(__xludf.DUMMYFUNCTION("""COMPUTED_VALUE"""),23.0)</f>
        <v>23</v>
      </c>
      <c r="D46" s="131" t="b">
        <f>IFERROR(__xludf.DUMMYFUNCTION("""COMPUTED_VALUE"""),FALSE)</f>
        <v>0</v>
      </c>
      <c r="E46" s="103" t="str">
        <f>IFERROR(__xludf.DUMMYFUNCTION("""COMPUTED_VALUE"""),"LIRRAG")</f>
        <v>LIRRAG</v>
      </c>
      <c r="F46" s="103" t="str">
        <f>IFERROR(__xludf.DUMMYFUNCTION("""COMPUTED_VALUE"""),"DAN EDRIK")</f>
        <v>DAN EDRIK</v>
      </c>
    </row>
    <row r="47">
      <c r="A47" s="131">
        <f>IFERROR(__xludf.DUMMYFUNCTION("""COMPUTED_VALUE"""),45.0)</f>
        <v>45</v>
      </c>
      <c r="B47" s="131"/>
      <c r="C47" s="131">
        <f>IFERROR(__xludf.DUMMYFUNCTION("""COMPUTED_VALUE"""),23.0)</f>
        <v>23</v>
      </c>
      <c r="D47" s="131" t="b">
        <f>IFERROR(__xludf.DUMMYFUNCTION("""COMPUTED_VALUE"""),FALSE)</f>
        <v>0</v>
      </c>
      <c r="E47" s="103" t="str">
        <f>IFERROR(__xludf.DUMMYFUNCTION("""COMPUTED_VALUE"""),"DELA ROSA")</f>
        <v>DELA ROSA</v>
      </c>
      <c r="F47" s="103" t="str">
        <f>IFERROR(__xludf.DUMMYFUNCTION("""COMPUTED_VALUE"""),"JOREVE")</f>
        <v>JOREVE</v>
      </c>
    </row>
    <row r="48">
      <c r="A48" s="131">
        <f>IFERROR(__xludf.DUMMYFUNCTION("""COMPUTED_VALUE"""),46.0)</f>
        <v>46</v>
      </c>
      <c r="B48" s="131"/>
      <c r="C48" s="131">
        <f>IFERROR(__xludf.DUMMYFUNCTION("""COMPUTED_VALUE"""),23.0)</f>
        <v>23</v>
      </c>
      <c r="D48" s="131" t="b">
        <f>IFERROR(__xludf.DUMMYFUNCTION("""COMPUTED_VALUE"""),FALSE)</f>
        <v>0</v>
      </c>
      <c r="E48" s="103" t="str">
        <f>IFERROR(__xludf.DUMMYFUNCTION("""COMPUTED_VALUE"""),"KOI")</f>
        <v>KOI</v>
      </c>
      <c r="F48" s="103" t="str">
        <f>IFERROR(__xludf.DUMMYFUNCTION("""COMPUTED_VALUE"""),"HERMYLYN")</f>
        <v>HERMYLYN</v>
      </c>
    </row>
    <row r="49">
      <c r="A49" s="131">
        <f>IFERROR(__xludf.DUMMYFUNCTION("""COMPUTED_VALUE"""),47.0)</f>
        <v>47</v>
      </c>
      <c r="B49" s="131"/>
      <c r="C49" s="131">
        <f>IFERROR(__xludf.DUMMYFUNCTION("""COMPUTED_VALUE"""),23.0)</f>
        <v>23</v>
      </c>
      <c r="D49" s="131" t="b">
        <f>IFERROR(__xludf.DUMMYFUNCTION("""COMPUTED_VALUE"""),FALSE)</f>
        <v>0</v>
      </c>
      <c r="E49" s="103" t="str">
        <f>IFERROR(__xludf.DUMMYFUNCTION("""COMPUTED_VALUE"""),"SILVANO")</f>
        <v>SILVANO</v>
      </c>
      <c r="F49" s="103" t="str">
        <f>IFERROR(__xludf.DUMMYFUNCTION("""COMPUTED_VALUE"""),"CRISJARED")</f>
        <v>CRISJARED</v>
      </c>
    </row>
    <row r="50">
      <c r="A50" s="131">
        <f>IFERROR(__xludf.DUMMYFUNCTION("""COMPUTED_VALUE"""),48.0)</f>
        <v>48</v>
      </c>
      <c r="B50" s="131"/>
      <c r="C50" s="131">
        <f>IFERROR(__xludf.DUMMYFUNCTION("""COMPUTED_VALUE"""),23.0)</f>
        <v>23</v>
      </c>
      <c r="D50" s="131" t="b">
        <f>IFERROR(__xludf.DUMMYFUNCTION("""COMPUTED_VALUE"""),FALSE)</f>
        <v>0</v>
      </c>
      <c r="E50" s="103" t="str">
        <f>IFERROR(__xludf.DUMMYFUNCTION("""COMPUTED_VALUE"""),"CORONEL")</f>
        <v>CORONEL</v>
      </c>
      <c r="F50" s="103" t="str">
        <f>IFERROR(__xludf.DUMMYFUNCTION("""COMPUTED_VALUE"""),"CARL CEDRICK")</f>
        <v>CARL CEDRICK</v>
      </c>
    </row>
    <row r="51">
      <c r="A51" s="131">
        <f>IFERROR(__xludf.DUMMYFUNCTION("""COMPUTED_VALUE"""),49.0)</f>
        <v>49</v>
      </c>
      <c r="B51" s="131"/>
      <c r="C51" s="131">
        <f>IFERROR(__xludf.DUMMYFUNCTION("""COMPUTED_VALUE"""),23.0)</f>
        <v>23</v>
      </c>
      <c r="D51" s="131" t="b">
        <f>IFERROR(__xludf.DUMMYFUNCTION("""COMPUTED_VALUE"""),FALSE)</f>
        <v>0</v>
      </c>
      <c r="E51" s="103" t="str">
        <f>IFERROR(__xludf.DUMMYFUNCTION("""COMPUTED_VALUE"""),"ORTALEZA")</f>
        <v>ORTALEZA</v>
      </c>
      <c r="F51" s="103" t="str">
        <f>IFERROR(__xludf.DUMMYFUNCTION("""COMPUTED_VALUE"""),"FROI FANCIS")</f>
        <v>FROI FANCIS</v>
      </c>
    </row>
    <row r="52">
      <c r="A52" s="131">
        <f>IFERROR(__xludf.DUMMYFUNCTION("""COMPUTED_VALUE"""),50.0)</f>
        <v>50</v>
      </c>
      <c r="B52" s="131"/>
      <c r="C52" s="131">
        <f>IFERROR(__xludf.DUMMYFUNCTION("""COMPUTED_VALUE"""),23.0)</f>
        <v>23</v>
      </c>
      <c r="D52" s="131" t="b">
        <f>IFERROR(__xludf.DUMMYFUNCTION("""COMPUTED_VALUE"""),FALSE)</f>
        <v>0</v>
      </c>
      <c r="E52" s="103" t="str">
        <f>IFERROR(__xludf.DUMMYFUNCTION("""COMPUTED_VALUE"""),"ESPOZO")</f>
        <v>ESPOZO</v>
      </c>
      <c r="F52" s="103" t="str">
        <f>IFERROR(__xludf.DUMMYFUNCTION("""COMPUTED_VALUE"""),"MAICA ELLA")</f>
        <v>MAICA ELLA</v>
      </c>
    </row>
    <row r="53">
      <c r="A53" s="131">
        <f>IFERROR(__xludf.DUMMYFUNCTION("""COMPUTED_VALUE"""),51.0)</f>
        <v>51</v>
      </c>
      <c r="B53" s="131"/>
      <c r="C53" s="131">
        <f>IFERROR(__xludf.DUMMYFUNCTION("""COMPUTED_VALUE"""),23.0)</f>
        <v>23</v>
      </c>
      <c r="D53" s="131" t="b">
        <f>IFERROR(__xludf.DUMMYFUNCTION("""COMPUTED_VALUE"""),FALSE)</f>
        <v>0</v>
      </c>
      <c r="E53" s="103" t="str">
        <f>IFERROR(__xludf.DUMMYFUNCTION("""COMPUTED_VALUE"""),"SOBERANO")</f>
        <v>SOBERANO</v>
      </c>
      <c r="F53" s="103" t="str">
        <f>IFERROR(__xludf.DUMMYFUNCTION("""COMPUTED_VALUE"""),"ZAIRUS")</f>
        <v>ZAIRUS</v>
      </c>
    </row>
    <row r="54">
      <c r="A54" s="131">
        <f>IFERROR(__xludf.DUMMYFUNCTION("""COMPUTED_VALUE"""),52.0)</f>
        <v>52</v>
      </c>
      <c r="B54" s="131"/>
      <c r="C54" s="131">
        <f>IFERROR(__xludf.DUMMYFUNCTION("""COMPUTED_VALUE"""),23.0)</f>
        <v>23</v>
      </c>
      <c r="D54" s="131" t="b">
        <f>IFERROR(__xludf.DUMMYFUNCTION("""COMPUTED_VALUE"""),FALSE)</f>
        <v>0</v>
      </c>
      <c r="E54" s="99" t="str">
        <f>IFERROR(__xludf.DUMMYFUNCTION("""COMPUTED_VALUE"""),"ERA")</f>
        <v>ERA</v>
      </c>
      <c r="F54" s="99" t="str">
        <f>IFERROR(__xludf.DUMMYFUNCTION("""COMPUTED_VALUE"""),"ANALEZA")</f>
        <v>ANALEZA</v>
      </c>
    </row>
    <row r="55">
      <c r="A55" s="131">
        <f>IFERROR(__xludf.DUMMYFUNCTION("""COMPUTED_VALUE"""),53.0)</f>
        <v>53</v>
      </c>
      <c r="B55" s="131"/>
      <c r="C55" s="131">
        <f>IFERROR(__xludf.DUMMYFUNCTION("""COMPUTED_VALUE"""),23.0)</f>
        <v>23</v>
      </c>
      <c r="D55" s="131" t="b">
        <f>IFERROR(__xludf.DUMMYFUNCTION("""COMPUTED_VALUE"""),FALSE)</f>
        <v>0</v>
      </c>
      <c r="E55" s="100" t="str">
        <f>IFERROR(__xludf.DUMMYFUNCTION("""COMPUTED_VALUE"""),"ARANA")</f>
        <v>ARANA</v>
      </c>
      <c r="F55" s="100" t="str">
        <f>IFERROR(__xludf.DUMMYFUNCTION("""COMPUTED_VALUE"""),"RHEANA")</f>
        <v>RHEANA</v>
      </c>
    </row>
    <row r="56">
      <c r="A56" s="131">
        <f>IFERROR(__xludf.DUMMYFUNCTION("""COMPUTED_VALUE"""),54.0)</f>
        <v>54</v>
      </c>
      <c r="B56" s="131"/>
      <c r="C56" s="131">
        <f>IFERROR(__xludf.DUMMYFUNCTION("""COMPUTED_VALUE"""),23.0)</f>
        <v>23</v>
      </c>
      <c r="D56" s="131" t="b">
        <f>IFERROR(__xludf.DUMMYFUNCTION("""COMPUTED_VALUE"""),FALSE)</f>
        <v>0</v>
      </c>
      <c r="E56" s="100" t="str">
        <f>IFERROR(__xludf.DUMMYFUNCTION("""COMPUTED_VALUE"""),"BANDE")</f>
        <v>BANDE</v>
      </c>
      <c r="F56" s="100" t="str">
        <f>IFERROR(__xludf.DUMMYFUNCTION("""COMPUTED_VALUE"""),"ERICA")</f>
        <v>ERICA</v>
      </c>
    </row>
    <row r="57">
      <c r="A57" s="131">
        <f>IFERROR(__xludf.DUMMYFUNCTION("""COMPUTED_VALUE"""),55.0)</f>
        <v>55</v>
      </c>
      <c r="B57" s="131"/>
      <c r="C57" s="131">
        <f>IFERROR(__xludf.DUMMYFUNCTION("""COMPUTED_VALUE"""),23.0)</f>
        <v>23</v>
      </c>
      <c r="D57" s="131" t="b">
        <f>IFERROR(__xludf.DUMMYFUNCTION("""COMPUTED_VALUE"""),FALSE)</f>
        <v>0</v>
      </c>
      <c r="E57" s="100" t="str">
        <f>IFERROR(__xludf.DUMMYFUNCTION("""COMPUTED_VALUE"""),"DEL ROSARIO")</f>
        <v>DEL ROSARIO</v>
      </c>
      <c r="F57" s="100" t="str">
        <f>IFERROR(__xludf.DUMMYFUNCTION("""COMPUTED_VALUE"""),"JOY")</f>
        <v>JOY</v>
      </c>
    </row>
    <row r="58">
      <c r="A58" s="131">
        <f>IFERROR(__xludf.DUMMYFUNCTION("""COMPUTED_VALUE"""),56.0)</f>
        <v>56</v>
      </c>
      <c r="B58" s="131"/>
      <c r="C58" s="131">
        <f>IFERROR(__xludf.DUMMYFUNCTION("""COMPUTED_VALUE"""),23.0)</f>
        <v>23</v>
      </c>
      <c r="D58" s="131" t="b">
        <f>IFERROR(__xludf.DUMMYFUNCTION("""COMPUTED_VALUE"""),FALSE)</f>
        <v>0</v>
      </c>
      <c r="E58" s="100" t="str">
        <f>IFERROR(__xludf.DUMMYFUNCTION("""COMPUTED_VALUE"""),"GUETA")</f>
        <v>GUETA</v>
      </c>
      <c r="F58" s="100" t="str">
        <f>IFERROR(__xludf.DUMMYFUNCTION("""COMPUTED_VALUE"""),"SEYVEL")</f>
        <v>SEYVEL</v>
      </c>
    </row>
    <row r="59">
      <c r="A59" s="131">
        <f>IFERROR(__xludf.DUMMYFUNCTION("""COMPUTED_VALUE"""),57.0)</f>
        <v>57</v>
      </c>
      <c r="B59" s="131"/>
      <c r="C59" s="131">
        <f>IFERROR(__xludf.DUMMYFUNCTION("""COMPUTED_VALUE"""),23.0)</f>
        <v>23</v>
      </c>
      <c r="D59" s="131" t="b">
        <f>IFERROR(__xludf.DUMMYFUNCTION("""COMPUTED_VALUE"""),FALSE)</f>
        <v>0</v>
      </c>
      <c r="E59" s="100" t="str">
        <f>IFERROR(__xludf.DUMMYFUNCTION("""COMPUTED_VALUE"""),"MALIPOT")</f>
        <v>MALIPOT</v>
      </c>
      <c r="F59" s="100" t="str">
        <f>IFERROR(__xludf.DUMMYFUNCTION("""COMPUTED_VALUE"""),"JUSTINE")</f>
        <v>JUSTINE</v>
      </c>
    </row>
    <row r="60">
      <c r="A60" s="131">
        <f>IFERROR(__xludf.DUMMYFUNCTION("""COMPUTED_VALUE"""),58.0)</f>
        <v>58</v>
      </c>
      <c r="B60" s="131"/>
      <c r="C60" s="131">
        <f>IFERROR(__xludf.DUMMYFUNCTION("""COMPUTED_VALUE"""),23.0)</f>
        <v>23</v>
      </c>
      <c r="D60" s="131" t="b">
        <f>IFERROR(__xludf.DUMMYFUNCTION("""COMPUTED_VALUE"""),FALSE)</f>
        <v>0</v>
      </c>
      <c r="E60" s="100" t="str">
        <f>IFERROR(__xludf.DUMMYFUNCTION("""COMPUTED_VALUE"""),"PATRICIO")</f>
        <v>PATRICIO</v>
      </c>
      <c r="F60" s="100" t="str">
        <f>IFERROR(__xludf.DUMMYFUNCTION("""COMPUTED_VALUE"""),"VANESSA")</f>
        <v>VANESSA</v>
      </c>
    </row>
    <row r="61">
      <c r="A61" s="131">
        <f>IFERROR(__xludf.DUMMYFUNCTION("""COMPUTED_VALUE"""),59.0)</f>
        <v>59</v>
      </c>
      <c r="B61" s="131"/>
      <c r="C61" s="131">
        <f>IFERROR(__xludf.DUMMYFUNCTION("""COMPUTED_VALUE"""),23.0)</f>
        <v>23</v>
      </c>
      <c r="D61" s="131" t="b">
        <f>IFERROR(__xludf.DUMMYFUNCTION("""COMPUTED_VALUE"""),FALSE)</f>
        <v>0</v>
      </c>
      <c r="E61" s="100" t="str">
        <f>IFERROR(__xludf.DUMMYFUNCTION("""COMPUTED_VALUE"""),"PONCE")</f>
        <v>PONCE</v>
      </c>
      <c r="F61" s="100" t="str">
        <f>IFERROR(__xludf.DUMMYFUNCTION("""COMPUTED_VALUE"""),"SHEENA")</f>
        <v>SHEENA</v>
      </c>
    </row>
    <row r="62">
      <c r="A62" s="131">
        <f>IFERROR(__xludf.DUMMYFUNCTION("""COMPUTED_VALUE"""),60.0)</f>
        <v>60</v>
      </c>
      <c r="B62" s="131"/>
      <c r="C62" s="131">
        <f>IFERROR(__xludf.DUMMYFUNCTION("""COMPUTED_VALUE"""),23.0)</f>
        <v>23</v>
      </c>
      <c r="D62" s="131" t="b">
        <f>IFERROR(__xludf.DUMMYFUNCTION("""COMPUTED_VALUE"""),FALSE)</f>
        <v>0</v>
      </c>
      <c r="E62" s="100" t="str">
        <f>IFERROR(__xludf.DUMMYFUNCTION("""COMPUTED_VALUE"""),"RAMOS")</f>
        <v>RAMOS</v>
      </c>
      <c r="F62" s="100" t="str">
        <f>IFERROR(__xludf.DUMMYFUNCTION("""COMPUTED_VALUE"""),"AA")</f>
        <v>AA</v>
      </c>
    </row>
    <row r="63">
      <c r="A63" s="131">
        <f>IFERROR(__xludf.DUMMYFUNCTION("""COMPUTED_VALUE"""),61.0)</f>
        <v>61</v>
      </c>
      <c r="B63" s="131"/>
      <c r="C63" s="131">
        <f>IFERROR(__xludf.DUMMYFUNCTION("""COMPUTED_VALUE"""),23.0)</f>
        <v>23</v>
      </c>
      <c r="D63" s="131" t="b">
        <f>IFERROR(__xludf.DUMMYFUNCTION("""COMPUTED_VALUE"""),FALSE)</f>
        <v>0</v>
      </c>
      <c r="E63" s="100" t="str">
        <f>IFERROR(__xludf.DUMMYFUNCTION("""COMPUTED_VALUE"""),"REPUBLO")</f>
        <v>REPUBLO</v>
      </c>
      <c r="F63" s="100" t="str">
        <f>IFERROR(__xludf.DUMMYFUNCTION("""COMPUTED_VALUE"""),"CLARISSA")</f>
        <v>CLARISSA</v>
      </c>
    </row>
    <row r="64">
      <c r="A64" s="131">
        <f>IFERROR(__xludf.DUMMYFUNCTION("""COMPUTED_VALUE"""),62.0)</f>
        <v>62</v>
      </c>
      <c r="B64" s="131"/>
      <c r="C64" s="131">
        <f>IFERROR(__xludf.DUMMYFUNCTION("""COMPUTED_VALUE"""),23.0)</f>
        <v>23</v>
      </c>
      <c r="D64" s="131" t="b">
        <f>IFERROR(__xludf.DUMMYFUNCTION("""COMPUTED_VALUE"""),FALSE)</f>
        <v>0</v>
      </c>
      <c r="E64" s="100"/>
      <c r="F64" s="100" t="str">
        <f>IFERROR(__xludf.DUMMYFUNCTION("""COMPUTED_VALUE"""),"JENNY")</f>
        <v>JENNY</v>
      </c>
    </row>
    <row r="65">
      <c r="A65" s="131">
        <f>IFERROR(__xludf.DUMMYFUNCTION("""COMPUTED_VALUE"""),63.0)</f>
        <v>63</v>
      </c>
      <c r="B65" s="131"/>
      <c r="C65" s="131">
        <f>IFERROR(__xludf.DUMMYFUNCTION("""COMPUTED_VALUE"""),23.0)</f>
        <v>23</v>
      </c>
      <c r="D65" s="131" t="b">
        <f>IFERROR(__xludf.DUMMYFUNCTION("""COMPUTED_VALUE"""),FALSE)</f>
        <v>0</v>
      </c>
      <c r="E65" s="99" t="str">
        <f>IFERROR(__xludf.DUMMYFUNCTION("""COMPUTED_VALUE"""),"MAGISTRADO")</f>
        <v>MAGISTRADO</v>
      </c>
      <c r="F65" s="99" t="str">
        <f>IFERROR(__xludf.DUMMYFUNCTION("""COMPUTED_VALUE"""),"ERICA")</f>
        <v>ERICA</v>
      </c>
    </row>
    <row r="66">
      <c r="A66" s="131">
        <f>IFERROR(__xludf.DUMMYFUNCTION("""COMPUTED_VALUE"""),64.0)</f>
        <v>64</v>
      </c>
      <c r="B66" s="131"/>
      <c r="C66" s="131">
        <f>IFERROR(__xludf.DUMMYFUNCTION("""COMPUTED_VALUE"""),23.0)</f>
        <v>23</v>
      </c>
      <c r="D66" s="131" t="b">
        <f>IFERROR(__xludf.DUMMYFUNCTION("""COMPUTED_VALUE"""),FALSE)</f>
        <v>0</v>
      </c>
      <c r="E66" s="100" t="str">
        <f>IFERROR(__xludf.DUMMYFUNCTION("""COMPUTED_VALUE"""),"CARANGUIAN")</f>
        <v>CARANGUIAN</v>
      </c>
      <c r="F66" s="100" t="str">
        <f>IFERROR(__xludf.DUMMYFUNCTION("""COMPUTED_VALUE"""),"DIVINA GRACE")</f>
        <v>DIVINA GRACE</v>
      </c>
    </row>
    <row r="67">
      <c r="A67" s="131">
        <f>IFERROR(__xludf.DUMMYFUNCTION("""COMPUTED_VALUE"""),65.0)</f>
        <v>65</v>
      </c>
      <c r="B67" s="131"/>
      <c r="C67" s="131">
        <f>IFERROR(__xludf.DUMMYFUNCTION("""COMPUTED_VALUE"""),23.0)</f>
        <v>23</v>
      </c>
      <c r="D67" s="131" t="b">
        <f>IFERROR(__xludf.DUMMYFUNCTION("""COMPUTED_VALUE"""),FALSE)</f>
        <v>0</v>
      </c>
      <c r="E67" s="100" t="str">
        <f>IFERROR(__xludf.DUMMYFUNCTION("""COMPUTED_VALUE"""),"ERA")</f>
        <v>ERA</v>
      </c>
      <c r="F67" s="100" t="str">
        <f>IFERROR(__xludf.DUMMYFUNCTION("""COMPUTED_VALUE"""),"CHRISTINA")</f>
        <v>CHRISTINA</v>
      </c>
    </row>
    <row r="68">
      <c r="A68" s="131">
        <f>IFERROR(__xludf.DUMMYFUNCTION("""COMPUTED_VALUE"""),66.0)</f>
        <v>66</v>
      </c>
      <c r="B68" s="131"/>
      <c r="C68" s="131">
        <f>IFERROR(__xludf.DUMMYFUNCTION("""COMPUTED_VALUE"""),23.0)</f>
        <v>23</v>
      </c>
      <c r="D68" s="131" t="b">
        <f>IFERROR(__xludf.DUMMYFUNCTION("""COMPUTED_VALUE"""),FALSE)</f>
        <v>0</v>
      </c>
      <c r="E68" s="100" t="str">
        <f>IFERROR(__xludf.DUMMYFUNCTION("""COMPUTED_VALUE"""),"MAGISTRADO")</f>
        <v>MAGISTRADO</v>
      </c>
      <c r="F68" s="100" t="str">
        <f>IFERROR(__xludf.DUMMYFUNCTION("""COMPUTED_VALUE"""),"LOVELY")</f>
        <v>LOVELY</v>
      </c>
    </row>
    <row r="69">
      <c r="A69" s="131">
        <f>IFERROR(__xludf.DUMMYFUNCTION("""COMPUTED_VALUE"""),67.0)</f>
        <v>67</v>
      </c>
      <c r="B69" s="131"/>
      <c r="C69" s="131">
        <f>IFERROR(__xludf.DUMMYFUNCTION("""COMPUTED_VALUE"""),23.0)</f>
        <v>23</v>
      </c>
      <c r="D69" s="131" t="b">
        <f>IFERROR(__xludf.DUMMYFUNCTION("""COMPUTED_VALUE"""),FALSE)</f>
        <v>0</v>
      </c>
      <c r="E69" s="100" t="str">
        <f>IFERROR(__xludf.DUMMYFUNCTION("""COMPUTED_VALUE"""),"PACLITA")</f>
        <v>PACLITA</v>
      </c>
      <c r="F69" s="100" t="str">
        <f>IFERROR(__xludf.DUMMYFUNCTION("""COMPUTED_VALUE"""),"CHERRY ANN")</f>
        <v>CHERRY ANN</v>
      </c>
    </row>
    <row r="70">
      <c r="A70" s="131">
        <f>IFERROR(__xludf.DUMMYFUNCTION("""COMPUTED_VALUE"""),68.0)</f>
        <v>68</v>
      </c>
      <c r="B70" s="131"/>
      <c r="C70" s="131">
        <f>IFERROR(__xludf.DUMMYFUNCTION("""COMPUTED_VALUE"""),23.0)</f>
        <v>23</v>
      </c>
      <c r="D70" s="131" t="b">
        <f>IFERROR(__xludf.DUMMYFUNCTION("""COMPUTED_VALUE"""),FALSE)</f>
        <v>0</v>
      </c>
      <c r="E70" s="100" t="str">
        <f>IFERROR(__xludf.DUMMYFUNCTION("""COMPUTED_VALUE"""),"PALOMA")</f>
        <v>PALOMA</v>
      </c>
      <c r="F70" s="100" t="str">
        <f>IFERROR(__xludf.DUMMYFUNCTION("""COMPUTED_VALUE"""),"ALEAH")</f>
        <v>ALEAH</v>
      </c>
    </row>
    <row r="71">
      <c r="A71" s="131">
        <f>IFERROR(__xludf.DUMMYFUNCTION("""COMPUTED_VALUE"""),69.0)</f>
        <v>69</v>
      </c>
      <c r="B71" s="131"/>
      <c r="C71" s="131">
        <f>IFERROR(__xludf.DUMMYFUNCTION("""COMPUTED_VALUE"""),23.0)</f>
        <v>23</v>
      </c>
      <c r="D71" s="131" t="b">
        <f>IFERROR(__xludf.DUMMYFUNCTION("""COMPUTED_VALUE"""),FALSE)</f>
        <v>0</v>
      </c>
      <c r="E71" s="100" t="str">
        <f>IFERROR(__xludf.DUMMYFUNCTION("""COMPUTED_VALUE"""),"SATURINAS")</f>
        <v>SATURINAS</v>
      </c>
      <c r="F71" s="100" t="str">
        <f>IFERROR(__xludf.DUMMYFUNCTION("""COMPUTED_VALUE"""),"ALEXANDRA GRACE")</f>
        <v>ALEXANDRA GRACE</v>
      </c>
    </row>
    <row r="72">
      <c r="A72" s="131">
        <f>IFERROR(__xludf.DUMMYFUNCTION("""COMPUTED_VALUE"""),70.0)</f>
        <v>70</v>
      </c>
      <c r="B72" s="131"/>
      <c r="C72" s="131">
        <f>IFERROR(__xludf.DUMMYFUNCTION("""COMPUTED_VALUE"""),23.0)</f>
        <v>23</v>
      </c>
      <c r="D72" s="131" t="b">
        <f>IFERROR(__xludf.DUMMYFUNCTION("""COMPUTED_VALUE"""),FALSE)</f>
        <v>0</v>
      </c>
      <c r="E72" s="101" t="str">
        <f>IFERROR(__xludf.DUMMYFUNCTION("""COMPUTED_VALUE"""),"RONQUILLO")</f>
        <v>RONQUILLO</v>
      </c>
      <c r="F72" s="101" t="str">
        <f>IFERROR(__xludf.DUMMYFUNCTION("""COMPUTED_VALUE"""),"SHANE")</f>
        <v>SHANE</v>
      </c>
    </row>
    <row r="73">
      <c r="A73" s="131">
        <f>IFERROR(__xludf.DUMMYFUNCTION("""COMPUTED_VALUE"""),71.0)</f>
        <v>71</v>
      </c>
      <c r="B73" s="131"/>
      <c r="C73" s="131">
        <f>IFERROR(__xludf.DUMMYFUNCTION("""COMPUTED_VALUE"""),23.0)</f>
        <v>23</v>
      </c>
      <c r="D73" s="131" t="b">
        <f>IFERROR(__xludf.DUMMYFUNCTION("""COMPUTED_VALUE"""),FALSE)</f>
        <v>0</v>
      </c>
      <c r="E73" s="101" t="str">
        <f>IFERROR(__xludf.DUMMYFUNCTION("""COMPUTED_VALUE"""),"MARFIL")</f>
        <v>MARFIL</v>
      </c>
      <c r="F73" s="104" t="str">
        <f>IFERROR(__xludf.DUMMYFUNCTION("""COMPUTED_VALUE"""),"ADELAIZA")</f>
        <v>ADELAIZA</v>
      </c>
    </row>
    <row r="74">
      <c r="A74" s="131">
        <f>IFERROR(__xludf.DUMMYFUNCTION("""COMPUTED_VALUE"""),72.0)</f>
        <v>72</v>
      </c>
      <c r="B74" s="131"/>
      <c r="C74" s="131">
        <f>IFERROR(__xludf.DUMMYFUNCTION("""COMPUTED_VALUE"""),23.0)</f>
        <v>23</v>
      </c>
      <c r="D74" s="131" t="b">
        <f>IFERROR(__xludf.DUMMYFUNCTION("""COMPUTED_VALUE"""),FALSE)</f>
        <v>0</v>
      </c>
      <c r="E74" s="101" t="str">
        <f>IFERROR(__xludf.DUMMYFUNCTION("""COMPUTED_VALUE"""),"PERALTA")</f>
        <v>PERALTA</v>
      </c>
      <c r="F74" s="101" t="str">
        <f>IFERROR(__xludf.DUMMYFUNCTION("""COMPUTED_VALUE"""),"ALAICA")</f>
        <v>ALAICA</v>
      </c>
    </row>
    <row r="75">
      <c r="A75" s="131">
        <f>IFERROR(__xludf.DUMMYFUNCTION("""COMPUTED_VALUE"""),73.0)</f>
        <v>73</v>
      </c>
      <c r="B75" s="131"/>
      <c r="C75" s="131">
        <f>IFERROR(__xludf.DUMMYFUNCTION("""COMPUTED_VALUE"""),23.0)</f>
        <v>23</v>
      </c>
      <c r="D75" s="131" t="b">
        <f>IFERROR(__xludf.DUMMYFUNCTION("""COMPUTED_VALUE"""),FALSE)</f>
        <v>0</v>
      </c>
      <c r="E75" s="101"/>
      <c r="F75" s="101" t="str">
        <f>IFERROR(__xludf.DUMMYFUNCTION("""COMPUTED_VALUE"""),"ALISA")</f>
        <v>ALISA</v>
      </c>
    </row>
    <row r="76">
      <c r="A76" s="131">
        <f>IFERROR(__xludf.DUMMYFUNCTION("""COMPUTED_VALUE"""),74.0)</f>
        <v>74</v>
      </c>
      <c r="B76" s="131"/>
      <c r="C76" s="131">
        <f>IFERROR(__xludf.DUMMYFUNCTION("""COMPUTED_VALUE"""),23.0)</f>
        <v>23</v>
      </c>
      <c r="D76" s="131" t="b">
        <f>IFERROR(__xludf.DUMMYFUNCTION("""COMPUTED_VALUE"""),FALSE)</f>
        <v>0</v>
      </c>
      <c r="E76" s="101" t="str">
        <f>IFERROR(__xludf.DUMMYFUNCTION("""COMPUTED_VALUE"""),"VILLANUEVA")</f>
        <v>VILLANUEVA</v>
      </c>
      <c r="F76" s="101" t="str">
        <f>IFERROR(__xludf.DUMMYFUNCTION("""COMPUTED_VALUE"""),"SOFIA")</f>
        <v>SOFIA</v>
      </c>
    </row>
    <row r="77">
      <c r="A77" s="131">
        <f>IFERROR(__xludf.DUMMYFUNCTION("""COMPUTED_VALUE"""),75.0)</f>
        <v>75</v>
      </c>
      <c r="B77" s="131"/>
      <c r="C77" s="131">
        <f>IFERROR(__xludf.DUMMYFUNCTION("""COMPUTED_VALUE"""),23.0)</f>
        <v>23</v>
      </c>
      <c r="D77" s="131" t="b">
        <f>IFERROR(__xludf.DUMMYFUNCTION("""COMPUTED_VALUE"""),FALSE)</f>
        <v>0</v>
      </c>
      <c r="E77" s="101" t="str">
        <f>IFERROR(__xludf.DUMMYFUNCTION("""COMPUTED_VALUE"""),"TAKEYAMA")</f>
        <v>TAKEYAMA</v>
      </c>
      <c r="F77" s="101" t="str">
        <f>IFERROR(__xludf.DUMMYFUNCTION("""COMPUTED_VALUE"""),"YUKA")</f>
        <v>YUKA</v>
      </c>
    </row>
    <row r="78">
      <c r="A78" s="131">
        <f>IFERROR(__xludf.DUMMYFUNCTION("""COMPUTED_VALUE"""),76.0)</f>
        <v>76</v>
      </c>
      <c r="B78" s="131"/>
      <c r="C78" s="131">
        <f>IFERROR(__xludf.DUMMYFUNCTION("""COMPUTED_VALUE"""),76.0)</f>
        <v>76</v>
      </c>
      <c r="D78" s="131" t="b">
        <f>IFERROR(__xludf.DUMMYFUNCTION("""COMPUTED_VALUE"""),TRUE)</f>
        <v>1</v>
      </c>
      <c r="E78" s="105" t="str">
        <f>IFERROR(__xludf.DUMMYFUNCTION("""COMPUTED_VALUE"""),"ANTONIO")</f>
        <v>ANTONIO</v>
      </c>
      <c r="F78" s="105" t="str">
        <f>IFERROR(__xludf.DUMMYFUNCTION("""COMPUTED_VALUE"""),"CHOLO MIGUEL")</f>
        <v>CHOLO MIGUEL</v>
      </c>
    </row>
    <row r="79">
      <c r="A79" s="131">
        <f>IFERROR(__xludf.DUMMYFUNCTION("""COMPUTED_VALUE"""),77.0)</f>
        <v>77</v>
      </c>
      <c r="B79" s="131"/>
      <c r="C79" s="131">
        <f>IFERROR(__xludf.DUMMYFUNCTION("""COMPUTED_VALUE"""),76.0)</f>
        <v>76</v>
      </c>
      <c r="D79" s="131" t="b">
        <f>IFERROR(__xludf.DUMMYFUNCTION("""COMPUTED_VALUE"""),FALSE)</f>
        <v>0</v>
      </c>
      <c r="E79" s="106" t="str">
        <f>IFERROR(__xludf.DUMMYFUNCTION("""COMPUTED_VALUE"""),"ELCANA")</f>
        <v>ELCANA</v>
      </c>
      <c r="F79" s="106" t="str">
        <f>IFERROR(__xludf.DUMMYFUNCTION("""COMPUTED_VALUE"""),"JOAQUIN")</f>
        <v>JOAQUIN</v>
      </c>
    </row>
    <row r="80">
      <c r="A80" s="131">
        <f>IFERROR(__xludf.DUMMYFUNCTION("""COMPUTED_VALUE"""),78.0)</f>
        <v>78</v>
      </c>
      <c r="B80" s="131"/>
      <c r="C80" s="131">
        <f>IFERROR(__xludf.DUMMYFUNCTION("""COMPUTED_VALUE"""),76.0)</f>
        <v>76</v>
      </c>
      <c r="D80" s="131" t="b">
        <f>IFERROR(__xludf.DUMMYFUNCTION("""COMPUTED_VALUE"""),FALSE)</f>
        <v>0</v>
      </c>
      <c r="E80" s="107" t="str">
        <f>IFERROR(__xludf.DUMMYFUNCTION("""COMPUTED_VALUE"""),"VILLARTA")</f>
        <v>VILLARTA</v>
      </c>
      <c r="F80" s="107" t="str">
        <f>IFERROR(__xludf.DUMMYFUNCTION("""COMPUTED_VALUE"""),"JEXTER")</f>
        <v>JEXTER</v>
      </c>
    </row>
    <row r="81">
      <c r="A81" s="131">
        <f>IFERROR(__xludf.DUMMYFUNCTION("""COMPUTED_VALUE"""),79.0)</f>
        <v>79</v>
      </c>
      <c r="B81" s="131"/>
      <c r="C81" s="131">
        <f>IFERROR(__xludf.DUMMYFUNCTION("""COMPUTED_VALUE"""),76.0)</f>
        <v>76</v>
      </c>
      <c r="D81" s="131" t="b">
        <f>IFERROR(__xludf.DUMMYFUNCTION("""COMPUTED_VALUE"""),FALSE)</f>
        <v>0</v>
      </c>
      <c r="E81" s="107" t="str">
        <f>IFERROR(__xludf.DUMMYFUNCTION("""COMPUTED_VALUE"""),"MANUYAG")</f>
        <v>MANUYAG</v>
      </c>
      <c r="F81" s="107" t="str">
        <f>IFERROR(__xludf.DUMMYFUNCTION("""COMPUTED_VALUE"""),"RAYVER")</f>
        <v>RAYVER</v>
      </c>
    </row>
    <row r="82">
      <c r="A82" s="131">
        <f>IFERROR(__xludf.DUMMYFUNCTION("""COMPUTED_VALUE"""),80.0)</f>
        <v>80</v>
      </c>
      <c r="B82" s="131"/>
      <c r="C82" s="131">
        <f>IFERROR(__xludf.DUMMYFUNCTION("""COMPUTED_VALUE"""),76.0)</f>
        <v>76</v>
      </c>
      <c r="D82" s="131" t="b">
        <f>IFERROR(__xludf.DUMMYFUNCTION("""COMPUTED_VALUE"""),FALSE)</f>
        <v>0</v>
      </c>
      <c r="E82" s="108" t="str">
        <f>IFERROR(__xludf.DUMMYFUNCTION("""COMPUTED_VALUE"""),"RAAGAS")</f>
        <v>RAAGAS</v>
      </c>
      <c r="F82" s="108" t="str">
        <f>IFERROR(__xludf.DUMMYFUNCTION("""COMPUTED_VALUE"""),"PRINCE JHAMIR (YOHAN)")</f>
        <v>PRINCE JHAMIR (YOHAN)</v>
      </c>
    </row>
    <row r="83">
      <c r="A83" s="131">
        <f>IFERROR(__xludf.DUMMYFUNCTION("""COMPUTED_VALUE"""),81.0)</f>
        <v>81</v>
      </c>
      <c r="B83" s="131"/>
      <c r="C83" s="131">
        <f>IFERROR(__xludf.DUMMYFUNCTION("""COMPUTED_VALUE"""),76.0)</f>
        <v>76</v>
      </c>
      <c r="D83" s="131" t="b">
        <f>IFERROR(__xludf.DUMMYFUNCTION("""COMPUTED_VALUE"""),FALSE)</f>
        <v>0</v>
      </c>
      <c r="E83" s="107" t="str">
        <f>IFERROR(__xludf.DUMMYFUNCTION("""COMPUTED_VALUE"""),"MALOLOY-ON")</f>
        <v>MALOLOY-ON</v>
      </c>
      <c r="F83" s="107" t="str">
        <f>IFERROR(__xludf.DUMMYFUNCTION("""COMPUTED_VALUE"""),"HARLEY")</f>
        <v>HARLEY</v>
      </c>
    </row>
    <row r="84">
      <c r="A84" s="131">
        <f>IFERROR(__xludf.DUMMYFUNCTION("""COMPUTED_VALUE"""),82.0)</f>
        <v>82</v>
      </c>
      <c r="B84" s="131"/>
      <c r="C84" s="131">
        <f>IFERROR(__xludf.DUMMYFUNCTION("""COMPUTED_VALUE"""),76.0)</f>
        <v>76</v>
      </c>
      <c r="D84" s="131" t="b">
        <f>IFERROR(__xludf.DUMMYFUNCTION("""COMPUTED_VALUE"""),FALSE)</f>
        <v>0</v>
      </c>
      <c r="E84" s="106" t="str">
        <f>IFERROR(__xludf.DUMMYFUNCTION("""COMPUTED_VALUE"""),"MEDINA")</f>
        <v>MEDINA</v>
      </c>
      <c r="F84" s="106" t="str">
        <f>IFERROR(__xludf.DUMMYFUNCTION("""COMPUTED_VALUE"""),"JOHN PAUL")</f>
        <v>JOHN PAUL</v>
      </c>
    </row>
    <row r="85">
      <c r="A85" s="131">
        <f>IFERROR(__xludf.DUMMYFUNCTION("""COMPUTED_VALUE"""),83.0)</f>
        <v>83</v>
      </c>
      <c r="B85" s="131"/>
      <c r="C85" s="131">
        <f>IFERROR(__xludf.DUMMYFUNCTION("""COMPUTED_VALUE"""),76.0)</f>
        <v>76</v>
      </c>
      <c r="D85" s="131" t="b">
        <f>IFERROR(__xludf.DUMMYFUNCTION("""COMPUTED_VALUE"""),FALSE)</f>
        <v>0</v>
      </c>
      <c r="E85" s="107" t="str">
        <f>IFERROR(__xludf.DUMMYFUNCTION("""COMPUTED_VALUE"""),"SALTA")</f>
        <v>SALTA</v>
      </c>
      <c r="F85" s="107" t="str">
        <f>IFERROR(__xludf.DUMMYFUNCTION("""COMPUTED_VALUE"""),"KARL")</f>
        <v>KARL</v>
      </c>
    </row>
    <row r="86">
      <c r="A86" s="131">
        <f>IFERROR(__xludf.DUMMYFUNCTION("""COMPUTED_VALUE"""),84.0)</f>
        <v>84</v>
      </c>
      <c r="B86" s="131"/>
      <c r="C86" s="131">
        <f>IFERROR(__xludf.DUMMYFUNCTION("""COMPUTED_VALUE"""),76.0)</f>
        <v>76</v>
      </c>
      <c r="D86" s="131" t="b">
        <f>IFERROR(__xludf.DUMMYFUNCTION("""COMPUTED_VALUE"""),FALSE)</f>
        <v>0</v>
      </c>
      <c r="E86" s="107" t="str">
        <f>IFERROR(__xludf.DUMMYFUNCTION("""COMPUTED_VALUE"""),"ROBLOS")</f>
        <v>ROBLOS</v>
      </c>
      <c r="F86" s="107" t="str">
        <f>IFERROR(__xludf.DUMMYFUNCTION("""COMPUTED_VALUE"""),"CEDRIC")</f>
        <v>CEDRIC</v>
      </c>
    </row>
    <row r="87">
      <c r="A87" s="131">
        <f>IFERROR(__xludf.DUMMYFUNCTION("""COMPUTED_VALUE"""),85.0)</f>
        <v>85</v>
      </c>
      <c r="B87" s="131"/>
      <c r="C87" s="131">
        <f>IFERROR(__xludf.DUMMYFUNCTION("""COMPUTED_VALUE"""),76.0)</f>
        <v>76</v>
      </c>
      <c r="D87" s="131" t="b">
        <f>IFERROR(__xludf.DUMMYFUNCTION("""COMPUTED_VALUE"""),FALSE)</f>
        <v>0</v>
      </c>
      <c r="E87" s="107" t="str">
        <f>IFERROR(__xludf.DUMMYFUNCTION("""COMPUTED_VALUE"""),"RIVAS")</f>
        <v>RIVAS</v>
      </c>
      <c r="F87" s="107" t="str">
        <f>IFERROR(__xludf.DUMMYFUNCTION("""COMPUTED_VALUE"""),"RAY ALLEN")</f>
        <v>RAY ALLEN</v>
      </c>
    </row>
    <row r="88">
      <c r="A88" s="131">
        <f>IFERROR(__xludf.DUMMYFUNCTION("""COMPUTED_VALUE"""),86.0)</f>
        <v>86</v>
      </c>
      <c r="B88" s="131"/>
      <c r="C88" s="131">
        <f>IFERROR(__xludf.DUMMYFUNCTION("""COMPUTED_VALUE"""),76.0)</f>
        <v>76</v>
      </c>
      <c r="D88" s="131" t="b">
        <f>IFERROR(__xludf.DUMMYFUNCTION("""COMPUTED_VALUE"""),FALSE)</f>
        <v>0</v>
      </c>
      <c r="E88" s="107" t="str">
        <f>IFERROR(__xludf.DUMMYFUNCTION("""COMPUTED_VALUE"""),"MAGDANGAN")</f>
        <v>MAGDANGAN</v>
      </c>
      <c r="F88" s="107" t="str">
        <f>IFERROR(__xludf.DUMMYFUNCTION("""COMPUTED_VALUE"""),"DENMARK")</f>
        <v>DENMARK</v>
      </c>
    </row>
    <row r="89">
      <c r="A89" s="131">
        <f>IFERROR(__xludf.DUMMYFUNCTION("""COMPUTED_VALUE"""),87.0)</f>
        <v>87</v>
      </c>
      <c r="B89" s="131"/>
      <c r="C89" s="131">
        <f>IFERROR(__xludf.DUMMYFUNCTION("""COMPUTED_VALUE"""),76.0)</f>
        <v>76</v>
      </c>
      <c r="D89" s="131" t="b">
        <f>IFERROR(__xludf.DUMMYFUNCTION("""COMPUTED_VALUE"""),FALSE)</f>
        <v>0</v>
      </c>
      <c r="E89" s="106" t="str">
        <f>IFERROR(__xludf.DUMMYFUNCTION("""COMPUTED_VALUE"""),"SABONG")</f>
        <v>SABONG</v>
      </c>
      <c r="F89" s="106" t="str">
        <f>IFERROR(__xludf.DUMMYFUNCTION("""COMPUTED_VALUE"""),"VINCE")</f>
        <v>VINCE</v>
      </c>
    </row>
    <row r="90">
      <c r="A90" s="131">
        <f>IFERROR(__xludf.DUMMYFUNCTION("""COMPUTED_VALUE"""),88.0)</f>
        <v>88</v>
      </c>
      <c r="B90" s="131"/>
      <c r="C90" s="131">
        <f>IFERROR(__xludf.DUMMYFUNCTION("""COMPUTED_VALUE"""),76.0)</f>
        <v>76</v>
      </c>
      <c r="D90" s="131" t="b">
        <f>IFERROR(__xludf.DUMMYFUNCTION("""COMPUTED_VALUE"""),FALSE)</f>
        <v>0</v>
      </c>
      <c r="E90" s="107" t="str">
        <f>IFERROR(__xludf.DUMMYFUNCTION("""COMPUTED_VALUE"""),"AQUINO")</f>
        <v>AQUINO</v>
      </c>
      <c r="F90" s="107" t="str">
        <f>IFERROR(__xludf.DUMMYFUNCTION("""COMPUTED_VALUE"""),"MARVIN")</f>
        <v>MARVIN</v>
      </c>
    </row>
    <row r="91">
      <c r="A91" s="131">
        <f>IFERROR(__xludf.DUMMYFUNCTION("""COMPUTED_VALUE"""),89.0)</f>
        <v>89</v>
      </c>
      <c r="B91" s="131"/>
      <c r="C91" s="131">
        <f>IFERROR(__xludf.DUMMYFUNCTION("""COMPUTED_VALUE"""),76.0)</f>
        <v>76</v>
      </c>
      <c r="D91" s="131" t="b">
        <f>IFERROR(__xludf.DUMMYFUNCTION("""COMPUTED_VALUE"""),FALSE)</f>
        <v>0</v>
      </c>
      <c r="E91" s="109" t="str">
        <f>IFERROR(__xludf.DUMMYFUNCTION("""COMPUTED_VALUE"""),"LANOZO")</f>
        <v>LANOZO</v>
      </c>
      <c r="F91" s="109" t="str">
        <f>IFERROR(__xludf.DUMMYFUNCTION("""COMPUTED_VALUE"""),"REGGIENALD")</f>
        <v>REGGIENALD</v>
      </c>
    </row>
    <row r="92">
      <c r="A92" s="131">
        <f>IFERROR(__xludf.DUMMYFUNCTION("""COMPUTED_VALUE"""),90.0)</f>
        <v>90</v>
      </c>
      <c r="B92" s="131"/>
      <c r="C92" s="131">
        <f>IFERROR(__xludf.DUMMYFUNCTION("""COMPUTED_VALUE"""),76.0)</f>
        <v>76</v>
      </c>
      <c r="D92" s="131" t="b">
        <f>IFERROR(__xludf.DUMMYFUNCTION("""COMPUTED_VALUE"""),FALSE)</f>
        <v>0</v>
      </c>
      <c r="E92" s="110" t="str">
        <f>IFERROR(__xludf.DUMMYFUNCTION("""COMPUTED_VALUE"""),"QUIRONA")</f>
        <v>QUIRONA</v>
      </c>
      <c r="F92" s="110" t="str">
        <f>IFERROR(__xludf.DUMMYFUNCTION("""COMPUTED_VALUE"""),"IAN CHRISTOPHER")</f>
        <v>IAN CHRISTOPHER</v>
      </c>
    </row>
    <row r="93">
      <c r="A93" s="131">
        <f>IFERROR(__xludf.DUMMYFUNCTION("""COMPUTED_VALUE"""),91.0)</f>
        <v>91</v>
      </c>
      <c r="B93" s="131"/>
      <c r="C93" s="131">
        <f>IFERROR(__xludf.DUMMYFUNCTION("""COMPUTED_VALUE"""),76.0)</f>
        <v>76</v>
      </c>
      <c r="D93" s="131" t="b">
        <f>IFERROR(__xludf.DUMMYFUNCTION("""COMPUTED_VALUE"""),FALSE)</f>
        <v>0</v>
      </c>
      <c r="E93" s="110" t="str">
        <f>IFERROR(__xludf.DUMMYFUNCTION("""COMPUTED_VALUE"""),"BAUYON")</f>
        <v>BAUYON</v>
      </c>
      <c r="F93" s="110" t="str">
        <f>IFERROR(__xludf.DUMMYFUNCTION("""COMPUTED_VALUE"""),"JOHN CARLO")</f>
        <v>JOHN CARLO</v>
      </c>
    </row>
    <row r="94">
      <c r="A94" s="131">
        <f>IFERROR(__xludf.DUMMYFUNCTION("""COMPUTED_VALUE"""),92.0)</f>
        <v>92</v>
      </c>
      <c r="B94" s="131"/>
      <c r="C94" s="131">
        <f>IFERROR(__xludf.DUMMYFUNCTION("""COMPUTED_VALUE"""),76.0)</f>
        <v>76</v>
      </c>
      <c r="D94" s="131" t="b">
        <f>IFERROR(__xludf.DUMMYFUNCTION("""COMPUTED_VALUE"""),FALSE)</f>
        <v>0</v>
      </c>
      <c r="E94" s="111" t="str">
        <f>IFERROR(__xludf.DUMMYFUNCTION("""COMPUTED_VALUE"""),"FIGUEROA")</f>
        <v>FIGUEROA</v>
      </c>
      <c r="F94" s="111" t="str">
        <f>IFERROR(__xludf.DUMMYFUNCTION("""COMPUTED_VALUE"""),"RONALD")</f>
        <v>RONALD</v>
      </c>
    </row>
    <row r="95">
      <c r="A95" s="131"/>
      <c r="B95" s="131"/>
      <c r="C95" s="131"/>
      <c r="D95" s="131"/>
      <c r="E95" s="112"/>
      <c r="F95" s="112"/>
    </row>
    <row r="96">
      <c r="A96" s="131"/>
      <c r="B96" s="131"/>
      <c r="C96" s="131"/>
      <c r="D96" s="131"/>
      <c r="E96" s="112"/>
      <c r="F96" s="112"/>
    </row>
    <row r="97">
      <c r="A97" s="131"/>
      <c r="B97" s="131"/>
      <c r="C97" s="131"/>
      <c r="D97" s="131"/>
      <c r="E97" s="112"/>
      <c r="F97" s="112"/>
    </row>
    <row r="98">
      <c r="A98" s="131"/>
      <c r="B98" s="131"/>
      <c r="C98" s="131"/>
      <c r="D98" s="131"/>
      <c r="E98" s="112"/>
      <c r="F98" s="112"/>
    </row>
    <row r="99">
      <c r="A99" s="131"/>
      <c r="B99" s="131"/>
      <c r="C99" s="131">
        <f>IFERROR(__xludf.DUMMYFUNCTION("""COMPUTED_VALUE"""),76.0)</f>
        <v>76</v>
      </c>
      <c r="D99" s="131" t="b">
        <f>IFERROR(__xludf.DUMMYFUNCTION("""COMPUTED_VALUE"""),FALSE)</f>
        <v>0</v>
      </c>
      <c r="E99" s="113" t="str">
        <f>IFERROR(__xludf.DUMMYFUNCTION("""COMPUTED_VALUE"""),"INACTIVE")</f>
        <v>INACTIVE</v>
      </c>
      <c r="F99" s="110"/>
    </row>
    <row r="100">
      <c r="A100" s="131">
        <f>IFERROR(__xludf.DUMMYFUNCTION("""COMPUTED_VALUE"""),99.0)</f>
        <v>99</v>
      </c>
      <c r="B100" s="131"/>
      <c r="C100" s="131">
        <f>IFERROR(__xludf.DUMMYFUNCTION("""COMPUTED_VALUE"""),76.0)</f>
        <v>76</v>
      </c>
      <c r="D100" s="131" t="b">
        <f>IFERROR(__xludf.DUMMYFUNCTION("""COMPUTED_VALUE"""),FALSE)</f>
        <v>0</v>
      </c>
      <c r="E100" s="114" t="str">
        <f>IFERROR(__xludf.DUMMYFUNCTION("""COMPUTED_VALUE"""),"BONIFACIO")</f>
        <v>BONIFACIO</v>
      </c>
      <c r="F100" s="114" t="str">
        <f>IFERROR(__xludf.DUMMYFUNCTION("""COMPUTED_VALUE"""),"JUNIOR")</f>
        <v>JUNIOR</v>
      </c>
    </row>
    <row r="101">
      <c r="A101" s="131">
        <f>IFERROR(__xludf.DUMMYFUNCTION("""COMPUTED_VALUE"""),100.0)</f>
        <v>100</v>
      </c>
      <c r="B101" s="131"/>
      <c r="C101" s="131">
        <f>IFERROR(__xludf.DUMMYFUNCTION("""COMPUTED_VALUE"""),76.0)</f>
        <v>76</v>
      </c>
      <c r="D101" s="131" t="b">
        <f>IFERROR(__xludf.DUMMYFUNCTION("""COMPUTED_VALUE"""),FALSE)</f>
        <v>0</v>
      </c>
      <c r="E101" s="114" t="str">
        <f>IFERROR(__xludf.DUMMYFUNCTION("""COMPUTED_VALUE"""),"CASTILLO")</f>
        <v>CASTILLO</v>
      </c>
      <c r="F101" s="114" t="str">
        <f>IFERROR(__xludf.DUMMYFUNCTION("""COMPUTED_VALUE"""),"JOHNREY")</f>
        <v>JOHNREY</v>
      </c>
    </row>
    <row r="102">
      <c r="A102" s="131">
        <f>IFERROR(__xludf.DUMMYFUNCTION("""COMPUTED_VALUE"""),101.0)</f>
        <v>101</v>
      </c>
      <c r="B102" s="131"/>
      <c r="C102" s="131">
        <f>IFERROR(__xludf.DUMMYFUNCTION("""COMPUTED_VALUE"""),76.0)</f>
        <v>76</v>
      </c>
      <c r="D102" s="131" t="b">
        <f>IFERROR(__xludf.DUMMYFUNCTION("""COMPUTED_VALUE"""),FALSE)</f>
        <v>0</v>
      </c>
      <c r="E102" s="114" t="str">
        <f>IFERROR(__xludf.DUMMYFUNCTION("""COMPUTED_VALUE"""),"MENDOZA")</f>
        <v>MENDOZA</v>
      </c>
      <c r="F102" s="114" t="str">
        <f>IFERROR(__xludf.DUMMYFUNCTION("""COMPUTED_VALUE"""),"JUSTINE IAN")</f>
        <v>JUSTINE IAN</v>
      </c>
    </row>
    <row r="103">
      <c r="A103" s="131">
        <f>IFERROR(__xludf.DUMMYFUNCTION("""COMPUTED_VALUE"""),102.0)</f>
        <v>102</v>
      </c>
      <c r="B103" s="131"/>
      <c r="C103" s="131">
        <f>IFERROR(__xludf.DUMMYFUNCTION("""COMPUTED_VALUE"""),76.0)</f>
        <v>76</v>
      </c>
      <c r="D103" s="131" t="b">
        <f>IFERROR(__xludf.DUMMYFUNCTION("""COMPUTED_VALUE"""),FALSE)</f>
        <v>0</v>
      </c>
      <c r="E103" s="114" t="str">
        <f>IFERROR(__xludf.DUMMYFUNCTION("""COMPUTED_VALUE"""),"FERMIN")</f>
        <v>FERMIN</v>
      </c>
      <c r="F103" s="114" t="str">
        <f>IFERROR(__xludf.DUMMYFUNCTION("""COMPUTED_VALUE"""),"HARIMAR")</f>
        <v>HARIMAR</v>
      </c>
    </row>
    <row r="104">
      <c r="A104" s="131">
        <f>IFERROR(__xludf.DUMMYFUNCTION("""COMPUTED_VALUE"""),103.0)</f>
        <v>103</v>
      </c>
      <c r="B104" s="131"/>
      <c r="C104" s="131">
        <f>IFERROR(__xludf.DUMMYFUNCTION("""COMPUTED_VALUE"""),76.0)</f>
        <v>76</v>
      </c>
      <c r="D104" s="131" t="b">
        <f>IFERROR(__xludf.DUMMYFUNCTION("""COMPUTED_VALUE"""),FALSE)</f>
        <v>0</v>
      </c>
      <c r="E104" s="114" t="str">
        <f>IFERROR(__xludf.DUMMYFUNCTION("""COMPUTED_VALUE"""),"ADEME")</f>
        <v>ADEME</v>
      </c>
      <c r="F104" s="114" t="str">
        <f>IFERROR(__xludf.DUMMYFUNCTION("""COMPUTED_VALUE"""),"JOHN EVO")</f>
        <v>JOHN EVO</v>
      </c>
    </row>
    <row r="105">
      <c r="A105" s="131">
        <f>IFERROR(__xludf.DUMMYFUNCTION("""COMPUTED_VALUE"""),104.0)</f>
        <v>104</v>
      </c>
      <c r="B105" s="131"/>
      <c r="C105" s="131">
        <f>IFERROR(__xludf.DUMMYFUNCTION("""COMPUTED_VALUE"""),76.0)</f>
        <v>76</v>
      </c>
      <c r="D105" s="131" t="b">
        <f>IFERROR(__xludf.DUMMYFUNCTION("""COMPUTED_VALUE"""),FALSE)</f>
        <v>0</v>
      </c>
      <c r="E105" s="114" t="str">
        <f>IFERROR(__xludf.DUMMYFUNCTION("""COMPUTED_VALUE"""),"FLAGNE")</f>
        <v>FLAGNE</v>
      </c>
      <c r="F105" s="114" t="str">
        <f>IFERROR(__xludf.DUMMYFUNCTION("""COMPUTED_VALUE"""),"JHANDY")</f>
        <v>JHANDY</v>
      </c>
    </row>
    <row r="106">
      <c r="A106" s="131">
        <f>IFERROR(__xludf.DUMMYFUNCTION("""COMPUTED_VALUE"""),105.0)</f>
        <v>105</v>
      </c>
      <c r="B106" s="131"/>
      <c r="C106" s="131">
        <f>IFERROR(__xludf.DUMMYFUNCTION("""COMPUTED_VALUE"""),76.0)</f>
        <v>76</v>
      </c>
      <c r="D106" s="131" t="b">
        <f>IFERROR(__xludf.DUMMYFUNCTION("""COMPUTED_VALUE"""),FALSE)</f>
        <v>0</v>
      </c>
      <c r="E106" s="114" t="str">
        <f>IFERROR(__xludf.DUMMYFUNCTION("""COMPUTED_VALUE"""),"GURION")</f>
        <v>GURION</v>
      </c>
      <c r="F106" s="114" t="str">
        <f>IFERROR(__xludf.DUMMYFUNCTION("""COMPUTED_VALUE"""),"ARJIE")</f>
        <v>ARJIE</v>
      </c>
    </row>
    <row r="107">
      <c r="A107" s="131">
        <f>IFERROR(__xludf.DUMMYFUNCTION("""COMPUTED_VALUE"""),106.0)</f>
        <v>106</v>
      </c>
      <c r="B107" s="131"/>
      <c r="C107" s="131">
        <f>IFERROR(__xludf.DUMMYFUNCTION("""COMPUTED_VALUE"""),76.0)</f>
        <v>76</v>
      </c>
      <c r="D107" s="131" t="b">
        <f>IFERROR(__xludf.DUMMYFUNCTION("""COMPUTED_VALUE"""),FALSE)</f>
        <v>0</v>
      </c>
      <c r="E107" s="114" t="str">
        <f>IFERROR(__xludf.DUMMYFUNCTION("""COMPUTED_VALUE"""),"INAJE")</f>
        <v>INAJE</v>
      </c>
      <c r="F107" s="114" t="str">
        <f>IFERROR(__xludf.DUMMYFUNCTION("""COMPUTED_VALUE"""),"JAYSON")</f>
        <v>JAYSON</v>
      </c>
    </row>
    <row r="108">
      <c r="A108" s="131">
        <f>IFERROR(__xludf.DUMMYFUNCTION("""COMPUTED_VALUE"""),107.0)</f>
        <v>107</v>
      </c>
      <c r="B108" s="131"/>
      <c r="C108" s="131">
        <f>IFERROR(__xludf.DUMMYFUNCTION("""COMPUTED_VALUE"""),76.0)</f>
        <v>76</v>
      </c>
      <c r="D108" s="131" t="b">
        <f>IFERROR(__xludf.DUMMYFUNCTION("""COMPUTED_VALUE"""),FALSE)</f>
        <v>0</v>
      </c>
      <c r="E108" s="114" t="str">
        <f>IFERROR(__xludf.DUMMYFUNCTION("""COMPUTED_VALUE"""),"LUANGCO")</f>
        <v>LUANGCO</v>
      </c>
      <c r="F108" s="114" t="str">
        <f>IFERROR(__xludf.DUMMYFUNCTION("""COMPUTED_VALUE"""),"MARKHIEL")</f>
        <v>MARKHIEL</v>
      </c>
    </row>
    <row r="109">
      <c r="A109" s="131">
        <f>IFERROR(__xludf.DUMMYFUNCTION("""COMPUTED_VALUE"""),108.0)</f>
        <v>108</v>
      </c>
      <c r="B109" s="131"/>
      <c r="C109" s="131">
        <f>IFERROR(__xludf.DUMMYFUNCTION("""COMPUTED_VALUE"""),76.0)</f>
        <v>76</v>
      </c>
      <c r="D109" s="131" t="b">
        <f>IFERROR(__xludf.DUMMYFUNCTION("""COMPUTED_VALUE"""),FALSE)</f>
        <v>0</v>
      </c>
      <c r="E109" s="114" t="str">
        <f>IFERROR(__xludf.DUMMYFUNCTION("""COMPUTED_VALUE"""),"NAPARATO")</f>
        <v>NAPARATO</v>
      </c>
      <c r="F109" s="114" t="str">
        <f>IFERROR(__xludf.DUMMYFUNCTION("""COMPUTED_VALUE"""),"JONEL")</f>
        <v>JONEL</v>
      </c>
    </row>
    <row r="110">
      <c r="A110" s="131">
        <f>IFERROR(__xludf.DUMMYFUNCTION("""COMPUTED_VALUE"""),109.0)</f>
        <v>109</v>
      </c>
      <c r="B110" s="131"/>
      <c r="C110" s="131">
        <f>IFERROR(__xludf.DUMMYFUNCTION("""COMPUTED_VALUE"""),76.0)</f>
        <v>76</v>
      </c>
      <c r="D110" s="131" t="b">
        <f>IFERROR(__xludf.DUMMYFUNCTION("""COMPUTED_VALUE"""),FALSE)</f>
        <v>0</v>
      </c>
      <c r="E110" s="114" t="str">
        <f>IFERROR(__xludf.DUMMYFUNCTION("""COMPUTED_VALUE"""),"NAPARATO")</f>
        <v>NAPARATO</v>
      </c>
      <c r="F110" s="114" t="str">
        <f>IFERROR(__xludf.DUMMYFUNCTION("""COMPUTED_VALUE"""),"JEFF")</f>
        <v>JEFF</v>
      </c>
    </row>
    <row r="111">
      <c r="A111" s="131">
        <f>IFERROR(__xludf.DUMMYFUNCTION("""COMPUTED_VALUE"""),110.0)</f>
        <v>110</v>
      </c>
      <c r="B111" s="131"/>
      <c r="C111" s="131">
        <f>IFERROR(__xludf.DUMMYFUNCTION("""COMPUTED_VALUE"""),76.0)</f>
        <v>76</v>
      </c>
      <c r="D111" s="131" t="b">
        <f>IFERROR(__xludf.DUMMYFUNCTION("""COMPUTED_VALUE"""),FALSE)</f>
        <v>0</v>
      </c>
      <c r="E111" s="114" t="str">
        <f>IFERROR(__xludf.DUMMYFUNCTION("""COMPUTED_VALUE"""),"PABILLO")</f>
        <v>PABILLO</v>
      </c>
      <c r="F111" s="114" t="str">
        <f>IFERROR(__xludf.DUMMYFUNCTION("""COMPUTED_VALUE"""),"PRINCE ALECK")</f>
        <v>PRINCE ALECK</v>
      </c>
    </row>
    <row r="112">
      <c r="A112" s="131">
        <f>IFERROR(__xludf.DUMMYFUNCTION("""COMPUTED_VALUE"""),111.0)</f>
        <v>111</v>
      </c>
      <c r="B112" s="131"/>
      <c r="C112" s="131">
        <f>IFERROR(__xludf.DUMMYFUNCTION("""COMPUTED_VALUE"""),76.0)</f>
        <v>76</v>
      </c>
      <c r="D112" s="131" t="b">
        <f>IFERROR(__xludf.DUMMYFUNCTION("""COMPUTED_VALUE"""),FALSE)</f>
        <v>0</v>
      </c>
      <c r="E112" s="114" t="str">
        <f>IFERROR(__xludf.DUMMYFUNCTION("""COMPUTED_VALUE"""),"PRINCESA")</f>
        <v>PRINCESA</v>
      </c>
      <c r="F112" s="114" t="str">
        <f>IFERROR(__xludf.DUMMYFUNCTION("""COMPUTED_VALUE"""),"ADRIAN CARL")</f>
        <v>ADRIAN CARL</v>
      </c>
    </row>
    <row r="113">
      <c r="A113" s="131">
        <f>IFERROR(__xludf.DUMMYFUNCTION("""COMPUTED_VALUE"""),112.0)</f>
        <v>112</v>
      </c>
      <c r="B113" s="131"/>
      <c r="C113" s="131">
        <f>IFERROR(__xludf.DUMMYFUNCTION("""COMPUTED_VALUE"""),76.0)</f>
        <v>76</v>
      </c>
      <c r="D113" s="131" t="b">
        <f>IFERROR(__xludf.DUMMYFUNCTION("""COMPUTED_VALUE"""),FALSE)</f>
        <v>0</v>
      </c>
      <c r="E113" s="114" t="str">
        <f>IFERROR(__xludf.DUMMYFUNCTION("""COMPUTED_VALUE"""),"RAMOS")</f>
        <v>RAMOS</v>
      </c>
      <c r="F113" s="114" t="str">
        <f>IFERROR(__xludf.DUMMYFUNCTION("""COMPUTED_VALUE"""),"JEREMIAH")</f>
        <v>JEREMIAH</v>
      </c>
    </row>
    <row r="114">
      <c r="A114" s="131">
        <f>IFERROR(__xludf.DUMMYFUNCTION("""COMPUTED_VALUE"""),113.0)</f>
        <v>113</v>
      </c>
      <c r="B114" s="131"/>
      <c r="C114" s="131">
        <f>IFERROR(__xludf.DUMMYFUNCTION("""COMPUTED_VALUE"""),76.0)</f>
        <v>76</v>
      </c>
      <c r="D114" s="131" t="b">
        <f>IFERROR(__xludf.DUMMYFUNCTION("""COMPUTED_VALUE"""),FALSE)</f>
        <v>0</v>
      </c>
      <c r="E114" s="114" t="str">
        <f>IFERROR(__xludf.DUMMYFUNCTION("""COMPUTED_VALUE"""),"RAMOS")</f>
        <v>RAMOS</v>
      </c>
      <c r="F114" s="114" t="str">
        <f>IFERROR(__xludf.DUMMYFUNCTION("""COMPUTED_VALUE"""),"MATTHEW")</f>
        <v>MATTHEW</v>
      </c>
    </row>
    <row r="115">
      <c r="A115" s="131">
        <f>IFERROR(__xludf.DUMMYFUNCTION("""COMPUTED_VALUE"""),114.0)</f>
        <v>114</v>
      </c>
      <c r="B115" s="131"/>
      <c r="C115" s="131">
        <f>IFERROR(__xludf.DUMMYFUNCTION("""COMPUTED_VALUE"""),76.0)</f>
        <v>76</v>
      </c>
      <c r="D115" s="131" t="b">
        <f>IFERROR(__xludf.DUMMYFUNCTION("""COMPUTED_VALUE"""),FALSE)</f>
        <v>0</v>
      </c>
      <c r="E115" s="114" t="str">
        <f>IFERROR(__xludf.DUMMYFUNCTION("""COMPUTED_VALUE"""),"RAMOS")</f>
        <v>RAMOS</v>
      </c>
      <c r="F115" s="114" t="str">
        <f>IFERROR(__xludf.DUMMYFUNCTION("""COMPUTED_VALUE"""),"JONAS")</f>
        <v>JONAS</v>
      </c>
    </row>
    <row r="116">
      <c r="A116" s="131">
        <f>IFERROR(__xludf.DUMMYFUNCTION("""COMPUTED_VALUE"""),115.0)</f>
        <v>115</v>
      </c>
      <c r="B116" s="131"/>
      <c r="C116" s="131">
        <f>IFERROR(__xludf.DUMMYFUNCTION("""COMPUTED_VALUE"""),76.0)</f>
        <v>76</v>
      </c>
      <c r="D116" s="131" t="b">
        <f>IFERROR(__xludf.DUMMYFUNCTION("""COMPUTED_VALUE"""),FALSE)</f>
        <v>0</v>
      </c>
      <c r="E116" s="114" t="str">
        <f>IFERROR(__xludf.DUMMYFUNCTION("""COMPUTED_VALUE"""),"ROMANO")</f>
        <v>ROMANO</v>
      </c>
      <c r="F116" s="114" t="str">
        <f>IFERROR(__xludf.DUMMYFUNCTION("""COMPUTED_VALUE"""),"XIANREY")</f>
        <v>XIANREY</v>
      </c>
    </row>
    <row r="117">
      <c r="A117" s="131">
        <f>IFERROR(__xludf.DUMMYFUNCTION("""COMPUTED_VALUE"""),116.0)</f>
        <v>116</v>
      </c>
      <c r="B117" s="131"/>
      <c r="C117" s="131">
        <f>IFERROR(__xludf.DUMMYFUNCTION("""COMPUTED_VALUE"""),76.0)</f>
        <v>76</v>
      </c>
      <c r="D117" s="131" t="b">
        <f>IFERROR(__xludf.DUMMYFUNCTION("""COMPUTED_VALUE"""),FALSE)</f>
        <v>0</v>
      </c>
      <c r="E117" s="114" t="str">
        <f>IFERROR(__xludf.DUMMYFUNCTION("""COMPUTED_VALUE"""),"AMBROCIO")</f>
        <v>AMBROCIO</v>
      </c>
      <c r="F117" s="114" t="str">
        <f>IFERROR(__xludf.DUMMYFUNCTION("""COMPUTED_VALUE"""),"JAMES")</f>
        <v>JAMES</v>
      </c>
    </row>
    <row r="118">
      <c r="A118" s="131">
        <f>IFERROR(__xludf.DUMMYFUNCTION("""COMPUTED_VALUE"""),117.0)</f>
        <v>117</v>
      </c>
      <c r="B118" s="131"/>
      <c r="C118" s="131">
        <f>IFERROR(__xludf.DUMMYFUNCTION("""COMPUTED_VALUE"""),76.0)</f>
        <v>76</v>
      </c>
      <c r="D118" s="131" t="b">
        <f>IFERROR(__xludf.DUMMYFUNCTION("""COMPUTED_VALUE"""),FALSE)</f>
        <v>0</v>
      </c>
      <c r="E118" s="114" t="str">
        <f>IFERROR(__xludf.DUMMYFUNCTION("""COMPUTED_VALUE"""),"PANADO")</f>
        <v>PANADO</v>
      </c>
      <c r="F118" s="114" t="str">
        <f>IFERROR(__xludf.DUMMYFUNCTION("""COMPUTED_VALUE"""),"JAMES")</f>
        <v>JAMES</v>
      </c>
    </row>
    <row r="119">
      <c r="A119" s="131">
        <f>IFERROR(__xludf.DUMMYFUNCTION("""COMPUTED_VALUE"""),118.0)</f>
        <v>118</v>
      </c>
      <c r="B119" s="131"/>
      <c r="C119" s="131">
        <f>IFERROR(__xludf.DUMMYFUNCTION("""COMPUTED_VALUE"""),76.0)</f>
        <v>76</v>
      </c>
      <c r="D119" s="131" t="b">
        <f>IFERROR(__xludf.DUMMYFUNCTION("""COMPUTED_VALUE"""),FALSE)</f>
        <v>0</v>
      </c>
      <c r="E119" s="114" t="str">
        <f>IFERROR(__xludf.DUMMYFUNCTION("""COMPUTED_VALUE"""),"MALLARI")</f>
        <v>MALLARI</v>
      </c>
      <c r="F119" s="114" t="str">
        <f>IFERROR(__xludf.DUMMYFUNCTION("""COMPUTED_VALUE"""),"JAY IAN")</f>
        <v>JAY IAN</v>
      </c>
    </row>
    <row r="120">
      <c r="A120" s="131"/>
      <c r="B120" s="131"/>
      <c r="C120" s="131"/>
      <c r="D120" s="131"/>
      <c r="E120" s="131"/>
      <c r="F120" s="131"/>
    </row>
    <row r="121">
      <c r="A121" s="131">
        <f>IFERROR(__xludf.DUMMYFUNCTION("""COMPUTED_VALUE"""),120.0)</f>
        <v>120</v>
      </c>
      <c r="B121" s="131"/>
      <c r="C121" s="131">
        <f>IFERROR(__xludf.DUMMYFUNCTION("""COMPUTED_VALUE"""),120.0)</f>
        <v>120</v>
      </c>
      <c r="D121" s="131" t="b">
        <f>IFERROR(__xludf.DUMMYFUNCTION("""COMPUTED_VALUE"""),TRUE)</f>
        <v>1</v>
      </c>
      <c r="E121" s="105" t="str">
        <f>IFERROR(__xludf.DUMMYFUNCTION("""COMPUTED_VALUE"""),"MACASA")</f>
        <v>MACASA</v>
      </c>
      <c r="F121" s="105" t="str">
        <f>IFERROR(__xludf.DUMMYFUNCTION("""COMPUTED_VALUE"""),"POLO")</f>
        <v>POLO</v>
      </c>
    </row>
    <row r="122">
      <c r="A122" s="131">
        <f>IFERROR(__xludf.DUMMYFUNCTION("""COMPUTED_VALUE"""),121.0)</f>
        <v>121</v>
      </c>
      <c r="B122" s="131"/>
      <c r="C122" s="131">
        <f>IFERROR(__xludf.DUMMYFUNCTION("""COMPUTED_VALUE"""),120.0)</f>
        <v>120</v>
      </c>
      <c r="D122" s="131" t="b">
        <f>IFERROR(__xludf.DUMMYFUNCTION("""COMPUTED_VALUE"""),FALSE)</f>
        <v>0</v>
      </c>
      <c r="E122" s="115" t="str">
        <f>IFERROR(__xludf.DUMMYFUNCTION("""COMPUTED_VALUE"""),"ALCANTARA")</f>
        <v>ALCANTARA</v>
      </c>
      <c r="F122" s="107" t="str">
        <f>IFERROR(__xludf.DUMMYFUNCTION("""COMPUTED_VALUE"""),"GERALD")</f>
        <v>GERALD</v>
      </c>
    </row>
    <row r="123">
      <c r="A123" s="131">
        <f>IFERROR(__xludf.DUMMYFUNCTION("""COMPUTED_VALUE"""),122.0)</f>
        <v>122</v>
      </c>
      <c r="B123" s="131"/>
      <c r="C123" s="131">
        <f>IFERROR(__xludf.DUMMYFUNCTION("""COMPUTED_VALUE"""),120.0)</f>
        <v>120</v>
      </c>
      <c r="D123" s="131" t="b">
        <f>IFERROR(__xludf.DUMMYFUNCTION("""COMPUTED_VALUE"""),FALSE)</f>
        <v>0</v>
      </c>
      <c r="E123" s="107" t="str">
        <f>IFERROR(__xludf.DUMMYFUNCTION("""COMPUTED_VALUE"""),"ALVIAR")</f>
        <v>ALVIAR</v>
      </c>
      <c r="F123" s="107" t="str">
        <f>IFERROR(__xludf.DUMMYFUNCTION("""COMPUTED_VALUE"""),"PETER")</f>
        <v>PETER</v>
      </c>
    </row>
    <row r="124">
      <c r="A124" s="131">
        <f>IFERROR(__xludf.DUMMYFUNCTION("""COMPUTED_VALUE"""),123.0)</f>
        <v>123</v>
      </c>
      <c r="B124" s="131"/>
      <c r="C124" s="131">
        <f>IFERROR(__xludf.DUMMYFUNCTION("""COMPUTED_VALUE"""),120.0)</f>
        <v>120</v>
      </c>
      <c r="D124" s="131" t="b">
        <f>IFERROR(__xludf.DUMMYFUNCTION("""COMPUTED_VALUE"""),FALSE)</f>
        <v>0</v>
      </c>
      <c r="E124" s="116" t="str">
        <f>IFERROR(__xludf.DUMMYFUNCTION("""COMPUTED_VALUE"""),"BUCTOT")</f>
        <v>BUCTOT</v>
      </c>
      <c r="F124" s="107" t="str">
        <f>IFERROR(__xludf.DUMMYFUNCTION("""COMPUTED_VALUE"""),"JEFFREY")</f>
        <v>JEFFREY</v>
      </c>
    </row>
    <row r="125">
      <c r="A125" s="131">
        <f>IFERROR(__xludf.DUMMYFUNCTION("""COMPUTED_VALUE"""),124.0)</f>
        <v>124</v>
      </c>
      <c r="B125" s="131"/>
      <c r="C125" s="131">
        <f>IFERROR(__xludf.DUMMYFUNCTION("""COMPUTED_VALUE"""),120.0)</f>
        <v>120</v>
      </c>
      <c r="D125" s="131" t="b">
        <f>IFERROR(__xludf.DUMMYFUNCTION("""COMPUTED_VALUE"""),FALSE)</f>
        <v>0</v>
      </c>
      <c r="E125" s="107" t="str">
        <f>IFERROR(__xludf.DUMMYFUNCTION("""COMPUTED_VALUE"""),"CABRERA")</f>
        <v>CABRERA</v>
      </c>
      <c r="F125" s="107" t="str">
        <f>IFERROR(__xludf.DUMMYFUNCTION("""COMPUTED_VALUE"""),"LANCE")</f>
        <v>LANCE</v>
      </c>
    </row>
    <row r="126">
      <c r="A126" s="131">
        <f>IFERROR(__xludf.DUMMYFUNCTION("""COMPUTED_VALUE"""),125.0)</f>
        <v>125</v>
      </c>
      <c r="B126" s="131"/>
      <c r="C126" s="131">
        <f>IFERROR(__xludf.DUMMYFUNCTION("""COMPUTED_VALUE"""),120.0)</f>
        <v>120</v>
      </c>
      <c r="D126" s="131" t="b">
        <f>IFERROR(__xludf.DUMMYFUNCTION("""COMPUTED_VALUE"""),FALSE)</f>
        <v>0</v>
      </c>
      <c r="E126" s="107" t="str">
        <f>IFERROR(__xludf.DUMMYFUNCTION("""COMPUTED_VALUE"""),"CANDIDO")</f>
        <v>CANDIDO</v>
      </c>
      <c r="F126" s="107" t="str">
        <f>IFERROR(__xludf.DUMMYFUNCTION("""COMPUTED_VALUE"""),"PRINCE")</f>
        <v>PRINCE</v>
      </c>
    </row>
    <row r="127">
      <c r="A127" s="131">
        <f>IFERROR(__xludf.DUMMYFUNCTION("""COMPUTED_VALUE"""),126.0)</f>
        <v>126</v>
      </c>
      <c r="B127" s="131"/>
      <c r="C127" s="131">
        <f>IFERROR(__xludf.DUMMYFUNCTION("""COMPUTED_VALUE"""),120.0)</f>
        <v>120</v>
      </c>
      <c r="D127" s="131" t="b">
        <f>IFERROR(__xludf.DUMMYFUNCTION("""COMPUTED_VALUE"""),FALSE)</f>
        <v>0</v>
      </c>
      <c r="E127" s="107" t="str">
        <f>IFERROR(__xludf.DUMMYFUNCTION("""COMPUTED_VALUE"""),"LOUIE")</f>
        <v>LOUIE</v>
      </c>
      <c r="F127" s="107" t="str">
        <f>IFERROR(__xludf.DUMMYFUNCTION("""COMPUTED_VALUE"""),"JAMES")</f>
        <v>JAMES</v>
      </c>
    </row>
    <row r="128">
      <c r="A128" s="131">
        <f>IFERROR(__xludf.DUMMYFUNCTION("""COMPUTED_VALUE"""),127.0)</f>
        <v>127</v>
      </c>
      <c r="B128" s="131"/>
      <c r="C128" s="131">
        <f>IFERROR(__xludf.DUMMYFUNCTION("""COMPUTED_VALUE"""),120.0)</f>
        <v>120</v>
      </c>
      <c r="D128" s="131" t="b">
        <f>IFERROR(__xludf.DUMMYFUNCTION("""COMPUTED_VALUE"""),FALSE)</f>
        <v>0</v>
      </c>
      <c r="E128" s="107" t="str">
        <f>IFERROR(__xludf.DUMMYFUNCTION("""COMPUTED_VALUE"""),"MALIGTAS")</f>
        <v>MALIGTAS</v>
      </c>
      <c r="F128" s="107" t="str">
        <f>IFERROR(__xludf.DUMMYFUNCTION("""COMPUTED_VALUE"""),"SKYE")</f>
        <v>SKYE</v>
      </c>
    </row>
    <row r="129">
      <c r="A129" s="131">
        <f>IFERROR(__xludf.DUMMYFUNCTION("""COMPUTED_VALUE"""),128.0)</f>
        <v>128</v>
      </c>
      <c r="B129" s="131"/>
      <c r="C129" s="131">
        <f>IFERROR(__xludf.DUMMYFUNCTION("""COMPUTED_VALUE"""),120.0)</f>
        <v>120</v>
      </c>
      <c r="D129" s="131" t="b">
        <f>IFERROR(__xludf.DUMMYFUNCTION("""COMPUTED_VALUE"""),FALSE)</f>
        <v>0</v>
      </c>
      <c r="E129" s="107" t="str">
        <f>IFERROR(__xludf.DUMMYFUNCTION("""COMPUTED_VALUE"""),"NEHEMIAH")</f>
        <v>NEHEMIAH</v>
      </c>
      <c r="F129" s="107" t="str">
        <f>IFERROR(__xludf.DUMMYFUNCTION("""COMPUTED_VALUE"""),"ARKHEL")</f>
        <v>ARKHEL</v>
      </c>
    </row>
    <row r="130">
      <c r="A130" s="131">
        <f>IFERROR(__xludf.DUMMYFUNCTION("""COMPUTED_VALUE"""),129.0)</f>
        <v>129</v>
      </c>
      <c r="B130" s="131"/>
      <c r="C130" s="131">
        <f>IFERROR(__xludf.DUMMYFUNCTION("""COMPUTED_VALUE"""),120.0)</f>
        <v>120</v>
      </c>
      <c r="D130" s="131" t="b">
        <f>IFERROR(__xludf.DUMMYFUNCTION("""COMPUTED_VALUE"""),FALSE)</f>
        <v>0</v>
      </c>
      <c r="E130" s="107" t="str">
        <f>IFERROR(__xludf.DUMMYFUNCTION("""COMPUTED_VALUE"""),"OLASO")</f>
        <v>OLASO</v>
      </c>
      <c r="F130" s="107" t="str">
        <f>IFERROR(__xludf.DUMMYFUNCTION("""COMPUTED_VALUE"""),"CHARLES")</f>
        <v>CHARLES</v>
      </c>
    </row>
    <row r="131">
      <c r="A131" s="131">
        <f>IFERROR(__xludf.DUMMYFUNCTION("""COMPUTED_VALUE"""),130.0)</f>
        <v>130</v>
      </c>
      <c r="B131" s="131"/>
      <c r="C131" s="131">
        <f>IFERROR(__xludf.DUMMYFUNCTION("""COMPUTED_VALUE"""),120.0)</f>
        <v>120</v>
      </c>
      <c r="D131" s="131" t="b">
        <f>IFERROR(__xludf.DUMMYFUNCTION("""COMPUTED_VALUE"""),FALSE)</f>
        <v>0</v>
      </c>
      <c r="E131" s="107" t="str">
        <f>IFERROR(__xludf.DUMMYFUNCTION("""COMPUTED_VALUE"""),"PASCUA")</f>
        <v>PASCUA</v>
      </c>
      <c r="F131" s="107" t="str">
        <f>IFERROR(__xludf.DUMMYFUNCTION("""COMPUTED_VALUE"""),"JOHN MICHAEL")</f>
        <v>JOHN MICHAEL</v>
      </c>
    </row>
    <row r="132">
      <c r="A132" s="131">
        <f>IFERROR(__xludf.DUMMYFUNCTION("""COMPUTED_VALUE"""),131.0)</f>
        <v>131</v>
      </c>
      <c r="B132" s="131"/>
      <c r="C132" s="131">
        <f>IFERROR(__xludf.DUMMYFUNCTION("""COMPUTED_VALUE"""),120.0)</f>
        <v>120</v>
      </c>
      <c r="D132" s="131" t="b">
        <f>IFERROR(__xludf.DUMMYFUNCTION("""COMPUTED_VALUE"""),FALSE)</f>
        <v>0</v>
      </c>
      <c r="E132" s="107" t="str">
        <f>IFERROR(__xludf.DUMMYFUNCTION("""COMPUTED_VALUE"""),"PERALTA")</f>
        <v>PERALTA</v>
      </c>
      <c r="F132" s="107" t="str">
        <f>IFERROR(__xludf.DUMMYFUNCTION("""COMPUTED_VALUE"""),"MARLON")</f>
        <v>MARLON</v>
      </c>
    </row>
    <row r="133">
      <c r="A133" s="131">
        <f>IFERROR(__xludf.DUMMYFUNCTION("""COMPUTED_VALUE"""),132.0)</f>
        <v>132</v>
      </c>
      <c r="B133" s="131"/>
      <c r="C133" s="131">
        <f>IFERROR(__xludf.DUMMYFUNCTION("""COMPUTED_VALUE"""),120.0)</f>
        <v>120</v>
      </c>
      <c r="D133" s="131" t="b">
        <f>IFERROR(__xludf.DUMMYFUNCTION("""COMPUTED_VALUE"""),FALSE)</f>
        <v>0</v>
      </c>
      <c r="E133" s="107" t="str">
        <f>IFERROR(__xludf.DUMMYFUNCTION("""COMPUTED_VALUE"""),"PESAYCO")</f>
        <v>PESAYCO</v>
      </c>
      <c r="F133" s="107" t="str">
        <f>IFERROR(__xludf.DUMMYFUNCTION("""COMPUTED_VALUE"""),"KEITH")</f>
        <v>KEITH</v>
      </c>
    </row>
    <row r="134">
      <c r="A134" s="131">
        <f>IFERROR(__xludf.DUMMYFUNCTION("""COMPUTED_VALUE"""),133.0)</f>
        <v>133</v>
      </c>
      <c r="B134" s="131"/>
      <c r="C134" s="131">
        <f>IFERROR(__xludf.DUMMYFUNCTION("""COMPUTED_VALUE"""),120.0)</f>
        <v>120</v>
      </c>
      <c r="D134" s="131" t="b">
        <f>IFERROR(__xludf.DUMMYFUNCTION("""COMPUTED_VALUE"""),FALSE)</f>
        <v>0</v>
      </c>
      <c r="E134" s="107" t="str">
        <f>IFERROR(__xludf.DUMMYFUNCTION("""COMPUTED_VALUE"""),"RAZON")</f>
        <v>RAZON</v>
      </c>
      <c r="F134" s="107" t="str">
        <f>IFERROR(__xludf.DUMMYFUNCTION("""COMPUTED_VALUE"""),"JOSHUA")</f>
        <v>JOSHUA</v>
      </c>
    </row>
    <row r="135">
      <c r="A135" s="131">
        <f>IFERROR(__xludf.DUMMYFUNCTION("""COMPUTED_VALUE"""),134.0)</f>
        <v>134</v>
      </c>
      <c r="B135" s="131"/>
      <c r="C135" s="131">
        <f>IFERROR(__xludf.DUMMYFUNCTION("""COMPUTED_VALUE"""),120.0)</f>
        <v>120</v>
      </c>
      <c r="D135" s="131" t="b">
        <f>IFERROR(__xludf.DUMMYFUNCTION("""COMPUTED_VALUE"""),FALSE)</f>
        <v>0</v>
      </c>
      <c r="E135" s="107" t="str">
        <f>IFERROR(__xludf.DUMMYFUNCTION("""COMPUTED_VALUE"""),"ROCCO")</f>
        <v>ROCCO</v>
      </c>
      <c r="F135" s="107" t="str">
        <f>IFERROR(__xludf.DUMMYFUNCTION("""COMPUTED_VALUE"""),"MARK")</f>
        <v>MARK</v>
      </c>
    </row>
    <row r="136">
      <c r="A136" s="131">
        <f>IFERROR(__xludf.DUMMYFUNCTION("""COMPUTED_VALUE"""),135.0)</f>
        <v>135</v>
      </c>
      <c r="B136" s="131"/>
      <c r="C136" s="131">
        <f>IFERROR(__xludf.DUMMYFUNCTION("""COMPUTED_VALUE"""),120.0)</f>
        <v>120</v>
      </c>
      <c r="D136" s="131" t="b">
        <f>IFERROR(__xludf.DUMMYFUNCTION("""COMPUTED_VALUE"""),FALSE)</f>
        <v>0</v>
      </c>
      <c r="E136" s="107" t="str">
        <f>IFERROR(__xludf.DUMMYFUNCTION("""COMPUTED_VALUE"""),"ROME")</f>
        <v>ROME</v>
      </c>
      <c r="F136" s="107" t="str">
        <f>IFERROR(__xludf.DUMMYFUNCTION("""COMPUTED_VALUE"""),"ZAYIN")</f>
        <v>ZAYIN</v>
      </c>
    </row>
    <row r="137">
      <c r="A137" s="131">
        <f>IFERROR(__xludf.DUMMYFUNCTION("""COMPUTED_VALUE"""),136.0)</f>
        <v>136</v>
      </c>
      <c r="B137" s="131"/>
      <c r="C137" s="131">
        <f>IFERROR(__xludf.DUMMYFUNCTION("""COMPUTED_VALUE"""),120.0)</f>
        <v>120</v>
      </c>
      <c r="D137" s="131" t="b">
        <f>IFERROR(__xludf.DUMMYFUNCTION("""COMPUTED_VALUE"""),FALSE)</f>
        <v>0</v>
      </c>
      <c r="E137" s="107" t="str">
        <f>IFERROR(__xludf.DUMMYFUNCTION("""COMPUTED_VALUE"""),"ROME")</f>
        <v>ROME</v>
      </c>
      <c r="F137" s="107" t="str">
        <f>IFERROR(__xludf.DUMMYFUNCTION("""COMPUTED_VALUE"""),"ZACH")</f>
        <v>ZACH</v>
      </c>
    </row>
    <row r="138">
      <c r="A138" s="131">
        <f>IFERROR(__xludf.DUMMYFUNCTION("""COMPUTED_VALUE"""),137.0)</f>
        <v>137</v>
      </c>
      <c r="B138" s="131"/>
      <c r="C138" s="131">
        <f>IFERROR(__xludf.DUMMYFUNCTION("""COMPUTED_VALUE"""),120.0)</f>
        <v>120</v>
      </c>
      <c r="D138" s="131" t="b">
        <f>IFERROR(__xludf.DUMMYFUNCTION("""COMPUTED_VALUE"""),FALSE)</f>
        <v>0</v>
      </c>
      <c r="E138" s="107" t="str">
        <f>IFERROR(__xludf.DUMMYFUNCTION("""COMPUTED_VALUE"""),"SERRANO")</f>
        <v>SERRANO</v>
      </c>
      <c r="F138" s="107" t="str">
        <f>IFERROR(__xludf.DUMMYFUNCTION("""COMPUTED_VALUE"""),"MICO")</f>
        <v>MICO</v>
      </c>
    </row>
    <row r="139">
      <c r="A139" s="131">
        <f>IFERROR(__xludf.DUMMYFUNCTION("""COMPUTED_VALUE"""),138.0)</f>
        <v>138</v>
      </c>
      <c r="B139" s="131"/>
      <c r="C139" s="131">
        <f>IFERROR(__xludf.DUMMYFUNCTION("""COMPUTED_VALUE"""),120.0)</f>
        <v>120</v>
      </c>
      <c r="D139" s="131" t="b">
        <f>IFERROR(__xludf.DUMMYFUNCTION("""COMPUTED_VALUE"""),FALSE)</f>
        <v>0</v>
      </c>
      <c r="E139" s="98"/>
      <c r="F139" s="107" t="str">
        <f>IFERROR(__xludf.DUMMYFUNCTION("""COMPUTED_VALUE"""),"PAUL")</f>
        <v>PAUL</v>
      </c>
    </row>
    <row r="140">
      <c r="A140" s="131"/>
      <c r="B140" s="131"/>
      <c r="C140" s="131"/>
      <c r="D140" s="131"/>
      <c r="E140" s="131"/>
      <c r="F140" s="131"/>
    </row>
    <row r="141">
      <c r="A141" s="131">
        <f>IFERROR(__xludf.DUMMYFUNCTION("""COMPUTED_VALUE"""),140.0)</f>
        <v>140</v>
      </c>
      <c r="B141" s="131"/>
      <c r="C141" s="131">
        <f>IFERROR(__xludf.DUMMYFUNCTION("""COMPUTED_VALUE"""),140.0)</f>
        <v>140</v>
      </c>
      <c r="D141" s="131" t="b">
        <f>IFERROR(__xludf.DUMMYFUNCTION("""COMPUTED_VALUE"""),TRUE)</f>
        <v>1</v>
      </c>
      <c r="E141" s="105" t="str">
        <f>IFERROR(__xludf.DUMMYFUNCTION("""COMPUTED_VALUE"""),"ARANDA")</f>
        <v>ARANDA</v>
      </c>
      <c r="F141" s="105" t="str">
        <f>IFERROR(__xludf.DUMMYFUNCTION("""COMPUTED_VALUE"""),"IYA")</f>
        <v>IYA</v>
      </c>
    </row>
    <row r="142">
      <c r="A142" s="131">
        <f>IFERROR(__xludf.DUMMYFUNCTION("""COMPUTED_VALUE"""),141.0)</f>
        <v>141</v>
      </c>
      <c r="B142" s="131"/>
      <c r="C142" s="131">
        <f>IFERROR(__xludf.DUMMYFUNCTION("""COMPUTED_VALUE"""),140.0)</f>
        <v>140</v>
      </c>
      <c r="D142" s="131" t="b">
        <f>IFERROR(__xludf.DUMMYFUNCTION("""COMPUTED_VALUE"""),FALSE)</f>
        <v>0</v>
      </c>
      <c r="E142" s="109" t="str">
        <f>IFERROR(__xludf.DUMMYFUNCTION("""COMPUTED_VALUE"""),"ALIANZA")</f>
        <v>ALIANZA</v>
      </c>
      <c r="F142" s="109" t="str">
        <f>IFERROR(__xludf.DUMMYFUNCTION("""COMPUTED_VALUE"""),"JESEMIL")</f>
        <v>JESEMIL</v>
      </c>
    </row>
    <row r="143">
      <c r="A143" s="131">
        <f>IFERROR(__xludf.DUMMYFUNCTION("""COMPUTED_VALUE"""),142.0)</f>
        <v>142</v>
      </c>
      <c r="B143" s="131"/>
      <c r="C143" s="131">
        <f>IFERROR(__xludf.DUMMYFUNCTION("""COMPUTED_VALUE"""),140.0)</f>
        <v>140</v>
      </c>
      <c r="D143" s="131" t="b">
        <f>IFERROR(__xludf.DUMMYFUNCTION("""COMPUTED_VALUE"""),FALSE)</f>
        <v>0</v>
      </c>
      <c r="E143" s="109" t="str">
        <f>IFERROR(__xludf.DUMMYFUNCTION("""COMPUTED_VALUE"""),"ANTONIO")</f>
        <v>ANTONIO</v>
      </c>
      <c r="F143" s="109" t="str">
        <f>IFERROR(__xludf.DUMMYFUNCTION("""COMPUTED_VALUE"""),"CHAM")</f>
        <v>CHAM</v>
      </c>
    </row>
    <row r="144">
      <c r="A144" s="131">
        <f>IFERROR(__xludf.DUMMYFUNCTION("""COMPUTED_VALUE"""),143.0)</f>
        <v>143</v>
      </c>
      <c r="B144" s="131"/>
      <c r="C144" s="131">
        <f>IFERROR(__xludf.DUMMYFUNCTION("""COMPUTED_VALUE"""),140.0)</f>
        <v>140</v>
      </c>
      <c r="D144" s="131" t="b">
        <f>IFERROR(__xludf.DUMMYFUNCTION("""COMPUTED_VALUE"""),FALSE)</f>
        <v>0</v>
      </c>
      <c r="E144" s="109" t="str">
        <f>IFERROR(__xludf.DUMMYFUNCTION("""COMPUTED_VALUE"""),"AQUINO")</f>
        <v>AQUINO</v>
      </c>
      <c r="F144" s="109" t="str">
        <f>IFERROR(__xludf.DUMMYFUNCTION("""COMPUTED_VALUE"""),"JOANNA")</f>
        <v>JOANNA</v>
      </c>
    </row>
    <row r="145">
      <c r="A145" s="131">
        <f>IFERROR(__xludf.DUMMYFUNCTION("""COMPUTED_VALUE"""),144.0)</f>
        <v>144</v>
      </c>
      <c r="B145" s="131"/>
      <c r="C145" s="131">
        <f>IFERROR(__xludf.DUMMYFUNCTION("""COMPUTED_VALUE"""),140.0)</f>
        <v>140</v>
      </c>
      <c r="D145" s="131" t="b">
        <f>IFERROR(__xludf.DUMMYFUNCTION("""COMPUTED_VALUE"""),FALSE)</f>
        <v>0</v>
      </c>
      <c r="E145" s="109" t="str">
        <f>IFERROR(__xludf.DUMMYFUNCTION("""COMPUTED_VALUE"""),"ARANDA")</f>
        <v>ARANDA</v>
      </c>
      <c r="F145" s="109" t="str">
        <f>IFERROR(__xludf.DUMMYFUNCTION("""COMPUTED_VALUE"""),"ALEXANDRA")</f>
        <v>ALEXANDRA</v>
      </c>
    </row>
    <row r="146">
      <c r="A146" s="131">
        <f>IFERROR(__xludf.DUMMYFUNCTION("""COMPUTED_VALUE"""),145.0)</f>
        <v>145</v>
      </c>
      <c r="B146" s="131"/>
      <c r="C146" s="131">
        <f>IFERROR(__xludf.DUMMYFUNCTION("""COMPUTED_VALUE"""),140.0)</f>
        <v>140</v>
      </c>
      <c r="D146" s="131" t="b">
        <f>IFERROR(__xludf.DUMMYFUNCTION("""COMPUTED_VALUE"""),FALSE)</f>
        <v>0</v>
      </c>
      <c r="E146" s="109" t="str">
        <f>IFERROR(__xludf.DUMMYFUNCTION("""COMPUTED_VALUE"""),"CARAAN")</f>
        <v>CARAAN</v>
      </c>
      <c r="F146" s="109" t="str">
        <f>IFERROR(__xludf.DUMMYFUNCTION("""COMPUTED_VALUE"""),"CATHLINE")</f>
        <v>CATHLINE</v>
      </c>
    </row>
    <row r="147">
      <c r="A147" s="131">
        <f>IFERROR(__xludf.DUMMYFUNCTION("""COMPUTED_VALUE"""),146.0)</f>
        <v>146</v>
      </c>
      <c r="B147" s="131"/>
      <c r="C147" s="131">
        <f>IFERROR(__xludf.DUMMYFUNCTION("""COMPUTED_VALUE"""),140.0)</f>
        <v>140</v>
      </c>
      <c r="D147" s="131" t="b">
        <f>IFERROR(__xludf.DUMMYFUNCTION("""COMPUTED_VALUE"""),FALSE)</f>
        <v>0</v>
      </c>
      <c r="E147" s="109" t="str">
        <f>IFERROR(__xludf.DUMMYFUNCTION("""COMPUTED_VALUE"""),"CASTILLO")</f>
        <v>CASTILLO</v>
      </c>
      <c r="F147" s="109" t="str">
        <f>IFERROR(__xludf.DUMMYFUNCTION("""COMPUTED_VALUE"""),"JASIEL")</f>
        <v>JASIEL</v>
      </c>
    </row>
    <row r="148">
      <c r="A148" s="131">
        <f>IFERROR(__xludf.DUMMYFUNCTION("""COMPUTED_VALUE"""),147.0)</f>
        <v>147</v>
      </c>
      <c r="B148" s="131"/>
      <c r="C148" s="131">
        <f>IFERROR(__xludf.DUMMYFUNCTION("""COMPUTED_VALUE"""),140.0)</f>
        <v>140</v>
      </c>
      <c r="D148" s="131" t="b">
        <f>IFERROR(__xludf.DUMMYFUNCTION("""COMPUTED_VALUE"""),FALSE)</f>
        <v>0</v>
      </c>
      <c r="E148" s="109" t="str">
        <f>IFERROR(__xludf.DUMMYFUNCTION("""COMPUTED_VALUE"""),"CEA")</f>
        <v>CEA</v>
      </c>
      <c r="F148" s="109" t="str">
        <f>IFERROR(__xludf.DUMMYFUNCTION("""COMPUTED_VALUE"""),"DIANA")</f>
        <v>DIANA</v>
      </c>
    </row>
    <row r="149">
      <c r="A149" s="131">
        <f>IFERROR(__xludf.DUMMYFUNCTION("""COMPUTED_VALUE"""),148.0)</f>
        <v>148</v>
      </c>
      <c r="B149" s="131"/>
      <c r="C149" s="131">
        <f>IFERROR(__xludf.DUMMYFUNCTION("""COMPUTED_VALUE"""),140.0)</f>
        <v>140</v>
      </c>
      <c r="D149" s="131" t="b">
        <f>IFERROR(__xludf.DUMMYFUNCTION("""COMPUTED_VALUE"""),FALSE)</f>
        <v>0</v>
      </c>
      <c r="E149" s="109" t="str">
        <f>IFERROR(__xludf.DUMMYFUNCTION("""COMPUTED_VALUE"""),"CHUA")</f>
        <v>CHUA</v>
      </c>
      <c r="F149" s="109" t="str">
        <f>IFERROR(__xludf.DUMMYFUNCTION("""COMPUTED_VALUE"""),"PJ")</f>
        <v>PJ</v>
      </c>
    </row>
    <row r="150">
      <c r="A150" s="131">
        <f>IFERROR(__xludf.DUMMYFUNCTION("""COMPUTED_VALUE"""),149.0)</f>
        <v>149</v>
      </c>
      <c r="B150" s="131"/>
      <c r="C150" s="131">
        <f>IFERROR(__xludf.DUMMYFUNCTION("""COMPUTED_VALUE"""),140.0)</f>
        <v>140</v>
      </c>
      <c r="D150" s="131" t="b">
        <f>IFERROR(__xludf.DUMMYFUNCTION("""COMPUTED_VALUE"""),FALSE)</f>
        <v>0</v>
      </c>
      <c r="E150" s="109" t="str">
        <f>IFERROR(__xludf.DUMMYFUNCTION("""COMPUTED_VALUE"""),"DIZON")</f>
        <v>DIZON</v>
      </c>
      <c r="F150" s="109" t="str">
        <f>IFERROR(__xludf.DUMMYFUNCTION("""COMPUTED_VALUE"""),"ARRA")</f>
        <v>ARRA</v>
      </c>
    </row>
    <row r="151">
      <c r="A151" s="131">
        <f>IFERROR(__xludf.DUMMYFUNCTION("""COMPUTED_VALUE"""),150.0)</f>
        <v>150</v>
      </c>
      <c r="B151" s="131"/>
      <c r="C151" s="131">
        <f>IFERROR(__xludf.DUMMYFUNCTION("""COMPUTED_VALUE"""),140.0)</f>
        <v>140</v>
      </c>
      <c r="D151" s="131" t="b">
        <f>IFERROR(__xludf.DUMMYFUNCTION("""COMPUTED_VALUE"""),FALSE)</f>
        <v>0</v>
      </c>
      <c r="E151" s="109" t="str">
        <f>IFERROR(__xludf.DUMMYFUNCTION("""COMPUTED_VALUE"""),"ECLEVIA")</f>
        <v>ECLEVIA</v>
      </c>
      <c r="F151" s="109" t="str">
        <f>IFERROR(__xludf.DUMMYFUNCTION("""COMPUTED_VALUE"""),"ANGELICA")</f>
        <v>ANGELICA</v>
      </c>
    </row>
    <row r="152">
      <c r="A152" s="131">
        <f>IFERROR(__xludf.DUMMYFUNCTION("""COMPUTED_VALUE"""),151.0)</f>
        <v>151</v>
      </c>
      <c r="B152" s="131"/>
      <c r="C152" s="131">
        <f>IFERROR(__xludf.DUMMYFUNCTION("""COMPUTED_VALUE"""),140.0)</f>
        <v>140</v>
      </c>
      <c r="D152" s="131" t="b">
        <f>IFERROR(__xludf.DUMMYFUNCTION("""COMPUTED_VALUE"""),FALSE)</f>
        <v>0</v>
      </c>
      <c r="E152" s="109" t="str">
        <f>IFERROR(__xludf.DUMMYFUNCTION("""COMPUTED_VALUE"""),"FELIPE")</f>
        <v>FELIPE</v>
      </c>
      <c r="F152" s="109" t="str">
        <f>IFERROR(__xludf.DUMMYFUNCTION("""COMPUTED_VALUE"""),"JAIMIE")</f>
        <v>JAIMIE</v>
      </c>
    </row>
    <row r="153">
      <c r="A153" s="131">
        <f>IFERROR(__xludf.DUMMYFUNCTION("""COMPUTED_VALUE"""),152.0)</f>
        <v>152</v>
      </c>
      <c r="B153" s="131"/>
      <c r="C153" s="131">
        <f>IFERROR(__xludf.DUMMYFUNCTION("""COMPUTED_VALUE"""),140.0)</f>
        <v>140</v>
      </c>
      <c r="D153" s="131" t="b">
        <f>IFERROR(__xludf.DUMMYFUNCTION("""COMPUTED_VALUE"""),FALSE)</f>
        <v>0</v>
      </c>
      <c r="E153" s="109" t="str">
        <f>IFERROR(__xludf.DUMMYFUNCTION("""COMPUTED_VALUE"""),"FERNANDEZ")</f>
        <v>FERNANDEZ</v>
      </c>
      <c r="F153" s="109" t="str">
        <f>IFERROR(__xludf.DUMMYFUNCTION("""COMPUTED_VALUE"""),"SHARMAINE")</f>
        <v>SHARMAINE</v>
      </c>
    </row>
    <row r="154">
      <c r="A154" s="131">
        <f>IFERROR(__xludf.DUMMYFUNCTION("""COMPUTED_VALUE"""),153.0)</f>
        <v>153</v>
      </c>
      <c r="B154" s="131"/>
      <c r="C154" s="131">
        <f>IFERROR(__xludf.DUMMYFUNCTION("""COMPUTED_VALUE"""),140.0)</f>
        <v>140</v>
      </c>
      <c r="D154" s="131" t="b">
        <f>IFERROR(__xludf.DUMMYFUNCTION("""COMPUTED_VALUE"""),FALSE)</f>
        <v>0</v>
      </c>
      <c r="E154" s="109" t="str">
        <f>IFERROR(__xludf.DUMMYFUNCTION("""COMPUTED_VALUE"""),"FILIO")</f>
        <v>FILIO</v>
      </c>
      <c r="F154" s="109" t="str">
        <f>IFERROR(__xludf.DUMMYFUNCTION("""COMPUTED_VALUE"""),"DAISY")</f>
        <v>DAISY</v>
      </c>
    </row>
    <row r="155">
      <c r="A155" s="131">
        <f>IFERROR(__xludf.DUMMYFUNCTION("""COMPUTED_VALUE"""),154.0)</f>
        <v>154</v>
      </c>
      <c r="B155" s="131"/>
      <c r="C155" s="131">
        <f>IFERROR(__xludf.DUMMYFUNCTION("""COMPUTED_VALUE"""),140.0)</f>
        <v>140</v>
      </c>
      <c r="D155" s="131" t="b">
        <f>IFERROR(__xludf.DUMMYFUNCTION("""COMPUTED_VALUE"""),FALSE)</f>
        <v>0</v>
      </c>
      <c r="E155" s="109" t="str">
        <f>IFERROR(__xludf.DUMMYFUNCTION("""COMPUTED_VALUE"""),"FILIO")</f>
        <v>FILIO</v>
      </c>
      <c r="F155" s="109" t="str">
        <f>IFERROR(__xludf.DUMMYFUNCTION("""COMPUTED_VALUE"""),"JENNY")</f>
        <v>JENNY</v>
      </c>
    </row>
    <row r="156">
      <c r="A156" s="131">
        <f>IFERROR(__xludf.DUMMYFUNCTION("""COMPUTED_VALUE"""),155.0)</f>
        <v>155</v>
      </c>
      <c r="B156" s="131"/>
      <c r="C156" s="131">
        <f>IFERROR(__xludf.DUMMYFUNCTION("""COMPUTED_VALUE"""),140.0)</f>
        <v>140</v>
      </c>
      <c r="D156" s="131" t="b">
        <f>IFERROR(__xludf.DUMMYFUNCTION("""COMPUTED_VALUE"""),FALSE)</f>
        <v>0</v>
      </c>
      <c r="E156" s="109" t="str">
        <f>IFERROR(__xludf.DUMMYFUNCTION("""COMPUTED_VALUE"""),"FLORO")</f>
        <v>FLORO</v>
      </c>
      <c r="F156" s="109" t="str">
        <f>IFERROR(__xludf.DUMMYFUNCTION("""COMPUTED_VALUE"""),"JUSTINE")</f>
        <v>JUSTINE</v>
      </c>
    </row>
    <row r="157">
      <c r="A157" s="131">
        <f>IFERROR(__xludf.DUMMYFUNCTION("""COMPUTED_VALUE"""),156.0)</f>
        <v>156</v>
      </c>
      <c r="B157" s="131"/>
      <c r="C157" s="131">
        <f>IFERROR(__xludf.DUMMYFUNCTION("""COMPUTED_VALUE"""),140.0)</f>
        <v>140</v>
      </c>
      <c r="D157" s="131" t="b">
        <f>IFERROR(__xludf.DUMMYFUNCTION("""COMPUTED_VALUE"""),FALSE)</f>
        <v>0</v>
      </c>
      <c r="E157" s="109" t="str">
        <f>IFERROR(__xludf.DUMMYFUNCTION("""COMPUTED_VALUE"""),"FLORO")</f>
        <v>FLORO</v>
      </c>
      <c r="F157" s="109" t="str">
        <f>IFERROR(__xludf.DUMMYFUNCTION("""COMPUTED_VALUE"""),"MICA")</f>
        <v>MICA</v>
      </c>
    </row>
    <row r="158">
      <c r="A158" s="131">
        <f>IFERROR(__xludf.DUMMYFUNCTION("""COMPUTED_VALUE"""),157.0)</f>
        <v>157</v>
      </c>
      <c r="B158" s="131"/>
      <c r="C158" s="131">
        <f>IFERROR(__xludf.DUMMYFUNCTION("""COMPUTED_VALUE"""),140.0)</f>
        <v>140</v>
      </c>
      <c r="D158" s="131" t="b">
        <f>IFERROR(__xludf.DUMMYFUNCTION("""COMPUTED_VALUE"""),FALSE)</f>
        <v>0</v>
      </c>
      <c r="E158" s="109" t="str">
        <f>IFERROR(__xludf.DUMMYFUNCTION("""COMPUTED_VALUE"""),"FRANCISCO")</f>
        <v>FRANCISCO</v>
      </c>
      <c r="F158" s="109" t="str">
        <f>IFERROR(__xludf.DUMMYFUNCTION("""COMPUTED_VALUE"""),"RAMILYN")</f>
        <v>RAMILYN</v>
      </c>
    </row>
    <row r="159">
      <c r="A159" s="131">
        <f>IFERROR(__xludf.DUMMYFUNCTION("""COMPUTED_VALUE"""),158.0)</f>
        <v>158</v>
      </c>
      <c r="B159" s="131"/>
      <c r="C159" s="131">
        <f>IFERROR(__xludf.DUMMYFUNCTION("""COMPUTED_VALUE"""),140.0)</f>
        <v>140</v>
      </c>
      <c r="D159" s="131" t="b">
        <f>IFERROR(__xludf.DUMMYFUNCTION("""COMPUTED_VALUE"""),FALSE)</f>
        <v>0</v>
      </c>
      <c r="E159" s="109" t="str">
        <f>IFERROR(__xludf.DUMMYFUNCTION("""COMPUTED_VALUE"""),"GEMOTO")</f>
        <v>GEMOTO</v>
      </c>
      <c r="F159" s="109" t="str">
        <f>IFERROR(__xludf.DUMMYFUNCTION("""COMPUTED_VALUE"""),"JASMINE")</f>
        <v>JASMINE</v>
      </c>
    </row>
    <row r="160">
      <c r="A160" s="131">
        <f>IFERROR(__xludf.DUMMYFUNCTION("""COMPUTED_VALUE"""),159.0)</f>
        <v>159</v>
      </c>
      <c r="B160" s="131"/>
      <c r="C160" s="131">
        <f>IFERROR(__xludf.DUMMYFUNCTION("""COMPUTED_VALUE"""),140.0)</f>
        <v>140</v>
      </c>
      <c r="D160" s="131" t="b">
        <f>IFERROR(__xludf.DUMMYFUNCTION("""COMPUTED_VALUE"""),FALSE)</f>
        <v>0</v>
      </c>
      <c r="E160" s="109" t="str">
        <f>IFERROR(__xludf.DUMMYFUNCTION("""COMPUTED_VALUE"""),"LABAYNE")</f>
        <v>LABAYNE</v>
      </c>
      <c r="F160" s="109" t="str">
        <f>IFERROR(__xludf.DUMMYFUNCTION("""COMPUTED_VALUE"""),"GRACE")</f>
        <v>GRACE</v>
      </c>
    </row>
    <row r="161">
      <c r="A161" s="131">
        <f>IFERROR(__xludf.DUMMYFUNCTION("""COMPUTED_VALUE"""),160.0)</f>
        <v>160</v>
      </c>
      <c r="B161" s="131"/>
      <c r="C161" s="131">
        <f>IFERROR(__xludf.DUMMYFUNCTION("""COMPUTED_VALUE"""),140.0)</f>
        <v>140</v>
      </c>
      <c r="D161" s="131" t="b">
        <f>IFERROR(__xludf.DUMMYFUNCTION("""COMPUTED_VALUE"""),FALSE)</f>
        <v>0</v>
      </c>
      <c r="E161" s="109" t="str">
        <f>IFERROR(__xludf.DUMMYFUNCTION("""COMPUTED_VALUE"""),"OCEMAN")</f>
        <v>OCEMAN</v>
      </c>
      <c r="F161" s="109" t="str">
        <f>IFERROR(__xludf.DUMMYFUNCTION("""COMPUTED_VALUE"""),"RAI-RAI")</f>
        <v>RAI-RAI</v>
      </c>
    </row>
    <row r="162">
      <c r="A162" s="131">
        <f>IFERROR(__xludf.DUMMYFUNCTION("""COMPUTED_VALUE"""),161.0)</f>
        <v>161</v>
      </c>
      <c r="B162" s="131"/>
      <c r="C162" s="131">
        <f>IFERROR(__xludf.DUMMYFUNCTION("""COMPUTED_VALUE"""),140.0)</f>
        <v>140</v>
      </c>
      <c r="D162" s="131" t="b">
        <f>IFERROR(__xludf.DUMMYFUNCTION("""COMPUTED_VALUE"""),FALSE)</f>
        <v>0</v>
      </c>
      <c r="E162" s="109" t="str">
        <f>IFERROR(__xludf.DUMMYFUNCTION("""COMPUTED_VALUE"""),"ORQUIA")</f>
        <v>ORQUIA</v>
      </c>
      <c r="F162" s="109" t="str">
        <f>IFERROR(__xludf.DUMMYFUNCTION("""COMPUTED_VALUE"""),"KEZA")</f>
        <v>KEZA</v>
      </c>
    </row>
    <row r="163">
      <c r="A163" s="131">
        <f>IFERROR(__xludf.DUMMYFUNCTION("""COMPUTED_VALUE"""),162.0)</f>
        <v>162</v>
      </c>
      <c r="B163" s="131"/>
      <c r="C163" s="131">
        <f>IFERROR(__xludf.DUMMYFUNCTION("""COMPUTED_VALUE"""),140.0)</f>
        <v>140</v>
      </c>
      <c r="D163" s="131" t="b">
        <f>IFERROR(__xludf.DUMMYFUNCTION("""COMPUTED_VALUE"""),FALSE)</f>
        <v>0</v>
      </c>
      <c r="E163" s="109" t="str">
        <f>IFERROR(__xludf.DUMMYFUNCTION("""COMPUTED_VALUE"""),"PERALTA")</f>
        <v>PERALTA</v>
      </c>
      <c r="F163" s="109" t="str">
        <f>IFERROR(__xludf.DUMMYFUNCTION("""COMPUTED_VALUE"""),"YEN")</f>
        <v>YEN</v>
      </c>
    </row>
    <row r="164">
      <c r="A164" s="131">
        <f>IFERROR(__xludf.DUMMYFUNCTION("""COMPUTED_VALUE"""),163.0)</f>
        <v>163</v>
      </c>
      <c r="B164" s="131"/>
      <c r="C164" s="131">
        <f>IFERROR(__xludf.DUMMYFUNCTION("""COMPUTED_VALUE"""),140.0)</f>
        <v>140</v>
      </c>
      <c r="D164" s="131" t="b">
        <f>IFERROR(__xludf.DUMMYFUNCTION("""COMPUTED_VALUE"""),FALSE)</f>
        <v>0</v>
      </c>
      <c r="E164" s="109" t="str">
        <f>IFERROR(__xludf.DUMMYFUNCTION("""COMPUTED_VALUE"""),"TAN SANCHEZ")</f>
        <v>TAN SANCHEZ</v>
      </c>
      <c r="F164" s="109" t="str">
        <f>IFERROR(__xludf.DUMMYFUNCTION("""COMPUTED_VALUE"""),"MARY KHAYE")</f>
        <v>MARY KHAYE</v>
      </c>
    </row>
    <row r="165">
      <c r="A165" s="131">
        <f>IFERROR(__xludf.DUMMYFUNCTION("""COMPUTED_VALUE"""),164.0)</f>
        <v>164</v>
      </c>
      <c r="B165" s="131"/>
      <c r="C165" s="131">
        <f>IFERROR(__xludf.DUMMYFUNCTION("""COMPUTED_VALUE"""),140.0)</f>
        <v>140</v>
      </c>
      <c r="D165" s="131" t="b">
        <f>IFERROR(__xludf.DUMMYFUNCTION("""COMPUTED_VALUE"""),FALSE)</f>
        <v>0</v>
      </c>
      <c r="E165" s="109" t="str">
        <f>IFERROR(__xludf.DUMMYFUNCTION("""COMPUTED_VALUE"""),"TANDUL")</f>
        <v>TANDUL</v>
      </c>
      <c r="F165" s="109" t="str">
        <f>IFERROR(__xludf.DUMMYFUNCTION("""COMPUTED_VALUE"""),"ELAIJAH")</f>
        <v>ELAIJAH</v>
      </c>
    </row>
    <row r="166">
      <c r="A166" s="131">
        <f>IFERROR(__xludf.DUMMYFUNCTION("""COMPUTED_VALUE"""),165.0)</f>
        <v>165</v>
      </c>
      <c r="B166" s="131"/>
      <c r="C166" s="131">
        <f>IFERROR(__xludf.DUMMYFUNCTION("""COMPUTED_VALUE"""),140.0)</f>
        <v>140</v>
      </c>
      <c r="D166" s="131" t="b">
        <f>IFERROR(__xludf.DUMMYFUNCTION("""COMPUTED_VALUE"""),FALSE)</f>
        <v>0</v>
      </c>
      <c r="E166" s="109" t="str">
        <f>IFERROR(__xludf.DUMMYFUNCTION("""COMPUTED_VALUE"""),"VILLONES")</f>
        <v>VILLONES</v>
      </c>
      <c r="F166" s="109" t="str">
        <f>IFERROR(__xludf.DUMMYFUNCTION("""COMPUTED_VALUE"""),"RHEA")</f>
        <v>RHEA</v>
      </c>
    </row>
    <row r="167">
      <c r="A167" s="131">
        <f>IFERROR(__xludf.DUMMYFUNCTION("""COMPUTED_VALUE"""),166.0)</f>
        <v>166</v>
      </c>
      <c r="B167" s="131"/>
      <c r="C167" s="131"/>
      <c r="D167" s="131" t="b">
        <f>IFERROR(__xludf.DUMMYFUNCTION("""COMPUTED_VALUE"""),FALSE)</f>
        <v>0</v>
      </c>
      <c r="E167" s="131"/>
      <c r="F167" s="131"/>
    </row>
    <row r="168">
      <c r="A168" s="131">
        <f>IFERROR(__xludf.DUMMYFUNCTION("""COMPUTED_VALUE"""),167.0)</f>
        <v>167</v>
      </c>
      <c r="B168" s="131"/>
      <c r="C168" s="131">
        <f>IFERROR(__xludf.DUMMYFUNCTION("""COMPUTED_VALUE"""),167.0)</f>
        <v>167</v>
      </c>
      <c r="D168" s="131" t="b">
        <f>IFERROR(__xludf.DUMMYFUNCTION("""COMPUTED_VALUE"""),TRUE)</f>
        <v>1</v>
      </c>
      <c r="E168" s="105" t="str">
        <f>IFERROR(__xludf.DUMMYFUNCTION("""COMPUTED_VALUE"""),"DE-DIOS")</f>
        <v>DE-DIOS</v>
      </c>
      <c r="F168" s="105" t="str">
        <f>IFERROR(__xludf.DUMMYFUNCTION("""COMPUTED_VALUE"""),"JAY-EL")</f>
        <v>JAY-EL</v>
      </c>
    </row>
    <row r="169">
      <c r="A169" s="131">
        <f>IFERROR(__xludf.DUMMYFUNCTION("""COMPUTED_VALUE"""),168.0)</f>
        <v>168</v>
      </c>
      <c r="B169" s="131"/>
      <c r="C169" s="131">
        <f>IFERROR(__xludf.DUMMYFUNCTION("""COMPUTED_VALUE"""),167.0)</f>
        <v>167</v>
      </c>
      <c r="D169" s="131" t="b">
        <f>IFERROR(__xludf.DUMMYFUNCTION("""COMPUTED_VALUE"""),FALSE)</f>
        <v>0</v>
      </c>
      <c r="E169" s="107" t="str">
        <f>IFERROR(__xludf.DUMMYFUNCTION("""COMPUTED_VALUE"""),"BARONGGO")</f>
        <v>BARONGGO</v>
      </c>
      <c r="F169" s="107" t="str">
        <f>IFERROR(__xludf.DUMMYFUNCTION("""COMPUTED_VALUE"""),"FRANK")</f>
        <v>FRANK</v>
      </c>
    </row>
    <row r="170">
      <c r="A170" s="131">
        <f>IFERROR(__xludf.DUMMYFUNCTION("""COMPUTED_VALUE"""),169.0)</f>
        <v>169</v>
      </c>
      <c r="B170" s="131"/>
      <c r="C170" s="131">
        <f>IFERROR(__xludf.DUMMYFUNCTION("""COMPUTED_VALUE"""),167.0)</f>
        <v>167</v>
      </c>
      <c r="D170" s="131" t="b">
        <f>IFERROR(__xludf.DUMMYFUNCTION("""COMPUTED_VALUE"""),FALSE)</f>
        <v>0</v>
      </c>
      <c r="E170" s="107" t="str">
        <f>IFERROR(__xludf.DUMMYFUNCTION("""COMPUTED_VALUE"""),"ABENOJAR")</f>
        <v>ABENOJAR</v>
      </c>
      <c r="F170" s="107" t="str">
        <f>IFERROR(__xludf.DUMMYFUNCTION("""COMPUTED_VALUE"""),"CLIFFORD")</f>
        <v>CLIFFORD</v>
      </c>
    </row>
    <row r="171">
      <c r="A171" s="131">
        <f>IFERROR(__xludf.DUMMYFUNCTION("""COMPUTED_VALUE"""),170.0)</f>
        <v>170</v>
      </c>
      <c r="B171" s="131"/>
      <c r="C171" s="131">
        <f>IFERROR(__xludf.DUMMYFUNCTION("""COMPUTED_VALUE"""),167.0)</f>
        <v>167</v>
      </c>
      <c r="D171" s="131" t="b">
        <f>IFERROR(__xludf.DUMMYFUNCTION("""COMPUTED_VALUE"""),FALSE)</f>
        <v>0</v>
      </c>
      <c r="E171" s="107" t="str">
        <f>IFERROR(__xludf.DUMMYFUNCTION("""COMPUTED_VALUE"""),"ABUS")</f>
        <v>ABUS</v>
      </c>
      <c r="F171" s="107" t="str">
        <f>IFERROR(__xludf.DUMMYFUNCTION("""COMPUTED_VALUE"""),"RV PETER")</f>
        <v>RV PETER</v>
      </c>
    </row>
    <row r="172">
      <c r="A172" s="131">
        <f>IFERROR(__xludf.DUMMYFUNCTION("""COMPUTED_VALUE"""),171.0)</f>
        <v>171</v>
      </c>
      <c r="B172" s="131"/>
      <c r="C172" s="131">
        <f>IFERROR(__xludf.DUMMYFUNCTION("""COMPUTED_VALUE"""),167.0)</f>
        <v>167</v>
      </c>
      <c r="D172" s="131" t="b">
        <f>IFERROR(__xludf.DUMMYFUNCTION("""COMPUTED_VALUE"""),FALSE)</f>
        <v>0</v>
      </c>
      <c r="E172" s="107" t="str">
        <f>IFERROR(__xludf.DUMMYFUNCTION("""COMPUTED_VALUE"""),"ANTONIO")</f>
        <v>ANTONIO</v>
      </c>
      <c r="F172" s="107" t="str">
        <f>IFERROR(__xludf.DUMMYFUNCTION("""COMPUTED_VALUE"""),"DON")</f>
        <v>DON</v>
      </c>
    </row>
    <row r="173">
      <c r="A173" s="131">
        <f>IFERROR(__xludf.DUMMYFUNCTION("""COMPUTED_VALUE"""),172.0)</f>
        <v>172</v>
      </c>
      <c r="B173" s="131"/>
      <c r="C173" s="131">
        <f>IFERROR(__xludf.DUMMYFUNCTION("""COMPUTED_VALUE"""),167.0)</f>
        <v>167</v>
      </c>
      <c r="D173" s="131" t="b">
        <f>IFERROR(__xludf.DUMMYFUNCTION("""COMPUTED_VALUE"""),FALSE)</f>
        <v>0</v>
      </c>
      <c r="E173" s="107" t="str">
        <f>IFERROR(__xludf.DUMMYFUNCTION("""COMPUTED_VALUE"""),"BERDIN")</f>
        <v>BERDIN</v>
      </c>
      <c r="F173" s="107" t="str">
        <f>IFERROR(__xludf.DUMMYFUNCTION("""COMPUTED_VALUE"""),"KURT")</f>
        <v>KURT</v>
      </c>
    </row>
    <row r="174">
      <c r="A174" s="131">
        <f>IFERROR(__xludf.DUMMYFUNCTION("""COMPUTED_VALUE"""),173.0)</f>
        <v>173</v>
      </c>
      <c r="B174" s="131"/>
      <c r="C174" s="131">
        <f>IFERROR(__xludf.DUMMYFUNCTION("""COMPUTED_VALUE"""),167.0)</f>
        <v>167</v>
      </c>
      <c r="D174" s="131" t="b">
        <f>IFERROR(__xludf.DUMMYFUNCTION("""COMPUTED_VALUE"""),FALSE)</f>
        <v>0</v>
      </c>
      <c r="E174" s="107" t="str">
        <f>IFERROR(__xludf.DUMMYFUNCTION("""COMPUTED_VALUE"""),"CALUBIRAN")</f>
        <v>CALUBIRAN</v>
      </c>
      <c r="F174" s="107" t="str">
        <f>IFERROR(__xludf.DUMMYFUNCTION("""COMPUTED_VALUE"""),"JOEL")</f>
        <v>JOEL</v>
      </c>
    </row>
    <row r="175">
      <c r="A175" s="131">
        <f>IFERROR(__xludf.DUMMYFUNCTION("""COMPUTED_VALUE"""),174.0)</f>
        <v>174</v>
      </c>
      <c r="B175" s="131"/>
      <c r="C175" s="131">
        <f>IFERROR(__xludf.DUMMYFUNCTION("""COMPUTED_VALUE"""),167.0)</f>
        <v>167</v>
      </c>
      <c r="D175" s="131" t="b">
        <f>IFERROR(__xludf.DUMMYFUNCTION("""COMPUTED_VALUE"""),FALSE)</f>
        <v>0</v>
      </c>
      <c r="E175" s="107" t="str">
        <f>IFERROR(__xludf.DUMMYFUNCTION("""COMPUTED_VALUE"""),"CARANGAN")</f>
        <v>CARANGAN</v>
      </c>
      <c r="F175" s="107" t="str">
        <f>IFERROR(__xludf.DUMMYFUNCTION("""COMPUTED_VALUE"""),"LANCE")</f>
        <v>LANCE</v>
      </c>
    </row>
    <row r="176">
      <c r="A176" s="131">
        <f>IFERROR(__xludf.DUMMYFUNCTION("""COMPUTED_VALUE"""),175.0)</f>
        <v>175</v>
      </c>
      <c r="B176" s="131"/>
      <c r="C176" s="131">
        <f>IFERROR(__xludf.DUMMYFUNCTION("""COMPUTED_VALUE"""),167.0)</f>
        <v>167</v>
      </c>
      <c r="D176" s="131" t="b">
        <f>IFERROR(__xludf.DUMMYFUNCTION("""COMPUTED_VALUE"""),FALSE)</f>
        <v>0</v>
      </c>
      <c r="E176" s="107" t="str">
        <f>IFERROR(__xludf.DUMMYFUNCTION("""COMPUTED_VALUE"""),"CASINUSIMAN")</f>
        <v>CASINUSIMAN</v>
      </c>
      <c r="F176" s="107" t="str">
        <f>IFERROR(__xludf.DUMMYFUNCTION("""COMPUTED_VALUE"""),"RAINER")</f>
        <v>RAINER</v>
      </c>
    </row>
    <row r="177">
      <c r="A177" s="131">
        <f>IFERROR(__xludf.DUMMYFUNCTION("""COMPUTED_VALUE"""),176.0)</f>
        <v>176</v>
      </c>
      <c r="B177" s="131"/>
      <c r="C177" s="131">
        <f>IFERROR(__xludf.DUMMYFUNCTION("""COMPUTED_VALUE"""),167.0)</f>
        <v>167</v>
      </c>
      <c r="D177" s="131" t="b">
        <f>IFERROR(__xludf.DUMMYFUNCTION("""COMPUTED_VALUE"""),FALSE)</f>
        <v>0</v>
      </c>
      <c r="E177" s="107" t="str">
        <f>IFERROR(__xludf.DUMMYFUNCTION("""COMPUTED_VALUE"""),"CORVERA")</f>
        <v>CORVERA</v>
      </c>
      <c r="F177" s="107" t="str">
        <f>IFERROR(__xludf.DUMMYFUNCTION("""COMPUTED_VALUE"""),"FLORENCE")</f>
        <v>FLORENCE</v>
      </c>
    </row>
    <row r="178">
      <c r="A178" s="131">
        <f>IFERROR(__xludf.DUMMYFUNCTION("""COMPUTED_VALUE"""),177.0)</f>
        <v>177</v>
      </c>
      <c r="B178" s="131"/>
      <c r="C178" s="131">
        <f>IFERROR(__xludf.DUMMYFUNCTION("""COMPUTED_VALUE"""),167.0)</f>
        <v>167</v>
      </c>
      <c r="D178" s="131" t="b">
        <f>IFERROR(__xludf.DUMMYFUNCTION("""COMPUTED_VALUE"""),FALSE)</f>
        <v>0</v>
      </c>
      <c r="E178" s="107" t="str">
        <f>IFERROR(__xludf.DUMMYFUNCTION("""COMPUTED_VALUE"""),"DABALOS")</f>
        <v>DABALOS</v>
      </c>
      <c r="F178" s="107" t="str">
        <f>IFERROR(__xludf.DUMMYFUNCTION("""COMPUTED_VALUE"""),"MERVIN")</f>
        <v>MERVIN</v>
      </c>
    </row>
    <row r="179">
      <c r="A179" s="131">
        <f>IFERROR(__xludf.DUMMYFUNCTION("""COMPUTED_VALUE"""),178.0)</f>
        <v>178</v>
      </c>
      <c r="B179" s="131"/>
      <c r="C179" s="131">
        <f>IFERROR(__xludf.DUMMYFUNCTION("""COMPUTED_VALUE"""),167.0)</f>
        <v>167</v>
      </c>
      <c r="D179" s="131" t="b">
        <f>IFERROR(__xludf.DUMMYFUNCTION("""COMPUTED_VALUE"""),FALSE)</f>
        <v>0</v>
      </c>
      <c r="E179" s="107" t="str">
        <f>IFERROR(__xludf.DUMMYFUNCTION("""COMPUTED_VALUE"""),"DATO")</f>
        <v>DATO</v>
      </c>
      <c r="F179" s="107" t="str">
        <f>IFERROR(__xludf.DUMMYFUNCTION("""COMPUTED_VALUE"""),"JOHN AL")</f>
        <v>JOHN AL</v>
      </c>
    </row>
    <row r="180">
      <c r="A180" s="131">
        <f>IFERROR(__xludf.DUMMYFUNCTION("""COMPUTED_VALUE"""),179.0)</f>
        <v>179</v>
      </c>
      <c r="B180" s="131"/>
      <c r="C180" s="131">
        <f>IFERROR(__xludf.DUMMYFUNCTION("""COMPUTED_VALUE"""),167.0)</f>
        <v>167</v>
      </c>
      <c r="D180" s="131" t="b">
        <f>IFERROR(__xludf.DUMMYFUNCTION("""COMPUTED_VALUE"""),FALSE)</f>
        <v>0</v>
      </c>
      <c r="E180" s="107" t="str">
        <f>IFERROR(__xludf.DUMMYFUNCTION("""COMPUTED_VALUE"""),"DELA CRUZ")</f>
        <v>DELA CRUZ</v>
      </c>
      <c r="F180" s="107" t="str">
        <f>IFERROR(__xludf.DUMMYFUNCTION("""COMPUTED_VALUE"""),"DYLAN")</f>
        <v>DYLAN</v>
      </c>
    </row>
    <row r="181">
      <c r="A181" s="131">
        <f>IFERROR(__xludf.DUMMYFUNCTION("""COMPUTED_VALUE"""),180.0)</f>
        <v>180</v>
      </c>
      <c r="B181" s="131"/>
      <c r="C181" s="131">
        <f>IFERROR(__xludf.DUMMYFUNCTION("""COMPUTED_VALUE"""),167.0)</f>
        <v>167</v>
      </c>
      <c r="D181" s="131" t="b">
        <f>IFERROR(__xludf.DUMMYFUNCTION("""COMPUTED_VALUE"""),FALSE)</f>
        <v>0</v>
      </c>
      <c r="E181" s="107" t="str">
        <f>IFERROR(__xludf.DUMMYFUNCTION("""COMPUTED_VALUE"""),"DELA PEÑA")</f>
        <v>DELA PEÑA</v>
      </c>
      <c r="F181" s="107" t="str">
        <f>IFERROR(__xludf.DUMMYFUNCTION("""COMPUTED_VALUE"""),"ACEL")</f>
        <v>ACEL</v>
      </c>
    </row>
    <row r="182">
      <c r="A182" s="131">
        <f>IFERROR(__xludf.DUMMYFUNCTION("""COMPUTED_VALUE"""),181.0)</f>
        <v>181</v>
      </c>
      <c r="B182" s="131"/>
      <c r="C182" s="131">
        <f>IFERROR(__xludf.DUMMYFUNCTION("""COMPUTED_VALUE"""),167.0)</f>
        <v>167</v>
      </c>
      <c r="D182" s="131" t="b">
        <f>IFERROR(__xludf.DUMMYFUNCTION("""COMPUTED_VALUE"""),FALSE)</f>
        <v>0</v>
      </c>
      <c r="E182" s="107" t="str">
        <f>IFERROR(__xludf.DUMMYFUNCTION("""COMPUTED_VALUE"""),"DELECTOR")</f>
        <v>DELECTOR</v>
      </c>
      <c r="F182" s="107" t="str">
        <f>IFERROR(__xludf.DUMMYFUNCTION("""COMPUTED_VALUE"""),"FRANCIS CRISTEL")</f>
        <v>FRANCIS CRISTEL</v>
      </c>
    </row>
    <row r="183">
      <c r="A183" s="131">
        <f>IFERROR(__xludf.DUMMYFUNCTION("""COMPUTED_VALUE"""),182.0)</f>
        <v>182</v>
      </c>
      <c r="B183" s="131"/>
      <c r="C183" s="131">
        <f>IFERROR(__xludf.DUMMYFUNCTION("""COMPUTED_VALUE"""),167.0)</f>
        <v>167</v>
      </c>
      <c r="D183" s="131" t="b">
        <f>IFERROR(__xludf.DUMMYFUNCTION("""COMPUTED_VALUE"""),FALSE)</f>
        <v>0</v>
      </c>
      <c r="E183" s="107" t="str">
        <f>IFERROR(__xludf.DUMMYFUNCTION("""COMPUTED_VALUE"""),"DELECTOR")</f>
        <v>DELECTOR</v>
      </c>
      <c r="F183" s="107" t="str">
        <f>IFERROR(__xludf.DUMMYFUNCTION("""COMPUTED_VALUE"""),"FRANZINE CARLO")</f>
        <v>FRANZINE CARLO</v>
      </c>
    </row>
    <row r="184">
      <c r="A184" s="131">
        <f>IFERROR(__xludf.DUMMYFUNCTION("""COMPUTED_VALUE"""),183.0)</f>
        <v>183</v>
      </c>
      <c r="B184" s="131"/>
      <c r="C184" s="131">
        <f>IFERROR(__xludf.DUMMYFUNCTION("""COMPUTED_VALUE"""),167.0)</f>
        <v>167</v>
      </c>
      <c r="D184" s="131" t="b">
        <f>IFERROR(__xludf.DUMMYFUNCTION("""COMPUTED_VALUE"""),FALSE)</f>
        <v>0</v>
      </c>
      <c r="E184" s="107" t="str">
        <f>IFERROR(__xludf.DUMMYFUNCTION("""COMPUTED_VALUE"""),"FRONDA")</f>
        <v>FRONDA</v>
      </c>
      <c r="F184" s="107" t="str">
        <f>IFERROR(__xludf.DUMMYFUNCTION("""COMPUTED_VALUE"""),"ED")</f>
        <v>ED</v>
      </c>
    </row>
    <row r="185">
      <c r="A185" s="131">
        <f>IFERROR(__xludf.DUMMYFUNCTION("""COMPUTED_VALUE"""),184.0)</f>
        <v>184</v>
      </c>
      <c r="B185" s="131"/>
      <c r="C185" s="131">
        <f>IFERROR(__xludf.DUMMYFUNCTION("""COMPUTED_VALUE"""),167.0)</f>
        <v>167</v>
      </c>
      <c r="D185" s="131" t="b">
        <f>IFERROR(__xludf.DUMMYFUNCTION("""COMPUTED_VALUE"""),FALSE)</f>
        <v>0</v>
      </c>
      <c r="E185" s="107" t="str">
        <f>IFERROR(__xludf.DUMMYFUNCTION("""COMPUTED_VALUE"""),"GELICAME")</f>
        <v>GELICAME</v>
      </c>
      <c r="F185" s="107" t="str">
        <f>IFERROR(__xludf.DUMMYFUNCTION("""COMPUTED_VALUE"""),"ALJHUN")</f>
        <v>ALJHUN</v>
      </c>
    </row>
    <row r="186">
      <c r="A186" s="131">
        <f>IFERROR(__xludf.DUMMYFUNCTION("""COMPUTED_VALUE"""),185.0)</f>
        <v>185</v>
      </c>
      <c r="B186" s="131"/>
      <c r="C186" s="131">
        <f>IFERROR(__xludf.DUMMYFUNCTION("""COMPUTED_VALUE"""),167.0)</f>
        <v>167</v>
      </c>
      <c r="D186" s="131" t="b">
        <f>IFERROR(__xludf.DUMMYFUNCTION("""COMPUTED_VALUE"""),FALSE)</f>
        <v>0</v>
      </c>
      <c r="E186" s="107" t="str">
        <f>IFERROR(__xludf.DUMMYFUNCTION("""COMPUTED_VALUE"""),"LABAYNE")</f>
        <v>LABAYNE</v>
      </c>
      <c r="F186" s="107" t="str">
        <f>IFERROR(__xludf.DUMMYFUNCTION("""COMPUTED_VALUE"""),"JOSHUA")</f>
        <v>JOSHUA</v>
      </c>
    </row>
    <row r="187">
      <c r="A187" s="131">
        <f>IFERROR(__xludf.DUMMYFUNCTION("""COMPUTED_VALUE"""),186.0)</f>
        <v>186</v>
      </c>
      <c r="B187" s="131"/>
      <c r="C187" s="131">
        <f>IFERROR(__xludf.DUMMYFUNCTION("""COMPUTED_VALUE"""),167.0)</f>
        <v>167</v>
      </c>
      <c r="D187" s="131" t="b">
        <f>IFERROR(__xludf.DUMMYFUNCTION("""COMPUTED_VALUE"""),FALSE)</f>
        <v>0</v>
      </c>
      <c r="E187" s="107" t="str">
        <f>IFERROR(__xludf.DUMMYFUNCTION("""COMPUTED_VALUE"""),"LABAYNE")</f>
        <v>LABAYNE</v>
      </c>
      <c r="F187" s="107" t="str">
        <f>IFERROR(__xludf.DUMMYFUNCTION("""COMPUTED_VALUE"""),"MARK")</f>
        <v>MARK</v>
      </c>
    </row>
    <row r="188">
      <c r="A188" s="131">
        <f>IFERROR(__xludf.DUMMYFUNCTION("""COMPUTED_VALUE"""),187.0)</f>
        <v>187</v>
      </c>
      <c r="B188" s="131"/>
      <c r="C188" s="131">
        <f>IFERROR(__xludf.DUMMYFUNCTION("""COMPUTED_VALUE"""),167.0)</f>
        <v>167</v>
      </c>
      <c r="D188" s="131" t="b">
        <f>IFERROR(__xludf.DUMMYFUNCTION("""COMPUTED_VALUE"""),FALSE)</f>
        <v>0</v>
      </c>
      <c r="E188" s="107" t="str">
        <f>IFERROR(__xludf.DUMMYFUNCTION("""COMPUTED_VALUE"""),"LABAYNE")</f>
        <v>LABAYNE</v>
      </c>
      <c r="F188" s="107" t="str">
        <f>IFERROR(__xludf.DUMMYFUNCTION("""COMPUTED_VALUE"""),"JAMES")</f>
        <v>JAMES</v>
      </c>
    </row>
    <row r="189">
      <c r="A189" s="131">
        <f>IFERROR(__xludf.DUMMYFUNCTION("""COMPUTED_VALUE"""),188.0)</f>
        <v>188</v>
      </c>
      <c r="B189" s="131"/>
      <c r="C189" s="131">
        <f>IFERROR(__xludf.DUMMYFUNCTION("""COMPUTED_VALUE"""),167.0)</f>
        <v>167</v>
      </c>
      <c r="D189" s="131" t="b">
        <f>IFERROR(__xludf.DUMMYFUNCTION("""COMPUTED_VALUE"""),FALSE)</f>
        <v>0</v>
      </c>
      <c r="E189" s="107" t="str">
        <f>IFERROR(__xludf.DUMMYFUNCTION("""COMPUTED_VALUE"""),"LLORENTE")</f>
        <v>LLORENTE</v>
      </c>
      <c r="F189" s="107" t="str">
        <f>IFERROR(__xludf.DUMMYFUNCTION("""COMPUTED_VALUE"""),"MILLS")</f>
        <v>MILLS</v>
      </c>
    </row>
    <row r="190">
      <c r="A190" s="131">
        <f>IFERROR(__xludf.DUMMYFUNCTION("""COMPUTED_VALUE"""),189.0)</f>
        <v>189</v>
      </c>
      <c r="B190" s="131"/>
      <c r="C190" s="131">
        <f>IFERROR(__xludf.DUMMYFUNCTION("""COMPUTED_VALUE"""),167.0)</f>
        <v>167</v>
      </c>
      <c r="D190" s="131" t="b">
        <f>IFERROR(__xludf.DUMMYFUNCTION("""COMPUTED_VALUE"""),FALSE)</f>
        <v>0</v>
      </c>
      <c r="E190" s="107" t="str">
        <f>IFERROR(__xludf.DUMMYFUNCTION("""COMPUTED_VALUE"""),"MANUEL")</f>
        <v>MANUEL</v>
      </c>
      <c r="F190" s="107" t="str">
        <f>IFERROR(__xludf.DUMMYFUNCTION("""COMPUTED_VALUE"""),"JOHN MARK")</f>
        <v>JOHN MARK</v>
      </c>
    </row>
    <row r="191">
      <c r="A191" s="131">
        <f>IFERROR(__xludf.DUMMYFUNCTION("""COMPUTED_VALUE"""),190.0)</f>
        <v>190</v>
      </c>
      <c r="B191" s="131"/>
      <c r="C191" s="131">
        <f>IFERROR(__xludf.DUMMYFUNCTION("""COMPUTED_VALUE"""),167.0)</f>
        <v>167</v>
      </c>
      <c r="D191" s="131" t="b">
        <f>IFERROR(__xludf.DUMMYFUNCTION("""COMPUTED_VALUE"""),FALSE)</f>
        <v>0</v>
      </c>
      <c r="E191" s="107" t="str">
        <f>IFERROR(__xludf.DUMMYFUNCTION("""COMPUTED_VALUE"""),"MENDOZA")</f>
        <v>MENDOZA</v>
      </c>
      <c r="F191" s="107" t="str">
        <f>IFERROR(__xludf.DUMMYFUNCTION("""COMPUTED_VALUE"""),"JM")</f>
        <v>JM</v>
      </c>
    </row>
    <row r="192">
      <c r="A192" s="131">
        <f>IFERROR(__xludf.DUMMYFUNCTION("""COMPUTED_VALUE"""),191.0)</f>
        <v>191</v>
      </c>
      <c r="B192" s="131"/>
      <c r="C192" s="131">
        <f>IFERROR(__xludf.DUMMYFUNCTION("""COMPUTED_VALUE"""),167.0)</f>
        <v>167</v>
      </c>
      <c r="D192" s="131" t="b">
        <f>IFERROR(__xludf.DUMMYFUNCTION("""COMPUTED_VALUE"""),FALSE)</f>
        <v>0</v>
      </c>
      <c r="E192" s="107" t="str">
        <f>IFERROR(__xludf.DUMMYFUNCTION("""COMPUTED_VALUE"""),"MOLINA")</f>
        <v>MOLINA</v>
      </c>
      <c r="F192" s="107" t="str">
        <f>IFERROR(__xludf.DUMMYFUNCTION("""COMPUTED_VALUE"""),"ADRIAN")</f>
        <v>ADRIAN</v>
      </c>
    </row>
    <row r="193">
      <c r="A193" s="131">
        <f>IFERROR(__xludf.DUMMYFUNCTION("""COMPUTED_VALUE"""),192.0)</f>
        <v>192</v>
      </c>
      <c r="B193" s="131"/>
      <c r="C193" s="131">
        <f>IFERROR(__xludf.DUMMYFUNCTION("""COMPUTED_VALUE"""),167.0)</f>
        <v>167</v>
      </c>
      <c r="D193" s="131" t="b">
        <f>IFERROR(__xludf.DUMMYFUNCTION("""COMPUTED_VALUE"""),FALSE)</f>
        <v>0</v>
      </c>
      <c r="E193" s="107" t="str">
        <f>IFERROR(__xludf.DUMMYFUNCTION("""COMPUTED_VALUE"""),"MONTECER")</f>
        <v>MONTECER</v>
      </c>
      <c r="F193" s="107" t="str">
        <f>IFERROR(__xludf.DUMMYFUNCTION("""COMPUTED_VALUE"""),"RYAN")</f>
        <v>RYAN</v>
      </c>
    </row>
    <row r="194">
      <c r="A194" s="131">
        <f>IFERROR(__xludf.DUMMYFUNCTION("""COMPUTED_VALUE"""),193.0)</f>
        <v>193</v>
      </c>
      <c r="B194" s="131"/>
      <c r="C194" s="131">
        <f>IFERROR(__xludf.DUMMYFUNCTION("""COMPUTED_VALUE"""),167.0)</f>
        <v>167</v>
      </c>
      <c r="D194" s="131" t="b">
        <f>IFERROR(__xludf.DUMMYFUNCTION("""COMPUTED_VALUE"""),FALSE)</f>
        <v>0</v>
      </c>
      <c r="E194" s="107" t="str">
        <f>IFERROR(__xludf.DUMMYFUNCTION("""COMPUTED_VALUE"""),"MOSQUITO")</f>
        <v>MOSQUITO</v>
      </c>
      <c r="F194" s="107" t="str">
        <f>IFERROR(__xludf.DUMMYFUNCTION("""COMPUTED_VALUE"""),"JOHN MARK")</f>
        <v>JOHN MARK</v>
      </c>
    </row>
    <row r="195">
      <c r="A195" s="131">
        <f>IFERROR(__xludf.DUMMYFUNCTION("""COMPUTED_VALUE"""),194.0)</f>
        <v>194</v>
      </c>
      <c r="B195" s="131"/>
      <c r="C195" s="131">
        <f>IFERROR(__xludf.DUMMYFUNCTION("""COMPUTED_VALUE"""),167.0)</f>
        <v>167</v>
      </c>
      <c r="D195" s="131" t="b">
        <f>IFERROR(__xludf.DUMMYFUNCTION("""COMPUTED_VALUE"""),FALSE)</f>
        <v>0</v>
      </c>
      <c r="E195" s="107" t="str">
        <f>IFERROR(__xludf.DUMMYFUNCTION("""COMPUTED_VALUE"""),"PASCUAL")</f>
        <v>PASCUAL</v>
      </c>
      <c r="F195" s="107" t="str">
        <f>IFERROR(__xludf.DUMMYFUNCTION("""COMPUTED_VALUE"""),"KIOSKE")</f>
        <v>KIOSKE</v>
      </c>
    </row>
    <row r="196">
      <c r="A196" s="131">
        <f>IFERROR(__xludf.DUMMYFUNCTION("""COMPUTED_VALUE"""),195.0)</f>
        <v>195</v>
      </c>
      <c r="B196" s="131"/>
      <c r="C196" s="131">
        <f>IFERROR(__xludf.DUMMYFUNCTION("""COMPUTED_VALUE"""),167.0)</f>
        <v>167</v>
      </c>
      <c r="D196" s="131" t="b">
        <f>IFERROR(__xludf.DUMMYFUNCTION("""COMPUTED_VALUE"""),FALSE)</f>
        <v>0</v>
      </c>
      <c r="E196" s="107" t="str">
        <f>IFERROR(__xludf.DUMMYFUNCTION("""COMPUTED_VALUE"""),"PERALTA")</f>
        <v>PERALTA</v>
      </c>
      <c r="F196" s="107" t="str">
        <f>IFERROR(__xludf.DUMMYFUNCTION("""COMPUTED_VALUE"""),"MARION")</f>
        <v>MARION</v>
      </c>
    </row>
    <row r="197">
      <c r="A197" s="131">
        <f>IFERROR(__xludf.DUMMYFUNCTION("""COMPUTED_VALUE"""),196.0)</f>
        <v>196</v>
      </c>
      <c r="B197" s="131"/>
      <c r="C197" s="131">
        <f>IFERROR(__xludf.DUMMYFUNCTION("""COMPUTED_VALUE"""),167.0)</f>
        <v>167</v>
      </c>
      <c r="D197" s="131" t="b">
        <f>IFERROR(__xludf.DUMMYFUNCTION("""COMPUTED_VALUE"""),FALSE)</f>
        <v>0</v>
      </c>
      <c r="E197" s="107" t="str">
        <f>IFERROR(__xludf.DUMMYFUNCTION("""COMPUTED_VALUE"""),"RANOLA")</f>
        <v>RANOLA</v>
      </c>
      <c r="F197" s="107" t="str">
        <f>IFERROR(__xludf.DUMMYFUNCTION("""COMPUTED_VALUE"""),"JOHN GABRIELLE P.")</f>
        <v>JOHN GABRIELLE P.</v>
      </c>
    </row>
    <row r="198">
      <c r="A198" s="131">
        <f>IFERROR(__xludf.DUMMYFUNCTION("""COMPUTED_VALUE"""),197.0)</f>
        <v>197</v>
      </c>
      <c r="B198" s="131"/>
      <c r="C198" s="131">
        <f>IFERROR(__xludf.DUMMYFUNCTION("""COMPUTED_VALUE"""),167.0)</f>
        <v>167</v>
      </c>
      <c r="D198" s="131" t="b">
        <f>IFERROR(__xludf.DUMMYFUNCTION("""COMPUTED_VALUE"""),FALSE)</f>
        <v>0</v>
      </c>
      <c r="E198" s="107" t="str">
        <f>IFERROR(__xludf.DUMMYFUNCTION("""COMPUTED_VALUE"""),"REMOPALOS")</f>
        <v>REMOPALOS</v>
      </c>
      <c r="F198" s="107" t="str">
        <f>IFERROR(__xludf.DUMMYFUNCTION("""COMPUTED_VALUE"""),"ZION")</f>
        <v>ZION</v>
      </c>
    </row>
    <row r="199">
      <c r="A199" s="131">
        <f>IFERROR(__xludf.DUMMYFUNCTION("""COMPUTED_VALUE"""),198.0)</f>
        <v>198</v>
      </c>
      <c r="B199" s="131"/>
      <c r="C199" s="131">
        <f>IFERROR(__xludf.DUMMYFUNCTION("""COMPUTED_VALUE"""),167.0)</f>
        <v>167</v>
      </c>
      <c r="D199" s="131" t="b">
        <f>IFERROR(__xludf.DUMMYFUNCTION("""COMPUTED_VALUE"""),FALSE)</f>
        <v>0</v>
      </c>
      <c r="E199" s="107" t="str">
        <f>IFERROR(__xludf.DUMMYFUNCTION("""COMPUTED_VALUE"""),"ROSAL")</f>
        <v>ROSAL</v>
      </c>
      <c r="F199" s="107" t="str">
        <f>IFERROR(__xludf.DUMMYFUNCTION("""COMPUTED_VALUE"""),"CYRUS JOSEPH")</f>
        <v>CYRUS JOSEPH</v>
      </c>
    </row>
    <row r="200">
      <c r="A200" s="131">
        <f>IFERROR(__xludf.DUMMYFUNCTION("""COMPUTED_VALUE"""),199.0)</f>
        <v>199</v>
      </c>
      <c r="B200" s="131"/>
      <c r="C200" s="131">
        <f>IFERROR(__xludf.DUMMYFUNCTION("""COMPUTED_VALUE"""),167.0)</f>
        <v>167</v>
      </c>
      <c r="D200" s="131" t="b">
        <f>IFERROR(__xludf.DUMMYFUNCTION("""COMPUTED_VALUE"""),FALSE)</f>
        <v>0</v>
      </c>
      <c r="E200" s="107" t="str">
        <f>IFERROR(__xludf.DUMMYFUNCTION("""COMPUTED_VALUE"""),"SAMONTANES")</f>
        <v>SAMONTANES</v>
      </c>
      <c r="F200" s="107" t="str">
        <f>IFERROR(__xludf.DUMMYFUNCTION("""COMPUTED_VALUE"""),"DAVID")</f>
        <v>DAVID</v>
      </c>
    </row>
    <row r="201">
      <c r="A201" s="131">
        <f>IFERROR(__xludf.DUMMYFUNCTION("""COMPUTED_VALUE"""),200.0)</f>
        <v>200</v>
      </c>
      <c r="B201" s="131"/>
      <c r="C201" s="131">
        <f>IFERROR(__xludf.DUMMYFUNCTION("""COMPUTED_VALUE"""),167.0)</f>
        <v>167</v>
      </c>
      <c r="D201" s="131" t="b">
        <f>IFERROR(__xludf.DUMMYFUNCTION("""COMPUTED_VALUE"""),FALSE)</f>
        <v>0</v>
      </c>
      <c r="E201" s="107" t="str">
        <f>IFERROR(__xludf.DUMMYFUNCTION("""COMPUTED_VALUE"""),"SISON")</f>
        <v>SISON</v>
      </c>
      <c r="F201" s="107" t="str">
        <f>IFERROR(__xludf.DUMMYFUNCTION("""COMPUTED_VALUE"""),"RAVEN JAZZ")</f>
        <v>RAVEN JAZZ</v>
      </c>
    </row>
    <row r="202">
      <c r="A202" s="131">
        <f>IFERROR(__xludf.DUMMYFUNCTION("""COMPUTED_VALUE"""),201.0)</f>
        <v>201</v>
      </c>
      <c r="B202" s="131"/>
      <c r="C202" s="131">
        <f>IFERROR(__xludf.DUMMYFUNCTION("""COMPUTED_VALUE"""),167.0)</f>
        <v>167</v>
      </c>
      <c r="D202" s="131" t="b">
        <f>IFERROR(__xludf.DUMMYFUNCTION("""COMPUTED_VALUE"""),FALSE)</f>
        <v>0</v>
      </c>
      <c r="E202" s="107" t="str">
        <f>IFERROR(__xludf.DUMMYFUNCTION("""COMPUTED_VALUE"""),"SOMERA")</f>
        <v>SOMERA</v>
      </c>
      <c r="F202" s="107" t="str">
        <f>IFERROR(__xludf.DUMMYFUNCTION("""COMPUTED_VALUE"""),"MICHAEL")</f>
        <v>MICHAEL</v>
      </c>
    </row>
    <row r="203">
      <c r="A203" s="131">
        <f>IFERROR(__xludf.DUMMYFUNCTION("""COMPUTED_VALUE"""),202.0)</f>
        <v>202</v>
      </c>
      <c r="B203" s="131"/>
      <c r="C203" s="131">
        <f>IFERROR(__xludf.DUMMYFUNCTION("""COMPUTED_VALUE"""),167.0)</f>
        <v>167</v>
      </c>
      <c r="D203" s="131" t="b">
        <f>IFERROR(__xludf.DUMMYFUNCTION("""COMPUTED_VALUE"""),FALSE)</f>
        <v>0</v>
      </c>
      <c r="E203" s="107" t="str">
        <f>IFERROR(__xludf.DUMMYFUNCTION("""COMPUTED_VALUE"""),"TAMIDLES")</f>
        <v>TAMIDLES</v>
      </c>
      <c r="F203" s="107" t="str">
        <f>IFERROR(__xludf.DUMMYFUNCTION("""COMPUTED_VALUE"""),"KARL")</f>
        <v>KARL</v>
      </c>
    </row>
    <row r="204">
      <c r="A204" s="131">
        <f>IFERROR(__xludf.DUMMYFUNCTION("""COMPUTED_VALUE"""),203.0)</f>
        <v>203</v>
      </c>
      <c r="B204" s="131"/>
      <c r="C204" s="131">
        <f>IFERROR(__xludf.DUMMYFUNCTION("""COMPUTED_VALUE"""),167.0)</f>
        <v>167</v>
      </c>
      <c r="D204" s="131" t="b">
        <f>IFERROR(__xludf.DUMMYFUNCTION("""COMPUTED_VALUE"""),FALSE)</f>
        <v>0</v>
      </c>
      <c r="E204" s="107" t="str">
        <f>IFERROR(__xludf.DUMMYFUNCTION("""COMPUTED_VALUE"""),"TAN")</f>
        <v>TAN</v>
      </c>
      <c r="F204" s="107" t="str">
        <f>IFERROR(__xludf.DUMMYFUNCTION("""COMPUTED_VALUE"""),"RAMON")</f>
        <v>RAMON</v>
      </c>
    </row>
    <row r="205">
      <c r="A205" s="131">
        <f>IFERROR(__xludf.DUMMYFUNCTION("""COMPUTED_VALUE"""),204.0)</f>
        <v>204</v>
      </c>
      <c r="B205" s="131"/>
      <c r="C205" s="131">
        <f>IFERROR(__xludf.DUMMYFUNCTION("""COMPUTED_VALUE"""),167.0)</f>
        <v>167</v>
      </c>
      <c r="D205" s="131" t="b">
        <f>IFERROR(__xludf.DUMMYFUNCTION("""COMPUTED_VALUE"""),FALSE)</f>
        <v>0</v>
      </c>
      <c r="E205" s="116" t="str">
        <f>IFERROR(__xludf.DUMMYFUNCTION("""COMPUTED_VALUE"""),"TOLEDO")</f>
        <v>TOLEDO</v>
      </c>
      <c r="F205" s="115" t="str">
        <f>IFERROR(__xludf.DUMMYFUNCTION("""COMPUTED_VALUE"""),"ASZHER")</f>
        <v>ASZHER</v>
      </c>
    </row>
    <row r="206">
      <c r="A206" s="131">
        <f>IFERROR(__xludf.DUMMYFUNCTION("""COMPUTED_VALUE"""),205.0)</f>
        <v>205</v>
      </c>
      <c r="B206" s="131"/>
      <c r="C206" s="131">
        <f>IFERROR(__xludf.DUMMYFUNCTION("""COMPUTED_VALUE"""),167.0)</f>
        <v>167</v>
      </c>
      <c r="D206" s="131" t="b">
        <f>IFERROR(__xludf.DUMMYFUNCTION("""COMPUTED_VALUE"""),FALSE)</f>
        <v>0</v>
      </c>
      <c r="E206" s="115" t="str">
        <f>IFERROR(__xludf.DUMMYFUNCTION("""COMPUTED_VALUE"""),"TAMIDLES")</f>
        <v>TAMIDLES</v>
      </c>
      <c r="F206" s="107" t="str">
        <f>IFERROR(__xludf.DUMMYFUNCTION("""COMPUTED_VALUE"""),"ZHAIRON")</f>
        <v>ZHAIRON</v>
      </c>
    </row>
    <row r="207">
      <c r="A207" s="131">
        <f>IFERROR(__xludf.DUMMYFUNCTION("""COMPUTED_VALUE"""),206.0)</f>
        <v>206</v>
      </c>
      <c r="B207" s="131"/>
      <c r="C207" s="131">
        <f>IFERROR(__xludf.DUMMYFUNCTION("""COMPUTED_VALUE"""),167.0)</f>
        <v>167</v>
      </c>
      <c r="D207" s="131" t="b">
        <f>IFERROR(__xludf.DUMMYFUNCTION("""COMPUTED_VALUE"""),FALSE)</f>
        <v>0</v>
      </c>
      <c r="E207" s="107" t="str">
        <f>IFERROR(__xludf.DUMMYFUNCTION("""COMPUTED_VALUE"""),"VERTUDAZO")</f>
        <v>VERTUDAZO</v>
      </c>
      <c r="F207" s="107" t="str">
        <f>IFERROR(__xludf.DUMMYFUNCTION("""COMPUTED_VALUE"""),"KENNETH")</f>
        <v>KENNETH</v>
      </c>
    </row>
    <row r="208">
      <c r="A208" s="131">
        <f>IFERROR(__xludf.DUMMYFUNCTION("""COMPUTED_VALUE"""),207.0)</f>
        <v>207</v>
      </c>
      <c r="B208" s="131"/>
      <c r="C208" s="131">
        <f>IFERROR(__xludf.DUMMYFUNCTION("""COMPUTED_VALUE"""),167.0)</f>
        <v>167</v>
      </c>
      <c r="D208" s="131" t="b">
        <f>IFERROR(__xludf.DUMMYFUNCTION("""COMPUTED_VALUE"""),FALSE)</f>
        <v>0</v>
      </c>
      <c r="E208" s="107" t="str">
        <f>IFERROR(__xludf.DUMMYFUNCTION("""COMPUTED_VALUE"""),"VILLARUEL")</f>
        <v>VILLARUEL</v>
      </c>
      <c r="F208" s="107" t="str">
        <f>IFERROR(__xludf.DUMMYFUNCTION("""COMPUTED_VALUE"""),"KIAN")</f>
        <v>KIAN</v>
      </c>
    </row>
    <row r="209">
      <c r="A209" s="131">
        <f>IFERROR(__xludf.DUMMYFUNCTION("""COMPUTED_VALUE"""),208.0)</f>
        <v>208</v>
      </c>
      <c r="B209" s="131"/>
      <c r="C209" s="131">
        <f>IFERROR(__xludf.DUMMYFUNCTION("""COMPUTED_VALUE"""),167.0)</f>
        <v>167</v>
      </c>
      <c r="D209" s="131" t="b">
        <f>IFERROR(__xludf.DUMMYFUNCTION("""COMPUTED_VALUE"""),FALSE)</f>
        <v>0</v>
      </c>
      <c r="E209" s="107" t="str">
        <f>IFERROR(__xludf.DUMMYFUNCTION("""COMPUTED_VALUE"""),"VILLARUEL")</f>
        <v>VILLARUEL</v>
      </c>
      <c r="F209" s="107" t="str">
        <f>IFERROR(__xludf.DUMMYFUNCTION("""COMPUTED_VALUE"""),"KYLE")</f>
        <v>KYLE</v>
      </c>
    </row>
    <row r="210">
      <c r="A210" s="131">
        <f>IFERROR(__xludf.DUMMYFUNCTION("""COMPUTED_VALUE"""),209.0)</f>
        <v>209</v>
      </c>
      <c r="B210" s="131"/>
      <c r="C210" s="131">
        <f>IFERROR(__xludf.DUMMYFUNCTION("""COMPUTED_VALUE"""),167.0)</f>
        <v>167</v>
      </c>
      <c r="D210" s="131" t="b">
        <f>IFERROR(__xludf.DUMMYFUNCTION("""COMPUTED_VALUE"""),FALSE)</f>
        <v>0</v>
      </c>
      <c r="E210" s="117" t="str">
        <f>IFERROR(__xludf.DUMMYFUNCTION("""COMPUTED_VALUE"""),"PADLAN")</f>
        <v>PADLAN</v>
      </c>
      <c r="F210" s="107" t="str">
        <f>IFERROR(__xludf.DUMMYFUNCTION("""COMPUTED_VALUE"""),"STEPHEN")</f>
        <v>STEPHEN</v>
      </c>
    </row>
    <row r="211">
      <c r="A211" s="131">
        <f>IFERROR(__xludf.DUMMYFUNCTION("""COMPUTED_VALUE"""),210.0)</f>
        <v>210</v>
      </c>
      <c r="B211" s="131"/>
      <c r="C211" s="131">
        <f>IFERROR(__xludf.DUMMYFUNCTION("""COMPUTED_VALUE"""),167.0)</f>
        <v>167</v>
      </c>
      <c r="D211" s="131" t="b">
        <f>IFERROR(__xludf.DUMMYFUNCTION("""COMPUTED_VALUE"""),FALSE)</f>
        <v>0</v>
      </c>
      <c r="E211" s="118"/>
      <c r="F211" s="107" t="str">
        <f>IFERROR(__xludf.DUMMYFUNCTION("""COMPUTED_VALUE"""),"SIMON")</f>
        <v>SIMON</v>
      </c>
    </row>
    <row r="212">
      <c r="A212" s="131">
        <f>IFERROR(__xludf.DUMMYFUNCTION("""COMPUTED_VALUE"""),211.0)</f>
        <v>211</v>
      </c>
      <c r="B212" s="131"/>
      <c r="C212" s="131">
        <f>IFERROR(__xludf.DUMMYFUNCTION("""COMPUTED_VALUE"""),167.0)</f>
        <v>167</v>
      </c>
      <c r="D212" s="131" t="b">
        <f>IFERROR(__xludf.DUMMYFUNCTION("""COMPUTED_VALUE"""),FALSE)</f>
        <v>0</v>
      </c>
      <c r="E212" s="118"/>
      <c r="F212" s="107" t="str">
        <f>IFERROR(__xludf.DUMMYFUNCTION("""COMPUTED_VALUE"""),"NICO")</f>
        <v>NICO</v>
      </c>
    </row>
    <row r="213">
      <c r="A213" s="131">
        <f>IFERROR(__xludf.DUMMYFUNCTION("""COMPUTED_VALUE"""),212.0)</f>
        <v>212</v>
      </c>
      <c r="B213" s="131"/>
      <c r="C213" s="131">
        <f>IFERROR(__xludf.DUMMYFUNCTION("""COMPUTED_VALUE"""),167.0)</f>
        <v>167</v>
      </c>
      <c r="D213" s="131" t="b">
        <f>IFERROR(__xludf.DUMMYFUNCTION("""COMPUTED_VALUE"""),FALSE)</f>
        <v>0</v>
      </c>
      <c r="E213" s="118"/>
      <c r="F213" s="107" t="str">
        <f>IFERROR(__xludf.DUMMYFUNCTION("""COMPUTED_VALUE"""),"JERVISH")</f>
        <v>JERVISH</v>
      </c>
    </row>
    <row r="214">
      <c r="A214" s="131">
        <f>IFERROR(__xludf.DUMMYFUNCTION("""COMPUTED_VALUE"""),213.0)</f>
        <v>213</v>
      </c>
      <c r="B214" s="131"/>
      <c r="C214" s="131">
        <f>IFERROR(__xludf.DUMMYFUNCTION("""COMPUTED_VALUE"""),23.0)</f>
        <v>23</v>
      </c>
      <c r="D214" s="131" t="b">
        <f>IFERROR(__xludf.DUMMYFUNCTION("""COMPUTED_VALUE"""),TRUE)</f>
        <v>1</v>
      </c>
      <c r="E214" s="119" t="str">
        <f>IFERROR(__xludf.DUMMYFUNCTION("""COMPUTED_VALUE"""),"UDAUNDO")</f>
        <v>UDAUNDO</v>
      </c>
      <c r="F214" s="119" t="str">
        <f>IFERROR(__xludf.DUMMYFUNCTION("""COMPUTED_VALUE"""),"RINOA MAE")</f>
        <v>RINOA MAE</v>
      </c>
    </row>
    <row r="215">
      <c r="A215" s="131">
        <f>IFERROR(__xludf.DUMMYFUNCTION("""COMPUTED_VALUE"""),214.0)</f>
        <v>214</v>
      </c>
      <c r="B215" s="131"/>
      <c r="C215" s="131">
        <f>IFERROR(__xludf.DUMMYFUNCTION("""COMPUTED_VALUE"""),23.0)</f>
        <v>23</v>
      </c>
      <c r="D215" s="131" t="b">
        <f>IFERROR(__xludf.DUMMYFUNCTION("""COMPUTED_VALUE"""),FALSE)</f>
        <v>0</v>
      </c>
      <c r="E215" s="107" t="str">
        <f>IFERROR(__xludf.DUMMYFUNCTION("""COMPUTED_VALUE"""),"CASERO")</f>
        <v>CASERO</v>
      </c>
      <c r="F215" s="107" t="str">
        <f>IFERROR(__xludf.DUMMYFUNCTION("""COMPUTED_VALUE"""),"AALIYAH")</f>
        <v>AALIYAH</v>
      </c>
    </row>
    <row r="216">
      <c r="A216" s="131">
        <f>IFERROR(__xludf.DUMMYFUNCTION("""COMPUTED_VALUE"""),215.0)</f>
        <v>215</v>
      </c>
      <c r="B216" s="131"/>
      <c r="C216" s="131">
        <f>IFERROR(__xludf.DUMMYFUNCTION("""COMPUTED_VALUE"""),23.0)</f>
        <v>23</v>
      </c>
      <c r="D216" s="131" t="b">
        <f>IFERROR(__xludf.DUMMYFUNCTION("""COMPUTED_VALUE"""),FALSE)</f>
        <v>0</v>
      </c>
      <c r="E216" s="107" t="str">
        <f>IFERROR(__xludf.DUMMYFUNCTION("""COMPUTED_VALUE"""),"CELASES")</f>
        <v>CELASES</v>
      </c>
      <c r="F216" s="107" t="str">
        <f>IFERROR(__xludf.DUMMYFUNCTION("""COMPUTED_VALUE"""),"SOFIA")</f>
        <v>SOFIA</v>
      </c>
    </row>
    <row r="217">
      <c r="A217" s="131">
        <f>IFERROR(__xludf.DUMMYFUNCTION("""COMPUTED_VALUE"""),216.0)</f>
        <v>216</v>
      </c>
      <c r="B217" s="131"/>
      <c r="C217" s="131">
        <f>IFERROR(__xludf.DUMMYFUNCTION("""COMPUTED_VALUE"""),23.0)</f>
        <v>23</v>
      </c>
      <c r="D217" s="131" t="b">
        <f>IFERROR(__xludf.DUMMYFUNCTION("""COMPUTED_VALUE"""),FALSE)</f>
        <v>0</v>
      </c>
      <c r="E217" s="107" t="str">
        <f>IFERROR(__xludf.DUMMYFUNCTION("""COMPUTED_VALUE"""),"LACONSAY")</f>
        <v>LACONSAY</v>
      </c>
      <c r="F217" s="107" t="str">
        <f>IFERROR(__xludf.DUMMYFUNCTION("""COMPUTED_VALUE"""),"MAIYA")</f>
        <v>MAIYA</v>
      </c>
    </row>
    <row r="218">
      <c r="A218" s="131">
        <f>IFERROR(__xludf.DUMMYFUNCTION("""COMPUTED_VALUE"""),217.0)</f>
        <v>217</v>
      </c>
      <c r="B218" s="131"/>
      <c r="C218" s="131">
        <f>IFERROR(__xludf.DUMMYFUNCTION("""COMPUTED_VALUE"""),23.0)</f>
        <v>23</v>
      </c>
      <c r="D218" s="131" t="b">
        <f>IFERROR(__xludf.DUMMYFUNCTION("""COMPUTED_VALUE"""),FALSE)</f>
        <v>0</v>
      </c>
      <c r="E218" s="107" t="str">
        <f>IFERROR(__xludf.DUMMYFUNCTION("""COMPUTED_VALUE"""),"MADLANGAWA")</f>
        <v>MADLANGAWA</v>
      </c>
      <c r="F218" s="107" t="str">
        <f>IFERROR(__xludf.DUMMYFUNCTION("""COMPUTED_VALUE"""),"INGRID")</f>
        <v>INGRID</v>
      </c>
    </row>
    <row r="219">
      <c r="A219" s="131">
        <f>IFERROR(__xludf.DUMMYFUNCTION("""COMPUTED_VALUE"""),218.0)</f>
        <v>218</v>
      </c>
      <c r="B219" s="131"/>
      <c r="C219" s="131">
        <f>IFERROR(__xludf.DUMMYFUNCTION("""COMPUTED_VALUE"""),23.0)</f>
        <v>23</v>
      </c>
      <c r="D219" s="131" t="b">
        <f>IFERROR(__xludf.DUMMYFUNCTION("""COMPUTED_VALUE"""),FALSE)</f>
        <v>0</v>
      </c>
      <c r="E219" s="107" t="str">
        <f>IFERROR(__xludf.DUMMYFUNCTION("""COMPUTED_VALUE"""),"MALAGOTNOT")</f>
        <v>MALAGOTNOT</v>
      </c>
      <c r="F219" s="107" t="str">
        <f>IFERROR(__xludf.DUMMYFUNCTION("""COMPUTED_VALUE"""),"PHOEBE")</f>
        <v>PHOEBE</v>
      </c>
    </row>
    <row r="220">
      <c r="A220" s="131">
        <f>IFERROR(__xludf.DUMMYFUNCTION("""COMPUTED_VALUE"""),219.0)</f>
        <v>219</v>
      </c>
      <c r="B220" s="131"/>
      <c r="C220" s="131">
        <f>IFERROR(__xludf.DUMMYFUNCTION("""COMPUTED_VALUE"""),23.0)</f>
        <v>23</v>
      </c>
      <c r="D220" s="131" t="b">
        <f>IFERROR(__xludf.DUMMYFUNCTION("""COMPUTED_VALUE"""),FALSE)</f>
        <v>0</v>
      </c>
      <c r="E220" s="107" t="str">
        <f>IFERROR(__xludf.DUMMYFUNCTION("""COMPUTED_VALUE"""),"MALOLOY-ON")</f>
        <v>MALOLOY-ON</v>
      </c>
      <c r="F220" s="107" t="str">
        <f>IFERROR(__xludf.DUMMYFUNCTION("""COMPUTED_VALUE"""),"EUNICE")</f>
        <v>EUNICE</v>
      </c>
    </row>
    <row r="221">
      <c r="A221" s="131">
        <f>IFERROR(__xludf.DUMMYFUNCTION("""COMPUTED_VALUE"""),220.0)</f>
        <v>220</v>
      </c>
      <c r="B221" s="131"/>
      <c r="C221" s="131">
        <f>IFERROR(__xludf.DUMMYFUNCTION("""COMPUTED_VALUE"""),23.0)</f>
        <v>23</v>
      </c>
      <c r="D221" s="131" t="b">
        <f>IFERROR(__xludf.DUMMYFUNCTION("""COMPUTED_VALUE"""),FALSE)</f>
        <v>0</v>
      </c>
      <c r="E221" s="107" t="str">
        <f>IFERROR(__xludf.DUMMYFUNCTION("""COMPUTED_VALUE"""),"OBASAN")</f>
        <v>OBASAN</v>
      </c>
      <c r="F221" s="107" t="str">
        <f>IFERROR(__xludf.DUMMYFUNCTION("""COMPUTED_VALUE"""),"AUDREY")</f>
        <v>AUDREY</v>
      </c>
    </row>
    <row r="222">
      <c r="A222" s="131">
        <f>IFERROR(__xludf.DUMMYFUNCTION("""COMPUTED_VALUE"""),221.0)</f>
        <v>221</v>
      </c>
      <c r="B222" s="131"/>
      <c r="C222" s="131">
        <f>IFERROR(__xludf.DUMMYFUNCTION("""COMPUTED_VALUE"""),23.0)</f>
        <v>23</v>
      </c>
      <c r="D222" s="131" t="b">
        <f>IFERROR(__xludf.DUMMYFUNCTION("""COMPUTED_VALUE"""),FALSE)</f>
        <v>0</v>
      </c>
      <c r="E222" s="107" t="str">
        <f>IFERROR(__xludf.DUMMYFUNCTION("""COMPUTED_VALUE"""),"OBASAN")</f>
        <v>OBASAN</v>
      </c>
      <c r="F222" s="107" t="str">
        <f>IFERROR(__xludf.DUMMYFUNCTION("""COMPUTED_VALUE"""),"ACEZZY")</f>
        <v>ACEZZY</v>
      </c>
    </row>
    <row r="223">
      <c r="A223" s="131">
        <f>IFERROR(__xludf.DUMMYFUNCTION("""COMPUTED_VALUE"""),222.0)</f>
        <v>222</v>
      </c>
      <c r="B223" s="131"/>
      <c r="C223" s="131">
        <f>IFERROR(__xludf.DUMMYFUNCTION("""COMPUTED_VALUE"""),23.0)</f>
        <v>23</v>
      </c>
      <c r="D223" s="131" t="b">
        <f>IFERROR(__xludf.DUMMYFUNCTION("""COMPUTED_VALUE"""),FALSE)</f>
        <v>0</v>
      </c>
      <c r="E223" s="107" t="str">
        <f>IFERROR(__xludf.DUMMYFUNCTION("""COMPUTED_VALUE"""),"OBASAN")</f>
        <v>OBASAN</v>
      </c>
      <c r="F223" s="107" t="str">
        <f>IFERROR(__xludf.DUMMYFUNCTION("""COMPUTED_VALUE"""),"AYESHA")</f>
        <v>AYESHA</v>
      </c>
    </row>
    <row r="224">
      <c r="A224" s="131">
        <f>IFERROR(__xludf.DUMMYFUNCTION("""COMPUTED_VALUE"""),223.0)</f>
        <v>223</v>
      </c>
      <c r="B224" s="131"/>
      <c r="C224" s="131">
        <f>IFERROR(__xludf.DUMMYFUNCTION("""COMPUTED_VALUE"""),23.0)</f>
        <v>23</v>
      </c>
      <c r="D224" s="131" t="b">
        <f>IFERROR(__xludf.DUMMYFUNCTION("""COMPUTED_VALUE"""),FALSE)</f>
        <v>0</v>
      </c>
      <c r="E224" s="107" t="str">
        <f>IFERROR(__xludf.DUMMYFUNCTION("""COMPUTED_VALUE"""),"PACSON")</f>
        <v>PACSON</v>
      </c>
      <c r="F224" s="107" t="str">
        <f>IFERROR(__xludf.DUMMYFUNCTION("""COMPUTED_VALUE"""),"KAYTE")</f>
        <v>KAYTE</v>
      </c>
    </row>
    <row r="225">
      <c r="A225" s="131">
        <f>IFERROR(__xludf.DUMMYFUNCTION("""COMPUTED_VALUE"""),224.0)</f>
        <v>224</v>
      </c>
      <c r="B225" s="131"/>
      <c r="C225" s="131">
        <f>IFERROR(__xludf.DUMMYFUNCTION("""COMPUTED_VALUE"""),23.0)</f>
        <v>23</v>
      </c>
      <c r="D225" s="131" t="b">
        <f>IFERROR(__xludf.DUMMYFUNCTION("""COMPUTED_VALUE"""),FALSE)</f>
        <v>0</v>
      </c>
      <c r="E225" s="107" t="str">
        <f>IFERROR(__xludf.DUMMYFUNCTION("""COMPUTED_VALUE"""),"PACSON")</f>
        <v>PACSON</v>
      </c>
      <c r="F225" s="107" t="str">
        <f>IFERROR(__xludf.DUMMYFUNCTION("""COMPUTED_VALUE"""),"MICAELLA")</f>
        <v>MICAELLA</v>
      </c>
    </row>
    <row r="226">
      <c r="A226" s="131">
        <f>IFERROR(__xludf.DUMMYFUNCTION("""COMPUTED_VALUE"""),225.0)</f>
        <v>225</v>
      </c>
      <c r="B226" s="131"/>
      <c r="C226" s="131">
        <f>IFERROR(__xludf.DUMMYFUNCTION("""COMPUTED_VALUE"""),23.0)</f>
        <v>23</v>
      </c>
      <c r="D226" s="131" t="b">
        <f>IFERROR(__xludf.DUMMYFUNCTION("""COMPUTED_VALUE"""),FALSE)</f>
        <v>0</v>
      </c>
      <c r="E226" s="107" t="str">
        <f>IFERROR(__xludf.DUMMYFUNCTION("""COMPUTED_VALUE"""),"RETAMAR")</f>
        <v>RETAMAR</v>
      </c>
      <c r="F226" s="107" t="str">
        <f>IFERROR(__xludf.DUMMYFUNCTION("""COMPUTED_VALUE"""),"JASMINE")</f>
        <v>JASMINE</v>
      </c>
    </row>
    <row r="227">
      <c r="A227" s="131">
        <f>IFERROR(__xludf.DUMMYFUNCTION("""COMPUTED_VALUE"""),226.0)</f>
        <v>226</v>
      </c>
      <c r="B227" s="131"/>
      <c r="C227" s="131">
        <f>IFERROR(__xludf.DUMMYFUNCTION("""COMPUTED_VALUE"""),23.0)</f>
        <v>23</v>
      </c>
      <c r="D227" s="131" t="b">
        <f>IFERROR(__xludf.DUMMYFUNCTION("""COMPUTED_VALUE"""),FALSE)</f>
        <v>0</v>
      </c>
      <c r="E227" s="107" t="str">
        <f>IFERROR(__xludf.DUMMYFUNCTION("""COMPUTED_VALUE"""),"ROGACION")</f>
        <v>ROGACION</v>
      </c>
      <c r="F227" s="107" t="str">
        <f>IFERROR(__xludf.DUMMYFUNCTION("""COMPUTED_VALUE"""),"LYKA")</f>
        <v>LYKA</v>
      </c>
    </row>
    <row r="228">
      <c r="A228" s="131">
        <f>IFERROR(__xludf.DUMMYFUNCTION("""COMPUTED_VALUE"""),227.0)</f>
        <v>227</v>
      </c>
      <c r="B228" s="131"/>
      <c r="C228" s="131">
        <f>IFERROR(__xludf.DUMMYFUNCTION("""COMPUTED_VALUE"""),23.0)</f>
        <v>23</v>
      </c>
      <c r="D228" s="131" t="b">
        <f>IFERROR(__xludf.DUMMYFUNCTION("""COMPUTED_VALUE"""),FALSE)</f>
        <v>0</v>
      </c>
      <c r="E228" s="107" t="str">
        <f>IFERROR(__xludf.DUMMYFUNCTION("""COMPUTED_VALUE"""),"TINGSON")</f>
        <v>TINGSON</v>
      </c>
      <c r="F228" s="107" t="str">
        <f>IFERROR(__xludf.DUMMYFUNCTION("""COMPUTED_VALUE"""),"JANELLE")</f>
        <v>JANELLE</v>
      </c>
    </row>
    <row r="229">
      <c r="A229" s="131">
        <f>IFERROR(__xludf.DUMMYFUNCTION("""COMPUTED_VALUE"""),228.0)</f>
        <v>228</v>
      </c>
      <c r="B229" s="131"/>
      <c r="C229" s="131">
        <f>IFERROR(__xludf.DUMMYFUNCTION("""COMPUTED_VALUE"""),23.0)</f>
        <v>23</v>
      </c>
      <c r="D229" s="131" t="b">
        <f>IFERROR(__xludf.DUMMYFUNCTION("""COMPUTED_VALUE"""),FALSE)</f>
        <v>0</v>
      </c>
      <c r="E229" s="107" t="str">
        <f>IFERROR(__xludf.DUMMYFUNCTION("""COMPUTED_VALUE"""),"TOLEDO")</f>
        <v>TOLEDO</v>
      </c>
      <c r="F229" s="115" t="str">
        <f>IFERROR(__xludf.DUMMYFUNCTION("""COMPUTED_VALUE"""),"AKIZSAH")</f>
        <v>AKIZSAH</v>
      </c>
    </row>
    <row r="230">
      <c r="A230" s="131">
        <f>IFERROR(__xludf.DUMMYFUNCTION("""COMPUTED_VALUE"""),229.0)</f>
        <v>229</v>
      </c>
      <c r="B230" s="131"/>
      <c r="C230" s="131">
        <f>IFERROR(__xludf.DUMMYFUNCTION("""COMPUTED_VALUE"""),23.0)</f>
        <v>23</v>
      </c>
      <c r="D230" s="131" t="b">
        <f>IFERROR(__xludf.DUMMYFUNCTION("""COMPUTED_VALUE"""),FALSE)</f>
        <v>0</v>
      </c>
      <c r="E230" s="107" t="str">
        <f>IFERROR(__xludf.DUMMYFUNCTION("""COMPUTED_VALUE"""),"UDAUNDO")</f>
        <v>UDAUNDO</v>
      </c>
      <c r="F230" s="107" t="str">
        <f>IFERROR(__xludf.DUMMYFUNCTION("""COMPUTED_VALUE"""),"ELLA")</f>
        <v>ELLA</v>
      </c>
    </row>
    <row r="231">
      <c r="A231" s="131">
        <f>IFERROR(__xludf.DUMMYFUNCTION("""COMPUTED_VALUE"""),230.0)</f>
        <v>230</v>
      </c>
      <c r="B231" s="131"/>
      <c r="C231" s="131">
        <f>IFERROR(__xludf.DUMMYFUNCTION("""COMPUTED_VALUE"""),1.0)</f>
        <v>1</v>
      </c>
      <c r="D231" s="131" t="b">
        <f>IFERROR(__xludf.DUMMYFUNCTION("""COMPUTED_VALUE"""),FALSE)</f>
        <v>0</v>
      </c>
      <c r="E231" s="131" t="str">
        <f>IFERROR(__xludf.DUMMYFUNCTION("""COMPUTED_VALUE"""),"ROMUALDO")</f>
        <v>ROMUALDO</v>
      </c>
      <c r="F231" s="131" t="str">
        <f>IFERROR(__xludf.DUMMYFUNCTION("""COMPUTED_VALUE"""),"AC")</f>
        <v>AC</v>
      </c>
    </row>
    <row r="232">
      <c r="A232" s="131">
        <f>IFERROR(__xludf.DUMMYFUNCTION("""COMPUTED_VALUE"""),231.0)</f>
        <v>231</v>
      </c>
      <c r="B232" s="131"/>
      <c r="C232" s="131">
        <f>IFERROR(__xludf.DUMMYFUNCTION("""COMPUTED_VALUE"""),1.0)</f>
        <v>1</v>
      </c>
      <c r="D232" s="131" t="b">
        <f>IFERROR(__xludf.DUMMYFUNCTION("""COMPUTED_VALUE"""),FALSE)</f>
        <v>0</v>
      </c>
      <c r="E232" s="131" t="str">
        <f>IFERROR(__xludf.DUMMYFUNCTION("""COMPUTED_VALUE"""),"SEBASTIAN")</f>
        <v>SEBASTIAN</v>
      </c>
      <c r="F232" s="131" t="str">
        <f>IFERROR(__xludf.DUMMYFUNCTION("""COMPUTED_VALUE"""),"NEHEMIAH")</f>
        <v>NEHEMIAH</v>
      </c>
    </row>
    <row r="233">
      <c r="A233" s="131">
        <f>IFERROR(__xludf.DUMMYFUNCTION("""COMPUTED_VALUE"""),232.0)</f>
        <v>232</v>
      </c>
      <c r="B233" s="131"/>
      <c r="C233" s="131">
        <f>IFERROR(__xludf.DUMMYFUNCTION("""COMPUTED_VALUE"""),1.0)</f>
        <v>1</v>
      </c>
      <c r="D233" s="131" t="b">
        <f>IFERROR(__xludf.DUMMYFUNCTION("""COMPUTED_VALUE"""),FALSE)</f>
        <v>0</v>
      </c>
      <c r="E233" s="131" t="str">
        <f>IFERROR(__xludf.DUMMYFUNCTION("""COMPUTED_VALUE"""),"GINONGALA")</f>
        <v>GINONGALA</v>
      </c>
      <c r="F233" s="131" t="str">
        <f>IFERROR(__xludf.DUMMYFUNCTION("""COMPUTED_VALUE"""),"HANNAH MAE")</f>
        <v>HANNAH MAE</v>
      </c>
    </row>
    <row r="234">
      <c r="A234" s="131">
        <f>IFERROR(__xludf.DUMMYFUNCTION("""COMPUTED_VALUE"""),233.0)</f>
        <v>233</v>
      </c>
      <c r="B234" s="131"/>
      <c r="C234" s="131">
        <f>IFERROR(__xludf.DUMMYFUNCTION("""COMPUTED_VALUE"""),76.0)</f>
        <v>76</v>
      </c>
      <c r="D234" s="131" t="b">
        <f>IFERROR(__xludf.DUMMYFUNCTION("""COMPUTED_VALUE"""),FALSE)</f>
        <v>0</v>
      </c>
      <c r="E234" s="131" t="str">
        <f>IFERROR(__xludf.DUMMYFUNCTION("""COMPUTED_VALUE"""),"NIONES")</f>
        <v>NIONES</v>
      </c>
      <c r="F234" s="131" t="str">
        <f>IFERROR(__xludf.DUMMYFUNCTION("""COMPUTED_VALUE"""),"LOUIS")</f>
        <v>LOUIS</v>
      </c>
    </row>
    <row r="235">
      <c r="A235" s="131">
        <f>IFERROR(__xludf.DUMMYFUNCTION("""COMPUTED_VALUE"""),234.0)</f>
        <v>234</v>
      </c>
      <c r="B235" s="131"/>
      <c r="C235" s="131">
        <f>IFERROR(__xludf.DUMMYFUNCTION("""COMPUTED_VALUE"""),76.0)</f>
        <v>76</v>
      </c>
      <c r="D235" s="131" t="b">
        <f>IFERROR(__xludf.DUMMYFUNCTION("""COMPUTED_VALUE"""),FALSE)</f>
        <v>0</v>
      </c>
      <c r="E235" s="131" t="str">
        <f>IFERROR(__xludf.DUMMYFUNCTION("""COMPUTED_VALUE"""),"ACA")</f>
        <v>ACA</v>
      </c>
      <c r="F235" s="131" t="str">
        <f>IFERROR(__xludf.DUMMYFUNCTION("""COMPUTED_VALUE"""),"ELIJAH")</f>
        <v>ELIJAH</v>
      </c>
    </row>
    <row r="236">
      <c r="A236" s="131">
        <f>IFERROR(__xludf.DUMMYFUNCTION("""COMPUTED_VALUE"""),235.0)</f>
        <v>235</v>
      </c>
      <c r="B236" s="131"/>
      <c r="C236" s="131">
        <f>IFERROR(__xludf.DUMMYFUNCTION("""COMPUTED_VALUE"""),120.0)</f>
        <v>120</v>
      </c>
      <c r="D236" s="131" t="b">
        <f>IFERROR(__xludf.DUMMYFUNCTION("""COMPUTED_VALUE"""),FALSE)</f>
        <v>0</v>
      </c>
      <c r="E236" s="131" t="str">
        <f>IFERROR(__xludf.DUMMYFUNCTION("""COMPUTED_VALUE"""),"CERBETO")</f>
        <v>CERBETO</v>
      </c>
      <c r="F236" s="131" t="str">
        <f>IFERROR(__xludf.DUMMYFUNCTION("""COMPUTED_VALUE"""),"AIVANNE")</f>
        <v>AIVANNE</v>
      </c>
    </row>
    <row r="237">
      <c r="A237" s="131">
        <f>IFERROR(__xludf.DUMMYFUNCTION("""COMPUTED_VALUE"""),236.0)</f>
        <v>236</v>
      </c>
      <c r="B237" s="131"/>
      <c r="C237" s="131">
        <f>IFERROR(__xludf.DUMMYFUNCTION("""COMPUTED_VALUE"""),120.0)</f>
        <v>120</v>
      </c>
      <c r="D237" s="131" t="b">
        <f>IFERROR(__xludf.DUMMYFUNCTION("""COMPUTED_VALUE"""),FALSE)</f>
        <v>0</v>
      </c>
      <c r="E237" s="131" t="str">
        <f>IFERROR(__xludf.DUMMYFUNCTION("""COMPUTED_VALUE"""),"PARAZO")</f>
        <v>PARAZO</v>
      </c>
      <c r="F237" s="131" t="str">
        <f>IFERROR(__xludf.DUMMYFUNCTION("""COMPUTED_VALUE"""),"CJ")</f>
        <v>CJ</v>
      </c>
    </row>
    <row r="238">
      <c r="A238" s="131">
        <f>IFERROR(__xludf.DUMMYFUNCTION("""COMPUTED_VALUE"""),237.0)</f>
        <v>237</v>
      </c>
      <c r="B238" s="131"/>
      <c r="C238" s="131">
        <f>IFERROR(__xludf.DUMMYFUNCTION("""COMPUTED_VALUE"""),120.0)</f>
        <v>120</v>
      </c>
      <c r="D238" s="131" t="b">
        <f>IFERROR(__xludf.DUMMYFUNCTION("""COMPUTED_VALUE"""),FALSE)</f>
        <v>0</v>
      </c>
      <c r="E238" s="131" t="str">
        <f>IFERROR(__xludf.DUMMYFUNCTION("""COMPUTED_VALUE"""),"AWA-AW")</f>
        <v>AWA-AW</v>
      </c>
      <c r="F238" s="131" t="str">
        <f>IFERROR(__xludf.DUMMYFUNCTION("""COMPUTED_VALUE"""),"CARL")</f>
        <v>CARL</v>
      </c>
    </row>
    <row r="239">
      <c r="A239" s="131">
        <f>IFERROR(__xludf.DUMMYFUNCTION("""COMPUTED_VALUE"""),238.0)</f>
        <v>238</v>
      </c>
      <c r="B239" s="131"/>
      <c r="C239" s="131">
        <f>IFERROR(__xludf.DUMMYFUNCTION("""COMPUTED_VALUE"""),23.0)</f>
        <v>23</v>
      </c>
      <c r="D239" s="131" t="b">
        <f>IFERROR(__xludf.DUMMYFUNCTION("""COMPUTED_VALUE"""),FALSE)</f>
        <v>0</v>
      </c>
      <c r="E239" s="131" t="str">
        <f>IFERROR(__xludf.DUMMYFUNCTION("""COMPUTED_VALUE"""),"ALAYON")</f>
        <v>ALAYON</v>
      </c>
      <c r="F239" s="131" t="str">
        <f>IFERROR(__xludf.DUMMYFUNCTION("""COMPUTED_VALUE"""),"PATRICIA")</f>
        <v>PATRICIA</v>
      </c>
    </row>
    <row r="240">
      <c r="A240" s="131">
        <f>IFERROR(__xludf.DUMMYFUNCTION("""COMPUTED_VALUE"""),239.0)</f>
        <v>239</v>
      </c>
      <c r="B240" s="131"/>
      <c r="C240" s="131">
        <f>IFERROR(__xludf.DUMMYFUNCTION("""COMPUTED_VALUE"""),23.0)</f>
        <v>23</v>
      </c>
      <c r="D240" s="131" t="b">
        <f>IFERROR(__xludf.DUMMYFUNCTION("""COMPUTED_VALUE"""),FALSE)</f>
        <v>0</v>
      </c>
      <c r="E240" s="131" t="str">
        <f>IFERROR(__xludf.DUMMYFUNCTION("""COMPUTED_VALUE"""),"UDAUNDO")</f>
        <v>UDAUNDO</v>
      </c>
      <c r="F240" s="131" t="str">
        <f>IFERROR(__xludf.DUMMYFUNCTION("""COMPUTED_VALUE"""),"MICA ELLA")</f>
        <v>MICA ELLA</v>
      </c>
    </row>
    <row r="241">
      <c r="A241" s="131">
        <f>IFERROR(__xludf.DUMMYFUNCTION("""COMPUTED_VALUE"""),240.0)</f>
        <v>240</v>
      </c>
      <c r="B241" s="131"/>
      <c r="C241" s="131">
        <f>IFERROR(__xludf.DUMMYFUNCTION("""COMPUTED_VALUE"""),23.0)</f>
        <v>23</v>
      </c>
      <c r="D241" s="131" t="b">
        <f>IFERROR(__xludf.DUMMYFUNCTION("""COMPUTED_VALUE"""),FALSE)</f>
        <v>0</v>
      </c>
      <c r="E241" s="131" t="str">
        <f>IFERROR(__xludf.DUMMYFUNCTION("""COMPUTED_VALUE"""),"CALUBIRAN")</f>
        <v>CALUBIRAN</v>
      </c>
      <c r="F241" s="131" t="str">
        <f>IFERROR(__xludf.DUMMYFUNCTION("""COMPUTED_VALUE"""),"JACKIELYN")</f>
        <v>JACKIELYN</v>
      </c>
    </row>
    <row r="242">
      <c r="A242" s="131">
        <f>IFERROR(__xludf.DUMMYFUNCTION("""COMPUTED_VALUE"""),241.0)</f>
        <v>241</v>
      </c>
      <c r="B242" s="131"/>
      <c r="C242" s="131">
        <f>IFERROR(__xludf.DUMMYFUNCTION("""COMPUTED_VALUE"""),23.0)</f>
        <v>23</v>
      </c>
      <c r="D242" s="131" t="b">
        <f>IFERROR(__xludf.DUMMYFUNCTION("""COMPUTED_VALUE"""),FALSE)</f>
        <v>0</v>
      </c>
      <c r="E242" s="131" t="str">
        <f>IFERROR(__xludf.DUMMYFUNCTION("""COMPUTED_VALUE"""),"MATAMIS")</f>
        <v>MATAMIS</v>
      </c>
      <c r="F242" s="131" t="str">
        <f>IFERROR(__xludf.DUMMYFUNCTION("""COMPUTED_VALUE"""),"JEAH G.")</f>
        <v>JEAH G.</v>
      </c>
    </row>
    <row r="243">
      <c r="A243" s="131">
        <f>IFERROR(__xludf.DUMMYFUNCTION("""COMPUTED_VALUE"""),242.0)</f>
        <v>242</v>
      </c>
      <c r="B243" s="131"/>
      <c r="C243" s="131">
        <f>IFERROR(__xludf.DUMMYFUNCTION("""COMPUTED_VALUE"""),23.0)</f>
        <v>23</v>
      </c>
      <c r="D243" s="131" t="b">
        <f>IFERROR(__xludf.DUMMYFUNCTION("""COMPUTED_VALUE"""),FALSE)</f>
        <v>0</v>
      </c>
      <c r="E243" s="131" t="str">
        <f>IFERROR(__xludf.DUMMYFUNCTION("""COMPUTED_VALUE"""),"MATAMIS")</f>
        <v>MATAMIS</v>
      </c>
      <c r="F243" s="131" t="str">
        <f>IFERROR(__xludf.DUMMYFUNCTION("""COMPUTED_VALUE"""),"JANELA")</f>
        <v>JANELA</v>
      </c>
    </row>
    <row r="244">
      <c r="A244" s="131">
        <f>IFERROR(__xludf.DUMMYFUNCTION("""COMPUTED_VALUE"""),243.0)</f>
        <v>243</v>
      </c>
      <c r="B244" s="131"/>
      <c r="C244" s="131">
        <f>IFERROR(__xludf.DUMMYFUNCTION("""COMPUTED_VALUE"""),23.0)</f>
        <v>23</v>
      </c>
      <c r="D244" s="131" t="b">
        <f>IFERROR(__xludf.DUMMYFUNCTION("""COMPUTED_VALUE"""),FALSE)</f>
        <v>0</v>
      </c>
      <c r="E244" s="131" t="str">
        <f>IFERROR(__xludf.DUMMYFUNCTION("""COMPUTED_VALUE"""),"GALANG")</f>
        <v>GALANG</v>
      </c>
      <c r="F244" s="131" t="str">
        <f>IFERROR(__xludf.DUMMYFUNCTION("""COMPUTED_VALUE"""),"MAGGA")</f>
        <v>MAGGA</v>
      </c>
    </row>
    <row r="245">
      <c r="A245" s="131">
        <f>IFERROR(__xludf.DUMMYFUNCTION("""COMPUTED_VALUE"""),244.0)</f>
        <v>244</v>
      </c>
      <c r="B245" s="131"/>
      <c r="C245" s="131">
        <f>IFERROR(__xludf.DUMMYFUNCTION("""COMPUTED_VALUE"""),244.0)</f>
        <v>244</v>
      </c>
      <c r="D245" s="131" t="b">
        <f>IFERROR(__xludf.DUMMYFUNCTION("""COMPUTED_VALUE"""),TRUE)</f>
        <v>1</v>
      </c>
      <c r="E245" s="131" t="str">
        <f>IFERROR(__xludf.DUMMYFUNCTION("""COMPUTED_VALUE"""),"ORQUIA")</f>
        <v>ORQUIA</v>
      </c>
      <c r="F245" s="131" t="str">
        <f>IFERROR(__xludf.DUMMYFUNCTION("""COMPUTED_VALUE"""),"HANNA ")</f>
        <v>HANNA </v>
      </c>
    </row>
    <row r="246">
      <c r="A246" s="131">
        <f>IFERROR(__xludf.DUMMYFUNCTION("""COMPUTED_VALUE"""),245.0)</f>
        <v>245</v>
      </c>
      <c r="B246" s="131"/>
      <c r="C246" s="131">
        <f>IFERROR(__xludf.DUMMYFUNCTION("""COMPUTED_VALUE"""),244.0)</f>
        <v>244</v>
      </c>
      <c r="D246" s="131" t="b">
        <f>IFERROR(__xludf.DUMMYFUNCTION("""COMPUTED_VALUE"""),FALSE)</f>
        <v>0</v>
      </c>
      <c r="E246" s="131" t="str">
        <f>IFERROR(__xludf.DUMMYFUNCTION("""COMPUTED_VALUE"""),"DEL ROSARIO")</f>
        <v>DEL ROSARIO</v>
      </c>
      <c r="F246" s="131" t="str">
        <f>IFERROR(__xludf.DUMMYFUNCTION("""COMPUTED_VALUE"""),"GRACE")</f>
        <v>GRACE</v>
      </c>
    </row>
    <row r="247">
      <c r="A247" s="131">
        <f>IFERROR(__xludf.DUMMYFUNCTION("""COMPUTED_VALUE"""),246.0)</f>
        <v>246</v>
      </c>
      <c r="B247" s="131"/>
      <c r="C247" s="131">
        <f>IFERROR(__xludf.DUMMYFUNCTION("""COMPUTED_VALUE"""),244.0)</f>
        <v>244</v>
      </c>
      <c r="D247" s="131" t="b">
        <f>IFERROR(__xludf.DUMMYFUNCTION("""COMPUTED_VALUE"""),FALSE)</f>
        <v>0</v>
      </c>
      <c r="E247" s="131" t="str">
        <f>IFERROR(__xludf.DUMMYFUNCTION("""COMPUTED_VALUE"""),"CODILLA")</f>
        <v>CODILLA</v>
      </c>
      <c r="F247" s="131" t="str">
        <f>IFERROR(__xludf.DUMMYFUNCTION("""COMPUTED_VALUE"""),"JANNA")</f>
        <v>JANNA</v>
      </c>
    </row>
    <row r="248">
      <c r="A248" s="131">
        <f>IFERROR(__xludf.DUMMYFUNCTION("""COMPUTED_VALUE"""),247.0)</f>
        <v>247</v>
      </c>
      <c r="B248" s="131"/>
      <c r="C248" s="131">
        <f>IFERROR(__xludf.DUMMYFUNCTION("""COMPUTED_VALUE"""),244.0)</f>
        <v>244</v>
      </c>
      <c r="D248" s="131" t="b">
        <f>IFERROR(__xludf.DUMMYFUNCTION("""COMPUTED_VALUE"""),FALSE)</f>
        <v>0</v>
      </c>
      <c r="E248" s="131" t="str">
        <f>IFERROR(__xludf.DUMMYFUNCTION("""COMPUTED_VALUE"""),"WALATH")</f>
        <v>WALATH</v>
      </c>
      <c r="F248" s="131" t="str">
        <f>IFERROR(__xludf.DUMMYFUNCTION("""COMPUTED_VALUE"""),"AILEEN")</f>
        <v>AILEEN</v>
      </c>
    </row>
    <row r="249">
      <c r="A249" s="131">
        <f>IFERROR(__xludf.DUMMYFUNCTION("""COMPUTED_VALUE"""),248.0)</f>
        <v>248</v>
      </c>
      <c r="B249" s="131"/>
      <c r="C249" s="131">
        <f>IFERROR(__xludf.DUMMYFUNCTION("""COMPUTED_VALUE"""),244.0)</f>
        <v>244</v>
      </c>
      <c r="D249" s="131" t="b">
        <f>IFERROR(__xludf.DUMMYFUNCTION("""COMPUTED_VALUE"""),FALSE)</f>
        <v>0</v>
      </c>
      <c r="E249" s="131" t="str">
        <f>IFERROR(__xludf.DUMMYFUNCTION("""COMPUTED_VALUE"""),"FULLON")</f>
        <v>FULLON</v>
      </c>
      <c r="F249" s="131" t="str">
        <f>IFERROR(__xludf.DUMMYFUNCTION("""COMPUTED_VALUE"""),"SARAH")</f>
        <v>SARAH</v>
      </c>
    </row>
    <row r="250">
      <c r="A250" s="131">
        <f>IFERROR(__xludf.DUMMYFUNCTION("""COMPUTED_VALUE"""),249.0)</f>
        <v>249</v>
      </c>
      <c r="B250" s="131"/>
      <c r="C250" s="131">
        <f>IFERROR(__xludf.DUMMYFUNCTION("""COMPUTED_VALUE"""),244.0)</f>
        <v>244</v>
      </c>
      <c r="D250" s="131" t="b">
        <f>IFERROR(__xludf.DUMMYFUNCTION("""COMPUTED_VALUE"""),FALSE)</f>
        <v>0</v>
      </c>
      <c r="E250" s="131" t="str">
        <f>IFERROR(__xludf.DUMMYFUNCTION("""COMPUTED_VALUE"""),"MONTERDE")</f>
        <v>MONTERDE</v>
      </c>
      <c r="F250" s="131" t="str">
        <f>IFERROR(__xludf.DUMMYFUNCTION("""COMPUTED_VALUE"""),"BELLE")</f>
        <v>BELLE</v>
      </c>
    </row>
    <row r="251">
      <c r="A251" s="86">
        <f>IFERROR(__xludf.DUMMYFUNCTION("""COMPUTED_VALUE"""),250.0)</f>
        <v>250</v>
      </c>
      <c r="B251" s="87"/>
      <c r="C251" s="131">
        <f>IFERROR(__xludf.DUMMYFUNCTION("""COMPUTED_VALUE"""),167.0)</f>
        <v>167</v>
      </c>
      <c r="D251" s="131"/>
      <c r="E251" s="131" t="str">
        <f>IFERROR(__xludf.DUMMYFUNCTION("""COMPUTED_VALUE"""),"RAUSO")</f>
        <v>RAUSO</v>
      </c>
      <c r="F251" s="131" t="str">
        <f>IFERROR(__xludf.DUMMYFUNCTION("""COMPUTED_VALUE"""),"STEVE")</f>
        <v>STEVE</v>
      </c>
      <c r="G251" s="133"/>
      <c r="H251" s="133"/>
      <c r="I251" s="133"/>
      <c r="J251" s="133"/>
      <c r="K251" s="133"/>
      <c r="L251" s="133"/>
      <c r="M251" s="133"/>
      <c r="N251" s="133"/>
      <c r="O251" s="133"/>
      <c r="P251" s="133"/>
      <c r="Q251" s="89"/>
      <c r="R251" s="89"/>
      <c r="S251" s="89"/>
      <c r="T251" s="89"/>
      <c r="U251" s="89"/>
      <c r="V251" s="89"/>
      <c r="W251" s="89"/>
    </row>
    <row r="252">
      <c r="A252" s="131">
        <f>IFERROR(__xludf.DUMMYFUNCTION("""COMPUTED_VALUE"""),251.0)</f>
        <v>251</v>
      </c>
      <c r="B252" s="131"/>
      <c r="C252" s="131">
        <f>IFERROR(__xludf.DUMMYFUNCTION("""COMPUTED_VALUE"""),167.0)</f>
        <v>167</v>
      </c>
      <c r="D252" s="131" t="b">
        <f>IFERROR(__xludf.DUMMYFUNCTION("""COMPUTED_VALUE"""),FALSE)</f>
        <v>0</v>
      </c>
      <c r="E252" s="131" t="str">
        <f>IFERROR(__xludf.DUMMYFUNCTION("""COMPUTED_VALUE"""),"LIBRES")</f>
        <v>LIBRES</v>
      </c>
      <c r="F252" s="131" t="str">
        <f>IFERROR(__xludf.DUMMYFUNCTION("""COMPUTED_VALUE"""),"GABRIEL")</f>
        <v>GABRIEL</v>
      </c>
      <c r="G252" s="93"/>
      <c r="H252" s="93"/>
      <c r="I252" s="93"/>
      <c r="J252" s="93"/>
      <c r="K252" s="93"/>
      <c r="L252" s="93"/>
      <c r="M252" s="93"/>
      <c r="N252" s="93"/>
      <c r="O252" s="93"/>
      <c r="P252" s="93"/>
    </row>
    <row r="253">
      <c r="A253" s="131">
        <f>IFERROR(__xludf.DUMMYFUNCTION("""COMPUTED_VALUE"""),252.0)</f>
        <v>252</v>
      </c>
      <c r="B253" s="131"/>
      <c r="C253" s="131">
        <f>IFERROR(__xludf.DUMMYFUNCTION("""COMPUTED_VALUE"""),167.0)</f>
        <v>167</v>
      </c>
      <c r="D253" s="131" t="b">
        <f>IFERROR(__xludf.DUMMYFUNCTION("""COMPUTED_VALUE"""),FALSE)</f>
        <v>0</v>
      </c>
      <c r="E253" s="94" t="str">
        <f>IFERROR(__xludf.DUMMYFUNCTION("""COMPUTED_VALUE"""),"PARONGAN")</f>
        <v>PARONGAN</v>
      </c>
      <c r="F253" s="94" t="str">
        <f>IFERROR(__xludf.DUMMYFUNCTION("""COMPUTED_VALUE"""),"KIAN")</f>
        <v>KIAN</v>
      </c>
    </row>
    <row r="254">
      <c r="A254" s="131">
        <f>IFERROR(__xludf.DUMMYFUNCTION("""COMPUTED_VALUE"""),253.0)</f>
        <v>253</v>
      </c>
      <c r="B254" s="131"/>
      <c r="C254" s="131">
        <f>IFERROR(__xludf.DUMMYFUNCTION("""COMPUTED_VALUE"""),167.0)</f>
        <v>167</v>
      </c>
      <c r="D254" s="131" t="b">
        <f>IFERROR(__xludf.DUMMYFUNCTION("""COMPUTED_VALUE"""),FALSE)</f>
        <v>0</v>
      </c>
      <c r="E254" s="95" t="str">
        <f>IFERROR(__xludf.DUMMYFUNCTION("""COMPUTED_VALUE"""),"RACCA")</f>
        <v>RACCA</v>
      </c>
      <c r="F254" s="95" t="str">
        <f>IFERROR(__xludf.DUMMYFUNCTION("""COMPUTED_VALUE"""),"GRANT EL")</f>
        <v>GRANT EL</v>
      </c>
    </row>
    <row r="255">
      <c r="A255" s="131">
        <f>IFERROR(__xludf.DUMMYFUNCTION("""COMPUTED_VALUE"""),254.0)</f>
        <v>254</v>
      </c>
      <c r="B255" s="131"/>
      <c r="C255" s="131">
        <f>IFERROR(__xludf.DUMMYFUNCTION("""COMPUTED_VALUE"""),23.0)</f>
        <v>23</v>
      </c>
      <c r="D255" s="131" t="b">
        <f>IFERROR(__xludf.DUMMYFUNCTION("""COMPUTED_VALUE"""),FALSE)</f>
        <v>0</v>
      </c>
      <c r="E255" s="95" t="str">
        <f>IFERROR(__xludf.DUMMYFUNCTION("""COMPUTED_VALUE"""),"MATAMIS")</f>
        <v>MATAMIS</v>
      </c>
      <c r="F255" s="95" t="str">
        <f>IFERROR(__xludf.DUMMYFUNCTION("""COMPUTED_VALUE"""),"SEYVEL")</f>
        <v>SEYVEL</v>
      </c>
    </row>
    <row r="256">
      <c r="A256" s="131">
        <f>IFERROR(__xludf.DUMMYFUNCTION("""COMPUTED_VALUE"""),257.0)</f>
        <v>257</v>
      </c>
      <c r="B256" s="131"/>
      <c r="C256" s="131">
        <f>IFERROR(__xludf.DUMMYFUNCTION("""COMPUTED_VALUE"""),23.0)</f>
        <v>23</v>
      </c>
      <c r="D256" s="131" t="b">
        <f>IFERROR(__xludf.DUMMYFUNCTION("""COMPUTED_VALUE"""),FALSE)</f>
        <v>0</v>
      </c>
      <c r="E256" s="95" t="str">
        <f>IFERROR(__xludf.DUMMYFUNCTION("""COMPUTED_VALUE"""),"PARCAREY")</f>
        <v>PARCAREY</v>
      </c>
      <c r="F256" s="95" t="str">
        <f>IFERROR(__xludf.DUMMYFUNCTION("""COMPUTED_VALUE"""),"MARZETTI")</f>
        <v>MARZETTI</v>
      </c>
    </row>
    <row r="257">
      <c r="A257" s="131">
        <f>IFERROR(__xludf.DUMMYFUNCTION("""COMPUTED_VALUE"""),256.0)</f>
        <v>256</v>
      </c>
      <c r="B257" s="131"/>
      <c r="C257" s="131">
        <f>IFERROR(__xludf.DUMMYFUNCTION("""COMPUTED_VALUE"""),23.0)</f>
        <v>23</v>
      </c>
      <c r="D257" s="131" t="b">
        <f>IFERROR(__xludf.DUMMYFUNCTION("""COMPUTED_VALUE"""),FALSE)</f>
        <v>0</v>
      </c>
      <c r="E257" s="95" t="str">
        <f>IFERROR(__xludf.DUMMYFUNCTION("""COMPUTED_VALUE"""),"AGSALUD")</f>
        <v>AGSALUD</v>
      </c>
      <c r="F257" s="95" t="str">
        <f>IFERROR(__xludf.DUMMYFUNCTION("""COMPUTED_VALUE"""),"ROSE MARIE")</f>
        <v>ROSE MARIE</v>
      </c>
    </row>
    <row r="258">
      <c r="A258" s="131">
        <f>IFERROR(__xludf.DUMMYFUNCTION("""COMPUTED_VALUE"""),259.0)</f>
        <v>259</v>
      </c>
      <c r="B258" s="131"/>
      <c r="C258" s="131">
        <f>IFERROR(__xludf.DUMMYFUNCTION("""COMPUTED_VALUE"""),167.0)</f>
        <v>167</v>
      </c>
      <c r="D258" s="131"/>
      <c r="E258" s="96" t="str">
        <f>IFERROR(__xludf.DUMMYFUNCTION("""COMPUTED_VALUE"""),"Gelicame")</f>
        <v>Gelicame</v>
      </c>
      <c r="F258" s="96" t="str">
        <f>IFERROR(__xludf.DUMMYFUNCTION("""COMPUTED_VALUE"""),"Aljun")</f>
        <v>Aljun</v>
      </c>
    </row>
    <row r="259">
      <c r="A259" s="131">
        <f>IFERROR(__xludf.DUMMYFUNCTION("""COMPUTED_VALUE"""),260.0)</f>
        <v>260</v>
      </c>
      <c r="B259" s="131"/>
      <c r="C259" s="131">
        <f>IFERROR(__xludf.DUMMYFUNCTION("""COMPUTED_VALUE"""),167.0)</f>
        <v>167</v>
      </c>
      <c r="D259" s="131"/>
      <c r="E259" s="95" t="str">
        <f>IFERROR(__xludf.DUMMYFUNCTION("""COMPUTED_VALUE"""),"Valera")</f>
        <v>Valera</v>
      </c>
      <c r="F259" s="95" t="str">
        <f>IFERROR(__xludf.DUMMYFUNCTION("""COMPUTED_VALUE"""),"Edward Luis")</f>
        <v>Edward Luis</v>
      </c>
    </row>
    <row r="260">
      <c r="A260" s="131">
        <f>IFERROR(__xludf.DUMMYFUNCTION("""COMPUTED_VALUE"""),261.0)</f>
        <v>261</v>
      </c>
      <c r="B260" s="131"/>
      <c r="C260" s="131">
        <f>IFERROR(__xludf.DUMMYFUNCTION("""COMPUTED_VALUE"""),23.0)</f>
        <v>23</v>
      </c>
      <c r="D260" s="131"/>
      <c r="E260" s="95" t="str">
        <f>IFERROR(__xludf.DUMMYFUNCTION("""COMPUTED_VALUE"""),"CERBETO")</f>
        <v>CERBETO</v>
      </c>
      <c r="F260" s="95" t="str">
        <f>IFERROR(__xludf.DUMMYFUNCTION("""COMPUTED_VALUE"""),"AIFHA")</f>
        <v>AIFHA</v>
      </c>
    </row>
    <row r="261">
      <c r="A261" s="131">
        <f>IFERROR(__xludf.DUMMYFUNCTION("""COMPUTED_VALUE"""),262.0)</f>
        <v>262</v>
      </c>
      <c r="B261" s="131"/>
      <c r="C261" s="131">
        <f>IFERROR(__xludf.DUMMYFUNCTION("""COMPUTED_VALUE"""),23.0)</f>
        <v>23</v>
      </c>
      <c r="D261" s="131"/>
      <c r="E261" s="95" t="str">
        <f>IFERROR(__xludf.DUMMYFUNCTION("""COMPUTED_VALUE"""),"PARCAREY")</f>
        <v>PARCAREY</v>
      </c>
      <c r="F261" s="95" t="str">
        <f>IFERROR(__xludf.DUMMYFUNCTION("""COMPUTED_VALUE"""),"MARZETTI")</f>
        <v>MARZETTI</v>
      </c>
    </row>
    <row r="262">
      <c r="A262" s="131">
        <f>IFERROR(__xludf.DUMMYFUNCTION("""COMPUTED_VALUE"""),263.0)</f>
        <v>263</v>
      </c>
      <c r="B262" s="131"/>
      <c r="C262" s="131">
        <f>IFERROR(__xludf.DUMMYFUNCTION("""COMPUTED_VALUE"""),1.0)</f>
        <v>1</v>
      </c>
      <c r="D262" s="131"/>
      <c r="E262" s="96" t="str">
        <f>IFERROR(__xludf.DUMMYFUNCTION("""COMPUTED_VALUE"""),"MABAO")</f>
        <v>MABAO</v>
      </c>
      <c r="F262" s="96" t="str">
        <f>IFERROR(__xludf.DUMMYFUNCTION("""COMPUTED_VALUE"""),"ROSELYN")</f>
        <v>ROSELYN</v>
      </c>
    </row>
    <row r="263">
      <c r="A263" s="131">
        <f>IFERROR(__xludf.DUMMYFUNCTION("""COMPUTED_VALUE"""),264.0)</f>
        <v>264</v>
      </c>
      <c r="B263" s="131"/>
      <c r="C263" s="131">
        <f>IFERROR(__xludf.DUMMYFUNCTION("""COMPUTED_VALUE"""),167.0)</f>
        <v>167</v>
      </c>
      <c r="D263" s="131"/>
      <c r="E263" s="96" t="str">
        <f>IFERROR(__xludf.DUMMYFUNCTION("""COMPUTED_VALUE"""),"VALERA")</f>
        <v>VALERA</v>
      </c>
      <c r="F263" s="96" t="str">
        <f>IFERROR(__xludf.DUMMYFUNCTION("""COMPUTED_VALUE"""),"ELY")</f>
        <v>ELY</v>
      </c>
    </row>
    <row r="264">
      <c r="A264" s="131">
        <f>IFERROR(__xludf.DUMMYFUNCTION("""COMPUTED_VALUE"""),265.0)</f>
        <v>265</v>
      </c>
      <c r="B264" s="131"/>
      <c r="C264" s="131">
        <f>IFERROR(__xludf.DUMMYFUNCTION("""COMPUTED_VALUE"""),167.0)</f>
        <v>167</v>
      </c>
      <c r="D264" s="131"/>
      <c r="E264" s="96" t="str">
        <f>IFERROR(__xludf.DUMMYFUNCTION("""COMPUTED_VALUE"""),"RAUSO")</f>
        <v>RAUSO</v>
      </c>
      <c r="F264" s="96" t="str">
        <f>IFERROR(__xludf.DUMMYFUNCTION("""COMPUTED_VALUE"""),"GABRIEL")</f>
        <v>GABRIEL</v>
      </c>
    </row>
    <row r="265">
      <c r="A265" s="131"/>
      <c r="B265" s="131"/>
      <c r="C265" s="131"/>
      <c r="D265" s="131"/>
      <c r="E265" s="96"/>
      <c r="F265" s="96"/>
    </row>
    <row r="266">
      <c r="A266" s="131">
        <f>IFERROR(__xludf.DUMMYFUNCTION("""COMPUTED_VALUE"""),1230.0)</f>
        <v>1230</v>
      </c>
      <c r="B266" s="131"/>
      <c r="C266" s="131">
        <f>IFERROR(__xludf.DUMMYFUNCTION("""COMPUTED_VALUE"""),1230.0)</f>
        <v>1230</v>
      </c>
      <c r="D266" s="131" t="b">
        <f>IFERROR(__xludf.DUMMYFUNCTION("""COMPUTED_VALUE"""),TRUE)</f>
        <v>1</v>
      </c>
      <c r="E266" s="96" t="str">
        <f>IFERROR(__xludf.DUMMYFUNCTION("""COMPUTED_VALUE"""),"CALUALHATIAN")</f>
        <v>CALUALHATIAN</v>
      </c>
      <c r="F266" s="96" t="str">
        <f>IFERROR(__xludf.DUMMYFUNCTION("""COMPUTED_VALUE"""),"DANTE")</f>
        <v>DANTE</v>
      </c>
    </row>
    <row r="267">
      <c r="A267" s="131">
        <f>IFERROR(__xludf.DUMMYFUNCTION("""COMPUTED_VALUE"""),1231.0)</f>
        <v>1231</v>
      </c>
      <c r="B267" s="131"/>
      <c r="C267" s="131">
        <f>IFERROR(__xludf.DUMMYFUNCTION("""COMPUTED_VALUE"""),1230.0)</f>
        <v>1230</v>
      </c>
      <c r="D267" s="131"/>
      <c r="E267" s="97" t="str">
        <f>IFERROR(__xludf.DUMMYFUNCTION("""COMPUTED_VALUE"""),"A.")</f>
        <v>A.</v>
      </c>
      <c r="F267" s="97" t="str">
        <f>IFERROR(__xludf.DUMMYFUNCTION("""COMPUTED_VALUE"""),"BONG")</f>
        <v>BONG</v>
      </c>
    </row>
    <row r="268">
      <c r="A268" s="131">
        <f>IFERROR(__xludf.DUMMYFUNCTION("""COMPUTED_VALUE"""),1232.0)</f>
        <v>1232</v>
      </c>
      <c r="B268" s="131"/>
      <c r="C268" s="131">
        <f>IFERROR(__xludf.DUMMYFUNCTION("""COMPUTED_VALUE"""),1230.0)</f>
        <v>1230</v>
      </c>
      <c r="D268" s="131"/>
      <c r="E268" s="96" t="str">
        <f>IFERROR(__xludf.DUMMYFUNCTION("""COMPUTED_VALUE"""),"SALAC")</f>
        <v>SALAC</v>
      </c>
      <c r="F268" s="96" t="str">
        <f>IFERROR(__xludf.DUMMYFUNCTION("""COMPUTED_VALUE"""),"ROMEO")</f>
        <v>ROMEO</v>
      </c>
    </row>
    <row r="269">
      <c r="A269" s="131">
        <f>IFERROR(__xludf.DUMMYFUNCTION("""COMPUTED_VALUE"""),1233.0)</f>
        <v>1233</v>
      </c>
      <c r="B269" s="131"/>
      <c r="C269" s="131">
        <f>IFERROR(__xludf.DUMMYFUNCTION("""COMPUTED_VALUE"""),1230.0)</f>
        <v>1230</v>
      </c>
      <c r="D269" s="131"/>
      <c r="E269" s="96" t="str">
        <f>IFERROR(__xludf.DUMMYFUNCTION("""COMPUTED_VALUE"""),"GREGORIO")</f>
        <v>GREGORIO</v>
      </c>
      <c r="F269" s="96" t="str">
        <f>IFERROR(__xludf.DUMMYFUNCTION("""COMPUTED_VALUE"""),"MARLOU")</f>
        <v>MARLOU</v>
      </c>
    </row>
    <row r="270">
      <c r="A270" s="131">
        <f>IFERROR(__xludf.DUMMYFUNCTION("""COMPUTED_VALUE"""),1234.0)</f>
        <v>1234</v>
      </c>
      <c r="B270" s="131"/>
      <c r="C270" s="131">
        <f>IFERROR(__xludf.DUMMYFUNCTION("""COMPUTED_VALUE"""),1230.0)</f>
        <v>1230</v>
      </c>
      <c r="D270" s="131"/>
      <c r="E270" s="96" t="str">
        <f>IFERROR(__xludf.DUMMYFUNCTION("""COMPUTED_VALUE"""),"SOMERA")</f>
        <v>SOMERA</v>
      </c>
      <c r="F270" s="96" t="str">
        <f>IFERROR(__xludf.DUMMYFUNCTION("""COMPUTED_VALUE"""),"JAY")</f>
        <v>JAY</v>
      </c>
    </row>
    <row r="271">
      <c r="A271" s="131">
        <f>IFERROR(__xludf.DUMMYFUNCTION("""COMPUTED_VALUE"""),1235.0)</f>
        <v>1235</v>
      </c>
      <c r="B271" s="131"/>
      <c r="C271" s="131">
        <f>IFERROR(__xludf.DUMMYFUNCTION("""COMPUTED_VALUE"""),1230.0)</f>
        <v>1230</v>
      </c>
      <c r="D271" s="131"/>
      <c r="E271" s="96" t="str">
        <f>IFERROR(__xludf.DUMMYFUNCTION("""COMPUTED_VALUE"""),"MALIWAT")</f>
        <v>MALIWAT</v>
      </c>
      <c r="F271" s="96" t="str">
        <f>IFERROR(__xludf.DUMMYFUNCTION("""COMPUTED_VALUE"""),"LEO")</f>
        <v>LEO</v>
      </c>
    </row>
    <row r="272">
      <c r="A272" s="131"/>
      <c r="B272" s="131"/>
      <c r="C272" s="131"/>
      <c r="D272" s="131"/>
      <c r="E272" s="96"/>
      <c r="F272" s="96"/>
    </row>
    <row r="273">
      <c r="A273" s="131">
        <f>IFERROR(__xludf.DUMMYFUNCTION("""COMPUTED_VALUE"""),1236.0)</f>
        <v>1236</v>
      </c>
      <c r="B273" s="131"/>
      <c r="C273" s="131">
        <f>IFERROR(__xludf.DUMMYFUNCTION("""COMPUTED_VALUE"""),1236.0)</f>
        <v>1236</v>
      </c>
      <c r="D273" s="131" t="b">
        <f>IFERROR(__xludf.DUMMYFUNCTION("""COMPUTED_VALUE"""),TRUE)</f>
        <v>1</v>
      </c>
      <c r="E273" s="96" t="str">
        <f>IFERROR(__xludf.DUMMYFUNCTION("""COMPUTED_VALUE"""),"RETAMAR")</f>
        <v>RETAMAR</v>
      </c>
      <c r="F273" s="96" t="str">
        <f>IFERROR(__xludf.DUMMYFUNCTION("""COMPUTED_VALUE"""),"ELENA")</f>
        <v>ELENA</v>
      </c>
    </row>
    <row r="274">
      <c r="A274" s="131">
        <f>IFERROR(__xludf.DUMMYFUNCTION("""COMPUTED_VALUE"""),1237.0)</f>
        <v>1237</v>
      </c>
      <c r="B274" s="131"/>
      <c r="C274" s="131">
        <f>IFERROR(__xludf.DUMMYFUNCTION("""COMPUTED_VALUE"""),1236.0)</f>
        <v>1236</v>
      </c>
      <c r="D274" s="131"/>
      <c r="E274" s="98" t="str">
        <f>IFERROR(__xludf.DUMMYFUNCTION("""COMPUTED_VALUE"""),"VILLA")</f>
        <v>VILLA</v>
      </c>
      <c r="F274" s="96" t="str">
        <f>IFERROR(__xludf.DUMMYFUNCTION("""COMPUTED_VALUE"""),"WENG NIONES")</f>
        <v>WENG NIONES</v>
      </c>
    </row>
    <row r="275">
      <c r="A275" s="131">
        <f>IFERROR(__xludf.DUMMYFUNCTION("""COMPUTED_VALUE"""),1238.0)</f>
        <v>1238</v>
      </c>
      <c r="B275" s="131"/>
      <c r="C275" s="131">
        <f>IFERROR(__xludf.DUMMYFUNCTION("""COMPUTED_VALUE"""),1236.0)</f>
        <v>1236</v>
      </c>
      <c r="D275" s="131"/>
      <c r="E275" s="99" t="str">
        <f>IFERROR(__xludf.DUMMYFUNCTION("""COMPUTED_VALUE"""),"V")</f>
        <v>V</v>
      </c>
      <c r="F275" s="99" t="str">
        <f>IFERROR(__xludf.DUMMYFUNCTION("""COMPUTED_VALUE"""),"ROSE")</f>
        <v>ROSE</v>
      </c>
    </row>
    <row r="276">
      <c r="A276" s="131">
        <f>IFERROR(__xludf.DUMMYFUNCTION("""COMPUTED_VALUE"""),1239.0)</f>
        <v>1239</v>
      </c>
      <c r="B276" s="131"/>
      <c r="C276" s="131">
        <f>IFERROR(__xludf.DUMMYFUNCTION("""COMPUTED_VALUE"""),1236.0)</f>
        <v>1236</v>
      </c>
      <c r="D276" s="131"/>
      <c r="E276" s="100" t="str">
        <f>IFERROR(__xludf.DUMMYFUNCTION("""COMPUTED_VALUE"""),"DATO")</f>
        <v>DATO</v>
      </c>
      <c r="F276" s="100" t="str">
        <f>IFERROR(__xludf.DUMMYFUNCTION("""COMPUTED_VALUE"""),"EVELYN")</f>
        <v>EVELYN</v>
      </c>
    </row>
    <row r="277">
      <c r="A277" s="131">
        <f>IFERROR(__xludf.DUMMYFUNCTION("""COMPUTED_VALUE"""),1240.0)</f>
        <v>1240</v>
      </c>
      <c r="B277" s="131"/>
      <c r="C277" s="131">
        <f>IFERROR(__xludf.DUMMYFUNCTION("""COMPUTED_VALUE"""),1236.0)</f>
        <v>1236</v>
      </c>
      <c r="D277" s="131"/>
      <c r="E277" s="100"/>
      <c r="F277" s="100" t="str">
        <f>IFERROR(__xludf.DUMMYFUNCTION("""COMPUTED_VALUE"""),"ELIZABETH")</f>
        <v>ELIZABETH</v>
      </c>
    </row>
    <row r="278">
      <c r="A278" s="131">
        <f>IFERROR(__xludf.DUMMYFUNCTION("""COMPUTED_VALUE"""),1241.0)</f>
        <v>1241</v>
      </c>
      <c r="B278" s="131"/>
      <c r="C278" s="131">
        <f>IFERROR(__xludf.DUMMYFUNCTION("""COMPUTED_VALUE"""),1236.0)</f>
        <v>1236</v>
      </c>
      <c r="D278" s="131"/>
      <c r="E278" s="100"/>
      <c r="F278" s="100" t="str">
        <f>IFERROR(__xludf.DUMMYFUNCTION("""COMPUTED_VALUE"""),"WINNIE")</f>
        <v>WINNIE</v>
      </c>
    </row>
    <row r="279">
      <c r="A279" s="131">
        <f>IFERROR(__xludf.DUMMYFUNCTION("""COMPUTED_VALUE"""),1242.0)</f>
        <v>1242</v>
      </c>
      <c r="B279" s="131"/>
      <c r="C279" s="131">
        <f>IFERROR(__xludf.DUMMYFUNCTION("""COMPUTED_VALUE"""),1236.0)</f>
        <v>1236</v>
      </c>
      <c r="D279" s="131"/>
      <c r="E279" s="100"/>
      <c r="F279" s="100" t="str">
        <f>IFERROR(__xludf.DUMMYFUNCTION("""COMPUTED_VALUE"""),"MALOU")</f>
        <v>MALOU</v>
      </c>
    </row>
    <row r="280">
      <c r="A280" s="131">
        <f>IFERROR(__xludf.DUMMYFUNCTION("""COMPUTED_VALUE"""),1243.0)</f>
        <v>1243</v>
      </c>
      <c r="B280" s="131"/>
      <c r="C280" s="131">
        <f>IFERROR(__xludf.DUMMYFUNCTION("""COMPUTED_VALUE"""),1236.0)</f>
        <v>1236</v>
      </c>
      <c r="D280" s="131"/>
      <c r="E280" s="100" t="str">
        <f>IFERROR(__xludf.DUMMYFUNCTION("""COMPUTED_VALUE"""),"TOLEDO")</f>
        <v>TOLEDO</v>
      </c>
      <c r="F280" s="100" t="str">
        <f>IFERROR(__xludf.DUMMYFUNCTION("""COMPUTED_VALUE"""),"MAYE")</f>
        <v>MAYE</v>
      </c>
    </row>
    <row r="281">
      <c r="A281" s="131">
        <f>IFERROR(__xludf.DUMMYFUNCTION("""COMPUTED_VALUE"""),1244.0)</f>
        <v>1244</v>
      </c>
      <c r="B281" s="131"/>
      <c r="C281" s="131">
        <f>IFERROR(__xludf.DUMMYFUNCTION("""COMPUTED_VALUE"""),1236.0)</f>
        <v>1236</v>
      </c>
      <c r="D281" s="131"/>
      <c r="E281" s="100" t="str">
        <f>IFERROR(__xludf.DUMMYFUNCTION("""COMPUTED_VALUE"""),"LIM")</f>
        <v>LIM</v>
      </c>
      <c r="F281" s="100" t="str">
        <f>IFERROR(__xludf.DUMMYFUNCTION("""COMPUTED_VALUE"""),"GRACE")</f>
        <v>GRACE</v>
      </c>
    </row>
    <row r="282">
      <c r="A282" s="131">
        <f>IFERROR(__xludf.DUMMYFUNCTION("""COMPUTED_VALUE"""),1245.0)</f>
        <v>1245</v>
      </c>
      <c r="B282" s="131"/>
      <c r="C282" s="131">
        <f>IFERROR(__xludf.DUMMYFUNCTION("""COMPUTED_VALUE"""),1236.0)</f>
        <v>1236</v>
      </c>
      <c r="D282" s="131"/>
      <c r="E282" s="100" t="str">
        <f>IFERROR(__xludf.DUMMYFUNCTION("""COMPUTED_VALUE"""),"CALUALHATIAN")</f>
        <v>CALUALHATIAN</v>
      </c>
      <c r="F282" s="100" t="str">
        <f>IFERROR(__xludf.DUMMYFUNCTION("""COMPUTED_VALUE"""),"ADELAIDA")</f>
        <v>ADELAIDA</v>
      </c>
    </row>
    <row r="283">
      <c r="A283" s="131">
        <f>IFERROR(__xludf.DUMMYFUNCTION("""COMPUTED_VALUE"""),1246.0)</f>
        <v>1246</v>
      </c>
      <c r="B283" s="131"/>
      <c r="C283" s="131">
        <f>IFERROR(__xludf.DUMMYFUNCTION("""COMPUTED_VALUE"""),1236.0)</f>
        <v>1236</v>
      </c>
      <c r="D283" s="131"/>
      <c r="E283" s="101" t="str">
        <f>IFERROR(__xludf.DUMMYFUNCTION("""COMPUTED_VALUE"""),"CALUALHATIAN")</f>
        <v>CALUALHATIAN</v>
      </c>
      <c r="F283" s="101" t="str">
        <f>IFERROR(__xludf.DUMMYFUNCTION("""COMPUTED_VALUE"""),"DAHNA")</f>
        <v>DAHNA</v>
      </c>
    </row>
    <row r="284">
      <c r="A284" s="131">
        <f>IFERROR(__xludf.DUMMYFUNCTION("""COMPUTED_VALUE"""),1247.0)</f>
        <v>1247</v>
      </c>
      <c r="B284" s="131"/>
      <c r="C284" s="131">
        <f>IFERROR(__xludf.DUMMYFUNCTION("""COMPUTED_VALUE"""),1236.0)</f>
        <v>1236</v>
      </c>
      <c r="D284" s="131"/>
      <c r="E284" s="100" t="str">
        <f>IFERROR(__xludf.DUMMYFUNCTION("""COMPUTED_VALUE"""),"SEXON")</f>
        <v>SEXON</v>
      </c>
      <c r="F284" s="100" t="str">
        <f>IFERROR(__xludf.DUMMYFUNCTION("""COMPUTED_VALUE"""),"MARILYN")</f>
        <v>MARILYN</v>
      </c>
    </row>
    <row r="285">
      <c r="A285" s="131">
        <f>IFERROR(__xludf.DUMMYFUNCTION("""COMPUTED_VALUE"""),1248.0)</f>
        <v>1248</v>
      </c>
      <c r="B285" s="131"/>
      <c r="C285" s="131">
        <f>IFERROR(__xludf.DUMMYFUNCTION("""COMPUTED_VALUE"""),1236.0)</f>
        <v>1236</v>
      </c>
      <c r="D285" s="131"/>
      <c r="E285" s="100" t="str">
        <f>IFERROR(__xludf.DUMMYFUNCTION("""COMPUTED_VALUE"""),"CALUALHATIAN")</f>
        <v>CALUALHATIAN</v>
      </c>
      <c r="F285" s="100" t="str">
        <f>IFERROR(__xludf.DUMMYFUNCTION("""COMPUTED_VALUE"""),"DANIKKA")</f>
        <v>DANIKKA</v>
      </c>
    </row>
    <row r="286">
      <c r="A286" s="131">
        <f>IFERROR(__xludf.DUMMYFUNCTION("""COMPUTED_VALUE"""),1249.0)</f>
        <v>1249</v>
      </c>
      <c r="B286" s="131"/>
      <c r="C286" s="131">
        <f>IFERROR(__xludf.DUMMYFUNCTION("""COMPUTED_VALUE"""),1236.0)</f>
        <v>1236</v>
      </c>
      <c r="D286" s="131"/>
      <c r="E286" s="102" t="str">
        <f>IFERROR(__xludf.DUMMYFUNCTION("""COMPUTED_VALUE"""),"CODILLA")</f>
        <v>CODILLA</v>
      </c>
      <c r="F286" s="102" t="str">
        <f>IFERROR(__xludf.DUMMYFUNCTION("""COMPUTED_VALUE"""),"CORY")</f>
        <v>CORY</v>
      </c>
    </row>
    <row r="287">
      <c r="A287" s="131">
        <f>IFERROR(__xludf.DUMMYFUNCTION("""COMPUTED_VALUE"""),1250.0)</f>
        <v>1250</v>
      </c>
      <c r="B287" s="131"/>
      <c r="C287" s="131">
        <f>IFERROR(__xludf.DUMMYFUNCTION("""COMPUTED_VALUE"""),1236.0)</f>
        <v>1236</v>
      </c>
      <c r="D287" s="131"/>
      <c r="E287" s="103" t="str">
        <f>IFERROR(__xludf.DUMMYFUNCTION("""COMPUTED_VALUE"""),"LANGITAN")</f>
        <v>LANGITAN</v>
      </c>
      <c r="F287" s="103" t="str">
        <f>IFERROR(__xludf.DUMMYFUNCTION("""COMPUTED_VALUE"""),"SARAH")</f>
        <v>SARAH</v>
      </c>
    </row>
    <row r="288">
      <c r="A288" s="131">
        <f>IFERROR(__xludf.DUMMYFUNCTION("""COMPUTED_VALUE"""),1251.0)</f>
        <v>1251</v>
      </c>
      <c r="B288" s="131"/>
      <c r="C288" s="131">
        <f>IFERROR(__xludf.DUMMYFUNCTION("""COMPUTED_VALUE"""),1236.0)</f>
        <v>1236</v>
      </c>
      <c r="D288" s="131"/>
      <c r="E288" s="103" t="str">
        <f>IFERROR(__xludf.DUMMYFUNCTION("""COMPUTED_VALUE"""),"LACONSAY")</f>
        <v>LACONSAY</v>
      </c>
      <c r="F288" s="103" t="str">
        <f>IFERROR(__xludf.DUMMYFUNCTION("""COMPUTED_VALUE"""),"MA. LOURDES")</f>
        <v>MA. LOURDES</v>
      </c>
    </row>
    <row r="289">
      <c r="A289" s="131">
        <f>IFERROR(__xludf.DUMMYFUNCTION("""COMPUTED_VALUE"""),1252.0)</f>
        <v>1252</v>
      </c>
      <c r="B289" s="131"/>
      <c r="C289" s="131">
        <f>IFERROR(__xludf.DUMMYFUNCTION("""COMPUTED_VALUE"""),1236.0)</f>
        <v>1236</v>
      </c>
      <c r="D289" s="131"/>
      <c r="E289" s="102" t="str">
        <f>IFERROR(__xludf.DUMMYFUNCTION("""COMPUTED_VALUE"""),"LACONSAY")</f>
        <v>LACONSAY</v>
      </c>
      <c r="F289" s="103" t="str">
        <f>IFERROR(__xludf.DUMMYFUNCTION("""COMPUTED_VALUE"""),"MA. ELENA")</f>
        <v>MA. ELENA</v>
      </c>
    </row>
    <row r="290">
      <c r="A290" s="131">
        <f>IFERROR(__xludf.DUMMYFUNCTION("""COMPUTED_VALUE"""),1253.0)</f>
        <v>1253</v>
      </c>
      <c r="B290" s="131"/>
      <c r="C290" s="131">
        <f>IFERROR(__xludf.DUMMYFUNCTION("""COMPUTED_VALUE"""),1236.0)</f>
        <v>1236</v>
      </c>
      <c r="D290" s="131"/>
      <c r="E290" s="103" t="str">
        <f>IFERROR(__xludf.DUMMYFUNCTION("""COMPUTED_VALUE"""),"MENOSO")</f>
        <v>MENOSO</v>
      </c>
      <c r="F290" s="103" t="str">
        <f>IFERROR(__xludf.DUMMYFUNCTION("""COMPUTED_VALUE"""),"DANICA")</f>
        <v>DANICA</v>
      </c>
    </row>
    <row r="291">
      <c r="A291" s="131">
        <f>IFERROR(__xludf.DUMMYFUNCTION("""COMPUTED_VALUE"""),1254.0)</f>
        <v>1254</v>
      </c>
      <c r="B291" s="131"/>
      <c r="C291" s="131">
        <f>IFERROR(__xludf.DUMMYFUNCTION("""COMPUTED_VALUE"""),1236.0)</f>
        <v>1236</v>
      </c>
      <c r="D291" s="131"/>
      <c r="E291" s="103"/>
      <c r="F291" s="103" t="str">
        <f>IFERROR(__xludf.DUMMYFUNCTION("""COMPUTED_VALUE"""),"AGNES")</f>
        <v>AGNES</v>
      </c>
    </row>
    <row r="292">
      <c r="A292" s="131"/>
      <c r="B292" s="131"/>
      <c r="C292" s="131"/>
      <c r="D292" s="131"/>
      <c r="E292" s="103"/>
      <c r="F292" s="103"/>
    </row>
    <row r="293">
      <c r="A293" s="131">
        <f>IFERROR(__xludf.DUMMYFUNCTION("""COMPUTED_VALUE"""),1255.0)</f>
        <v>1255</v>
      </c>
      <c r="B293" s="131"/>
      <c r="C293" s="131">
        <f>IFERROR(__xludf.DUMMYFUNCTION("""COMPUTED_VALUE"""),1255.0)</f>
        <v>1255</v>
      </c>
      <c r="D293" s="131" t="b">
        <f>IFERROR(__xludf.DUMMYFUNCTION("""COMPUTED_VALUE"""),TRUE)</f>
        <v>1</v>
      </c>
      <c r="E293" s="103" t="str">
        <f>IFERROR(__xludf.DUMMYFUNCTION("""COMPUTED_VALUE"""),"VERTODAZO")</f>
        <v>VERTODAZO</v>
      </c>
      <c r="F293" s="103" t="str">
        <f>IFERROR(__xludf.DUMMYFUNCTION("""COMPUTED_VALUE"""),"MONETH")</f>
        <v>MONETH</v>
      </c>
    </row>
    <row r="294">
      <c r="A294" s="131">
        <f>IFERROR(__xludf.DUMMYFUNCTION("""COMPUTED_VALUE"""),1256.0)</f>
        <v>1256</v>
      </c>
      <c r="B294" s="131"/>
      <c r="C294" s="131">
        <f>IFERROR(__xludf.DUMMYFUNCTION("""COMPUTED_VALUE"""),1255.0)</f>
        <v>1255</v>
      </c>
      <c r="D294" s="131"/>
      <c r="E294" s="103" t="str">
        <f>IFERROR(__xludf.DUMMYFUNCTION("""COMPUTED_VALUE"""),"SOMERA")</f>
        <v>SOMERA</v>
      </c>
      <c r="F294" s="103" t="str">
        <f>IFERROR(__xludf.DUMMYFUNCTION("""COMPUTED_VALUE"""),"CHA")</f>
        <v>CHA</v>
      </c>
    </row>
    <row r="295">
      <c r="A295" s="131">
        <f>IFERROR(__xludf.DUMMYFUNCTION("""COMPUTED_VALUE"""),1257.0)</f>
        <v>1257</v>
      </c>
      <c r="B295" s="131"/>
      <c r="C295" s="131">
        <f>IFERROR(__xludf.DUMMYFUNCTION("""COMPUTED_VALUE"""),1255.0)</f>
        <v>1255</v>
      </c>
      <c r="D295" s="131"/>
      <c r="E295" s="103" t="str">
        <f>IFERROR(__xludf.DUMMYFUNCTION("""COMPUTED_VALUE"""),"MAGDUAY")</f>
        <v>MAGDUAY</v>
      </c>
      <c r="F295" s="103" t="str">
        <f>IFERROR(__xludf.DUMMYFUNCTION("""COMPUTED_VALUE"""),"HEIDEE")</f>
        <v>HEIDEE</v>
      </c>
    </row>
    <row r="296">
      <c r="A296" s="131">
        <f>IFERROR(__xludf.DUMMYFUNCTION("""COMPUTED_VALUE"""),1258.0)</f>
        <v>1258</v>
      </c>
      <c r="B296" s="131"/>
      <c r="C296" s="131">
        <f>IFERROR(__xludf.DUMMYFUNCTION("""COMPUTED_VALUE"""),1255.0)</f>
        <v>1255</v>
      </c>
      <c r="D296" s="131"/>
      <c r="E296" s="103" t="str">
        <f>IFERROR(__xludf.DUMMYFUNCTION("""COMPUTED_VALUE"""),"TANDUL")</f>
        <v>TANDUL</v>
      </c>
      <c r="F296" s="103" t="str">
        <f>IFERROR(__xludf.DUMMYFUNCTION("""COMPUTED_VALUE"""),"RAQUEL")</f>
        <v>RAQUEL</v>
      </c>
    </row>
    <row r="297">
      <c r="A297" s="131">
        <f>IFERROR(__xludf.DUMMYFUNCTION("""COMPUTED_VALUE"""),1259.0)</f>
        <v>1259</v>
      </c>
      <c r="B297" s="131"/>
      <c r="C297" s="131">
        <f>IFERROR(__xludf.DUMMYFUNCTION("""COMPUTED_VALUE"""),1255.0)</f>
        <v>1255</v>
      </c>
      <c r="D297" s="131"/>
      <c r="E297" s="103" t="str">
        <f>IFERROR(__xludf.DUMMYFUNCTION("""COMPUTED_VALUE"""),"ARTICULO")</f>
        <v>ARTICULO</v>
      </c>
      <c r="F297" s="103" t="str">
        <f>IFERROR(__xludf.DUMMYFUNCTION("""COMPUTED_VALUE"""),"LEILA M.")</f>
        <v>LEILA M.</v>
      </c>
    </row>
    <row r="298">
      <c r="A298" s="131">
        <f>IFERROR(__xludf.DUMMYFUNCTION("""COMPUTED_VALUE"""),1260.0)</f>
        <v>1260</v>
      </c>
      <c r="B298" s="131"/>
      <c r="C298" s="131">
        <f>IFERROR(__xludf.DUMMYFUNCTION("""COMPUTED_VALUE"""),1255.0)</f>
        <v>1255</v>
      </c>
      <c r="D298" s="131"/>
      <c r="E298" s="103" t="str">
        <f>IFERROR(__xludf.DUMMYFUNCTION("""COMPUTED_VALUE"""),"BALDONADO")</f>
        <v>BALDONADO</v>
      </c>
      <c r="F298" s="103" t="str">
        <f>IFERROR(__xludf.DUMMYFUNCTION("""COMPUTED_VALUE"""),"JULIETA")</f>
        <v>JULIETA</v>
      </c>
    </row>
    <row r="299">
      <c r="A299" s="131">
        <f>IFERROR(__xludf.DUMMYFUNCTION("""COMPUTED_VALUE"""),1261.0)</f>
        <v>1261</v>
      </c>
      <c r="B299" s="131"/>
      <c r="C299" s="131">
        <f>IFERROR(__xludf.DUMMYFUNCTION("""COMPUTED_VALUE"""),1255.0)</f>
        <v>1255</v>
      </c>
      <c r="D299" s="131"/>
      <c r="E299" s="103" t="str">
        <f>IFERROR(__xludf.DUMMYFUNCTION("""COMPUTED_VALUE"""),"CARLOS")</f>
        <v>CARLOS</v>
      </c>
      <c r="F299" s="103" t="str">
        <f>IFERROR(__xludf.DUMMYFUNCTION("""COMPUTED_VALUE"""),"ANTONETTE M.")</f>
        <v>ANTONETTE M.</v>
      </c>
    </row>
    <row r="300">
      <c r="A300" s="131">
        <f>IFERROR(__xludf.DUMMYFUNCTION("""COMPUTED_VALUE"""),1262.0)</f>
        <v>1262</v>
      </c>
      <c r="B300" s="131"/>
      <c r="C300" s="131">
        <f>IFERROR(__xludf.DUMMYFUNCTION("""COMPUTED_VALUE"""),1255.0)</f>
        <v>1255</v>
      </c>
      <c r="D300" s="131"/>
      <c r="E300" s="103" t="str">
        <f>IFERROR(__xludf.DUMMYFUNCTION("""COMPUTED_VALUE"""),"INCARNATION")</f>
        <v>INCARNATION</v>
      </c>
      <c r="F300" s="103" t="str">
        <f>IFERROR(__xludf.DUMMYFUNCTION("""COMPUTED_VALUE"""),"LUCILA")</f>
        <v>LUCILA</v>
      </c>
    </row>
    <row r="301">
      <c r="A301" s="131">
        <f>IFERROR(__xludf.DUMMYFUNCTION("""COMPUTED_VALUE"""),1263.0)</f>
        <v>1263</v>
      </c>
      <c r="B301" s="131"/>
      <c r="C301" s="131">
        <f>IFERROR(__xludf.DUMMYFUNCTION("""COMPUTED_VALUE"""),1255.0)</f>
        <v>1255</v>
      </c>
      <c r="D301" s="131"/>
      <c r="E301" s="103" t="str">
        <f>IFERROR(__xludf.DUMMYFUNCTION("""COMPUTED_VALUE"""),"MAGAT")</f>
        <v>MAGAT</v>
      </c>
      <c r="F301" s="103" t="str">
        <f>IFERROR(__xludf.DUMMYFUNCTION("""COMPUTED_VALUE"""),"SYLVIA")</f>
        <v>SYLVIA</v>
      </c>
    </row>
    <row r="302">
      <c r="A302" s="131">
        <f>IFERROR(__xludf.DUMMYFUNCTION("""COMPUTED_VALUE"""),1264.0)</f>
        <v>1264</v>
      </c>
      <c r="B302" s="131"/>
      <c r="C302" s="131">
        <f>IFERROR(__xludf.DUMMYFUNCTION("""COMPUTED_VALUE"""),1255.0)</f>
        <v>1255</v>
      </c>
      <c r="D302" s="131"/>
      <c r="E302" s="103" t="str">
        <f>IFERROR(__xludf.DUMMYFUNCTION("""COMPUTED_VALUE"""),"MAGAT")</f>
        <v>MAGAT</v>
      </c>
      <c r="F302" s="103" t="str">
        <f>IFERROR(__xludf.DUMMYFUNCTION("""COMPUTED_VALUE"""),"JOSEPHINA")</f>
        <v>JOSEPHINA</v>
      </c>
    </row>
    <row r="303">
      <c r="A303" s="131">
        <f>IFERROR(__xludf.DUMMYFUNCTION("""COMPUTED_VALUE"""),1265.0)</f>
        <v>1265</v>
      </c>
      <c r="B303" s="131"/>
      <c r="C303" s="131">
        <f>IFERROR(__xludf.DUMMYFUNCTION("""COMPUTED_VALUE"""),1255.0)</f>
        <v>1255</v>
      </c>
      <c r="D303" s="131"/>
      <c r="E303" s="103" t="str">
        <f>IFERROR(__xludf.DUMMYFUNCTION("""COMPUTED_VALUE"""),"VILLARTA")</f>
        <v>VILLARTA</v>
      </c>
      <c r="F303" s="103" t="str">
        <f>IFERROR(__xludf.DUMMYFUNCTION("""COMPUTED_VALUE"""),"JESSICA")</f>
        <v>JESSICA</v>
      </c>
    </row>
    <row r="304">
      <c r="A304" s="131">
        <f>IFERROR(__xludf.DUMMYFUNCTION("""COMPUTED_VALUE"""),1266.0)</f>
        <v>1266</v>
      </c>
      <c r="B304" s="131"/>
      <c r="C304" s="131">
        <f>IFERROR(__xludf.DUMMYFUNCTION("""COMPUTED_VALUE"""),1255.0)</f>
        <v>1255</v>
      </c>
      <c r="D304" s="131"/>
      <c r="E304" s="99" t="str">
        <f>IFERROR(__xludf.DUMMYFUNCTION("""COMPUTED_VALUE"""),"MORAL")</f>
        <v>MORAL</v>
      </c>
      <c r="F304" s="99" t="str">
        <f>IFERROR(__xludf.DUMMYFUNCTION("""COMPUTED_VALUE"""),"LUCHELLE")</f>
        <v>LUCHELLE</v>
      </c>
    </row>
    <row r="305">
      <c r="A305" s="131">
        <f>IFERROR(__xludf.DUMMYFUNCTION("""COMPUTED_VALUE"""),1267.0)</f>
        <v>1267</v>
      </c>
      <c r="B305" s="131"/>
      <c r="C305" s="131">
        <f>IFERROR(__xludf.DUMMYFUNCTION("""COMPUTED_VALUE"""),1255.0)</f>
        <v>1255</v>
      </c>
      <c r="D305" s="131"/>
      <c r="E305" s="100" t="str">
        <f>IFERROR(__xludf.DUMMYFUNCTION("""COMPUTED_VALUE"""),"BRUSOLA")</f>
        <v>BRUSOLA</v>
      </c>
      <c r="F305" s="100" t="str">
        <f>IFERROR(__xludf.DUMMYFUNCTION("""COMPUTED_VALUE"""),"MERLY")</f>
        <v>MERLY</v>
      </c>
    </row>
    <row r="306">
      <c r="A306" s="131">
        <f>IFERROR(__xludf.DUMMYFUNCTION("""COMPUTED_VALUE"""),1268.0)</f>
        <v>1268</v>
      </c>
      <c r="B306" s="131"/>
      <c r="C306" s="131">
        <f>IFERROR(__xludf.DUMMYFUNCTION("""COMPUTED_VALUE"""),1255.0)</f>
        <v>1255</v>
      </c>
      <c r="D306" s="131"/>
      <c r="E306" s="100" t="str">
        <f>IFERROR(__xludf.DUMMYFUNCTION("""COMPUTED_VALUE"""),"TARINAY")</f>
        <v>TARINAY</v>
      </c>
      <c r="F306" s="100" t="str">
        <f>IFERROR(__xludf.DUMMYFUNCTION("""COMPUTED_VALUE"""),"MARILYN")</f>
        <v>MARILYN</v>
      </c>
    </row>
    <row r="307">
      <c r="A307" s="131">
        <f>IFERROR(__xludf.DUMMYFUNCTION("""COMPUTED_VALUE"""),1269.0)</f>
        <v>1269</v>
      </c>
      <c r="B307" s="131"/>
      <c r="C307" s="131">
        <f>IFERROR(__xludf.DUMMYFUNCTION("""COMPUTED_VALUE"""),1255.0)</f>
        <v>1255</v>
      </c>
      <c r="D307" s="131"/>
      <c r="E307" s="100" t="str">
        <f>IFERROR(__xludf.DUMMYFUNCTION("""COMPUTED_VALUE"""),"VARGAS")</f>
        <v>VARGAS</v>
      </c>
      <c r="F307" s="100" t="str">
        <f>IFERROR(__xludf.DUMMYFUNCTION("""COMPUTED_VALUE"""),"VILMA")</f>
        <v>VILMA</v>
      </c>
    </row>
    <row r="308">
      <c r="A308" s="131">
        <f>IFERROR(__xludf.DUMMYFUNCTION("""COMPUTED_VALUE"""),1270.0)</f>
        <v>1270</v>
      </c>
      <c r="B308" s="131"/>
      <c r="C308" s="131">
        <f>IFERROR(__xludf.DUMMYFUNCTION("""COMPUTED_VALUE"""),1255.0)</f>
        <v>1255</v>
      </c>
      <c r="D308" s="131"/>
      <c r="E308" s="100" t="str">
        <f>IFERROR(__xludf.DUMMYFUNCTION("""COMPUTED_VALUE"""),"GAPAS")</f>
        <v>GAPAS</v>
      </c>
      <c r="F308" s="100" t="str">
        <f>IFERROR(__xludf.DUMMYFUNCTION("""COMPUTED_VALUE"""),"EDITH")</f>
        <v>EDITH</v>
      </c>
    </row>
    <row r="309">
      <c r="A309" s="131">
        <f>IFERROR(__xludf.DUMMYFUNCTION("""COMPUTED_VALUE"""),1271.0)</f>
        <v>1271</v>
      </c>
      <c r="B309" s="131"/>
      <c r="C309" s="131">
        <f>IFERROR(__xludf.DUMMYFUNCTION("""COMPUTED_VALUE"""),1255.0)</f>
        <v>1255</v>
      </c>
      <c r="D309" s="131"/>
      <c r="E309" s="100" t="str">
        <f>IFERROR(__xludf.DUMMYFUNCTION("""COMPUTED_VALUE"""),"PACHECO")</f>
        <v>PACHECO</v>
      </c>
      <c r="F309" s="100" t="str">
        <f>IFERROR(__xludf.DUMMYFUNCTION("""COMPUTED_VALUE"""),"CAROLINE")</f>
        <v>CAROLINE</v>
      </c>
    </row>
    <row r="310">
      <c r="A310" s="131">
        <f>IFERROR(__xludf.DUMMYFUNCTION("""COMPUTED_VALUE"""),1272.0)</f>
        <v>1272</v>
      </c>
      <c r="B310" s="131"/>
      <c r="C310" s="131">
        <f>IFERROR(__xludf.DUMMYFUNCTION("""COMPUTED_VALUE"""),1255.0)</f>
        <v>1255</v>
      </c>
      <c r="D310" s="131"/>
      <c r="E310" s="100" t="str">
        <f>IFERROR(__xludf.DUMMYFUNCTION("""COMPUTED_VALUE"""),"BACOSA")</f>
        <v>BACOSA</v>
      </c>
      <c r="F310" s="100" t="str">
        <f>IFERROR(__xludf.DUMMYFUNCTION("""COMPUTED_VALUE"""),"MAIDA")</f>
        <v>MAIDA</v>
      </c>
    </row>
    <row r="311">
      <c r="A311" s="131">
        <f>IFERROR(__xludf.DUMMYFUNCTION("""COMPUTED_VALUE"""),1273.0)</f>
        <v>1273</v>
      </c>
      <c r="B311" s="131"/>
      <c r="C311" s="131">
        <f>IFERROR(__xludf.DUMMYFUNCTION("""COMPUTED_VALUE"""),1255.0)</f>
        <v>1255</v>
      </c>
      <c r="D311" s="131"/>
      <c r="E311" s="100" t="str">
        <f>IFERROR(__xludf.DUMMYFUNCTION("""COMPUTED_VALUE"""),"LIM")</f>
        <v>LIM</v>
      </c>
      <c r="F311" s="100" t="str">
        <f>IFERROR(__xludf.DUMMYFUNCTION("""COMPUTED_VALUE"""),"LANIE")</f>
        <v>LANIE</v>
      </c>
    </row>
    <row r="312">
      <c r="A312" s="131">
        <f>IFERROR(__xludf.DUMMYFUNCTION("""COMPUTED_VALUE"""),1274.0)</f>
        <v>1274</v>
      </c>
      <c r="B312" s="131"/>
      <c r="C312" s="131">
        <f>IFERROR(__xludf.DUMMYFUNCTION("""COMPUTED_VALUE"""),1255.0)</f>
        <v>1255</v>
      </c>
      <c r="D312" s="131"/>
      <c r="E312" s="100" t="str">
        <f>IFERROR(__xludf.DUMMYFUNCTION("""COMPUTED_VALUE"""),"DELA VEGA")</f>
        <v>DELA VEGA</v>
      </c>
      <c r="F312" s="100" t="str">
        <f>IFERROR(__xludf.DUMMYFUNCTION("""COMPUTED_VALUE"""),"MAVIC")</f>
        <v>MAVIC</v>
      </c>
    </row>
    <row r="313">
      <c r="A313" s="131">
        <f>IFERROR(__xludf.DUMMYFUNCTION("""COMPUTED_VALUE"""),1275.0)</f>
        <v>1275</v>
      </c>
      <c r="B313" s="131"/>
      <c r="C313" s="131">
        <f>IFERROR(__xludf.DUMMYFUNCTION("""COMPUTED_VALUE"""),1255.0)</f>
        <v>1255</v>
      </c>
      <c r="D313" s="131"/>
      <c r="E313" s="100"/>
      <c r="F313" s="100" t="str">
        <f>IFERROR(__xludf.DUMMYFUNCTION("""COMPUTED_VALUE"""),"MILA M.")</f>
        <v>MILA M.</v>
      </c>
    </row>
    <row r="314">
      <c r="A314" s="131">
        <f>IFERROR(__xludf.DUMMYFUNCTION("""COMPUTED_VALUE"""),1276.0)</f>
        <v>1276</v>
      </c>
      <c r="B314" s="131"/>
      <c r="C314" s="131">
        <f>IFERROR(__xludf.DUMMYFUNCTION("""COMPUTED_VALUE"""),1230.0)</f>
        <v>1230</v>
      </c>
      <c r="D314" s="131"/>
      <c r="E314" s="100" t="str">
        <f>IFERROR(__xludf.DUMMYFUNCTION("""COMPUTED_VALUE"""),"TANDUL")</f>
        <v>TANDUL</v>
      </c>
      <c r="F314" s="100" t="str">
        <f>IFERROR(__xludf.DUMMYFUNCTION("""COMPUTED_VALUE"""),"ED")</f>
        <v>ED</v>
      </c>
    </row>
    <row r="315">
      <c r="A315" s="131">
        <f>IFERROR(__xludf.DUMMYFUNCTION("""COMPUTED_VALUE"""),1277.0)</f>
        <v>1277</v>
      </c>
      <c r="B315" s="131"/>
      <c r="C315" s="131">
        <f>IFERROR(__xludf.DUMMYFUNCTION("""COMPUTED_VALUE"""),1230.0)</f>
        <v>1230</v>
      </c>
      <c r="D315" s="131"/>
      <c r="E315" s="99" t="str">
        <f>IFERROR(__xludf.DUMMYFUNCTION("""COMPUTED_VALUE"""),"VILLA")</f>
        <v>VILLA</v>
      </c>
      <c r="F315" s="99" t="str">
        <f>IFERROR(__xludf.DUMMYFUNCTION("""COMPUTED_VALUE"""),"EDWARD")</f>
        <v>EDWARD</v>
      </c>
    </row>
    <row r="316">
      <c r="A316" s="131">
        <f>IFERROR(__xludf.DUMMYFUNCTION("""COMPUTED_VALUE"""),1278.0)</f>
        <v>1278</v>
      </c>
      <c r="B316" s="131"/>
      <c r="C316" s="131">
        <f>IFERROR(__xludf.DUMMYFUNCTION("""COMPUTED_VALUE"""),1230.0)</f>
        <v>1230</v>
      </c>
      <c r="D316" s="131"/>
      <c r="E316" s="100" t="str">
        <f>IFERROR(__xludf.DUMMYFUNCTION("""COMPUTED_VALUE"""),"RETAMAR")</f>
        <v>RETAMAR</v>
      </c>
      <c r="F316" s="100" t="str">
        <f>IFERROR(__xludf.DUMMYFUNCTION("""COMPUTED_VALUE"""),"GLEN")</f>
        <v>GLEN</v>
      </c>
    </row>
    <row r="317">
      <c r="A317" s="131">
        <f>IFERROR(__xludf.DUMMYFUNCTION("""COMPUTED_VALUE"""),1279.0)</f>
        <v>1279</v>
      </c>
      <c r="B317" s="131"/>
      <c r="C317" s="131">
        <f>IFERROR(__xludf.DUMMYFUNCTION("""COMPUTED_VALUE"""),1230.0)</f>
        <v>1230</v>
      </c>
      <c r="D317" s="131"/>
      <c r="E317" s="100" t="str">
        <f>IFERROR(__xludf.DUMMYFUNCTION("""COMPUTED_VALUE"""),"PASAYLON")</f>
        <v>PASAYLON</v>
      </c>
      <c r="F317" s="100" t="str">
        <f>IFERROR(__xludf.DUMMYFUNCTION("""COMPUTED_VALUE"""),"RAYMOND")</f>
        <v>RAYMOND</v>
      </c>
    </row>
    <row r="318">
      <c r="A318" s="131">
        <f>IFERROR(__xludf.DUMMYFUNCTION("""COMPUTED_VALUE"""),1280.0)</f>
        <v>1280</v>
      </c>
      <c r="B318" s="131"/>
      <c r="C318" s="131">
        <f>IFERROR(__xludf.DUMMYFUNCTION("""COMPUTED_VALUE"""),1230.0)</f>
        <v>1230</v>
      </c>
      <c r="D318" s="131"/>
      <c r="E318" s="100" t="str">
        <f>IFERROR(__xludf.DUMMYFUNCTION("""COMPUTED_VALUE"""),"CODILLA")</f>
        <v>CODILLA</v>
      </c>
      <c r="F318" s="100" t="str">
        <f>IFERROR(__xludf.DUMMYFUNCTION("""COMPUTED_VALUE"""),"JONNEL")</f>
        <v>JONNEL</v>
      </c>
    </row>
    <row r="319">
      <c r="A319" s="131">
        <f>IFERROR(__xludf.DUMMYFUNCTION("""COMPUTED_VALUE"""),1281.0)</f>
        <v>1281</v>
      </c>
      <c r="B319" s="131"/>
      <c r="C319" s="131">
        <f>IFERROR(__xludf.DUMMYFUNCTION("""COMPUTED_VALUE"""),1230.0)</f>
        <v>1230</v>
      </c>
      <c r="D319" s="131"/>
      <c r="E319" s="100" t="str">
        <f>IFERROR(__xludf.DUMMYFUNCTION("""COMPUTED_VALUE"""),"AZUL")</f>
        <v>AZUL</v>
      </c>
      <c r="F319" s="100" t="str">
        <f>IFERROR(__xludf.DUMMYFUNCTION("""COMPUTED_VALUE"""),"BENIE")</f>
        <v>BENIE</v>
      </c>
    </row>
    <row r="320">
      <c r="A320" s="131">
        <f>IFERROR(__xludf.DUMMYFUNCTION("""COMPUTED_VALUE"""),1282.0)</f>
        <v>1282</v>
      </c>
      <c r="B320" s="131"/>
      <c r="C320" s="131">
        <f>IFERROR(__xludf.DUMMYFUNCTION("""COMPUTED_VALUE"""),1230.0)</f>
        <v>1230</v>
      </c>
      <c r="D320" s="131"/>
      <c r="E320" s="100" t="str">
        <f>IFERROR(__xludf.DUMMYFUNCTION("""COMPUTED_VALUE"""),"E.")</f>
        <v>E.</v>
      </c>
      <c r="F320" s="100" t="str">
        <f>IFERROR(__xludf.DUMMYFUNCTION("""COMPUTED_VALUE"""),"MANNY")</f>
        <v>MANNY</v>
      </c>
    </row>
    <row r="321">
      <c r="A321" s="131"/>
      <c r="B321" s="131"/>
      <c r="C321" s="131"/>
      <c r="D321" s="131"/>
      <c r="E321" s="100"/>
      <c r="F321" s="100"/>
    </row>
    <row r="322">
      <c r="A322" s="131">
        <f>IFERROR(__xludf.DUMMYFUNCTION("""COMPUTED_VALUE"""),1283.0)</f>
        <v>1283</v>
      </c>
      <c r="B322" s="131"/>
      <c r="C322" s="131">
        <f>IFERROR(__xludf.DUMMYFUNCTION("""COMPUTED_VALUE"""),1283.0)</f>
        <v>1283</v>
      </c>
      <c r="D322" s="131" t="b">
        <f>IFERROR(__xludf.DUMMYFUNCTION("""COMPUTED_VALUE"""),TRUE)</f>
        <v>1</v>
      </c>
      <c r="E322" s="101" t="str">
        <f>IFERROR(__xludf.DUMMYFUNCTION("""COMPUTED_VALUE"""),"LIM")</f>
        <v>LIM</v>
      </c>
      <c r="F322" s="101" t="str">
        <f>IFERROR(__xludf.DUMMYFUNCTION("""COMPUTED_VALUE"""),"MARLINA")</f>
        <v>MARLINA</v>
      </c>
    </row>
    <row r="323">
      <c r="A323" s="131"/>
      <c r="B323" s="131"/>
      <c r="C323" s="131"/>
      <c r="D323" s="131"/>
      <c r="E323" s="101"/>
      <c r="F323" s="101"/>
    </row>
    <row r="324">
      <c r="A324" s="131"/>
      <c r="B324" s="131"/>
      <c r="C324" s="131"/>
      <c r="D324" s="131"/>
      <c r="E324" s="101"/>
      <c r="F324" s="101"/>
    </row>
    <row r="325">
      <c r="A325" s="131"/>
      <c r="B325" s="131"/>
      <c r="C325" s="131"/>
      <c r="D325" s="131"/>
      <c r="E325" s="101"/>
      <c r="F325" s="101"/>
    </row>
    <row r="326">
      <c r="A326" s="131"/>
      <c r="B326" s="131"/>
      <c r="C326" s="131"/>
      <c r="D326" s="131"/>
      <c r="E326" s="101"/>
      <c r="F326" s="101"/>
    </row>
    <row r="327">
      <c r="A327" s="131"/>
      <c r="B327" s="131"/>
      <c r="C327" s="131"/>
      <c r="D327" s="131"/>
      <c r="E327" s="105"/>
      <c r="F327" s="105"/>
    </row>
    <row r="328">
      <c r="A328" s="131"/>
      <c r="B328" s="131"/>
      <c r="C328" s="131"/>
      <c r="D328" s="131"/>
      <c r="E328" s="106"/>
      <c r="F328" s="106"/>
    </row>
    <row r="329">
      <c r="A329" s="131"/>
      <c r="B329" s="131"/>
      <c r="C329" s="131"/>
      <c r="D329" s="131"/>
      <c r="E329" s="107"/>
      <c r="F329" s="107"/>
    </row>
    <row r="330">
      <c r="A330" s="131"/>
      <c r="B330" s="131"/>
      <c r="C330" s="131"/>
      <c r="D330" s="131"/>
      <c r="E330" s="107"/>
      <c r="F330" s="107"/>
    </row>
    <row r="331">
      <c r="A331" s="131"/>
      <c r="B331" s="131"/>
      <c r="C331" s="131"/>
      <c r="D331" s="131"/>
      <c r="E331" s="108"/>
      <c r="F331" s="108"/>
    </row>
    <row r="332">
      <c r="A332" s="131"/>
      <c r="B332" s="131"/>
      <c r="C332" s="131"/>
      <c r="D332" s="131"/>
      <c r="E332" s="107"/>
      <c r="F332" s="107"/>
    </row>
    <row r="333">
      <c r="A333" s="131"/>
      <c r="B333" s="131"/>
      <c r="C333" s="131"/>
      <c r="D333" s="131"/>
      <c r="E333" s="106"/>
      <c r="F333" s="106"/>
    </row>
    <row r="334">
      <c r="A334" s="131"/>
      <c r="B334" s="131"/>
      <c r="C334" s="131"/>
      <c r="D334" s="131"/>
      <c r="E334" s="107"/>
      <c r="F334" s="107"/>
    </row>
    <row r="335">
      <c r="A335" s="131"/>
      <c r="B335" s="131"/>
      <c r="C335" s="131"/>
      <c r="D335" s="131"/>
      <c r="E335" s="107"/>
      <c r="F335" s="107"/>
    </row>
    <row r="336">
      <c r="A336" s="131"/>
      <c r="B336" s="131"/>
      <c r="C336" s="131"/>
      <c r="D336" s="131"/>
      <c r="E336" s="107"/>
      <c r="F336" s="107"/>
    </row>
    <row r="337">
      <c r="A337" s="131"/>
      <c r="B337" s="131"/>
      <c r="C337" s="131"/>
      <c r="D337" s="131"/>
      <c r="E337" s="107"/>
      <c r="F337" s="107"/>
    </row>
    <row r="338">
      <c r="A338" s="131"/>
      <c r="B338" s="131"/>
      <c r="C338" s="131"/>
      <c r="D338" s="131"/>
      <c r="E338" s="106"/>
      <c r="F338" s="106"/>
    </row>
    <row r="339">
      <c r="A339" s="131"/>
      <c r="B339" s="131"/>
      <c r="C339" s="131"/>
      <c r="D339" s="131"/>
      <c r="E339" s="107"/>
      <c r="F339" s="107"/>
    </row>
    <row r="340">
      <c r="A340" s="131"/>
      <c r="B340" s="131"/>
      <c r="C340" s="131"/>
      <c r="D340" s="131"/>
      <c r="E340" s="109"/>
      <c r="F340" s="109"/>
    </row>
    <row r="341">
      <c r="A341" s="131"/>
      <c r="B341" s="131"/>
      <c r="C341" s="131"/>
      <c r="D341" s="131"/>
      <c r="E341" s="110"/>
      <c r="F341" s="110"/>
    </row>
    <row r="342">
      <c r="A342" s="131"/>
      <c r="B342" s="131"/>
      <c r="C342" s="131"/>
      <c r="D342" s="131"/>
      <c r="E342" s="110"/>
      <c r="F342" s="110"/>
    </row>
    <row r="343">
      <c r="A343" s="131"/>
      <c r="B343" s="131"/>
      <c r="C343" s="131"/>
      <c r="D343" s="131"/>
      <c r="E343" s="111"/>
      <c r="F343" s="111"/>
    </row>
    <row r="344">
      <c r="A344" s="131"/>
      <c r="B344" s="131"/>
      <c r="C344" s="131"/>
      <c r="D344" s="131"/>
      <c r="E344" s="112"/>
      <c r="F344" s="112"/>
    </row>
    <row r="345">
      <c r="A345" s="131"/>
      <c r="B345" s="131"/>
      <c r="C345" s="131"/>
      <c r="D345" s="131"/>
      <c r="E345" s="112"/>
      <c r="F345" s="112"/>
    </row>
    <row r="346">
      <c r="A346" s="131"/>
      <c r="B346" s="131"/>
      <c r="C346" s="131"/>
      <c r="D346" s="131"/>
      <c r="E346" s="112"/>
      <c r="F346" s="112"/>
    </row>
    <row r="347">
      <c r="A347" s="131"/>
      <c r="B347" s="131"/>
      <c r="C347" s="131"/>
      <c r="D347" s="131"/>
      <c r="E347" s="112"/>
      <c r="F347" s="112"/>
    </row>
    <row r="348">
      <c r="A348" s="131"/>
      <c r="B348" s="131"/>
      <c r="C348" s="131"/>
      <c r="D348" s="131"/>
      <c r="E348" s="113"/>
      <c r="F348" s="110"/>
    </row>
    <row r="349">
      <c r="A349" s="131"/>
      <c r="B349" s="131"/>
      <c r="C349" s="131"/>
      <c r="D349" s="131"/>
      <c r="E349" s="114"/>
      <c r="F349" s="114"/>
    </row>
    <row r="350">
      <c r="A350" s="131"/>
      <c r="B350" s="131"/>
      <c r="C350" s="131"/>
      <c r="D350" s="131"/>
      <c r="E350" s="114"/>
      <c r="F350" s="114"/>
    </row>
    <row r="351">
      <c r="A351" s="131"/>
      <c r="B351" s="131"/>
      <c r="C351" s="131"/>
      <c r="D351" s="131"/>
      <c r="E351" s="114"/>
      <c r="F351" s="114"/>
    </row>
    <row r="352">
      <c r="A352" s="131"/>
      <c r="B352" s="131"/>
      <c r="C352" s="131"/>
      <c r="D352" s="131"/>
      <c r="E352" s="114"/>
      <c r="F352" s="114"/>
    </row>
    <row r="353">
      <c r="A353" s="131"/>
      <c r="B353" s="131"/>
      <c r="C353" s="131"/>
      <c r="D353" s="131"/>
      <c r="E353" s="114"/>
      <c r="F353" s="114"/>
    </row>
    <row r="354">
      <c r="A354" s="131"/>
      <c r="B354" s="131"/>
      <c r="C354" s="131"/>
      <c r="D354" s="131"/>
      <c r="E354" s="114"/>
      <c r="F354" s="114"/>
    </row>
    <row r="355">
      <c r="A355" s="131"/>
      <c r="B355" s="131"/>
      <c r="C355" s="131"/>
      <c r="D355" s="131"/>
      <c r="E355" s="114"/>
      <c r="F355" s="114"/>
    </row>
    <row r="356">
      <c r="A356" s="131"/>
      <c r="B356" s="131"/>
      <c r="C356" s="131"/>
      <c r="D356" s="131"/>
      <c r="E356" s="114"/>
      <c r="F356" s="114"/>
    </row>
    <row r="357">
      <c r="A357" s="131"/>
      <c r="B357" s="131"/>
      <c r="C357" s="131"/>
      <c r="D357" s="131"/>
      <c r="E357" s="114"/>
      <c r="F357" s="114"/>
    </row>
    <row r="358">
      <c r="A358" s="131"/>
      <c r="B358" s="131"/>
      <c r="C358" s="131"/>
      <c r="D358" s="131"/>
      <c r="E358" s="114"/>
      <c r="F358" s="114"/>
    </row>
    <row r="359">
      <c r="A359" s="131"/>
      <c r="B359" s="131"/>
      <c r="C359" s="131"/>
      <c r="D359" s="131"/>
      <c r="E359" s="114"/>
      <c r="F359" s="114"/>
    </row>
    <row r="360">
      <c r="A360" s="131"/>
      <c r="B360" s="131"/>
      <c r="C360" s="131"/>
      <c r="D360" s="131"/>
      <c r="E360" s="114"/>
      <c r="F360" s="114"/>
    </row>
    <row r="361">
      <c r="A361" s="131"/>
      <c r="B361" s="131"/>
      <c r="C361" s="131"/>
      <c r="D361" s="131"/>
      <c r="E361" s="114"/>
      <c r="F361" s="114"/>
    </row>
    <row r="362">
      <c r="A362" s="131"/>
      <c r="B362" s="131"/>
      <c r="C362" s="131"/>
      <c r="D362" s="131"/>
      <c r="E362" s="114"/>
      <c r="F362" s="114"/>
    </row>
    <row r="363">
      <c r="A363" s="131"/>
      <c r="B363" s="131"/>
      <c r="C363" s="131"/>
      <c r="D363" s="131"/>
      <c r="E363" s="114"/>
      <c r="F363" s="114"/>
    </row>
    <row r="364">
      <c r="A364" s="131"/>
      <c r="B364" s="131"/>
      <c r="C364" s="131"/>
      <c r="D364" s="131"/>
      <c r="E364" s="114"/>
      <c r="F364" s="114"/>
    </row>
    <row r="365">
      <c r="A365" s="131"/>
      <c r="B365" s="131"/>
      <c r="C365" s="131"/>
      <c r="D365" s="131"/>
      <c r="E365" s="114"/>
      <c r="F365" s="114"/>
    </row>
    <row r="366">
      <c r="A366" s="131"/>
      <c r="B366" s="131"/>
      <c r="C366" s="131"/>
      <c r="D366" s="131"/>
      <c r="E366" s="114"/>
      <c r="F366" s="114"/>
    </row>
    <row r="367">
      <c r="A367" s="131"/>
      <c r="B367" s="131"/>
      <c r="C367" s="131"/>
      <c r="D367" s="131"/>
      <c r="E367" s="114"/>
      <c r="F367" s="114"/>
    </row>
    <row r="368">
      <c r="A368" s="131"/>
      <c r="B368" s="131"/>
      <c r="C368" s="131"/>
      <c r="D368" s="131"/>
      <c r="E368" s="114"/>
      <c r="F368" s="114"/>
    </row>
    <row r="369">
      <c r="A369" s="131"/>
      <c r="B369" s="131"/>
      <c r="C369" s="131"/>
      <c r="D369" s="131"/>
      <c r="E369" s="131"/>
      <c r="F369" s="131"/>
    </row>
    <row r="370">
      <c r="A370" s="131"/>
      <c r="B370" s="131"/>
      <c r="C370" s="131"/>
      <c r="D370" s="131"/>
      <c r="E370" s="105"/>
      <c r="F370" s="105"/>
    </row>
    <row r="371">
      <c r="A371" s="131"/>
      <c r="B371" s="131"/>
      <c r="C371" s="131"/>
      <c r="D371" s="131"/>
      <c r="E371" s="115"/>
      <c r="F371" s="107"/>
    </row>
    <row r="372">
      <c r="A372" s="131"/>
      <c r="B372" s="131"/>
      <c r="C372" s="131"/>
      <c r="D372" s="131"/>
      <c r="E372" s="107"/>
      <c r="F372" s="107"/>
    </row>
    <row r="373">
      <c r="A373" s="131"/>
      <c r="B373" s="131"/>
      <c r="C373" s="131"/>
      <c r="D373" s="131"/>
      <c r="E373" s="116"/>
      <c r="F373" s="107"/>
    </row>
    <row r="374">
      <c r="A374" s="131"/>
      <c r="B374" s="131"/>
      <c r="C374" s="131"/>
      <c r="D374" s="131"/>
      <c r="E374" s="107"/>
      <c r="F374" s="107"/>
    </row>
    <row r="375">
      <c r="A375" s="131"/>
      <c r="B375" s="131"/>
      <c r="C375" s="131"/>
      <c r="D375" s="131"/>
      <c r="E375" s="107"/>
      <c r="F375" s="107"/>
    </row>
    <row r="376">
      <c r="A376" s="131"/>
      <c r="B376" s="131"/>
      <c r="C376" s="131"/>
      <c r="D376" s="131"/>
      <c r="E376" s="107"/>
      <c r="F376" s="107"/>
    </row>
    <row r="377">
      <c r="A377" s="131"/>
      <c r="B377" s="131"/>
      <c r="C377" s="131"/>
      <c r="D377" s="131"/>
      <c r="E377" s="107"/>
      <c r="F377" s="107"/>
    </row>
    <row r="378">
      <c r="A378" s="131"/>
      <c r="B378" s="131"/>
      <c r="C378" s="131"/>
      <c r="D378" s="131"/>
      <c r="E378" s="107"/>
      <c r="F378" s="107"/>
    </row>
    <row r="379">
      <c r="A379" s="131"/>
      <c r="B379" s="131"/>
      <c r="C379" s="131"/>
      <c r="D379" s="131"/>
      <c r="E379" s="107"/>
      <c r="F379" s="107"/>
    </row>
    <row r="380">
      <c r="A380" s="131"/>
      <c r="B380" s="131"/>
      <c r="C380" s="131"/>
      <c r="D380" s="131"/>
      <c r="E380" s="107"/>
      <c r="F380" s="107"/>
    </row>
    <row r="381">
      <c r="A381" s="131"/>
      <c r="B381" s="131"/>
      <c r="C381" s="131"/>
      <c r="D381" s="131"/>
      <c r="E381" s="107"/>
      <c r="F381" s="107"/>
    </row>
    <row r="382">
      <c r="A382" s="131"/>
      <c r="B382" s="131"/>
      <c r="C382" s="131"/>
      <c r="D382" s="131"/>
      <c r="E382" s="107"/>
      <c r="F382" s="107"/>
    </row>
    <row r="383">
      <c r="A383" s="131"/>
      <c r="B383" s="131"/>
      <c r="C383" s="131"/>
      <c r="D383" s="131"/>
      <c r="E383" s="107"/>
      <c r="F383" s="107"/>
    </row>
    <row r="384">
      <c r="A384" s="131"/>
      <c r="B384" s="131"/>
      <c r="C384" s="131"/>
      <c r="D384" s="131"/>
      <c r="E384" s="107"/>
      <c r="F384" s="107"/>
    </row>
    <row r="385">
      <c r="A385" s="131"/>
      <c r="B385" s="131"/>
      <c r="C385" s="131"/>
      <c r="D385" s="131"/>
      <c r="E385" s="107"/>
      <c r="F385" s="107"/>
    </row>
    <row r="386">
      <c r="A386" s="131"/>
      <c r="B386" s="131"/>
      <c r="C386" s="131"/>
      <c r="D386" s="131"/>
      <c r="E386" s="107"/>
      <c r="F386" s="107"/>
    </row>
    <row r="387">
      <c r="A387" s="131"/>
      <c r="B387" s="131"/>
      <c r="C387" s="131"/>
      <c r="D387" s="131"/>
      <c r="E387" s="107"/>
      <c r="F387" s="107"/>
    </row>
    <row r="388">
      <c r="A388" s="131"/>
      <c r="B388" s="131"/>
      <c r="C388" s="131"/>
      <c r="D388" s="131"/>
      <c r="E388" s="98"/>
      <c r="F388" s="107"/>
    </row>
    <row r="389">
      <c r="A389" s="131"/>
      <c r="B389" s="131"/>
      <c r="C389" s="131"/>
      <c r="D389" s="131"/>
      <c r="E389" s="131"/>
      <c r="F389" s="131"/>
    </row>
    <row r="390">
      <c r="A390" s="131"/>
      <c r="B390" s="131"/>
      <c r="C390" s="131"/>
      <c r="D390" s="131"/>
      <c r="E390" s="105"/>
      <c r="F390" s="105"/>
    </row>
    <row r="391">
      <c r="A391" s="131"/>
      <c r="B391" s="131"/>
      <c r="C391" s="131"/>
      <c r="D391" s="131"/>
      <c r="E391" s="109"/>
      <c r="F391" s="109"/>
    </row>
    <row r="392">
      <c r="A392" s="131"/>
      <c r="B392" s="131"/>
      <c r="C392" s="131"/>
      <c r="D392" s="131"/>
      <c r="E392" s="109"/>
      <c r="F392" s="109"/>
    </row>
    <row r="393">
      <c r="A393" s="131"/>
      <c r="B393" s="131"/>
      <c r="C393" s="131"/>
      <c r="D393" s="131"/>
      <c r="E393" s="109"/>
      <c r="F393" s="109"/>
    </row>
    <row r="394">
      <c r="A394" s="131"/>
      <c r="B394" s="131"/>
      <c r="C394" s="131"/>
      <c r="D394" s="131"/>
      <c r="E394" s="109"/>
      <c r="F394" s="109"/>
    </row>
    <row r="395">
      <c r="A395" s="131"/>
      <c r="B395" s="131"/>
      <c r="C395" s="131"/>
      <c r="D395" s="131"/>
      <c r="E395" s="109"/>
      <c r="F395" s="109"/>
    </row>
    <row r="396">
      <c r="A396" s="131"/>
      <c r="B396" s="131"/>
      <c r="C396" s="131"/>
      <c r="D396" s="131"/>
      <c r="E396" s="109"/>
      <c r="F396" s="109"/>
    </row>
    <row r="397">
      <c r="A397" s="131"/>
      <c r="B397" s="131"/>
      <c r="C397" s="131"/>
      <c r="D397" s="131"/>
      <c r="E397" s="109"/>
      <c r="F397" s="109"/>
    </row>
    <row r="398">
      <c r="A398" s="131"/>
      <c r="B398" s="131"/>
      <c r="C398" s="131"/>
      <c r="D398" s="131"/>
      <c r="E398" s="109"/>
      <c r="F398" s="109"/>
    </row>
    <row r="399">
      <c r="A399" s="131"/>
      <c r="B399" s="131"/>
      <c r="C399" s="131"/>
      <c r="D399" s="131"/>
      <c r="E399" s="109"/>
      <c r="F399" s="109"/>
    </row>
    <row r="400">
      <c r="A400" s="131"/>
      <c r="B400" s="131"/>
      <c r="C400" s="131"/>
      <c r="D400" s="131"/>
      <c r="E400" s="109"/>
      <c r="F400" s="109"/>
    </row>
    <row r="401">
      <c r="A401" s="131"/>
      <c r="B401" s="131"/>
      <c r="C401" s="131"/>
      <c r="D401" s="131"/>
      <c r="E401" s="109"/>
      <c r="F401" s="109"/>
    </row>
    <row r="402">
      <c r="A402" s="131"/>
      <c r="B402" s="131"/>
      <c r="C402" s="131"/>
      <c r="D402" s="131"/>
      <c r="E402" s="109"/>
      <c r="F402" s="109"/>
    </row>
    <row r="403">
      <c r="A403" s="131"/>
      <c r="B403" s="131"/>
      <c r="C403" s="131"/>
      <c r="D403" s="131"/>
      <c r="E403" s="109"/>
      <c r="F403" s="109"/>
    </row>
    <row r="404">
      <c r="A404" s="131"/>
      <c r="B404" s="131"/>
      <c r="C404" s="131"/>
      <c r="D404" s="131"/>
      <c r="E404" s="109"/>
      <c r="F404" s="109"/>
    </row>
    <row r="405">
      <c r="A405" s="131"/>
      <c r="B405" s="131"/>
      <c r="C405" s="131"/>
      <c r="D405" s="131"/>
      <c r="E405" s="109"/>
      <c r="F405" s="109"/>
    </row>
    <row r="406">
      <c r="A406" s="131"/>
      <c r="B406" s="131"/>
      <c r="C406" s="131"/>
      <c r="D406" s="131"/>
      <c r="E406" s="109"/>
      <c r="F406" s="109"/>
    </row>
    <row r="407">
      <c r="A407" s="131"/>
      <c r="B407" s="131"/>
      <c r="C407" s="131"/>
      <c r="D407" s="131"/>
      <c r="E407" s="109"/>
      <c r="F407" s="109"/>
    </row>
    <row r="408">
      <c r="A408" s="131"/>
      <c r="B408" s="131"/>
      <c r="C408" s="131"/>
      <c r="D408" s="131"/>
      <c r="E408" s="109"/>
      <c r="F408" s="109"/>
    </row>
    <row r="409">
      <c r="A409" s="131"/>
      <c r="B409" s="131"/>
      <c r="C409" s="131"/>
      <c r="D409" s="131"/>
      <c r="E409" s="109"/>
      <c r="F409" s="109"/>
    </row>
    <row r="410">
      <c r="A410" s="131"/>
      <c r="B410" s="131"/>
      <c r="C410" s="131"/>
      <c r="D410" s="131"/>
      <c r="E410" s="109"/>
      <c r="F410" s="109"/>
    </row>
    <row r="411">
      <c r="A411" s="131"/>
      <c r="B411" s="131"/>
      <c r="C411" s="131"/>
      <c r="D411" s="131"/>
      <c r="E411" s="109"/>
      <c r="F411" s="109"/>
    </row>
    <row r="412">
      <c r="A412" s="131"/>
      <c r="B412" s="131"/>
      <c r="C412" s="131"/>
      <c r="D412" s="131"/>
      <c r="E412" s="109"/>
      <c r="F412" s="109"/>
    </row>
    <row r="413">
      <c r="A413" s="131"/>
      <c r="B413" s="131"/>
      <c r="C413" s="131"/>
      <c r="D413" s="131"/>
      <c r="E413" s="109"/>
      <c r="F413" s="109"/>
    </row>
    <row r="414">
      <c r="A414" s="131"/>
      <c r="B414" s="131"/>
      <c r="C414" s="131"/>
      <c r="D414" s="131"/>
      <c r="E414" s="109"/>
      <c r="F414" s="109"/>
    </row>
    <row r="415">
      <c r="A415" s="131"/>
      <c r="B415" s="131"/>
      <c r="C415" s="131"/>
      <c r="D415" s="131"/>
      <c r="E415" s="109"/>
      <c r="F415" s="109"/>
    </row>
    <row r="416">
      <c r="A416" s="131"/>
      <c r="B416" s="131"/>
      <c r="C416" s="131"/>
      <c r="D416" s="131"/>
      <c r="E416" s="131"/>
      <c r="F416" s="131"/>
    </row>
    <row r="417">
      <c r="A417" s="131"/>
      <c r="B417" s="131"/>
      <c r="C417" s="131"/>
      <c r="D417" s="131"/>
      <c r="E417" s="105"/>
      <c r="F417" s="105"/>
    </row>
    <row r="418">
      <c r="A418" s="131"/>
      <c r="B418" s="131"/>
      <c r="C418" s="131"/>
      <c r="D418" s="131"/>
      <c r="E418" s="107"/>
      <c r="F418" s="107"/>
    </row>
    <row r="419">
      <c r="A419" s="131"/>
      <c r="B419" s="131"/>
      <c r="C419" s="131"/>
      <c r="D419" s="131"/>
      <c r="E419" s="107"/>
      <c r="F419" s="107"/>
    </row>
    <row r="420">
      <c r="A420" s="131"/>
      <c r="B420" s="131"/>
      <c r="C420" s="131"/>
      <c r="D420" s="131"/>
      <c r="E420" s="107"/>
      <c r="F420" s="107"/>
    </row>
    <row r="421">
      <c r="A421" s="131"/>
      <c r="B421" s="131"/>
      <c r="C421" s="131"/>
      <c r="D421" s="131"/>
      <c r="E421" s="107"/>
      <c r="F421" s="107"/>
    </row>
    <row r="422">
      <c r="A422" s="131"/>
      <c r="B422" s="131"/>
      <c r="C422" s="131"/>
      <c r="D422" s="131"/>
      <c r="E422" s="107"/>
      <c r="F422" s="107"/>
    </row>
    <row r="423">
      <c r="A423" s="131"/>
      <c r="B423" s="131"/>
      <c r="C423" s="131"/>
      <c r="D423" s="131"/>
      <c r="E423" s="107"/>
      <c r="F423" s="107"/>
    </row>
    <row r="424">
      <c r="A424" s="131"/>
      <c r="B424" s="131"/>
      <c r="C424" s="131"/>
      <c r="D424" s="131"/>
      <c r="E424" s="107"/>
      <c r="F424" s="107"/>
    </row>
    <row r="425">
      <c r="A425" s="131"/>
      <c r="B425" s="131"/>
      <c r="C425" s="131"/>
      <c r="D425" s="131"/>
      <c r="E425" s="107"/>
      <c r="F425" s="107"/>
    </row>
    <row r="426">
      <c r="A426" s="131"/>
      <c r="B426" s="131"/>
      <c r="C426" s="131"/>
      <c r="D426" s="131"/>
      <c r="E426" s="107"/>
      <c r="F426" s="107"/>
    </row>
    <row r="427">
      <c r="A427" s="131"/>
      <c r="B427" s="131"/>
      <c r="C427" s="131"/>
      <c r="D427" s="131"/>
      <c r="E427" s="107"/>
      <c r="F427" s="107"/>
    </row>
    <row r="428">
      <c r="A428" s="131"/>
      <c r="B428" s="131"/>
      <c r="C428" s="131"/>
      <c r="D428" s="131"/>
      <c r="E428" s="107"/>
      <c r="F428" s="107"/>
    </row>
    <row r="429">
      <c r="A429" s="131"/>
      <c r="B429" s="131"/>
      <c r="C429" s="131"/>
      <c r="D429" s="131"/>
      <c r="E429" s="107"/>
      <c r="F429" s="107"/>
    </row>
    <row r="430">
      <c r="A430" s="131"/>
      <c r="B430" s="131"/>
      <c r="C430" s="131"/>
      <c r="D430" s="131"/>
      <c r="E430" s="107"/>
      <c r="F430" s="107"/>
    </row>
    <row r="431">
      <c r="A431" s="131"/>
      <c r="B431" s="131"/>
      <c r="C431" s="131"/>
      <c r="D431" s="131"/>
      <c r="E431" s="107"/>
      <c r="F431" s="107"/>
    </row>
    <row r="432">
      <c r="A432" s="131"/>
      <c r="B432" s="131"/>
      <c r="C432" s="131"/>
      <c r="D432" s="131"/>
      <c r="E432" s="107"/>
      <c r="F432" s="107"/>
    </row>
    <row r="433">
      <c r="A433" s="131"/>
      <c r="B433" s="131"/>
      <c r="C433" s="131"/>
      <c r="D433" s="131"/>
      <c r="E433" s="107"/>
      <c r="F433" s="107"/>
    </row>
    <row r="434">
      <c r="A434" s="131"/>
      <c r="B434" s="131"/>
      <c r="C434" s="131"/>
      <c r="D434" s="131"/>
      <c r="E434" s="107"/>
      <c r="F434" s="107"/>
    </row>
    <row r="435">
      <c r="A435" s="131"/>
      <c r="B435" s="131"/>
      <c r="C435" s="131"/>
      <c r="D435" s="131"/>
      <c r="E435" s="107"/>
      <c r="F435" s="107"/>
    </row>
    <row r="436">
      <c r="A436" s="131"/>
      <c r="B436" s="131"/>
      <c r="C436" s="131"/>
      <c r="D436" s="131"/>
      <c r="E436" s="107"/>
      <c r="F436" s="107"/>
    </row>
    <row r="437">
      <c r="A437" s="131"/>
      <c r="B437" s="131"/>
      <c r="C437" s="131"/>
      <c r="D437" s="131"/>
      <c r="E437" s="107"/>
      <c r="F437" s="107"/>
    </row>
    <row r="438">
      <c r="A438" s="131"/>
      <c r="B438" s="131"/>
      <c r="C438" s="131"/>
      <c r="D438" s="131"/>
      <c r="E438" s="107"/>
      <c r="F438" s="107"/>
    </row>
    <row r="439">
      <c r="A439" s="131"/>
      <c r="B439" s="131"/>
      <c r="C439" s="131"/>
      <c r="D439" s="131"/>
      <c r="E439" s="107"/>
      <c r="F439" s="107"/>
    </row>
    <row r="440">
      <c r="A440" s="131"/>
      <c r="B440" s="131"/>
      <c r="C440" s="131"/>
      <c r="D440" s="131"/>
      <c r="E440" s="107"/>
      <c r="F440" s="107"/>
    </row>
    <row r="441">
      <c r="A441" s="131"/>
      <c r="B441" s="131"/>
      <c r="C441" s="131"/>
      <c r="D441" s="131"/>
      <c r="E441" s="107"/>
      <c r="F441" s="107"/>
    </row>
    <row r="442">
      <c r="A442" s="131"/>
      <c r="B442" s="131"/>
      <c r="C442" s="131"/>
      <c r="D442" s="131"/>
      <c r="E442" s="107"/>
      <c r="F442" s="107"/>
    </row>
    <row r="443">
      <c r="A443" s="131"/>
      <c r="B443" s="131"/>
      <c r="C443" s="131"/>
      <c r="D443" s="131"/>
      <c r="E443" s="107"/>
      <c r="F443" s="107"/>
    </row>
    <row r="444">
      <c r="A444" s="131"/>
      <c r="B444" s="131"/>
      <c r="C444" s="131"/>
      <c r="D444" s="131"/>
      <c r="E444" s="107"/>
      <c r="F444" s="107"/>
    </row>
    <row r="445">
      <c r="A445" s="131"/>
      <c r="B445" s="131"/>
      <c r="C445" s="131"/>
      <c r="D445" s="131"/>
      <c r="E445" s="107"/>
      <c r="F445" s="107"/>
    </row>
    <row r="446">
      <c r="A446" s="131"/>
      <c r="B446" s="131"/>
      <c r="C446" s="131"/>
      <c r="D446" s="131"/>
      <c r="E446" s="107"/>
      <c r="F446" s="107"/>
    </row>
    <row r="447">
      <c r="A447" s="131"/>
      <c r="B447" s="131"/>
      <c r="C447" s="131"/>
      <c r="D447" s="131"/>
      <c r="E447" s="107"/>
      <c r="F447" s="107"/>
    </row>
    <row r="448">
      <c r="A448" s="131"/>
      <c r="B448" s="131"/>
      <c r="C448" s="131"/>
      <c r="D448" s="131"/>
      <c r="E448" s="107"/>
      <c r="F448" s="107"/>
    </row>
    <row r="449">
      <c r="A449" s="131"/>
      <c r="B449" s="131"/>
      <c r="C449" s="131"/>
      <c r="D449" s="131"/>
      <c r="E449" s="107"/>
      <c r="F449" s="107"/>
    </row>
    <row r="450">
      <c r="A450" s="131"/>
      <c r="B450" s="131"/>
      <c r="C450" s="131"/>
      <c r="D450" s="131"/>
      <c r="E450" s="107"/>
      <c r="F450" s="107"/>
    </row>
    <row r="451">
      <c r="A451" s="131"/>
      <c r="B451" s="131"/>
      <c r="C451" s="131"/>
      <c r="D451" s="131"/>
      <c r="E451" s="107"/>
      <c r="F451" s="107"/>
    </row>
    <row r="452">
      <c r="A452" s="131"/>
      <c r="B452" s="131"/>
      <c r="C452" s="131"/>
      <c r="D452" s="131"/>
      <c r="E452" s="107"/>
      <c r="F452" s="107"/>
    </row>
    <row r="453">
      <c r="A453" s="131"/>
      <c r="B453" s="131"/>
      <c r="C453" s="131"/>
      <c r="D453" s="131"/>
      <c r="E453" s="107"/>
      <c r="F453" s="107"/>
    </row>
    <row r="454">
      <c r="A454" s="131"/>
      <c r="B454" s="131"/>
      <c r="C454" s="131"/>
      <c r="D454" s="131"/>
      <c r="E454" s="116"/>
      <c r="F454" s="107"/>
    </row>
    <row r="455">
      <c r="A455" s="131"/>
      <c r="B455" s="131"/>
      <c r="C455" s="131"/>
      <c r="D455" s="131"/>
      <c r="E455" s="107"/>
      <c r="F455" s="107"/>
    </row>
    <row r="456">
      <c r="A456" s="131"/>
      <c r="B456" s="131"/>
      <c r="C456" s="131"/>
      <c r="D456" s="131"/>
      <c r="E456" s="107"/>
      <c r="F456" s="107"/>
    </row>
    <row r="457">
      <c r="A457" s="131"/>
      <c r="B457" s="131"/>
      <c r="C457" s="131"/>
      <c r="D457" s="131"/>
      <c r="E457" s="107"/>
      <c r="F457" s="107"/>
    </row>
    <row r="458">
      <c r="A458" s="131"/>
      <c r="B458" s="131"/>
      <c r="C458" s="131"/>
      <c r="D458" s="131"/>
      <c r="E458" s="107"/>
      <c r="F458" s="107"/>
    </row>
    <row r="459">
      <c r="A459" s="131"/>
      <c r="B459" s="131"/>
      <c r="C459" s="131"/>
      <c r="D459" s="131"/>
      <c r="E459" s="118"/>
      <c r="F459" s="107"/>
    </row>
    <row r="460">
      <c r="A460" s="131"/>
      <c r="B460" s="131"/>
      <c r="C460" s="131"/>
      <c r="D460" s="131"/>
      <c r="E460" s="118"/>
      <c r="F460" s="107"/>
    </row>
    <row r="461">
      <c r="A461" s="131"/>
      <c r="B461" s="131"/>
      <c r="C461" s="131"/>
      <c r="D461" s="131"/>
      <c r="E461" s="118"/>
      <c r="F461" s="107"/>
    </row>
    <row r="462">
      <c r="A462" s="131"/>
      <c r="B462" s="131"/>
      <c r="C462" s="131"/>
      <c r="D462" s="131"/>
      <c r="E462" s="118"/>
      <c r="F462" s="107"/>
    </row>
    <row r="463">
      <c r="A463" s="131"/>
      <c r="B463" s="131"/>
      <c r="C463" s="131"/>
      <c r="D463" s="131"/>
      <c r="E463" s="119"/>
      <c r="F463" s="119"/>
    </row>
    <row r="464">
      <c r="A464" s="131"/>
      <c r="B464" s="131"/>
      <c r="C464" s="131"/>
      <c r="D464" s="131"/>
      <c r="E464" s="107"/>
      <c r="F464" s="107"/>
    </row>
    <row r="465">
      <c r="A465" s="131"/>
      <c r="B465" s="131"/>
      <c r="C465" s="131"/>
      <c r="D465" s="131"/>
      <c r="E465" s="107"/>
      <c r="F465" s="107"/>
    </row>
    <row r="466">
      <c r="A466" s="131"/>
      <c r="B466" s="131"/>
      <c r="C466" s="131"/>
      <c r="D466" s="131"/>
      <c r="E466" s="107"/>
      <c r="F466" s="107"/>
    </row>
    <row r="467">
      <c r="A467" s="131"/>
      <c r="B467" s="131"/>
      <c r="C467" s="131"/>
      <c r="D467" s="131"/>
      <c r="E467" s="107"/>
      <c r="F467" s="107"/>
    </row>
    <row r="468">
      <c r="A468" s="131"/>
      <c r="B468" s="131"/>
      <c r="C468" s="131"/>
      <c r="D468" s="131"/>
      <c r="E468" s="107"/>
      <c r="F468" s="107"/>
    </row>
    <row r="469">
      <c r="A469" s="131"/>
      <c r="B469" s="131"/>
      <c r="C469" s="131"/>
      <c r="D469" s="131"/>
      <c r="E469" s="107"/>
      <c r="F469" s="107"/>
    </row>
    <row r="470">
      <c r="A470" s="131"/>
      <c r="B470" s="131"/>
      <c r="C470" s="131"/>
      <c r="D470" s="131"/>
      <c r="E470" s="107"/>
      <c r="F470" s="107"/>
    </row>
    <row r="471">
      <c r="A471" s="131"/>
      <c r="B471" s="131"/>
      <c r="C471" s="131"/>
      <c r="D471" s="131"/>
      <c r="E471" s="107"/>
      <c r="F471" s="107"/>
    </row>
    <row r="472">
      <c r="A472" s="131"/>
      <c r="B472" s="131"/>
      <c r="C472" s="131"/>
      <c r="D472" s="131"/>
      <c r="E472" s="107"/>
      <c r="F472" s="107"/>
    </row>
    <row r="473">
      <c r="A473" s="131"/>
      <c r="B473" s="131"/>
      <c r="C473" s="131"/>
      <c r="D473" s="131"/>
      <c r="E473" s="107"/>
      <c r="F473" s="107"/>
    </row>
    <row r="474">
      <c r="A474" s="131"/>
      <c r="B474" s="131"/>
      <c r="C474" s="131"/>
      <c r="D474" s="131"/>
      <c r="E474" s="107"/>
      <c r="F474" s="107"/>
    </row>
    <row r="475">
      <c r="A475" s="131"/>
      <c r="B475" s="131"/>
      <c r="C475" s="131"/>
      <c r="D475" s="131"/>
      <c r="E475" s="107"/>
      <c r="F475" s="107"/>
    </row>
    <row r="476">
      <c r="A476" s="131"/>
      <c r="B476" s="131"/>
      <c r="C476" s="131"/>
      <c r="D476" s="131"/>
      <c r="E476" s="107"/>
      <c r="F476" s="107"/>
    </row>
    <row r="477">
      <c r="A477" s="131"/>
      <c r="B477" s="131"/>
      <c r="C477" s="131"/>
      <c r="D477" s="131"/>
      <c r="E477" s="107"/>
      <c r="F477" s="107"/>
    </row>
    <row r="478">
      <c r="A478" s="131"/>
      <c r="B478" s="131"/>
      <c r="C478" s="131"/>
      <c r="D478" s="131"/>
      <c r="E478" s="107"/>
      <c r="F478" s="115"/>
    </row>
    <row r="479">
      <c r="A479" s="131"/>
      <c r="B479" s="131"/>
      <c r="C479" s="131"/>
      <c r="D479" s="131"/>
      <c r="E479" s="107"/>
      <c r="F479" s="107"/>
    </row>
    <row r="480">
      <c r="A480" s="131"/>
      <c r="B480" s="131"/>
      <c r="C480" s="131"/>
      <c r="D480" s="131"/>
      <c r="E480" s="131"/>
      <c r="F480" s="131"/>
    </row>
    <row r="481">
      <c r="A481" s="131"/>
      <c r="B481" s="131"/>
      <c r="C481" s="131"/>
      <c r="D481" s="131"/>
      <c r="E481" s="131"/>
      <c r="F481" s="131"/>
    </row>
    <row r="482">
      <c r="A482" s="131"/>
      <c r="B482" s="131"/>
      <c r="C482" s="131"/>
      <c r="D482" s="131"/>
      <c r="E482" s="131"/>
      <c r="F482" s="131"/>
    </row>
    <row r="483">
      <c r="A483" s="131"/>
      <c r="B483" s="131"/>
      <c r="C483" s="131"/>
      <c r="D483" s="131"/>
      <c r="E483" s="131"/>
      <c r="F483" s="131"/>
    </row>
    <row r="484">
      <c r="A484" s="131"/>
      <c r="B484" s="131"/>
      <c r="C484" s="131"/>
      <c r="D484" s="131"/>
      <c r="E484" s="131"/>
      <c r="F484" s="131"/>
    </row>
    <row r="485">
      <c r="A485" s="131"/>
      <c r="B485" s="131"/>
      <c r="C485" s="131"/>
      <c r="D485" s="131"/>
      <c r="E485" s="131"/>
      <c r="F485" s="131"/>
    </row>
    <row r="486">
      <c r="A486" s="131"/>
      <c r="B486" s="131"/>
      <c r="C486" s="131"/>
      <c r="D486" s="131"/>
      <c r="E486" s="131"/>
      <c r="F486" s="131"/>
    </row>
    <row r="487">
      <c r="A487" s="131"/>
      <c r="B487" s="131"/>
      <c r="C487" s="131"/>
      <c r="D487" s="131"/>
      <c r="E487" s="131"/>
      <c r="F487" s="131"/>
    </row>
    <row r="488">
      <c r="A488" s="131"/>
      <c r="B488" s="131"/>
      <c r="C488" s="131"/>
      <c r="D488" s="131"/>
      <c r="E488" s="131"/>
      <c r="F488" s="131"/>
    </row>
    <row r="489">
      <c r="A489" s="131"/>
      <c r="B489" s="131"/>
      <c r="C489" s="131"/>
      <c r="D489" s="131"/>
      <c r="E489" s="131"/>
      <c r="F489" s="131"/>
    </row>
    <row r="490">
      <c r="A490" s="131"/>
      <c r="B490" s="131"/>
      <c r="C490" s="131"/>
      <c r="D490" s="131"/>
      <c r="E490" s="131"/>
      <c r="F490" s="131"/>
    </row>
    <row r="491">
      <c r="A491" s="131"/>
      <c r="B491" s="131"/>
      <c r="C491" s="131"/>
      <c r="D491" s="131"/>
      <c r="E491" s="131"/>
      <c r="F491" s="131"/>
    </row>
    <row r="492">
      <c r="A492" s="131"/>
      <c r="B492" s="131"/>
      <c r="C492" s="131"/>
      <c r="D492" s="131"/>
      <c r="E492" s="131"/>
      <c r="F492" s="131"/>
    </row>
    <row r="493">
      <c r="A493" s="131"/>
      <c r="B493" s="131"/>
      <c r="C493" s="131"/>
      <c r="D493" s="131"/>
      <c r="E493" s="131"/>
      <c r="F493" s="131"/>
    </row>
    <row r="494">
      <c r="A494" s="131"/>
      <c r="B494" s="131"/>
      <c r="C494" s="131"/>
      <c r="D494" s="131"/>
      <c r="E494" s="131"/>
      <c r="F494" s="131"/>
    </row>
    <row r="495">
      <c r="A495" s="131"/>
      <c r="B495" s="131"/>
      <c r="C495" s="131"/>
      <c r="D495" s="131"/>
      <c r="E495" s="131"/>
      <c r="F495" s="131"/>
    </row>
    <row r="496">
      <c r="A496" s="131"/>
      <c r="B496" s="131"/>
      <c r="C496" s="131"/>
      <c r="D496" s="131"/>
      <c r="E496" s="131"/>
      <c r="F496" s="131"/>
    </row>
    <row r="497">
      <c r="A497" s="131"/>
      <c r="B497" s="131"/>
      <c r="C497" s="131"/>
      <c r="D497" s="131"/>
      <c r="E497" s="131"/>
      <c r="F497" s="131"/>
    </row>
    <row r="498">
      <c r="A498" s="131"/>
      <c r="B498" s="131"/>
      <c r="C498" s="131"/>
      <c r="D498" s="131"/>
      <c r="E498" s="131"/>
      <c r="F498" s="131"/>
    </row>
    <row r="499">
      <c r="A499" s="131"/>
      <c r="B499" s="131"/>
      <c r="C499" s="131"/>
      <c r="D499" s="131"/>
      <c r="E499" s="131"/>
      <c r="F499" s="131"/>
    </row>
    <row r="500">
      <c r="A500" s="86"/>
      <c r="B500" s="87"/>
      <c r="C500" s="131"/>
      <c r="D500" s="131"/>
      <c r="E500" s="131"/>
      <c r="F500" s="131"/>
      <c r="G500" s="88"/>
      <c r="L500" s="88"/>
      <c r="Q500" s="89"/>
    </row>
    <row r="501">
      <c r="A501" s="131"/>
      <c r="B501" s="131"/>
      <c r="C501" s="131"/>
      <c r="D501" s="131"/>
      <c r="E501" s="131"/>
      <c r="F501" s="131"/>
      <c r="G501" s="91"/>
      <c r="H501" s="92"/>
      <c r="I501" s="92"/>
      <c r="J501" s="93"/>
      <c r="K501" s="93"/>
      <c r="L501" s="93"/>
      <c r="M501" s="93"/>
      <c r="N501" s="93"/>
      <c r="O501" s="93"/>
      <c r="P501" s="93"/>
      <c r="Q501" s="90"/>
      <c r="R501" s="90"/>
      <c r="S501" s="90"/>
      <c r="T501" s="90"/>
      <c r="U501" s="90"/>
      <c r="V501" s="90"/>
      <c r="W501" s="90"/>
    </row>
    <row r="502">
      <c r="A502" s="131"/>
      <c r="B502" s="131"/>
      <c r="C502" s="131"/>
      <c r="D502" s="131"/>
      <c r="E502" s="94"/>
      <c r="F502" s="94"/>
    </row>
    <row r="503">
      <c r="A503" s="131"/>
      <c r="B503" s="131"/>
      <c r="C503" s="131"/>
      <c r="D503" s="131"/>
      <c r="E503" s="95"/>
      <c r="F503" s="96"/>
    </row>
    <row r="504">
      <c r="A504" s="131"/>
      <c r="B504" s="131"/>
      <c r="C504" s="131"/>
      <c r="D504" s="131"/>
      <c r="E504" s="95"/>
      <c r="F504" s="96"/>
    </row>
    <row r="505">
      <c r="A505" s="131"/>
      <c r="B505" s="131"/>
      <c r="C505" s="131"/>
      <c r="D505" s="131"/>
      <c r="E505" s="96"/>
      <c r="F505" s="96"/>
    </row>
    <row r="506">
      <c r="A506" s="131"/>
      <c r="B506" s="131"/>
      <c r="C506" s="131"/>
      <c r="D506" s="131"/>
      <c r="E506" s="96"/>
      <c r="F506" s="96"/>
    </row>
    <row r="507">
      <c r="A507" s="131"/>
      <c r="B507" s="131"/>
      <c r="C507" s="131"/>
      <c r="D507" s="131"/>
      <c r="E507" s="96"/>
      <c r="F507" s="96"/>
    </row>
    <row r="508">
      <c r="A508" s="131"/>
      <c r="B508" s="131"/>
      <c r="C508" s="131"/>
      <c r="D508" s="131"/>
      <c r="E508" s="96"/>
      <c r="F508" s="96"/>
    </row>
    <row r="509">
      <c r="A509" s="131"/>
      <c r="B509" s="131"/>
      <c r="C509" s="131"/>
      <c r="D509" s="131"/>
      <c r="E509" s="96"/>
      <c r="F509" s="96"/>
    </row>
    <row r="510">
      <c r="A510" s="131"/>
      <c r="B510" s="131"/>
      <c r="C510" s="131"/>
      <c r="D510" s="131"/>
      <c r="E510" s="96"/>
      <c r="F510" s="96"/>
    </row>
    <row r="511">
      <c r="A511" s="131"/>
      <c r="B511" s="131"/>
      <c r="C511" s="131"/>
      <c r="D511" s="131"/>
      <c r="E511" s="96"/>
      <c r="F511" s="96"/>
    </row>
    <row r="512">
      <c r="A512" s="131"/>
      <c r="B512" s="131"/>
      <c r="C512" s="131"/>
      <c r="D512" s="131"/>
      <c r="E512" s="96"/>
      <c r="F512" s="96"/>
    </row>
    <row r="513">
      <c r="A513" s="131"/>
      <c r="B513" s="131"/>
      <c r="C513" s="131"/>
      <c r="D513" s="131"/>
      <c r="E513" s="96"/>
      <c r="F513" s="96"/>
    </row>
    <row r="514">
      <c r="A514" s="131"/>
      <c r="B514" s="131"/>
      <c r="C514" s="131"/>
      <c r="D514" s="131"/>
      <c r="E514" s="96"/>
      <c r="F514" s="96"/>
    </row>
    <row r="515">
      <c r="A515" s="131"/>
      <c r="B515" s="131"/>
      <c r="C515" s="131"/>
      <c r="D515" s="131"/>
      <c r="E515" s="96"/>
      <c r="F515" s="96"/>
    </row>
    <row r="516">
      <c r="A516" s="131"/>
      <c r="B516" s="131"/>
      <c r="C516" s="131"/>
      <c r="D516" s="131"/>
      <c r="E516" s="97"/>
      <c r="F516" s="97"/>
    </row>
    <row r="517">
      <c r="A517" s="131"/>
      <c r="B517" s="131"/>
      <c r="C517" s="131"/>
      <c r="D517" s="131"/>
      <c r="E517" s="96"/>
      <c r="F517" s="96"/>
    </row>
    <row r="518">
      <c r="A518" s="131"/>
      <c r="B518" s="131"/>
      <c r="C518" s="131"/>
      <c r="D518" s="131"/>
      <c r="E518" s="96"/>
      <c r="F518" s="96"/>
    </row>
    <row r="519">
      <c r="A519" s="131"/>
      <c r="B519" s="131"/>
      <c r="C519" s="131"/>
      <c r="D519" s="131"/>
      <c r="E519" s="96"/>
      <c r="F519" s="96"/>
    </row>
    <row r="520">
      <c r="A520" s="131"/>
      <c r="B520" s="131"/>
      <c r="C520" s="131"/>
      <c r="D520" s="131"/>
      <c r="E520" s="96"/>
      <c r="F520" s="96"/>
    </row>
    <row r="521">
      <c r="A521" s="131"/>
      <c r="B521" s="131"/>
      <c r="C521" s="131"/>
      <c r="D521" s="131"/>
      <c r="E521" s="96"/>
      <c r="F521" s="96"/>
    </row>
    <row r="522">
      <c r="A522" s="131"/>
      <c r="B522" s="131"/>
      <c r="C522" s="131"/>
      <c r="D522" s="131"/>
      <c r="E522" s="96"/>
      <c r="F522" s="96"/>
    </row>
    <row r="523">
      <c r="A523" s="131"/>
      <c r="B523" s="131"/>
      <c r="C523" s="131"/>
      <c r="D523" s="131"/>
      <c r="E523" s="98"/>
      <c r="F523" s="96"/>
    </row>
    <row r="524">
      <c r="A524" s="131"/>
      <c r="B524" s="131"/>
      <c r="C524" s="131"/>
      <c r="D524" s="131"/>
      <c r="E524" s="99"/>
      <c r="F524" s="99"/>
    </row>
    <row r="525">
      <c r="A525" s="131"/>
      <c r="B525" s="131"/>
      <c r="C525" s="131"/>
      <c r="D525" s="131"/>
      <c r="E525" s="100"/>
      <c r="F525" s="100"/>
    </row>
    <row r="526">
      <c r="A526" s="131"/>
      <c r="B526" s="131"/>
      <c r="C526" s="131"/>
      <c r="D526" s="131"/>
      <c r="E526" s="100"/>
      <c r="F526" s="100"/>
    </row>
    <row r="527">
      <c r="A527" s="131"/>
      <c r="B527" s="131"/>
      <c r="C527" s="131"/>
      <c r="D527" s="131"/>
      <c r="E527" s="100"/>
      <c r="F527" s="100"/>
    </row>
    <row r="528">
      <c r="A528" s="131"/>
      <c r="B528" s="131"/>
      <c r="C528" s="131"/>
      <c r="D528" s="131"/>
      <c r="E528" s="100"/>
      <c r="F528" s="100"/>
    </row>
    <row r="529">
      <c r="A529" s="131"/>
      <c r="B529" s="131"/>
      <c r="C529" s="131"/>
      <c r="D529" s="131"/>
      <c r="E529" s="100"/>
      <c r="F529" s="100"/>
    </row>
    <row r="530">
      <c r="A530" s="131"/>
      <c r="B530" s="131"/>
      <c r="C530" s="131"/>
      <c r="D530" s="131"/>
      <c r="E530" s="100"/>
      <c r="F530" s="100"/>
    </row>
    <row r="531">
      <c r="A531" s="131"/>
      <c r="B531" s="131"/>
      <c r="C531" s="131"/>
      <c r="D531" s="131"/>
      <c r="E531" s="100"/>
      <c r="F531" s="100"/>
    </row>
    <row r="532">
      <c r="A532" s="131"/>
      <c r="B532" s="131"/>
      <c r="C532" s="131"/>
      <c r="D532" s="131"/>
      <c r="E532" s="101"/>
      <c r="F532" s="101"/>
    </row>
    <row r="533">
      <c r="A533" s="131"/>
      <c r="B533" s="131"/>
      <c r="C533" s="131"/>
      <c r="D533" s="131"/>
      <c r="E533" s="100"/>
      <c r="F533" s="100"/>
    </row>
    <row r="534">
      <c r="A534" s="131"/>
      <c r="B534" s="131"/>
      <c r="C534" s="131"/>
      <c r="D534" s="131"/>
      <c r="E534" s="100"/>
      <c r="F534" s="100"/>
    </row>
    <row r="535">
      <c r="A535" s="131"/>
      <c r="B535" s="131"/>
      <c r="C535" s="131"/>
      <c r="D535" s="131"/>
      <c r="E535" s="102"/>
      <c r="F535" s="102"/>
    </row>
    <row r="536">
      <c r="A536" s="131"/>
      <c r="B536" s="131"/>
      <c r="C536" s="131"/>
      <c r="D536" s="131"/>
      <c r="E536" s="103"/>
      <c r="F536" s="103"/>
    </row>
    <row r="537">
      <c r="A537" s="131"/>
      <c r="B537" s="131"/>
      <c r="C537" s="131"/>
      <c r="D537" s="131"/>
      <c r="E537" s="103"/>
      <c r="F537" s="103"/>
    </row>
    <row r="538">
      <c r="A538" s="131"/>
      <c r="B538" s="131"/>
      <c r="C538" s="131"/>
      <c r="D538" s="131"/>
      <c r="E538" s="102"/>
      <c r="F538" s="103"/>
    </row>
    <row r="539">
      <c r="A539" s="131"/>
      <c r="B539" s="131"/>
      <c r="C539" s="131"/>
      <c r="D539" s="131"/>
      <c r="E539" s="103"/>
      <c r="F539" s="103"/>
    </row>
    <row r="540">
      <c r="A540" s="131"/>
      <c r="B540" s="131"/>
      <c r="C540" s="131"/>
      <c r="D540" s="131"/>
      <c r="E540" s="103"/>
      <c r="F540" s="103"/>
    </row>
    <row r="541">
      <c r="A541" s="131"/>
      <c r="B541" s="131"/>
      <c r="C541" s="131"/>
      <c r="D541" s="131"/>
      <c r="E541" s="103"/>
      <c r="F541" s="103"/>
    </row>
    <row r="542">
      <c r="A542" s="131"/>
      <c r="B542" s="131"/>
      <c r="C542" s="131"/>
      <c r="D542" s="131"/>
      <c r="E542" s="103"/>
      <c r="F542" s="103"/>
    </row>
    <row r="543">
      <c r="A543" s="131"/>
      <c r="B543" s="131"/>
      <c r="C543" s="131"/>
      <c r="D543" s="131"/>
      <c r="E543" s="103"/>
      <c r="F543" s="103"/>
    </row>
    <row r="544">
      <c r="A544" s="131"/>
      <c r="B544" s="131"/>
      <c r="C544" s="131"/>
      <c r="D544" s="131"/>
      <c r="E544" s="103"/>
      <c r="F544" s="103"/>
    </row>
    <row r="545">
      <c r="A545" s="131"/>
      <c r="B545" s="131"/>
      <c r="C545" s="131"/>
      <c r="D545" s="131"/>
      <c r="E545" s="103"/>
      <c r="F545" s="103"/>
    </row>
    <row r="546">
      <c r="A546" s="131"/>
      <c r="B546" s="131"/>
      <c r="C546" s="131"/>
      <c r="D546" s="131"/>
      <c r="E546" s="103"/>
      <c r="F546" s="103"/>
    </row>
    <row r="547">
      <c r="A547" s="131"/>
      <c r="B547" s="131"/>
      <c r="C547" s="131"/>
      <c r="D547" s="131"/>
      <c r="E547" s="103"/>
      <c r="F547" s="103"/>
    </row>
    <row r="548">
      <c r="A548" s="131"/>
      <c r="B548" s="131"/>
      <c r="C548" s="131"/>
      <c r="D548" s="131"/>
      <c r="E548" s="103"/>
      <c r="F548" s="103"/>
    </row>
    <row r="549">
      <c r="A549" s="131"/>
      <c r="B549" s="131"/>
      <c r="C549" s="131"/>
      <c r="D549" s="131"/>
      <c r="E549" s="103"/>
      <c r="F549" s="103"/>
    </row>
    <row r="550">
      <c r="A550" s="131"/>
      <c r="B550" s="131"/>
      <c r="C550" s="131"/>
      <c r="D550" s="131"/>
      <c r="E550" s="103"/>
      <c r="F550" s="103"/>
    </row>
    <row r="551">
      <c r="A551" s="131"/>
      <c r="B551" s="131"/>
      <c r="C551" s="131"/>
      <c r="D551" s="131"/>
      <c r="E551" s="103"/>
      <c r="F551" s="103"/>
    </row>
    <row r="552">
      <c r="A552" s="131"/>
      <c r="B552" s="131"/>
      <c r="C552" s="131"/>
      <c r="D552" s="131"/>
      <c r="E552" s="103"/>
      <c r="F552" s="103"/>
    </row>
    <row r="553">
      <c r="A553" s="131"/>
      <c r="B553" s="131"/>
      <c r="C553" s="131"/>
      <c r="D553" s="131"/>
      <c r="E553" s="99"/>
      <c r="F553" s="99"/>
    </row>
    <row r="554">
      <c r="A554" s="131"/>
      <c r="B554" s="131"/>
      <c r="C554" s="131"/>
      <c r="D554" s="131"/>
      <c r="E554" s="100"/>
      <c r="F554" s="100"/>
    </row>
    <row r="555">
      <c r="A555" s="131"/>
      <c r="B555" s="131"/>
      <c r="C555" s="131"/>
      <c r="D555" s="131"/>
      <c r="E555" s="100"/>
      <c r="F555" s="100"/>
    </row>
    <row r="556">
      <c r="A556" s="131"/>
      <c r="B556" s="131"/>
      <c r="C556" s="131"/>
      <c r="D556" s="131"/>
      <c r="E556" s="100"/>
      <c r="F556" s="100"/>
    </row>
    <row r="557">
      <c r="A557" s="131"/>
      <c r="B557" s="131"/>
      <c r="C557" s="131"/>
      <c r="D557" s="131"/>
      <c r="E557" s="100"/>
      <c r="F557" s="100"/>
    </row>
    <row r="558">
      <c r="A558" s="131"/>
      <c r="B558" s="131"/>
      <c r="C558" s="131"/>
      <c r="D558" s="131"/>
      <c r="E558" s="100"/>
      <c r="F558" s="100"/>
    </row>
    <row r="559">
      <c r="A559" s="131"/>
      <c r="B559" s="131"/>
      <c r="C559" s="131"/>
      <c r="D559" s="131"/>
      <c r="E559" s="100"/>
      <c r="F559" s="100"/>
    </row>
    <row r="560">
      <c r="A560" s="131"/>
      <c r="B560" s="131"/>
      <c r="C560" s="131"/>
      <c r="D560" s="131"/>
      <c r="E560" s="100"/>
      <c r="F560" s="100"/>
    </row>
    <row r="561">
      <c r="A561" s="131"/>
      <c r="B561" s="131"/>
      <c r="C561" s="131"/>
      <c r="D561" s="131"/>
      <c r="E561" s="100"/>
      <c r="F561" s="100"/>
    </row>
    <row r="562">
      <c r="A562" s="131"/>
      <c r="B562" s="131"/>
      <c r="C562" s="131"/>
      <c r="D562" s="131"/>
      <c r="E562" s="100"/>
      <c r="F562" s="100"/>
    </row>
    <row r="563">
      <c r="A563" s="131"/>
      <c r="B563" s="131"/>
      <c r="C563" s="131"/>
      <c r="D563" s="131"/>
      <c r="E563" s="100"/>
      <c r="F563" s="100"/>
    </row>
    <row r="564">
      <c r="A564" s="131"/>
      <c r="B564" s="131"/>
      <c r="C564" s="131"/>
      <c r="D564" s="131"/>
      <c r="E564" s="99"/>
      <c r="F564" s="99"/>
    </row>
    <row r="565">
      <c r="A565" s="131"/>
      <c r="B565" s="131"/>
      <c r="C565" s="131"/>
      <c r="D565" s="131"/>
      <c r="E565" s="100"/>
      <c r="F565" s="100"/>
    </row>
    <row r="566">
      <c r="A566" s="131"/>
      <c r="B566" s="131"/>
      <c r="C566" s="131"/>
      <c r="D566" s="131"/>
      <c r="E566" s="100"/>
      <c r="F566" s="100"/>
    </row>
    <row r="567">
      <c r="A567" s="131"/>
      <c r="B567" s="131"/>
      <c r="C567" s="131"/>
      <c r="D567" s="131"/>
      <c r="E567" s="100"/>
      <c r="F567" s="100"/>
    </row>
    <row r="568">
      <c r="A568" s="131"/>
      <c r="B568" s="131"/>
      <c r="C568" s="131"/>
      <c r="D568" s="131"/>
      <c r="E568" s="100"/>
      <c r="F568" s="100"/>
    </row>
    <row r="569">
      <c r="A569" s="131"/>
      <c r="B569" s="131"/>
      <c r="C569" s="131"/>
      <c r="D569" s="131"/>
      <c r="E569" s="100"/>
      <c r="F569" s="100"/>
    </row>
    <row r="570">
      <c r="A570" s="131"/>
      <c r="B570" s="131"/>
      <c r="C570" s="131"/>
      <c r="D570" s="131"/>
      <c r="E570" s="100"/>
      <c r="F570" s="100"/>
    </row>
    <row r="571">
      <c r="A571" s="131"/>
      <c r="B571" s="131"/>
      <c r="C571" s="131"/>
      <c r="D571" s="131"/>
      <c r="E571" s="101"/>
      <c r="F571" s="101"/>
    </row>
    <row r="572">
      <c r="A572" s="131"/>
      <c r="B572" s="131"/>
      <c r="C572" s="131"/>
      <c r="D572" s="131"/>
      <c r="E572" s="101"/>
      <c r="F572" s="101"/>
    </row>
    <row r="573">
      <c r="A573" s="131"/>
      <c r="B573" s="131"/>
      <c r="C573" s="131"/>
      <c r="D573" s="131"/>
      <c r="E573" s="101"/>
      <c r="F573" s="101"/>
    </row>
    <row r="574">
      <c r="A574" s="131"/>
      <c r="B574" s="131"/>
      <c r="C574" s="131"/>
      <c r="D574" s="131"/>
      <c r="E574" s="101"/>
      <c r="F574" s="101"/>
    </row>
    <row r="575">
      <c r="A575" s="131"/>
      <c r="B575" s="131"/>
      <c r="C575" s="131"/>
      <c r="D575" s="131"/>
      <c r="E575" s="101"/>
      <c r="F575" s="101"/>
    </row>
    <row r="576">
      <c r="A576" s="131"/>
      <c r="B576" s="131"/>
      <c r="C576" s="131"/>
      <c r="D576" s="131"/>
      <c r="E576" s="101"/>
      <c r="F576" s="101"/>
    </row>
    <row r="577">
      <c r="A577" s="131"/>
      <c r="B577" s="131"/>
      <c r="C577" s="131"/>
      <c r="D577" s="131"/>
      <c r="E577" s="105"/>
      <c r="F577" s="105"/>
    </row>
    <row r="578">
      <c r="A578" s="131"/>
      <c r="B578" s="131"/>
      <c r="C578" s="131"/>
      <c r="D578" s="131"/>
      <c r="E578" s="106"/>
      <c r="F578" s="106"/>
    </row>
    <row r="579">
      <c r="A579" s="131"/>
      <c r="B579" s="131"/>
      <c r="C579" s="131"/>
      <c r="D579" s="131"/>
      <c r="E579" s="107"/>
      <c r="F579" s="107"/>
    </row>
    <row r="580">
      <c r="A580" s="131"/>
      <c r="B580" s="131"/>
      <c r="C580" s="131"/>
      <c r="D580" s="131"/>
      <c r="E580" s="107"/>
      <c r="F580" s="107"/>
    </row>
    <row r="581">
      <c r="A581" s="131"/>
      <c r="B581" s="131"/>
      <c r="C581" s="131"/>
      <c r="D581" s="131"/>
      <c r="E581" s="108"/>
      <c r="F581" s="108"/>
    </row>
    <row r="582">
      <c r="A582" s="131"/>
      <c r="B582" s="131"/>
      <c r="C582" s="131"/>
      <c r="D582" s="131"/>
      <c r="E582" s="107"/>
      <c r="F582" s="107"/>
    </row>
    <row r="583">
      <c r="A583" s="131"/>
      <c r="B583" s="131"/>
      <c r="C583" s="131"/>
      <c r="D583" s="131"/>
      <c r="E583" s="106"/>
      <c r="F583" s="106"/>
    </row>
    <row r="584">
      <c r="A584" s="131"/>
      <c r="B584" s="131"/>
      <c r="C584" s="131"/>
      <c r="D584" s="131"/>
      <c r="E584" s="107"/>
      <c r="F584" s="107"/>
    </row>
    <row r="585">
      <c r="A585" s="131"/>
      <c r="B585" s="131"/>
      <c r="C585" s="131"/>
      <c r="D585" s="131"/>
      <c r="E585" s="107"/>
      <c r="F585" s="107"/>
    </row>
    <row r="586">
      <c r="A586" s="131"/>
      <c r="B586" s="131"/>
      <c r="C586" s="131"/>
      <c r="D586" s="131"/>
      <c r="E586" s="107"/>
      <c r="F586" s="107"/>
    </row>
    <row r="587">
      <c r="A587" s="131"/>
      <c r="B587" s="131"/>
      <c r="C587" s="131"/>
      <c r="D587" s="131"/>
      <c r="E587" s="107"/>
      <c r="F587" s="107"/>
    </row>
    <row r="588">
      <c r="A588" s="131"/>
      <c r="B588" s="131"/>
      <c r="C588" s="131"/>
      <c r="D588" s="131"/>
      <c r="E588" s="106"/>
      <c r="F588" s="106"/>
    </row>
    <row r="589">
      <c r="A589" s="131"/>
      <c r="B589" s="131"/>
      <c r="C589" s="131"/>
      <c r="D589" s="131"/>
      <c r="E589" s="107"/>
      <c r="F589" s="107"/>
    </row>
    <row r="590">
      <c r="A590" s="131"/>
      <c r="B590" s="131"/>
      <c r="C590" s="131"/>
      <c r="D590" s="131"/>
      <c r="E590" s="109"/>
      <c r="F590" s="109"/>
    </row>
    <row r="591">
      <c r="A591" s="131"/>
      <c r="B591" s="131"/>
      <c r="C591" s="131"/>
      <c r="D591" s="131"/>
      <c r="E591" s="110"/>
      <c r="F591" s="110"/>
    </row>
    <row r="592">
      <c r="A592" s="131"/>
      <c r="B592" s="131"/>
      <c r="C592" s="131"/>
      <c r="D592" s="131"/>
      <c r="E592" s="110"/>
      <c r="F592" s="110"/>
    </row>
    <row r="593">
      <c r="A593" s="131"/>
      <c r="B593" s="131"/>
      <c r="C593" s="131"/>
      <c r="D593" s="131"/>
      <c r="E593" s="111"/>
      <c r="F593" s="111"/>
    </row>
    <row r="594">
      <c r="A594" s="131"/>
      <c r="B594" s="131"/>
      <c r="C594" s="131"/>
      <c r="D594" s="131"/>
      <c r="E594" s="112"/>
      <c r="F594" s="112"/>
    </row>
    <row r="595">
      <c r="A595" s="131"/>
      <c r="B595" s="131"/>
      <c r="C595" s="131"/>
      <c r="D595" s="131"/>
      <c r="E595" s="112"/>
      <c r="F595" s="112"/>
    </row>
    <row r="596">
      <c r="A596" s="131"/>
      <c r="B596" s="131"/>
      <c r="C596" s="131"/>
      <c r="D596" s="131"/>
      <c r="E596" s="112"/>
      <c r="F596" s="112"/>
    </row>
    <row r="597">
      <c r="A597" s="131"/>
      <c r="B597" s="131"/>
      <c r="C597" s="131"/>
      <c r="D597" s="131"/>
      <c r="E597" s="112"/>
      <c r="F597" s="112"/>
    </row>
    <row r="598">
      <c r="A598" s="131"/>
      <c r="B598" s="131"/>
      <c r="C598" s="131"/>
      <c r="D598" s="131"/>
      <c r="E598" s="113"/>
      <c r="F598" s="110"/>
    </row>
    <row r="599">
      <c r="A599" s="131"/>
      <c r="B599" s="131"/>
      <c r="C599" s="131"/>
      <c r="D599" s="131"/>
      <c r="E599" s="114"/>
      <c r="F599" s="114"/>
    </row>
    <row r="600">
      <c r="A600" s="131"/>
      <c r="B600" s="131"/>
      <c r="C600" s="131"/>
      <c r="D600" s="131"/>
      <c r="E600" s="114"/>
      <c r="F600" s="114"/>
    </row>
    <row r="601">
      <c r="A601" s="131"/>
      <c r="B601" s="131"/>
      <c r="C601" s="131"/>
      <c r="D601" s="131"/>
      <c r="E601" s="114"/>
      <c r="F601" s="114"/>
    </row>
    <row r="602">
      <c r="A602" s="131"/>
      <c r="B602" s="131"/>
      <c r="C602" s="131"/>
      <c r="D602" s="131"/>
      <c r="E602" s="114"/>
      <c r="F602" s="114"/>
    </row>
    <row r="603">
      <c r="A603" s="131"/>
      <c r="B603" s="131"/>
      <c r="C603" s="131"/>
      <c r="D603" s="131"/>
      <c r="E603" s="114"/>
      <c r="F603" s="114"/>
    </row>
    <row r="604">
      <c r="A604" s="131"/>
      <c r="B604" s="131"/>
      <c r="C604" s="131"/>
      <c r="D604" s="131"/>
      <c r="E604" s="114"/>
      <c r="F604" s="114"/>
    </row>
    <row r="605">
      <c r="A605" s="131"/>
      <c r="B605" s="131"/>
      <c r="C605" s="131"/>
      <c r="D605" s="131"/>
      <c r="E605" s="114"/>
      <c r="F605" s="114"/>
    </row>
    <row r="606">
      <c r="A606" s="131"/>
      <c r="B606" s="131"/>
      <c r="C606" s="131"/>
      <c r="D606" s="131"/>
      <c r="E606" s="114"/>
      <c r="F606" s="114"/>
    </row>
    <row r="607">
      <c r="A607" s="131"/>
      <c r="B607" s="131"/>
      <c r="C607" s="131"/>
      <c r="D607" s="131"/>
      <c r="E607" s="114"/>
      <c r="F607" s="114"/>
    </row>
    <row r="608">
      <c r="A608" s="131"/>
      <c r="B608" s="131"/>
      <c r="C608" s="131"/>
      <c r="D608" s="131"/>
      <c r="E608" s="114"/>
      <c r="F608" s="114"/>
    </row>
    <row r="609">
      <c r="A609" s="131"/>
      <c r="B609" s="131"/>
      <c r="C609" s="131"/>
      <c r="D609" s="131"/>
      <c r="E609" s="114"/>
      <c r="F609" s="114"/>
    </row>
    <row r="610">
      <c r="A610" s="131"/>
      <c r="B610" s="131"/>
      <c r="C610" s="131"/>
      <c r="D610" s="131"/>
      <c r="E610" s="114"/>
      <c r="F610" s="114"/>
    </row>
    <row r="611">
      <c r="A611" s="131"/>
      <c r="B611" s="131"/>
      <c r="C611" s="131"/>
      <c r="D611" s="131"/>
      <c r="E611" s="114"/>
      <c r="F611" s="114"/>
    </row>
    <row r="612">
      <c r="A612" s="131"/>
      <c r="B612" s="131"/>
      <c r="C612" s="131"/>
      <c r="D612" s="131"/>
      <c r="E612" s="114"/>
      <c r="F612" s="114"/>
    </row>
    <row r="613">
      <c r="A613" s="131"/>
      <c r="B613" s="131"/>
      <c r="C613" s="131"/>
      <c r="D613" s="131"/>
      <c r="E613" s="114"/>
      <c r="F613" s="114"/>
    </row>
    <row r="614">
      <c r="A614" s="131"/>
      <c r="B614" s="131"/>
      <c r="C614" s="131"/>
      <c r="D614" s="131"/>
      <c r="E614" s="114"/>
      <c r="F614" s="114"/>
    </row>
    <row r="615">
      <c r="A615" s="131"/>
      <c r="B615" s="131"/>
      <c r="C615" s="131"/>
      <c r="D615" s="131"/>
      <c r="E615" s="114"/>
      <c r="F615" s="114"/>
    </row>
    <row r="616">
      <c r="A616" s="131"/>
      <c r="B616" s="131"/>
      <c r="C616" s="131"/>
      <c r="D616" s="131"/>
      <c r="E616" s="114"/>
      <c r="F616" s="114"/>
    </row>
    <row r="617">
      <c r="A617" s="131"/>
      <c r="B617" s="131"/>
      <c r="C617" s="131"/>
      <c r="D617" s="131"/>
      <c r="E617" s="114"/>
      <c r="F617" s="114"/>
    </row>
    <row r="618">
      <c r="A618" s="131"/>
      <c r="B618" s="131"/>
      <c r="C618" s="131"/>
      <c r="D618" s="131"/>
      <c r="E618" s="114"/>
      <c r="F618" s="114"/>
    </row>
    <row r="619">
      <c r="A619" s="131"/>
      <c r="B619" s="131"/>
      <c r="C619" s="131"/>
      <c r="D619" s="131"/>
      <c r="E619" s="131"/>
      <c r="F619" s="131"/>
    </row>
    <row r="620">
      <c r="A620" s="131"/>
      <c r="B620" s="131"/>
      <c r="C620" s="131"/>
      <c r="D620" s="131"/>
      <c r="E620" s="105"/>
      <c r="F620" s="105"/>
    </row>
    <row r="621">
      <c r="A621" s="131"/>
      <c r="B621" s="131"/>
      <c r="C621" s="131"/>
      <c r="D621" s="131"/>
      <c r="E621" s="115"/>
      <c r="F621" s="107"/>
    </row>
    <row r="622">
      <c r="A622" s="131"/>
      <c r="B622" s="131"/>
      <c r="C622" s="131"/>
      <c r="D622" s="131"/>
      <c r="E622" s="107"/>
      <c r="F622" s="107"/>
    </row>
    <row r="623">
      <c r="A623" s="131"/>
      <c r="B623" s="131"/>
      <c r="C623" s="131"/>
      <c r="D623" s="131"/>
      <c r="E623" s="116"/>
      <c r="F623" s="107"/>
    </row>
    <row r="624">
      <c r="A624" s="131"/>
      <c r="B624" s="131"/>
      <c r="C624" s="131"/>
      <c r="D624" s="131"/>
      <c r="E624" s="107"/>
      <c r="F624" s="107"/>
    </row>
    <row r="625">
      <c r="A625" s="131"/>
      <c r="B625" s="131"/>
      <c r="C625" s="131"/>
      <c r="D625" s="131"/>
      <c r="E625" s="107"/>
      <c r="F625" s="107"/>
    </row>
    <row r="626">
      <c r="A626" s="131"/>
      <c r="B626" s="131"/>
      <c r="C626" s="131"/>
      <c r="D626" s="131"/>
      <c r="E626" s="107"/>
      <c r="F626" s="107"/>
    </row>
    <row r="627">
      <c r="A627" s="131"/>
      <c r="B627" s="131"/>
      <c r="C627" s="131"/>
      <c r="D627" s="131"/>
      <c r="E627" s="107"/>
      <c r="F627" s="107"/>
    </row>
    <row r="628">
      <c r="A628" s="131"/>
      <c r="B628" s="131"/>
      <c r="C628" s="131"/>
      <c r="D628" s="131"/>
      <c r="E628" s="107"/>
      <c r="F628" s="107"/>
    </row>
    <row r="629">
      <c r="A629" s="131"/>
      <c r="B629" s="131"/>
      <c r="C629" s="131"/>
      <c r="D629" s="131"/>
      <c r="E629" s="107"/>
      <c r="F629" s="107"/>
    </row>
    <row r="630">
      <c r="A630" s="131"/>
      <c r="B630" s="131"/>
      <c r="C630" s="131"/>
      <c r="D630" s="131"/>
      <c r="E630" s="107"/>
      <c r="F630" s="107"/>
    </row>
    <row r="631">
      <c r="A631" s="131"/>
      <c r="B631" s="131"/>
      <c r="C631" s="131"/>
      <c r="D631" s="131"/>
      <c r="E631" s="107"/>
      <c r="F631" s="107"/>
    </row>
    <row r="632">
      <c r="A632" s="131"/>
      <c r="B632" s="131"/>
      <c r="C632" s="131"/>
      <c r="D632" s="131"/>
      <c r="E632" s="107"/>
      <c r="F632" s="107"/>
    </row>
    <row r="633">
      <c r="A633" s="131"/>
      <c r="B633" s="131"/>
      <c r="C633" s="131"/>
      <c r="D633" s="131"/>
      <c r="E633" s="107"/>
      <c r="F633" s="107"/>
    </row>
    <row r="634">
      <c r="A634" s="131"/>
      <c r="B634" s="131"/>
      <c r="C634" s="131"/>
      <c r="D634" s="131"/>
      <c r="E634" s="107"/>
      <c r="F634" s="107"/>
    </row>
    <row r="635">
      <c r="A635" s="131"/>
      <c r="B635" s="131"/>
      <c r="C635" s="131"/>
      <c r="D635" s="131"/>
      <c r="E635" s="107"/>
      <c r="F635" s="107"/>
    </row>
    <row r="636">
      <c r="A636" s="131"/>
      <c r="B636" s="131"/>
      <c r="C636" s="131"/>
      <c r="D636" s="131"/>
      <c r="E636" s="107"/>
      <c r="F636" s="107"/>
    </row>
    <row r="637">
      <c r="A637" s="131"/>
      <c r="B637" s="131"/>
      <c r="C637" s="131"/>
      <c r="D637" s="131"/>
      <c r="E637" s="107"/>
      <c r="F637" s="107"/>
    </row>
    <row r="638">
      <c r="A638" s="131"/>
      <c r="B638" s="131"/>
      <c r="C638" s="131"/>
      <c r="D638" s="131"/>
      <c r="E638" s="98"/>
      <c r="F638" s="107"/>
    </row>
    <row r="639">
      <c r="A639" s="131"/>
      <c r="B639" s="131"/>
      <c r="C639" s="131"/>
      <c r="D639" s="131"/>
      <c r="E639" s="131"/>
      <c r="F639" s="131"/>
    </row>
    <row r="640">
      <c r="A640" s="131"/>
      <c r="B640" s="131"/>
      <c r="C640" s="131"/>
      <c r="D640" s="131"/>
      <c r="E640" s="105"/>
      <c r="F640" s="105"/>
    </row>
    <row r="641">
      <c r="A641" s="131"/>
      <c r="B641" s="131"/>
      <c r="C641" s="131"/>
      <c r="D641" s="131"/>
      <c r="E641" s="109"/>
      <c r="F641" s="109"/>
    </row>
    <row r="642">
      <c r="A642" s="131"/>
      <c r="B642" s="131"/>
      <c r="C642" s="131"/>
      <c r="D642" s="131"/>
      <c r="E642" s="109"/>
      <c r="F642" s="109"/>
    </row>
    <row r="643">
      <c r="A643" s="131"/>
      <c r="B643" s="131"/>
      <c r="C643" s="131"/>
      <c r="D643" s="131"/>
      <c r="E643" s="109"/>
      <c r="F643" s="109"/>
    </row>
    <row r="644">
      <c r="A644" s="131"/>
      <c r="B644" s="131"/>
      <c r="C644" s="131"/>
      <c r="D644" s="131"/>
      <c r="E644" s="109"/>
      <c r="F644" s="109"/>
    </row>
    <row r="645">
      <c r="A645" s="131"/>
      <c r="B645" s="131"/>
      <c r="C645" s="131"/>
      <c r="D645" s="131"/>
      <c r="E645" s="109"/>
      <c r="F645" s="109"/>
    </row>
    <row r="646">
      <c r="A646" s="131"/>
      <c r="B646" s="131"/>
      <c r="C646" s="131"/>
      <c r="D646" s="131"/>
      <c r="E646" s="109"/>
      <c r="F646" s="109"/>
    </row>
    <row r="647">
      <c r="A647" s="131"/>
      <c r="B647" s="131"/>
      <c r="C647" s="131"/>
      <c r="D647" s="131"/>
      <c r="E647" s="109"/>
      <c r="F647" s="109"/>
    </row>
    <row r="648">
      <c r="A648" s="131"/>
      <c r="B648" s="131"/>
      <c r="C648" s="131"/>
      <c r="D648" s="131"/>
      <c r="E648" s="109"/>
      <c r="F648" s="109"/>
    </row>
    <row r="649">
      <c r="A649" s="131"/>
      <c r="B649" s="131"/>
      <c r="C649" s="131"/>
      <c r="D649" s="131"/>
      <c r="E649" s="109"/>
      <c r="F649" s="109"/>
    </row>
    <row r="650">
      <c r="A650" s="131"/>
      <c r="B650" s="131"/>
      <c r="C650" s="131"/>
      <c r="D650" s="131"/>
      <c r="E650" s="109"/>
      <c r="F650" s="109"/>
    </row>
    <row r="651">
      <c r="A651" s="131"/>
      <c r="B651" s="131"/>
      <c r="C651" s="131"/>
      <c r="D651" s="131"/>
      <c r="E651" s="109"/>
      <c r="F651" s="109"/>
    </row>
    <row r="652">
      <c r="A652" s="131"/>
      <c r="B652" s="131"/>
      <c r="C652" s="131"/>
      <c r="D652" s="131"/>
      <c r="E652" s="109"/>
      <c r="F652" s="109"/>
    </row>
    <row r="653">
      <c r="A653" s="131"/>
      <c r="B653" s="131"/>
      <c r="C653" s="131"/>
      <c r="D653" s="131"/>
      <c r="E653" s="109"/>
      <c r="F653" s="109"/>
    </row>
    <row r="654">
      <c r="A654" s="131"/>
      <c r="B654" s="131"/>
      <c r="C654" s="131"/>
      <c r="D654" s="131"/>
      <c r="E654" s="109"/>
      <c r="F654" s="109"/>
    </row>
    <row r="655">
      <c r="A655" s="131"/>
      <c r="B655" s="131"/>
      <c r="C655" s="131"/>
      <c r="D655" s="131"/>
      <c r="E655" s="109"/>
      <c r="F655" s="109"/>
    </row>
    <row r="656">
      <c r="A656" s="131"/>
      <c r="B656" s="131"/>
      <c r="C656" s="131"/>
      <c r="D656" s="131"/>
      <c r="E656" s="109"/>
      <c r="F656" s="109"/>
    </row>
    <row r="657">
      <c r="A657" s="131"/>
      <c r="B657" s="131"/>
      <c r="C657" s="131"/>
      <c r="D657" s="131"/>
      <c r="E657" s="109"/>
      <c r="F657" s="109"/>
    </row>
    <row r="658">
      <c r="A658" s="131"/>
      <c r="B658" s="131"/>
      <c r="C658" s="131"/>
      <c r="D658" s="131"/>
      <c r="E658" s="109"/>
      <c r="F658" s="109"/>
    </row>
    <row r="659">
      <c r="A659" s="131"/>
      <c r="B659" s="131"/>
      <c r="C659" s="131"/>
      <c r="D659" s="131"/>
      <c r="E659" s="109"/>
      <c r="F659" s="109"/>
    </row>
    <row r="660">
      <c r="A660" s="131"/>
      <c r="B660" s="131"/>
      <c r="C660" s="131"/>
      <c r="D660" s="131"/>
      <c r="E660" s="109"/>
      <c r="F660" s="109"/>
    </row>
    <row r="661">
      <c r="A661" s="131"/>
      <c r="B661" s="131"/>
      <c r="C661" s="131"/>
      <c r="D661" s="131"/>
      <c r="E661" s="109"/>
      <c r="F661" s="109"/>
    </row>
    <row r="662">
      <c r="A662" s="131"/>
      <c r="B662" s="131"/>
      <c r="C662" s="131"/>
      <c r="D662" s="131"/>
      <c r="E662" s="109"/>
      <c r="F662" s="109"/>
    </row>
    <row r="663">
      <c r="A663" s="131"/>
      <c r="B663" s="131"/>
      <c r="C663" s="131"/>
      <c r="D663" s="131"/>
      <c r="E663" s="109"/>
      <c r="F663" s="109"/>
    </row>
    <row r="664">
      <c r="A664" s="131"/>
      <c r="B664" s="131"/>
      <c r="C664" s="131"/>
      <c r="D664" s="131"/>
      <c r="E664" s="109"/>
      <c r="F664" s="109"/>
    </row>
    <row r="665">
      <c r="A665" s="131"/>
      <c r="B665" s="131"/>
      <c r="C665" s="131"/>
      <c r="D665" s="131"/>
      <c r="E665" s="109"/>
      <c r="F665" s="109"/>
    </row>
    <row r="666">
      <c r="A666" s="131"/>
      <c r="B666" s="131"/>
      <c r="C666" s="131"/>
      <c r="D666" s="131"/>
      <c r="E666" s="131"/>
      <c r="F666" s="131"/>
    </row>
    <row r="667">
      <c r="A667" s="131"/>
      <c r="B667" s="131"/>
      <c r="C667" s="131"/>
      <c r="D667" s="131"/>
      <c r="E667" s="105"/>
      <c r="F667" s="105"/>
    </row>
    <row r="668">
      <c r="A668" s="131"/>
      <c r="B668" s="131"/>
      <c r="C668" s="131"/>
      <c r="D668" s="131"/>
      <c r="E668" s="107"/>
      <c r="F668" s="107"/>
    </row>
    <row r="669">
      <c r="A669" s="131"/>
      <c r="B669" s="131"/>
      <c r="C669" s="131"/>
      <c r="D669" s="131"/>
      <c r="E669" s="107"/>
      <c r="F669" s="107"/>
    </row>
    <row r="670">
      <c r="A670" s="131"/>
      <c r="B670" s="131"/>
      <c r="C670" s="131"/>
      <c r="D670" s="131"/>
      <c r="E670" s="107"/>
      <c r="F670" s="107"/>
    </row>
    <row r="671">
      <c r="A671" s="131"/>
      <c r="B671" s="131"/>
      <c r="C671" s="131"/>
      <c r="D671" s="131"/>
      <c r="E671" s="107"/>
      <c r="F671" s="107"/>
    </row>
    <row r="672">
      <c r="A672" s="131"/>
      <c r="B672" s="131"/>
      <c r="C672" s="131"/>
      <c r="D672" s="131"/>
      <c r="E672" s="107"/>
      <c r="F672" s="107"/>
    </row>
    <row r="673">
      <c r="A673" s="131"/>
      <c r="B673" s="131"/>
      <c r="C673" s="131"/>
      <c r="D673" s="131"/>
      <c r="E673" s="107"/>
      <c r="F673" s="107"/>
    </row>
    <row r="674">
      <c r="A674" s="131"/>
      <c r="B674" s="131"/>
      <c r="C674" s="131"/>
      <c r="D674" s="131"/>
      <c r="E674" s="107"/>
      <c r="F674" s="107"/>
    </row>
    <row r="675">
      <c r="A675" s="131"/>
      <c r="B675" s="131"/>
      <c r="C675" s="131"/>
      <c r="D675" s="131"/>
      <c r="E675" s="107"/>
      <c r="F675" s="107"/>
    </row>
    <row r="676">
      <c r="A676" s="131"/>
      <c r="B676" s="131"/>
      <c r="C676" s="131"/>
      <c r="D676" s="131"/>
      <c r="E676" s="107"/>
      <c r="F676" s="107"/>
    </row>
    <row r="677">
      <c r="A677" s="131"/>
      <c r="B677" s="131"/>
      <c r="C677" s="131"/>
      <c r="D677" s="131"/>
      <c r="E677" s="107"/>
      <c r="F677" s="107"/>
    </row>
    <row r="678">
      <c r="A678" s="131"/>
      <c r="B678" s="131"/>
      <c r="C678" s="131"/>
      <c r="D678" s="131"/>
      <c r="E678" s="107"/>
      <c r="F678" s="107"/>
    </row>
    <row r="679">
      <c r="A679" s="131"/>
      <c r="B679" s="131"/>
      <c r="C679" s="131"/>
      <c r="D679" s="131"/>
      <c r="E679" s="107"/>
      <c r="F679" s="107"/>
    </row>
    <row r="680">
      <c r="A680" s="131"/>
      <c r="B680" s="131"/>
      <c r="C680" s="131"/>
      <c r="D680" s="131"/>
      <c r="E680" s="107"/>
      <c r="F680" s="107"/>
    </row>
    <row r="681">
      <c r="A681" s="131"/>
      <c r="B681" s="131"/>
      <c r="C681" s="131"/>
      <c r="D681" s="131"/>
      <c r="E681" s="107"/>
      <c r="F681" s="107"/>
    </row>
    <row r="682">
      <c r="A682" s="131"/>
      <c r="B682" s="131"/>
      <c r="C682" s="131"/>
      <c r="D682" s="131"/>
      <c r="E682" s="107"/>
      <c r="F682" s="107"/>
    </row>
    <row r="683">
      <c r="A683" s="131"/>
      <c r="B683" s="131"/>
      <c r="C683" s="131"/>
      <c r="D683" s="131"/>
      <c r="E683" s="107"/>
      <c r="F683" s="107"/>
    </row>
    <row r="684">
      <c r="A684" s="131"/>
      <c r="B684" s="131"/>
      <c r="C684" s="131"/>
      <c r="D684" s="131"/>
      <c r="E684" s="107"/>
      <c r="F684" s="107"/>
    </row>
    <row r="685">
      <c r="A685" s="131"/>
      <c r="B685" s="131"/>
      <c r="C685" s="131"/>
      <c r="D685" s="131"/>
      <c r="E685" s="107"/>
      <c r="F685" s="107"/>
    </row>
    <row r="686">
      <c r="A686" s="131"/>
      <c r="B686" s="131"/>
      <c r="C686" s="131"/>
      <c r="D686" s="131"/>
      <c r="E686" s="107"/>
      <c r="F686" s="107"/>
    </row>
    <row r="687">
      <c r="A687" s="131"/>
      <c r="B687" s="131"/>
      <c r="C687" s="131"/>
      <c r="D687" s="131"/>
      <c r="E687" s="107"/>
      <c r="F687" s="107"/>
    </row>
    <row r="688">
      <c r="A688" s="131"/>
      <c r="B688" s="131"/>
      <c r="C688" s="131"/>
      <c r="D688" s="131"/>
      <c r="E688" s="107"/>
      <c r="F688" s="107"/>
    </row>
    <row r="689">
      <c r="A689" s="131"/>
      <c r="B689" s="131"/>
      <c r="C689" s="131"/>
      <c r="D689" s="131"/>
      <c r="E689" s="107"/>
      <c r="F689" s="107"/>
    </row>
    <row r="690">
      <c r="A690" s="131"/>
      <c r="B690" s="131"/>
      <c r="C690" s="131"/>
      <c r="D690" s="131"/>
      <c r="E690" s="107"/>
      <c r="F690" s="107"/>
    </row>
    <row r="691">
      <c r="A691" s="131"/>
      <c r="B691" s="131"/>
      <c r="C691" s="131"/>
      <c r="D691" s="131"/>
      <c r="E691" s="107"/>
      <c r="F691" s="107"/>
    </row>
    <row r="692">
      <c r="A692" s="131"/>
      <c r="B692" s="131"/>
      <c r="C692" s="131"/>
      <c r="D692" s="131"/>
      <c r="E692" s="107"/>
      <c r="F692" s="107"/>
    </row>
    <row r="693">
      <c r="A693" s="131"/>
      <c r="B693" s="131"/>
      <c r="C693" s="131"/>
      <c r="D693" s="131"/>
      <c r="E693" s="107"/>
      <c r="F693" s="107"/>
    </row>
    <row r="694">
      <c r="A694" s="131"/>
      <c r="B694" s="131"/>
      <c r="C694" s="131"/>
      <c r="D694" s="131"/>
      <c r="E694" s="107"/>
      <c r="F694" s="107"/>
    </row>
    <row r="695">
      <c r="A695" s="131"/>
      <c r="B695" s="131"/>
      <c r="C695" s="131"/>
      <c r="D695" s="131"/>
      <c r="E695" s="107"/>
      <c r="F695" s="107"/>
    </row>
    <row r="696">
      <c r="A696" s="131"/>
      <c r="B696" s="131"/>
      <c r="C696" s="131"/>
      <c r="D696" s="131"/>
      <c r="E696" s="107"/>
      <c r="F696" s="107"/>
    </row>
    <row r="697">
      <c r="A697" s="131"/>
      <c r="B697" s="131"/>
      <c r="C697" s="131"/>
      <c r="D697" s="131"/>
      <c r="E697" s="107"/>
      <c r="F697" s="107"/>
    </row>
    <row r="698">
      <c r="A698" s="131"/>
      <c r="B698" s="131"/>
      <c r="C698" s="131"/>
      <c r="D698" s="131"/>
      <c r="E698" s="107"/>
      <c r="F698" s="107"/>
    </row>
    <row r="699">
      <c r="A699" s="131"/>
      <c r="B699" s="131"/>
      <c r="C699" s="131"/>
      <c r="D699" s="131"/>
      <c r="E699" s="107"/>
      <c r="F699" s="107"/>
    </row>
    <row r="700">
      <c r="A700" s="131"/>
      <c r="B700" s="131"/>
      <c r="C700" s="131"/>
      <c r="D700" s="131"/>
      <c r="E700" s="107"/>
      <c r="F700" s="107"/>
    </row>
    <row r="701">
      <c r="A701" s="131"/>
      <c r="B701" s="131"/>
      <c r="C701" s="131"/>
      <c r="D701" s="131"/>
      <c r="E701" s="107"/>
      <c r="F701" s="107"/>
    </row>
    <row r="702">
      <c r="A702" s="131"/>
      <c r="B702" s="131"/>
      <c r="C702" s="131"/>
      <c r="D702" s="131"/>
      <c r="E702" s="107"/>
      <c r="F702" s="107"/>
    </row>
    <row r="703">
      <c r="A703" s="131"/>
      <c r="B703" s="131"/>
      <c r="C703" s="131"/>
      <c r="D703" s="131"/>
      <c r="E703" s="107"/>
      <c r="F703" s="107"/>
    </row>
    <row r="704">
      <c r="A704" s="131"/>
      <c r="B704" s="131"/>
      <c r="C704" s="131"/>
      <c r="D704" s="131"/>
      <c r="E704" s="116"/>
      <c r="F704" s="107"/>
    </row>
    <row r="705">
      <c r="A705" s="131"/>
      <c r="B705" s="131"/>
      <c r="C705" s="131"/>
      <c r="D705" s="131"/>
      <c r="E705" s="107"/>
      <c r="F705" s="107"/>
    </row>
    <row r="706">
      <c r="A706" s="131"/>
      <c r="B706" s="131"/>
      <c r="C706" s="131"/>
      <c r="D706" s="131"/>
      <c r="E706" s="107"/>
      <c r="F706" s="107"/>
    </row>
    <row r="707">
      <c r="A707" s="131"/>
      <c r="B707" s="131"/>
      <c r="C707" s="131"/>
      <c r="D707" s="131"/>
      <c r="E707" s="107"/>
      <c r="F707" s="107"/>
    </row>
    <row r="708">
      <c r="A708" s="131"/>
      <c r="B708" s="131"/>
      <c r="C708" s="131"/>
      <c r="D708" s="131"/>
      <c r="E708" s="107"/>
      <c r="F708" s="107"/>
    </row>
    <row r="709">
      <c r="A709" s="131"/>
      <c r="B709" s="131"/>
      <c r="C709" s="131"/>
      <c r="D709" s="131"/>
      <c r="E709" s="118"/>
      <c r="F709" s="107"/>
    </row>
    <row r="710">
      <c r="A710" s="131"/>
      <c r="B710" s="131"/>
      <c r="C710" s="131"/>
      <c r="D710" s="131"/>
      <c r="E710" s="118"/>
      <c r="F710" s="107"/>
    </row>
    <row r="711">
      <c r="A711" s="131"/>
      <c r="B711" s="131"/>
      <c r="C711" s="131"/>
      <c r="D711" s="131"/>
      <c r="E711" s="118"/>
      <c r="F711" s="107"/>
    </row>
    <row r="712">
      <c r="A712" s="131"/>
      <c r="B712" s="131"/>
      <c r="C712" s="131"/>
      <c r="D712" s="131"/>
      <c r="E712" s="118"/>
      <c r="F712" s="107"/>
    </row>
    <row r="713">
      <c r="A713" s="131"/>
      <c r="B713" s="131"/>
      <c r="C713" s="131"/>
      <c r="D713" s="131"/>
      <c r="E713" s="119"/>
      <c r="F713" s="119"/>
    </row>
    <row r="714">
      <c r="A714" s="131"/>
      <c r="B714" s="131"/>
      <c r="C714" s="131"/>
      <c r="D714" s="131"/>
      <c r="E714" s="107"/>
      <c r="F714" s="107"/>
    </row>
    <row r="715">
      <c r="A715" s="131"/>
      <c r="B715" s="131"/>
      <c r="C715" s="131"/>
      <c r="D715" s="131"/>
      <c r="E715" s="107"/>
      <c r="F715" s="107"/>
    </row>
    <row r="716">
      <c r="A716" s="131"/>
      <c r="B716" s="131"/>
      <c r="C716" s="131"/>
      <c r="D716" s="131"/>
      <c r="E716" s="107"/>
      <c r="F716" s="107"/>
    </row>
    <row r="717">
      <c r="A717" s="131"/>
      <c r="B717" s="131"/>
      <c r="C717" s="131"/>
      <c r="D717" s="131"/>
      <c r="E717" s="107"/>
      <c r="F717" s="107"/>
    </row>
    <row r="718">
      <c r="A718" s="131"/>
      <c r="B718" s="131"/>
      <c r="C718" s="131"/>
      <c r="D718" s="131"/>
      <c r="E718" s="107"/>
      <c r="F718" s="107"/>
    </row>
    <row r="719">
      <c r="A719" s="131"/>
      <c r="B719" s="131"/>
      <c r="C719" s="131"/>
      <c r="D719" s="131"/>
      <c r="E719" s="107"/>
      <c r="F719" s="107"/>
    </row>
    <row r="720">
      <c r="A720" s="131"/>
      <c r="B720" s="131"/>
      <c r="C720" s="131"/>
      <c r="D720" s="131"/>
      <c r="E720" s="107"/>
      <c r="F720" s="107"/>
    </row>
    <row r="721">
      <c r="A721" s="131"/>
      <c r="B721" s="131"/>
      <c r="C721" s="131"/>
      <c r="D721" s="131"/>
      <c r="E721" s="107"/>
      <c r="F721" s="107"/>
    </row>
    <row r="722">
      <c r="A722" s="131"/>
      <c r="B722" s="131"/>
      <c r="C722" s="131"/>
      <c r="D722" s="131"/>
      <c r="E722" s="107"/>
      <c r="F722" s="107"/>
    </row>
    <row r="723">
      <c r="A723" s="131"/>
      <c r="B723" s="131"/>
      <c r="C723" s="131"/>
      <c r="D723" s="131"/>
      <c r="E723" s="107"/>
      <c r="F723" s="107"/>
    </row>
    <row r="724">
      <c r="A724" s="131"/>
      <c r="B724" s="131"/>
      <c r="C724" s="131"/>
      <c r="D724" s="131"/>
      <c r="E724" s="107"/>
      <c r="F724" s="107"/>
    </row>
    <row r="725">
      <c r="A725" s="131"/>
      <c r="B725" s="131"/>
      <c r="C725" s="131"/>
      <c r="D725" s="131"/>
      <c r="E725" s="107"/>
      <c r="F725" s="107"/>
    </row>
    <row r="726">
      <c r="A726" s="131"/>
      <c r="B726" s="131"/>
      <c r="C726" s="131"/>
      <c r="D726" s="131"/>
      <c r="E726" s="107"/>
      <c r="F726" s="107"/>
    </row>
    <row r="727">
      <c r="A727" s="131"/>
      <c r="B727" s="131"/>
      <c r="C727" s="131"/>
      <c r="D727" s="131"/>
      <c r="E727" s="107"/>
      <c r="F727" s="107"/>
    </row>
    <row r="728">
      <c r="A728" s="131"/>
      <c r="B728" s="131"/>
      <c r="C728" s="131"/>
      <c r="D728" s="131"/>
      <c r="E728" s="107"/>
      <c r="F728" s="115"/>
    </row>
    <row r="729">
      <c r="A729" s="131"/>
      <c r="B729" s="131"/>
      <c r="C729" s="131"/>
      <c r="D729" s="131"/>
      <c r="E729" s="107"/>
      <c r="F729" s="107"/>
    </row>
    <row r="730">
      <c r="A730" s="131"/>
      <c r="B730" s="131"/>
      <c r="C730" s="131"/>
      <c r="D730" s="131"/>
      <c r="E730" s="131"/>
      <c r="F730" s="131"/>
    </row>
    <row r="731">
      <c r="A731" s="131"/>
      <c r="B731" s="131"/>
      <c r="C731" s="131"/>
      <c r="D731" s="131"/>
      <c r="E731" s="131"/>
      <c r="F731" s="131"/>
    </row>
    <row r="732">
      <c r="A732" s="131"/>
      <c r="B732" s="131"/>
      <c r="C732" s="131"/>
      <c r="D732" s="131"/>
      <c r="E732" s="131"/>
      <c r="F732" s="131"/>
    </row>
    <row r="733">
      <c r="A733" s="131"/>
      <c r="B733" s="131"/>
      <c r="C733" s="131"/>
      <c r="D733" s="131"/>
      <c r="E733" s="131"/>
      <c r="F733" s="131"/>
    </row>
    <row r="734">
      <c r="A734" s="131"/>
      <c r="B734" s="131"/>
      <c r="C734" s="131"/>
      <c r="D734" s="131"/>
      <c r="E734" s="131"/>
      <c r="F734" s="131"/>
    </row>
    <row r="735">
      <c r="A735" s="131"/>
      <c r="B735" s="131"/>
      <c r="C735" s="131"/>
      <c r="D735" s="131"/>
      <c r="E735" s="131"/>
      <c r="F735" s="131"/>
    </row>
    <row r="736">
      <c r="A736" s="131"/>
      <c r="B736" s="131"/>
      <c r="C736" s="131"/>
      <c r="D736" s="131"/>
      <c r="E736" s="131"/>
      <c r="F736" s="131"/>
    </row>
    <row r="737">
      <c r="A737" s="131"/>
      <c r="B737" s="131"/>
      <c r="C737" s="131"/>
      <c r="D737" s="131"/>
      <c r="E737" s="131"/>
      <c r="F737" s="131"/>
    </row>
    <row r="738">
      <c r="A738" s="131"/>
      <c r="B738" s="131"/>
      <c r="C738" s="131"/>
      <c r="D738" s="131"/>
      <c r="E738" s="131"/>
      <c r="F738" s="131"/>
    </row>
    <row r="739">
      <c r="A739" s="131"/>
      <c r="B739" s="131"/>
      <c r="C739" s="131"/>
      <c r="D739" s="131"/>
      <c r="E739" s="131"/>
      <c r="F739" s="131"/>
    </row>
    <row r="740">
      <c r="A740" s="131"/>
      <c r="B740" s="131"/>
      <c r="C740" s="131"/>
      <c r="D740" s="131"/>
      <c r="E740" s="131"/>
      <c r="F740" s="131"/>
    </row>
    <row r="741">
      <c r="A741" s="131"/>
      <c r="B741" s="131"/>
      <c r="C741" s="131"/>
      <c r="D741" s="131"/>
      <c r="E741" s="131"/>
      <c r="F741" s="131"/>
    </row>
    <row r="742">
      <c r="A742" s="131"/>
      <c r="B742" s="131"/>
      <c r="C742" s="131"/>
      <c r="D742" s="131"/>
      <c r="E742" s="131"/>
      <c r="F742" s="131"/>
    </row>
    <row r="743">
      <c r="A743" s="131"/>
      <c r="B743" s="131"/>
      <c r="C743" s="131"/>
      <c r="D743" s="131"/>
      <c r="E743" s="131"/>
      <c r="F743" s="131"/>
    </row>
    <row r="744">
      <c r="A744" s="131"/>
      <c r="B744" s="131"/>
      <c r="C744" s="131"/>
      <c r="D744" s="131"/>
      <c r="E744" s="131"/>
      <c r="F744" s="131"/>
    </row>
    <row r="745">
      <c r="A745" s="131"/>
      <c r="B745" s="131"/>
      <c r="C745" s="131"/>
      <c r="D745" s="131"/>
      <c r="E745" s="131"/>
      <c r="F745" s="131"/>
    </row>
    <row r="746">
      <c r="A746" s="131"/>
      <c r="B746" s="131"/>
      <c r="C746" s="131"/>
      <c r="D746" s="131"/>
      <c r="E746" s="131"/>
      <c r="F746" s="131"/>
    </row>
    <row r="747">
      <c r="A747" s="131"/>
      <c r="B747" s="131"/>
      <c r="C747" s="131"/>
      <c r="D747" s="131"/>
      <c r="E747" s="131"/>
      <c r="F747" s="131"/>
    </row>
    <row r="748">
      <c r="A748" s="131"/>
      <c r="B748" s="131"/>
      <c r="C748" s="131"/>
      <c r="D748" s="131"/>
      <c r="E748" s="131"/>
      <c r="F748" s="131"/>
    </row>
    <row r="749">
      <c r="A749" s="131"/>
      <c r="B749" s="131"/>
      <c r="C749" s="131"/>
      <c r="D749" s="131"/>
      <c r="E749" s="131"/>
      <c r="F749" s="131"/>
    </row>
    <row r="750">
      <c r="A750" s="131"/>
      <c r="B750" s="131"/>
      <c r="C750" s="131"/>
      <c r="D750" s="131"/>
      <c r="E750" s="110"/>
      <c r="F750" s="110"/>
    </row>
    <row r="751">
      <c r="A751" s="131"/>
      <c r="B751" s="131"/>
      <c r="C751" s="131"/>
      <c r="D751" s="131"/>
      <c r="E751" s="111"/>
      <c r="F751" s="111"/>
    </row>
    <row r="752">
      <c r="A752" s="86"/>
      <c r="B752" s="87"/>
      <c r="C752" s="131"/>
      <c r="D752" s="131"/>
      <c r="E752" s="131"/>
      <c r="F752" s="131"/>
      <c r="G752" s="88"/>
      <c r="L752" s="88"/>
      <c r="Q752" s="89"/>
    </row>
    <row r="753">
      <c r="A753" s="131"/>
      <c r="B753" s="131"/>
      <c r="C753" s="131"/>
      <c r="D753" s="131"/>
      <c r="E753" s="131"/>
      <c r="F753" s="131"/>
      <c r="G753" s="91"/>
      <c r="H753" s="92"/>
      <c r="I753" s="92"/>
      <c r="J753" s="93"/>
      <c r="K753" s="93"/>
      <c r="L753" s="93"/>
      <c r="M753" s="93"/>
      <c r="N753" s="93"/>
      <c r="O753" s="93"/>
      <c r="P753" s="93"/>
      <c r="Q753" s="90"/>
      <c r="R753" s="90"/>
      <c r="S753" s="90"/>
      <c r="T753" s="90"/>
      <c r="U753" s="90"/>
      <c r="V753" s="90"/>
      <c r="W753" s="90"/>
    </row>
    <row r="754">
      <c r="A754" s="131"/>
      <c r="B754" s="131"/>
      <c r="C754" s="131"/>
      <c r="D754" s="131"/>
      <c r="E754" s="94"/>
      <c r="F754" s="94"/>
    </row>
    <row r="755">
      <c r="A755" s="131"/>
      <c r="B755" s="131"/>
      <c r="C755" s="131"/>
      <c r="D755" s="131"/>
      <c r="E755" s="95"/>
      <c r="F755" s="96"/>
    </row>
    <row r="756">
      <c r="A756" s="131"/>
      <c r="B756" s="131"/>
      <c r="C756" s="131"/>
      <c r="D756" s="131"/>
      <c r="E756" s="95"/>
      <c r="F756" s="96"/>
    </row>
    <row r="757">
      <c r="A757" s="131"/>
      <c r="B757" s="131"/>
      <c r="C757" s="131"/>
      <c r="D757" s="131"/>
      <c r="E757" s="96"/>
      <c r="F757" s="96"/>
    </row>
    <row r="758">
      <c r="A758" s="131"/>
      <c r="B758" s="131"/>
      <c r="C758" s="131"/>
      <c r="D758" s="131"/>
      <c r="E758" s="96"/>
      <c r="F758" s="96"/>
    </row>
    <row r="759">
      <c r="A759" s="131"/>
      <c r="B759" s="131"/>
      <c r="C759" s="131"/>
      <c r="D759" s="131"/>
      <c r="E759" s="96"/>
      <c r="F759" s="96"/>
    </row>
    <row r="760">
      <c r="A760" s="131"/>
      <c r="B760" s="131"/>
      <c r="C760" s="131"/>
      <c r="D760" s="131"/>
      <c r="E760" s="96"/>
      <c r="F760" s="96"/>
    </row>
    <row r="761">
      <c r="A761" s="131"/>
      <c r="B761" s="131"/>
      <c r="C761" s="131"/>
      <c r="D761" s="131"/>
      <c r="E761" s="96"/>
      <c r="F761" s="96"/>
    </row>
    <row r="762">
      <c r="A762" s="131"/>
      <c r="B762" s="131"/>
      <c r="C762" s="131"/>
      <c r="D762" s="131"/>
      <c r="E762" s="96"/>
      <c r="F762" s="96"/>
    </row>
    <row r="763">
      <c r="A763" s="131"/>
      <c r="B763" s="131"/>
      <c r="C763" s="131"/>
      <c r="D763" s="131"/>
      <c r="E763" s="96"/>
      <c r="F763" s="96"/>
    </row>
    <row r="764">
      <c r="A764" s="131"/>
      <c r="B764" s="131"/>
      <c r="C764" s="131"/>
      <c r="D764" s="131"/>
      <c r="E764" s="96"/>
      <c r="F764" s="96"/>
    </row>
    <row r="765">
      <c r="A765" s="131"/>
      <c r="B765" s="131"/>
      <c r="C765" s="131"/>
      <c r="D765" s="131"/>
      <c r="E765" s="96"/>
      <c r="F765" s="96"/>
    </row>
    <row r="766">
      <c r="A766" s="131"/>
      <c r="B766" s="131"/>
      <c r="C766" s="131"/>
      <c r="D766" s="131"/>
      <c r="E766" s="96"/>
      <c r="F766" s="96"/>
    </row>
    <row r="767">
      <c r="A767" s="131"/>
      <c r="B767" s="131"/>
      <c r="C767" s="131"/>
      <c r="D767" s="131"/>
      <c r="E767" s="96"/>
      <c r="F767" s="96"/>
    </row>
    <row r="768">
      <c r="A768" s="131"/>
      <c r="B768" s="131"/>
      <c r="C768" s="131"/>
      <c r="D768" s="131"/>
      <c r="E768" s="97"/>
      <c r="F768" s="97"/>
    </row>
    <row r="769">
      <c r="A769" s="131"/>
      <c r="B769" s="131"/>
      <c r="C769" s="131"/>
      <c r="D769" s="131"/>
      <c r="E769" s="96"/>
      <c r="F769" s="96"/>
    </row>
    <row r="770">
      <c r="A770" s="131"/>
      <c r="B770" s="131"/>
      <c r="C770" s="131"/>
      <c r="D770" s="131"/>
      <c r="E770" s="96"/>
      <c r="F770" s="96"/>
    </row>
    <row r="771">
      <c r="A771" s="131"/>
      <c r="B771" s="131"/>
      <c r="C771" s="131"/>
      <c r="D771" s="131"/>
      <c r="E771" s="96"/>
      <c r="F771" s="96"/>
    </row>
    <row r="772">
      <c r="A772" s="131"/>
      <c r="B772" s="131"/>
      <c r="C772" s="131"/>
      <c r="D772" s="131"/>
      <c r="E772" s="96"/>
      <c r="F772" s="96"/>
    </row>
    <row r="773">
      <c r="A773" s="131"/>
      <c r="B773" s="131"/>
      <c r="C773" s="131"/>
      <c r="D773" s="131"/>
      <c r="E773" s="96"/>
      <c r="F773" s="96"/>
    </row>
    <row r="774">
      <c r="A774" s="131"/>
      <c r="B774" s="131"/>
      <c r="C774" s="131"/>
      <c r="D774" s="131"/>
      <c r="E774" s="96"/>
      <c r="F774" s="96"/>
    </row>
    <row r="775">
      <c r="A775" s="131"/>
      <c r="B775" s="131"/>
      <c r="C775" s="131"/>
      <c r="D775" s="131"/>
      <c r="E775" s="98"/>
      <c r="F775" s="96"/>
    </row>
    <row r="776">
      <c r="A776" s="131"/>
      <c r="B776" s="131"/>
      <c r="C776" s="131"/>
      <c r="D776" s="131"/>
      <c r="E776" s="99"/>
      <c r="F776" s="99"/>
    </row>
    <row r="777">
      <c r="A777" s="131"/>
      <c r="B777" s="131"/>
      <c r="C777" s="131"/>
      <c r="D777" s="131"/>
      <c r="E777" s="100"/>
      <c r="F777" s="100"/>
    </row>
    <row r="778">
      <c r="A778" s="131"/>
      <c r="B778" s="131"/>
      <c r="C778" s="131"/>
      <c r="D778" s="131"/>
      <c r="E778" s="100"/>
      <c r="F778" s="100"/>
    </row>
    <row r="779">
      <c r="A779" s="131"/>
      <c r="B779" s="131"/>
      <c r="C779" s="131"/>
      <c r="D779" s="131"/>
      <c r="E779" s="100"/>
      <c r="F779" s="100"/>
    </row>
    <row r="780">
      <c r="A780" s="131"/>
      <c r="B780" s="131"/>
      <c r="C780" s="131"/>
      <c r="D780" s="131"/>
      <c r="E780" s="100"/>
      <c r="F780" s="100"/>
    </row>
    <row r="781">
      <c r="A781" s="131"/>
      <c r="B781" s="131"/>
      <c r="C781" s="131"/>
      <c r="D781" s="131"/>
      <c r="E781" s="100"/>
      <c r="F781" s="100"/>
    </row>
    <row r="782">
      <c r="A782" s="131"/>
      <c r="B782" s="131"/>
      <c r="C782" s="131"/>
      <c r="D782" s="131"/>
      <c r="E782" s="100"/>
      <c r="F782" s="100"/>
    </row>
    <row r="783">
      <c r="A783" s="131"/>
      <c r="B783" s="131"/>
      <c r="C783" s="131"/>
      <c r="D783" s="131"/>
      <c r="E783" s="100"/>
      <c r="F783" s="100"/>
    </row>
    <row r="784">
      <c r="A784" s="131"/>
      <c r="B784" s="131"/>
      <c r="C784" s="131"/>
      <c r="D784" s="131"/>
      <c r="E784" s="101"/>
      <c r="F784" s="101"/>
    </row>
    <row r="785">
      <c r="A785" s="131"/>
      <c r="B785" s="131"/>
      <c r="C785" s="131"/>
      <c r="D785" s="131"/>
      <c r="E785" s="100"/>
      <c r="F785" s="100"/>
    </row>
    <row r="786">
      <c r="A786" s="131"/>
      <c r="B786" s="131"/>
      <c r="C786" s="131"/>
      <c r="D786" s="131"/>
      <c r="E786" s="100"/>
      <c r="F786" s="100"/>
    </row>
    <row r="787">
      <c r="A787" s="131"/>
      <c r="B787" s="131"/>
      <c r="C787" s="131"/>
      <c r="D787" s="131"/>
      <c r="E787" s="102"/>
      <c r="F787" s="102"/>
    </row>
    <row r="788">
      <c r="A788" s="131"/>
      <c r="B788" s="131"/>
      <c r="C788" s="131"/>
      <c r="D788" s="131"/>
      <c r="E788" s="103"/>
      <c r="F788" s="103"/>
    </row>
    <row r="789">
      <c r="A789" s="131"/>
      <c r="B789" s="131"/>
      <c r="C789" s="131"/>
      <c r="D789" s="131"/>
      <c r="E789" s="103"/>
      <c r="F789" s="103"/>
    </row>
    <row r="790">
      <c r="A790" s="131"/>
      <c r="B790" s="131"/>
      <c r="C790" s="131"/>
      <c r="D790" s="131"/>
      <c r="E790" s="102"/>
      <c r="F790" s="103"/>
    </row>
    <row r="791">
      <c r="A791" s="131"/>
      <c r="B791" s="131"/>
      <c r="C791" s="131"/>
      <c r="D791" s="131"/>
      <c r="E791" s="103"/>
      <c r="F791" s="103"/>
    </row>
    <row r="792">
      <c r="A792" s="131"/>
      <c r="B792" s="131"/>
      <c r="C792" s="131"/>
      <c r="D792" s="131"/>
      <c r="E792" s="103"/>
      <c r="F792" s="103"/>
    </row>
    <row r="793">
      <c r="A793" s="131"/>
      <c r="B793" s="131"/>
      <c r="C793" s="131"/>
      <c r="D793" s="131"/>
      <c r="E793" s="103"/>
      <c r="F793" s="103"/>
    </row>
    <row r="794">
      <c r="A794" s="131"/>
      <c r="B794" s="131"/>
      <c r="C794" s="131"/>
      <c r="D794" s="131"/>
      <c r="E794" s="103"/>
      <c r="F794" s="103"/>
    </row>
    <row r="795">
      <c r="A795" s="131"/>
      <c r="B795" s="131"/>
      <c r="C795" s="131"/>
      <c r="D795" s="131"/>
      <c r="E795" s="103"/>
      <c r="F795" s="103"/>
    </row>
    <row r="796">
      <c r="A796" s="131"/>
      <c r="B796" s="131"/>
      <c r="C796" s="131"/>
      <c r="D796" s="131"/>
      <c r="E796" s="103"/>
      <c r="F796" s="103"/>
    </row>
    <row r="797">
      <c r="A797" s="131"/>
      <c r="B797" s="131"/>
      <c r="C797" s="131"/>
      <c r="D797" s="131"/>
      <c r="E797" s="103"/>
      <c r="F797" s="103"/>
    </row>
    <row r="798">
      <c r="A798" s="131"/>
      <c r="B798" s="131"/>
      <c r="C798" s="131"/>
      <c r="D798" s="131"/>
      <c r="E798" s="103"/>
      <c r="F798" s="103"/>
    </row>
    <row r="799">
      <c r="A799" s="131"/>
      <c r="B799" s="131"/>
      <c r="C799" s="131"/>
      <c r="D799" s="131"/>
      <c r="E799" s="103"/>
      <c r="F799" s="103"/>
    </row>
    <row r="800">
      <c r="A800" s="131"/>
      <c r="B800" s="131"/>
      <c r="C800" s="131"/>
      <c r="D800" s="131"/>
      <c r="E800" s="103"/>
      <c r="F800" s="103"/>
    </row>
    <row r="801">
      <c r="A801" s="131"/>
      <c r="B801" s="131"/>
      <c r="C801" s="131"/>
      <c r="D801" s="131"/>
      <c r="E801" s="103"/>
      <c r="F801" s="103"/>
    </row>
    <row r="802">
      <c r="A802" s="131"/>
      <c r="B802" s="131"/>
      <c r="C802" s="131"/>
      <c r="D802" s="131"/>
      <c r="E802" s="103"/>
      <c r="F802" s="103"/>
    </row>
    <row r="803">
      <c r="A803" s="131"/>
      <c r="B803" s="131"/>
      <c r="C803" s="131"/>
      <c r="D803" s="131"/>
      <c r="E803" s="103"/>
      <c r="F803" s="103"/>
    </row>
    <row r="804">
      <c r="A804" s="131"/>
      <c r="B804" s="131"/>
      <c r="C804" s="131"/>
      <c r="D804" s="131"/>
      <c r="E804" s="103"/>
      <c r="F804" s="103"/>
    </row>
    <row r="805">
      <c r="A805" s="131"/>
      <c r="B805" s="131"/>
      <c r="C805" s="131"/>
      <c r="D805" s="131"/>
      <c r="E805" s="99"/>
      <c r="F805" s="99"/>
    </row>
    <row r="806">
      <c r="A806" s="131"/>
      <c r="B806" s="131"/>
      <c r="C806" s="131"/>
      <c r="D806" s="131"/>
      <c r="E806" s="100"/>
      <c r="F806" s="100"/>
    </row>
    <row r="807">
      <c r="A807" s="131"/>
      <c r="B807" s="131"/>
      <c r="C807" s="131"/>
      <c r="D807" s="131"/>
      <c r="E807" s="100"/>
      <c r="F807" s="100"/>
    </row>
    <row r="808">
      <c r="A808" s="131"/>
      <c r="B808" s="131"/>
      <c r="C808" s="131"/>
      <c r="D808" s="131"/>
      <c r="E808" s="100"/>
      <c r="F808" s="100"/>
    </row>
    <row r="809">
      <c r="A809" s="131"/>
      <c r="B809" s="131"/>
      <c r="C809" s="131"/>
      <c r="D809" s="131"/>
      <c r="E809" s="100"/>
      <c r="F809" s="100"/>
    </row>
    <row r="810">
      <c r="A810" s="131"/>
      <c r="B810" s="131"/>
      <c r="C810" s="131"/>
      <c r="D810" s="131"/>
      <c r="E810" s="100"/>
      <c r="F810" s="100"/>
    </row>
    <row r="811">
      <c r="A811" s="131"/>
      <c r="B811" s="131"/>
      <c r="C811" s="131"/>
      <c r="D811" s="131"/>
      <c r="E811" s="100"/>
      <c r="F811" s="100"/>
    </row>
    <row r="812">
      <c r="A812" s="131"/>
      <c r="B812" s="131"/>
      <c r="C812" s="131"/>
      <c r="D812" s="131"/>
      <c r="E812" s="100"/>
      <c r="F812" s="100"/>
    </row>
    <row r="813">
      <c r="A813" s="131"/>
      <c r="B813" s="131"/>
      <c r="C813" s="131"/>
      <c r="D813" s="131"/>
      <c r="E813" s="100"/>
      <c r="F813" s="100"/>
    </row>
    <row r="814">
      <c r="A814" s="131"/>
      <c r="B814" s="131"/>
      <c r="C814" s="131"/>
      <c r="D814" s="131"/>
      <c r="E814" s="100"/>
      <c r="F814" s="100"/>
    </row>
    <row r="815">
      <c r="A815" s="131"/>
      <c r="B815" s="131"/>
      <c r="C815" s="131"/>
      <c r="D815" s="131"/>
      <c r="E815" s="100"/>
      <c r="F815" s="100"/>
    </row>
    <row r="816">
      <c r="A816" s="131"/>
      <c r="B816" s="131"/>
      <c r="C816" s="131"/>
      <c r="D816" s="131"/>
      <c r="E816" s="99"/>
      <c r="F816" s="99"/>
    </row>
    <row r="817">
      <c r="A817" s="131"/>
      <c r="B817" s="131"/>
      <c r="C817" s="131"/>
      <c r="D817" s="131"/>
      <c r="E817" s="100"/>
      <c r="F817" s="100"/>
    </row>
    <row r="818">
      <c r="A818" s="131"/>
      <c r="B818" s="131"/>
      <c r="C818" s="131"/>
      <c r="D818" s="131"/>
      <c r="E818" s="100"/>
      <c r="F818" s="100"/>
    </row>
    <row r="819">
      <c r="A819" s="131"/>
      <c r="B819" s="131"/>
      <c r="C819" s="131"/>
      <c r="D819" s="131"/>
      <c r="E819" s="100"/>
      <c r="F819" s="100"/>
    </row>
    <row r="820">
      <c r="A820" s="131"/>
      <c r="B820" s="131"/>
      <c r="C820" s="131"/>
      <c r="D820" s="131"/>
      <c r="E820" s="100"/>
      <c r="F820" s="100"/>
    </row>
    <row r="821">
      <c r="A821" s="131"/>
      <c r="B821" s="131"/>
      <c r="C821" s="131"/>
      <c r="D821" s="131"/>
      <c r="E821" s="100"/>
      <c r="F821" s="100"/>
    </row>
    <row r="822">
      <c r="A822" s="131"/>
      <c r="B822" s="131"/>
      <c r="C822" s="131"/>
      <c r="D822" s="131"/>
      <c r="E822" s="100"/>
      <c r="F822" s="100"/>
    </row>
    <row r="823">
      <c r="A823" s="131"/>
      <c r="B823" s="131"/>
      <c r="C823" s="131"/>
      <c r="D823" s="131"/>
      <c r="E823" s="101"/>
      <c r="F823" s="101"/>
    </row>
    <row r="824">
      <c r="A824" s="131"/>
      <c r="B824" s="131"/>
      <c r="C824" s="131"/>
      <c r="D824" s="131"/>
      <c r="E824" s="101"/>
      <c r="F824" s="101"/>
    </row>
    <row r="825">
      <c r="A825" s="131"/>
      <c r="B825" s="131"/>
      <c r="C825" s="131"/>
      <c r="D825" s="131"/>
      <c r="E825" s="101"/>
      <c r="F825" s="101"/>
    </row>
    <row r="826">
      <c r="A826" s="131"/>
      <c r="B826" s="131"/>
      <c r="C826" s="131"/>
      <c r="D826" s="131"/>
      <c r="E826" s="101"/>
      <c r="F826" s="101"/>
    </row>
    <row r="827">
      <c r="A827" s="131"/>
      <c r="B827" s="131"/>
      <c r="C827" s="131"/>
      <c r="D827" s="131"/>
      <c r="E827" s="101"/>
      <c r="F827" s="101"/>
    </row>
    <row r="828">
      <c r="A828" s="131"/>
      <c r="B828" s="131"/>
      <c r="C828" s="131"/>
      <c r="D828" s="131"/>
      <c r="E828" s="101"/>
      <c r="F828" s="101"/>
    </row>
    <row r="829">
      <c r="A829" s="131"/>
      <c r="B829" s="131"/>
      <c r="C829" s="131"/>
      <c r="D829" s="131"/>
      <c r="E829" s="105"/>
      <c r="F829" s="105"/>
    </row>
    <row r="830">
      <c r="A830" s="131"/>
      <c r="B830" s="131"/>
      <c r="C830" s="131"/>
      <c r="D830" s="131"/>
      <c r="E830" s="106"/>
      <c r="F830" s="106"/>
    </row>
    <row r="831">
      <c r="A831" s="131"/>
      <c r="B831" s="131"/>
      <c r="C831" s="131"/>
      <c r="D831" s="131"/>
      <c r="E831" s="107"/>
      <c r="F831" s="107"/>
    </row>
    <row r="832">
      <c r="A832" s="131"/>
      <c r="B832" s="131"/>
      <c r="C832" s="131"/>
      <c r="D832" s="131"/>
      <c r="E832" s="107"/>
      <c r="F832" s="107"/>
    </row>
    <row r="833">
      <c r="A833" s="131"/>
      <c r="B833" s="131"/>
      <c r="C833" s="131"/>
      <c r="D833" s="131"/>
      <c r="E833" s="108"/>
      <c r="F833" s="108"/>
    </row>
    <row r="834">
      <c r="A834" s="131"/>
      <c r="B834" s="131"/>
      <c r="C834" s="131"/>
      <c r="D834" s="131"/>
      <c r="E834" s="107"/>
      <c r="F834" s="107"/>
    </row>
    <row r="835">
      <c r="A835" s="131"/>
      <c r="B835" s="131"/>
      <c r="C835" s="131"/>
      <c r="D835" s="131"/>
      <c r="E835" s="106"/>
      <c r="F835" s="106"/>
    </row>
    <row r="836">
      <c r="A836" s="131"/>
      <c r="B836" s="131"/>
      <c r="C836" s="131"/>
      <c r="D836" s="131"/>
      <c r="E836" s="107"/>
      <c r="F836" s="107"/>
    </row>
    <row r="837">
      <c r="A837" s="131"/>
      <c r="B837" s="131"/>
      <c r="C837" s="131"/>
      <c r="D837" s="131"/>
      <c r="E837" s="107"/>
      <c r="F837" s="107"/>
    </row>
    <row r="838">
      <c r="A838" s="131"/>
      <c r="B838" s="131"/>
      <c r="C838" s="131"/>
      <c r="D838" s="131"/>
      <c r="E838" s="107"/>
      <c r="F838" s="107"/>
    </row>
    <row r="839">
      <c r="A839" s="131"/>
      <c r="B839" s="131"/>
      <c r="C839" s="131"/>
      <c r="D839" s="131"/>
      <c r="E839" s="107"/>
      <c r="F839" s="107"/>
    </row>
    <row r="840">
      <c r="A840" s="131"/>
      <c r="B840" s="131"/>
      <c r="C840" s="131"/>
      <c r="D840" s="131"/>
      <c r="E840" s="106"/>
      <c r="F840" s="106"/>
    </row>
    <row r="841">
      <c r="A841" s="131"/>
      <c r="B841" s="131"/>
      <c r="C841" s="131"/>
      <c r="D841" s="131"/>
      <c r="E841" s="107"/>
      <c r="F841" s="107"/>
    </row>
    <row r="842">
      <c r="A842" s="131"/>
      <c r="B842" s="131"/>
      <c r="C842" s="131"/>
      <c r="D842" s="131"/>
      <c r="E842" s="109"/>
      <c r="F842" s="109"/>
    </row>
    <row r="843">
      <c r="A843" s="131"/>
      <c r="B843" s="131"/>
      <c r="C843" s="131"/>
      <c r="D843" s="131"/>
      <c r="E843" s="110"/>
      <c r="F843" s="110"/>
    </row>
    <row r="844">
      <c r="A844" s="131"/>
      <c r="B844" s="131"/>
      <c r="C844" s="131"/>
      <c r="D844" s="131"/>
      <c r="E844" s="110"/>
      <c r="F844" s="110"/>
    </row>
    <row r="845">
      <c r="A845" s="131"/>
      <c r="B845" s="131"/>
      <c r="C845" s="131"/>
      <c r="D845" s="131"/>
      <c r="E845" s="111"/>
      <c r="F845" s="111"/>
    </row>
    <row r="846">
      <c r="A846" s="86"/>
      <c r="B846" s="87"/>
      <c r="C846" s="131"/>
      <c r="D846" s="131"/>
      <c r="E846" s="131"/>
      <c r="F846" s="131"/>
      <c r="G846" s="121"/>
      <c r="H846" s="13"/>
      <c r="I846" s="13"/>
      <c r="J846" s="13"/>
      <c r="K846" s="14"/>
      <c r="L846" s="121"/>
      <c r="M846" s="13"/>
      <c r="N846" s="13"/>
      <c r="O846" s="13"/>
      <c r="P846" s="14"/>
      <c r="Q846" s="122"/>
      <c r="R846" s="13"/>
      <c r="S846" s="13"/>
      <c r="T846" s="13"/>
      <c r="U846" s="13"/>
      <c r="V846" s="13"/>
      <c r="W846" s="14"/>
    </row>
    <row r="847">
      <c r="A847" s="131"/>
      <c r="B847" s="131"/>
      <c r="C847" s="131"/>
      <c r="D847" s="131"/>
      <c r="E847" s="131"/>
      <c r="F847" s="131"/>
      <c r="G847" s="123"/>
      <c r="H847" s="124"/>
      <c r="I847" s="124"/>
      <c r="J847" s="125"/>
      <c r="K847" s="125"/>
      <c r="L847" s="126"/>
      <c r="M847" s="125"/>
      <c r="N847" s="125"/>
      <c r="O847" s="125"/>
      <c r="P847" s="127"/>
      <c r="Q847" s="128"/>
      <c r="R847" s="129"/>
      <c r="S847" s="129"/>
      <c r="T847" s="129"/>
      <c r="U847" s="129"/>
      <c r="V847" s="129"/>
      <c r="W847" s="130"/>
    </row>
    <row r="848">
      <c r="A848" s="131"/>
      <c r="B848" s="131"/>
      <c r="C848" s="131"/>
      <c r="D848" s="131"/>
      <c r="E848" s="94"/>
      <c r="F848" s="94"/>
    </row>
    <row r="849">
      <c r="A849" s="131"/>
      <c r="B849" s="131"/>
      <c r="C849" s="131"/>
      <c r="D849" s="131"/>
      <c r="E849" s="95"/>
      <c r="F849" s="96"/>
    </row>
    <row r="850">
      <c r="A850" s="131"/>
      <c r="B850" s="131"/>
      <c r="C850" s="131"/>
      <c r="D850" s="131"/>
      <c r="E850" s="95"/>
      <c r="F850" s="96"/>
    </row>
    <row r="851">
      <c r="A851" s="131"/>
      <c r="B851" s="131"/>
      <c r="C851" s="131"/>
      <c r="D851" s="131"/>
      <c r="E851" s="96"/>
      <c r="F851" s="96"/>
    </row>
    <row r="852">
      <c r="A852" s="131"/>
      <c r="B852" s="131"/>
      <c r="C852" s="131"/>
      <c r="D852" s="131"/>
      <c r="E852" s="96"/>
      <c r="F852" s="96"/>
    </row>
    <row r="853">
      <c r="A853" s="131"/>
      <c r="B853" s="131"/>
      <c r="C853" s="131"/>
      <c r="D853" s="131"/>
      <c r="E853" s="96"/>
      <c r="F853" s="96"/>
    </row>
    <row r="854">
      <c r="A854" s="131"/>
      <c r="B854" s="131"/>
      <c r="C854" s="131"/>
      <c r="D854" s="131"/>
      <c r="E854" s="96"/>
      <c r="F854" s="96"/>
    </row>
    <row r="855">
      <c r="A855" s="131"/>
      <c r="B855" s="131"/>
      <c r="C855" s="131"/>
      <c r="D855" s="131"/>
      <c r="E855" s="96"/>
      <c r="F855" s="96"/>
    </row>
    <row r="856">
      <c r="A856" s="131"/>
      <c r="B856" s="131"/>
      <c r="C856" s="131"/>
      <c r="D856" s="131"/>
      <c r="E856" s="96"/>
      <c r="F856" s="96"/>
    </row>
    <row r="857">
      <c r="A857" s="131"/>
      <c r="B857" s="131"/>
      <c r="C857" s="131"/>
      <c r="D857" s="131"/>
      <c r="E857" s="96"/>
      <c r="F857" s="96"/>
    </row>
    <row r="858">
      <c r="A858" s="131"/>
      <c r="B858" s="131"/>
      <c r="C858" s="131"/>
      <c r="D858" s="131"/>
      <c r="E858" s="96"/>
      <c r="F858" s="96"/>
    </row>
    <row r="859">
      <c r="A859" s="131"/>
      <c r="B859" s="131"/>
      <c r="C859" s="131"/>
      <c r="D859" s="131"/>
      <c r="E859" s="96"/>
      <c r="F859" s="96"/>
    </row>
    <row r="860">
      <c r="A860" s="131"/>
      <c r="B860" s="131"/>
      <c r="C860" s="131"/>
      <c r="D860" s="131"/>
      <c r="E860" s="96"/>
      <c r="F860" s="96"/>
    </row>
    <row r="861">
      <c r="A861" s="131"/>
      <c r="B861" s="131"/>
      <c r="C861" s="131"/>
      <c r="D861" s="131"/>
      <c r="E861" s="96"/>
      <c r="F861" s="96"/>
    </row>
    <row r="862">
      <c r="A862" s="131"/>
      <c r="B862" s="131"/>
      <c r="C862" s="131"/>
      <c r="D862" s="131"/>
      <c r="E862" s="97"/>
      <c r="F862" s="97"/>
    </row>
    <row r="863">
      <c r="A863" s="131"/>
      <c r="B863" s="131"/>
      <c r="C863" s="131"/>
      <c r="D863" s="131"/>
      <c r="E863" s="96"/>
      <c r="F863" s="96"/>
    </row>
    <row r="864">
      <c r="A864" s="131"/>
      <c r="B864" s="131"/>
      <c r="C864" s="131"/>
      <c r="D864" s="131"/>
      <c r="E864" s="96"/>
      <c r="F864" s="96"/>
    </row>
    <row r="865">
      <c r="A865" s="131"/>
      <c r="B865" s="131"/>
      <c r="C865" s="131"/>
      <c r="D865" s="131"/>
      <c r="E865" s="96"/>
      <c r="F865" s="96"/>
    </row>
    <row r="866">
      <c r="A866" s="131"/>
      <c r="B866" s="131"/>
      <c r="C866" s="131"/>
      <c r="D866" s="131"/>
      <c r="E866" s="96"/>
      <c r="F866" s="96"/>
    </row>
    <row r="867">
      <c r="A867" s="131"/>
      <c r="B867" s="131"/>
      <c r="C867" s="131"/>
      <c r="D867" s="131"/>
      <c r="E867" s="96"/>
      <c r="F867" s="96"/>
    </row>
    <row r="868">
      <c r="A868" s="131"/>
      <c r="B868" s="131"/>
      <c r="C868" s="131"/>
      <c r="D868" s="131"/>
      <c r="E868" s="96"/>
      <c r="F868" s="96"/>
    </row>
    <row r="869">
      <c r="A869" s="131"/>
      <c r="B869" s="131"/>
      <c r="C869" s="131"/>
      <c r="D869" s="131"/>
      <c r="E869" s="98"/>
      <c r="F869" s="96"/>
    </row>
    <row r="870">
      <c r="A870" s="131"/>
      <c r="B870" s="131"/>
      <c r="C870" s="131"/>
      <c r="D870" s="131"/>
      <c r="E870" s="99"/>
      <c r="F870" s="99"/>
    </row>
    <row r="871">
      <c r="A871" s="131"/>
      <c r="B871" s="131"/>
      <c r="C871" s="131"/>
      <c r="D871" s="131"/>
      <c r="E871" s="100"/>
      <c r="F871" s="100"/>
    </row>
    <row r="872">
      <c r="A872" s="131"/>
      <c r="B872" s="131"/>
      <c r="C872" s="131"/>
      <c r="D872" s="131"/>
      <c r="E872" s="100"/>
      <c r="F872" s="100"/>
    </row>
    <row r="873">
      <c r="A873" s="131"/>
      <c r="B873" s="131"/>
      <c r="C873" s="131"/>
      <c r="D873" s="131"/>
      <c r="E873" s="100"/>
      <c r="F873" s="100"/>
    </row>
    <row r="874">
      <c r="A874" s="131"/>
      <c r="B874" s="131"/>
      <c r="C874" s="131"/>
      <c r="D874" s="131"/>
      <c r="E874" s="100"/>
      <c r="F874" s="100"/>
    </row>
    <row r="875">
      <c r="A875" s="131"/>
      <c r="B875" s="131"/>
      <c r="C875" s="131"/>
      <c r="D875" s="131"/>
      <c r="E875" s="100"/>
      <c r="F875" s="100"/>
    </row>
    <row r="876">
      <c r="A876" s="131"/>
      <c r="B876" s="131"/>
      <c r="C876" s="131"/>
      <c r="D876" s="131"/>
      <c r="E876" s="100"/>
      <c r="F876" s="100"/>
    </row>
    <row r="877">
      <c r="A877" s="131"/>
      <c r="B877" s="131"/>
      <c r="C877" s="131"/>
      <c r="D877" s="131"/>
      <c r="E877" s="100"/>
      <c r="F877" s="100"/>
    </row>
    <row r="878">
      <c r="A878" s="131"/>
      <c r="B878" s="131"/>
      <c r="C878" s="131"/>
      <c r="D878" s="131"/>
      <c r="E878" s="101"/>
      <c r="F878" s="101"/>
    </row>
    <row r="879">
      <c r="A879" s="131"/>
      <c r="B879" s="131"/>
      <c r="C879" s="131"/>
      <c r="D879" s="131"/>
      <c r="E879" s="100"/>
      <c r="F879" s="100"/>
    </row>
    <row r="880">
      <c r="A880" s="131"/>
      <c r="B880" s="131"/>
      <c r="C880" s="131"/>
      <c r="D880" s="131"/>
      <c r="E880" s="100"/>
      <c r="F880" s="100"/>
    </row>
    <row r="881">
      <c r="A881" s="131"/>
      <c r="B881" s="131"/>
      <c r="C881" s="131"/>
      <c r="D881" s="131"/>
      <c r="E881" s="102"/>
      <c r="F881" s="102"/>
    </row>
    <row r="882">
      <c r="A882" s="131"/>
      <c r="B882" s="131"/>
      <c r="C882" s="131"/>
      <c r="D882" s="131"/>
      <c r="E882" s="103"/>
      <c r="F882" s="103"/>
    </row>
    <row r="883">
      <c r="A883" s="131"/>
      <c r="B883" s="131"/>
      <c r="C883" s="131"/>
      <c r="D883" s="131"/>
      <c r="E883" s="103"/>
      <c r="F883" s="103"/>
    </row>
    <row r="884">
      <c r="A884" s="131"/>
      <c r="B884" s="131"/>
      <c r="C884" s="131"/>
      <c r="D884" s="131"/>
      <c r="E884" s="102"/>
      <c r="F884" s="103"/>
    </row>
    <row r="885">
      <c r="A885" s="131"/>
      <c r="B885" s="131"/>
      <c r="C885" s="131"/>
      <c r="D885" s="131"/>
      <c r="E885" s="103"/>
      <c r="F885" s="103"/>
    </row>
    <row r="886">
      <c r="A886" s="131"/>
      <c r="B886" s="131"/>
      <c r="C886" s="131"/>
      <c r="D886" s="131"/>
      <c r="E886" s="103"/>
      <c r="F886" s="103"/>
    </row>
    <row r="887">
      <c r="A887" s="131"/>
      <c r="B887" s="131"/>
      <c r="C887" s="131"/>
      <c r="D887" s="131"/>
      <c r="E887" s="103"/>
      <c r="F887" s="103"/>
    </row>
    <row r="888">
      <c r="A888" s="131"/>
      <c r="B888" s="131"/>
      <c r="C888" s="131"/>
      <c r="D888" s="131"/>
      <c r="E888" s="103"/>
      <c r="F888" s="103"/>
    </row>
    <row r="889">
      <c r="A889" s="131"/>
      <c r="B889" s="131"/>
      <c r="C889" s="131"/>
      <c r="D889" s="131"/>
      <c r="E889" s="103"/>
      <c r="F889" s="103"/>
    </row>
    <row r="890">
      <c r="A890" s="131"/>
      <c r="B890" s="131"/>
      <c r="C890" s="131"/>
      <c r="D890" s="131"/>
      <c r="E890" s="103"/>
      <c r="F890" s="103"/>
    </row>
    <row r="891">
      <c r="A891" s="131"/>
      <c r="B891" s="131"/>
      <c r="C891" s="131"/>
      <c r="D891" s="131"/>
      <c r="E891" s="103"/>
      <c r="F891" s="103"/>
    </row>
    <row r="892">
      <c r="A892" s="131"/>
      <c r="B892" s="131"/>
      <c r="C892" s="131"/>
      <c r="D892" s="131"/>
      <c r="E892" s="103"/>
      <c r="F892" s="103"/>
    </row>
    <row r="893">
      <c r="A893" s="131"/>
      <c r="B893" s="131"/>
      <c r="C893" s="131"/>
      <c r="D893" s="131"/>
      <c r="E893" s="103"/>
      <c r="F893" s="103"/>
    </row>
    <row r="894">
      <c r="A894" s="131"/>
      <c r="B894" s="131"/>
      <c r="C894" s="131"/>
      <c r="D894" s="131"/>
      <c r="E894" s="103"/>
      <c r="F894" s="103"/>
    </row>
    <row r="895">
      <c r="A895" s="131"/>
      <c r="B895" s="131"/>
      <c r="C895" s="131"/>
      <c r="D895" s="131"/>
      <c r="E895" s="103"/>
      <c r="F895" s="103"/>
    </row>
    <row r="896">
      <c r="A896" s="131"/>
      <c r="B896" s="131"/>
      <c r="C896" s="131"/>
      <c r="D896" s="131"/>
      <c r="E896" s="103"/>
      <c r="F896" s="103"/>
    </row>
    <row r="897">
      <c r="A897" s="131"/>
      <c r="B897" s="131"/>
      <c r="C897" s="131"/>
      <c r="D897" s="131"/>
      <c r="E897" s="103"/>
      <c r="F897" s="103"/>
    </row>
    <row r="898">
      <c r="A898" s="131"/>
      <c r="B898" s="131"/>
      <c r="C898" s="131"/>
      <c r="D898" s="131"/>
      <c r="E898" s="103"/>
      <c r="F898" s="103"/>
    </row>
    <row r="899">
      <c r="A899" s="131"/>
      <c r="B899" s="131"/>
      <c r="C899" s="131"/>
      <c r="D899" s="131"/>
      <c r="E899" s="99"/>
      <c r="F899" s="99"/>
    </row>
    <row r="900">
      <c r="A900" s="131"/>
      <c r="B900" s="131"/>
      <c r="C900" s="131"/>
      <c r="D900" s="131"/>
      <c r="E900" s="100"/>
      <c r="F900" s="100"/>
    </row>
    <row r="901">
      <c r="A901" s="131"/>
      <c r="B901" s="131"/>
      <c r="C901" s="131"/>
      <c r="D901" s="131"/>
      <c r="E901" s="100"/>
      <c r="F901" s="100"/>
    </row>
    <row r="902">
      <c r="A902" s="131"/>
      <c r="B902" s="131"/>
      <c r="C902" s="131"/>
      <c r="D902" s="131"/>
      <c r="E902" s="100"/>
      <c r="F902" s="100"/>
    </row>
    <row r="903">
      <c r="A903" s="131"/>
      <c r="B903" s="131"/>
      <c r="C903" s="131"/>
      <c r="D903" s="131"/>
      <c r="E903" s="100"/>
      <c r="F903" s="100"/>
    </row>
    <row r="904">
      <c r="A904" s="131"/>
      <c r="B904" s="131"/>
      <c r="C904" s="131"/>
      <c r="D904" s="131"/>
      <c r="E904" s="100"/>
      <c r="F904" s="100"/>
    </row>
    <row r="905">
      <c r="A905" s="131"/>
      <c r="B905" s="131"/>
      <c r="C905" s="131"/>
      <c r="D905" s="131"/>
      <c r="E905" s="100"/>
      <c r="F905" s="100"/>
    </row>
    <row r="906">
      <c r="A906" s="131"/>
      <c r="B906" s="131"/>
      <c r="C906" s="131"/>
      <c r="D906" s="131"/>
      <c r="E906" s="100"/>
      <c r="F906" s="100"/>
    </row>
    <row r="907">
      <c r="A907" s="131"/>
      <c r="B907" s="131"/>
      <c r="C907" s="131"/>
      <c r="D907" s="131"/>
      <c r="E907" s="100"/>
      <c r="F907" s="100"/>
    </row>
    <row r="908">
      <c r="A908" s="131"/>
      <c r="B908" s="131"/>
      <c r="C908" s="131"/>
      <c r="D908" s="131"/>
      <c r="E908" s="100"/>
      <c r="F908" s="100"/>
    </row>
    <row r="909">
      <c r="A909" s="131"/>
      <c r="B909" s="131"/>
      <c r="C909" s="131"/>
      <c r="D909" s="131"/>
      <c r="E909" s="100"/>
      <c r="F909" s="100"/>
    </row>
    <row r="910">
      <c r="A910" s="131"/>
      <c r="B910" s="131"/>
      <c r="C910" s="131"/>
      <c r="D910" s="131"/>
      <c r="E910" s="99"/>
      <c r="F910" s="99"/>
    </row>
    <row r="911">
      <c r="A911" s="131"/>
      <c r="B911" s="131"/>
      <c r="C911" s="131"/>
      <c r="D911" s="131"/>
      <c r="E911" s="100"/>
      <c r="F911" s="100"/>
    </row>
    <row r="912">
      <c r="A912" s="131"/>
      <c r="B912" s="131"/>
      <c r="C912" s="131"/>
      <c r="D912" s="131"/>
      <c r="E912" s="100"/>
      <c r="F912" s="100"/>
    </row>
    <row r="913">
      <c r="A913" s="131"/>
      <c r="B913" s="131"/>
      <c r="C913" s="131"/>
      <c r="D913" s="131"/>
      <c r="E913" s="100"/>
      <c r="F913" s="100"/>
    </row>
    <row r="914">
      <c r="A914" s="131"/>
      <c r="B914" s="131"/>
      <c r="C914" s="131"/>
      <c r="D914" s="131"/>
      <c r="E914" s="100"/>
      <c r="F914" s="100"/>
    </row>
    <row r="915">
      <c r="A915" s="131"/>
      <c r="B915" s="131"/>
      <c r="C915" s="131"/>
      <c r="D915" s="131"/>
      <c r="E915" s="100"/>
      <c r="F915" s="100"/>
    </row>
    <row r="916">
      <c r="A916" s="131"/>
      <c r="B916" s="131"/>
      <c r="C916" s="131"/>
      <c r="D916" s="131"/>
      <c r="E916" s="100"/>
      <c r="F916" s="100"/>
    </row>
    <row r="917">
      <c r="A917" s="131"/>
      <c r="B917" s="131"/>
      <c r="C917" s="131"/>
      <c r="D917" s="131"/>
      <c r="E917" s="101"/>
      <c r="F917" s="101"/>
    </row>
    <row r="918">
      <c r="A918" s="131"/>
      <c r="B918" s="131"/>
      <c r="C918" s="131"/>
      <c r="D918" s="131"/>
      <c r="E918" s="101"/>
      <c r="F918" s="101"/>
    </row>
    <row r="919">
      <c r="A919" s="131"/>
      <c r="B919" s="131"/>
      <c r="C919" s="131"/>
      <c r="D919" s="131"/>
      <c r="E919" s="101"/>
      <c r="F919" s="101"/>
    </row>
    <row r="920">
      <c r="A920" s="131"/>
      <c r="B920" s="131"/>
      <c r="C920" s="131"/>
      <c r="D920" s="131"/>
      <c r="E920" s="101"/>
      <c r="F920" s="101"/>
    </row>
    <row r="921">
      <c r="A921" s="131"/>
      <c r="B921" s="131"/>
      <c r="C921" s="131"/>
      <c r="D921" s="131"/>
      <c r="E921" s="101"/>
      <c r="F921" s="101"/>
    </row>
    <row r="922">
      <c r="A922" s="131"/>
      <c r="B922" s="131"/>
      <c r="C922" s="131"/>
      <c r="D922" s="131"/>
      <c r="E922" s="101"/>
      <c r="F922" s="101"/>
    </row>
    <row r="923">
      <c r="A923" s="131"/>
      <c r="B923" s="131"/>
      <c r="C923" s="131"/>
      <c r="D923" s="131"/>
      <c r="E923" s="105"/>
      <c r="F923" s="105"/>
    </row>
    <row r="924">
      <c r="A924" s="131"/>
      <c r="B924" s="131"/>
      <c r="C924" s="131"/>
      <c r="D924" s="131"/>
      <c r="E924" s="106"/>
      <c r="F924" s="106"/>
    </row>
    <row r="925">
      <c r="A925" s="131"/>
      <c r="B925" s="131"/>
      <c r="C925" s="131"/>
      <c r="D925" s="131"/>
      <c r="E925" s="107"/>
      <c r="F925" s="107"/>
    </row>
    <row r="926">
      <c r="A926" s="131"/>
      <c r="B926" s="131"/>
      <c r="C926" s="131"/>
      <c r="D926" s="131"/>
      <c r="E926" s="107"/>
      <c r="F926" s="107"/>
    </row>
    <row r="927">
      <c r="A927" s="131"/>
      <c r="B927" s="131"/>
      <c r="C927" s="131"/>
      <c r="D927" s="131"/>
      <c r="E927" s="108"/>
      <c r="F927" s="108"/>
    </row>
    <row r="928">
      <c r="A928" s="131"/>
      <c r="B928" s="131"/>
      <c r="C928" s="131"/>
      <c r="D928" s="131"/>
      <c r="E928" s="107"/>
      <c r="F928" s="107"/>
    </row>
    <row r="929">
      <c r="A929" s="131"/>
      <c r="B929" s="131"/>
      <c r="C929" s="131"/>
      <c r="D929" s="131"/>
      <c r="E929" s="106"/>
      <c r="F929" s="106"/>
    </row>
    <row r="930">
      <c r="A930" s="131"/>
      <c r="B930" s="131"/>
      <c r="C930" s="131"/>
      <c r="D930" s="131"/>
      <c r="E930" s="107"/>
      <c r="F930" s="107"/>
    </row>
    <row r="931">
      <c r="A931" s="131"/>
      <c r="B931" s="131"/>
      <c r="C931" s="131"/>
      <c r="D931" s="131"/>
      <c r="E931" s="107"/>
      <c r="F931" s="107"/>
    </row>
    <row r="932">
      <c r="A932" s="131"/>
      <c r="B932" s="131"/>
      <c r="C932" s="131"/>
      <c r="D932" s="131"/>
      <c r="E932" s="107"/>
      <c r="F932" s="107"/>
    </row>
    <row r="933">
      <c r="A933" s="131"/>
      <c r="B933" s="131"/>
      <c r="C933" s="131"/>
      <c r="D933" s="131"/>
      <c r="E933" s="107"/>
      <c r="F933" s="107"/>
    </row>
    <row r="934">
      <c r="A934" s="131"/>
      <c r="B934" s="131"/>
      <c r="C934" s="131"/>
      <c r="D934" s="131"/>
      <c r="E934" s="106"/>
      <c r="F934" s="106"/>
    </row>
    <row r="935">
      <c r="A935" s="131"/>
      <c r="B935" s="131"/>
      <c r="C935" s="131"/>
      <c r="D935" s="131"/>
      <c r="E935" s="107"/>
      <c r="F935" s="107"/>
    </row>
    <row r="936">
      <c r="A936" s="131"/>
      <c r="B936" s="131"/>
      <c r="C936" s="131"/>
      <c r="D936" s="131"/>
      <c r="E936" s="109"/>
      <c r="F936" s="109"/>
    </row>
    <row r="937">
      <c r="A937" s="131"/>
      <c r="B937" s="131"/>
      <c r="C937" s="131"/>
      <c r="D937" s="131"/>
      <c r="E937" s="110"/>
      <c r="F937" s="110"/>
    </row>
    <row r="938">
      <c r="A938" s="131"/>
      <c r="B938" s="131"/>
      <c r="C938" s="131"/>
      <c r="D938" s="131"/>
      <c r="E938" s="110"/>
      <c r="F938" s="110"/>
    </row>
    <row r="939">
      <c r="A939" s="131"/>
      <c r="B939" s="131"/>
      <c r="C939" s="131"/>
      <c r="D939" s="131"/>
      <c r="E939" s="111"/>
      <c r="F939" s="111"/>
    </row>
    <row r="940">
      <c r="A940" s="131"/>
      <c r="B940" s="131"/>
      <c r="C940" s="131"/>
      <c r="D940" s="131"/>
      <c r="E940" s="131"/>
      <c r="F940" s="131"/>
    </row>
    <row r="941">
      <c r="A941" s="131"/>
      <c r="B941" s="131"/>
      <c r="C941" s="131"/>
      <c r="D941" s="131"/>
      <c r="E941" s="131"/>
      <c r="F941" s="131"/>
    </row>
    <row r="942">
      <c r="A942" s="131"/>
      <c r="B942" s="131"/>
      <c r="C942" s="131"/>
      <c r="D942" s="131"/>
      <c r="E942" s="131"/>
      <c r="F942" s="131"/>
    </row>
    <row r="943">
      <c r="A943" s="131"/>
      <c r="B943" s="131"/>
      <c r="C943" s="131"/>
      <c r="D943" s="131"/>
      <c r="E943" s="131"/>
      <c r="F943" s="131"/>
    </row>
    <row r="944">
      <c r="A944" s="131"/>
      <c r="B944" s="131"/>
      <c r="C944" s="131"/>
      <c r="D944" s="131"/>
      <c r="E944" s="131"/>
      <c r="F944" s="131"/>
    </row>
    <row r="945">
      <c r="A945" s="131"/>
      <c r="B945" s="131"/>
      <c r="C945" s="131"/>
      <c r="D945" s="131"/>
      <c r="E945" s="131"/>
      <c r="F945" s="131"/>
    </row>
    <row r="946">
      <c r="A946" s="131"/>
      <c r="B946" s="131"/>
      <c r="C946" s="131"/>
      <c r="D946" s="131"/>
      <c r="E946" s="131"/>
      <c r="F946" s="131"/>
    </row>
    <row r="947">
      <c r="A947" s="131"/>
      <c r="B947" s="131"/>
      <c r="C947" s="131"/>
      <c r="D947" s="131"/>
      <c r="E947" s="131"/>
      <c r="F947" s="131"/>
    </row>
    <row r="948">
      <c r="A948" s="131"/>
      <c r="B948" s="131"/>
      <c r="C948" s="131"/>
      <c r="D948" s="131"/>
      <c r="E948" s="131"/>
      <c r="F948" s="131"/>
    </row>
    <row r="949">
      <c r="A949" s="131"/>
      <c r="B949" s="131"/>
      <c r="C949" s="131"/>
      <c r="D949" s="131"/>
      <c r="E949" s="131"/>
      <c r="F949" s="131"/>
    </row>
    <row r="950">
      <c r="A950" s="131"/>
      <c r="B950" s="131"/>
      <c r="C950" s="131"/>
      <c r="D950" s="131"/>
      <c r="E950" s="131"/>
      <c r="F950" s="131"/>
    </row>
    <row r="951">
      <c r="A951" s="131"/>
      <c r="B951" s="131"/>
      <c r="C951" s="131"/>
      <c r="D951" s="131"/>
      <c r="E951" s="131"/>
      <c r="F951" s="131"/>
    </row>
    <row r="952">
      <c r="A952" s="131"/>
      <c r="B952" s="131"/>
      <c r="C952" s="131"/>
      <c r="D952" s="131"/>
      <c r="E952" s="131"/>
      <c r="F952" s="131"/>
    </row>
    <row r="953">
      <c r="A953" s="131"/>
      <c r="B953" s="131"/>
      <c r="C953" s="131"/>
      <c r="D953" s="131"/>
      <c r="E953" s="131"/>
      <c r="F953" s="131"/>
    </row>
    <row r="954">
      <c r="A954" s="131"/>
      <c r="B954" s="131"/>
      <c r="C954" s="131"/>
      <c r="D954" s="131"/>
      <c r="E954" s="131"/>
      <c r="F954" s="131"/>
    </row>
    <row r="955">
      <c r="A955" s="131"/>
      <c r="B955" s="131"/>
      <c r="C955" s="131"/>
      <c r="D955" s="131"/>
      <c r="E955" s="131"/>
      <c r="F955" s="131"/>
    </row>
    <row r="956">
      <c r="A956" s="131"/>
      <c r="B956" s="131"/>
      <c r="C956" s="131"/>
      <c r="D956" s="131"/>
      <c r="E956" s="131"/>
      <c r="F956" s="131"/>
    </row>
    <row r="957">
      <c r="A957" s="131"/>
      <c r="B957" s="131"/>
      <c r="C957" s="131"/>
      <c r="D957" s="131"/>
      <c r="E957" s="131"/>
      <c r="F957" s="131"/>
    </row>
    <row r="958">
      <c r="A958" s="131"/>
      <c r="B958" s="131"/>
      <c r="C958" s="131"/>
      <c r="D958" s="131"/>
      <c r="E958" s="131"/>
      <c r="F958" s="131"/>
    </row>
    <row r="959">
      <c r="A959" s="131"/>
      <c r="B959" s="131"/>
      <c r="C959" s="131"/>
      <c r="D959" s="131"/>
      <c r="E959" s="131"/>
      <c r="F959" s="131"/>
    </row>
    <row r="960">
      <c r="A960" s="131"/>
      <c r="B960" s="131"/>
      <c r="C960" s="131"/>
      <c r="D960" s="131"/>
      <c r="E960" s="131"/>
      <c r="F960" s="131"/>
    </row>
    <row r="961">
      <c r="A961" s="131"/>
      <c r="B961" s="131"/>
      <c r="C961" s="131"/>
      <c r="D961" s="131"/>
      <c r="E961" s="131"/>
      <c r="F961" s="131"/>
    </row>
    <row r="962">
      <c r="A962" s="131"/>
      <c r="B962" s="131"/>
      <c r="C962" s="131"/>
      <c r="D962" s="131"/>
      <c r="E962" s="131"/>
      <c r="F962" s="131"/>
    </row>
    <row r="963">
      <c r="A963" s="131"/>
      <c r="B963" s="131"/>
      <c r="C963" s="131"/>
      <c r="D963" s="131"/>
      <c r="E963" s="131"/>
      <c r="F963" s="131"/>
    </row>
    <row r="964">
      <c r="A964" s="131"/>
      <c r="B964" s="131"/>
      <c r="C964" s="131"/>
      <c r="D964" s="131"/>
      <c r="E964" s="131"/>
      <c r="F964" s="131"/>
    </row>
    <row r="965">
      <c r="A965" s="131"/>
      <c r="B965" s="131"/>
      <c r="C965" s="131"/>
      <c r="D965" s="131"/>
      <c r="E965" s="131"/>
      <c r="F965" s="131"/>
    </row>
    <row r="966">
      <c r="A966" s="131"/>
      <c r="B966" s="131"/>
      <c r="C966" s="131"/>
      <c r="D966" s="131"/>
      <c r="E966" s="131"/>
      <c r="F966" s="131"/>
    </row>
    <row r="967">
      <c r="A967" s="131"/>
      <c r="B967" s="131"/>
      <c r="C967" s="131"/>
      <c r="D967" s="131"/>
      <c r="E967" s="131"/>
      <c r="F967" s="131"/>
    </row>
    <row r="968">
      <c r="A968" s="131"/>
      <c r="B968" s="131"/>
      <c r="C968" s="131"/>
      <c r="D968" s="131"/>
      <c r="E968" s="131"/>
      <c r="F968" s="131"/>
    </row>
    <row r="969">
      <c r="A969" s="131"/>
      <c r="B969" s="131"/>
      <c r="C969" s="131"/>
      <c r="D969" s="131"/>
      <c r="E969" s="131"/>
      <c r="F969" s="131"/>
    </row>
    <row r="970">
      <c r="A970" s="131"/>
      <c r="B970" s="131"/>
      <c r="C970" s="131"/>
      <c r="D970" s="131"/>
      <c r="E970" s="131"/>
      <c r="F970" s="131"/>
    </row>
    <row r="971">
      <c r="A971" s="131"/>
      <c r="B971" s="131"/>
      <c r="C971" s="131"/>
      <c r="D971" s="131"/>
      <c r="E971" s="131"/>
      <c r="F971" s="131"/>
    </row>
    <row r="972">
      <c r="A972" s="131"/>
      <c r="B972" s="131"/>
      <c r="C972" s="131"/>
      <c r="D972" s="131"/>
      <c r="E972" s="131"/>
      <c r="F972" s="131"/>
    </row>
    <row r="973">
      <c r="A973" s="131"/>
      <c r="B973" s="131"/>
      <c r="C973" s="131"/>
      <c r="D973" s="131"/>
      <c r="E973" s="131"/>
      <c r="F973" s="131"/>
    </row>
    <row r="974">
      <c r="A974" s="131"/>
      <c r="B974" s="131"/>
      <c r="C974" s="131"/>
      <c r="D974" s="131"/>
      <c r="E974" s="131"/>
      <c r="F974" s="131"/>
    </row>
    <row r="975">
      <c r="A975" s="131"/>
      <c r="B975" s="131"/>
      <c r="C975" s="131"/>
      <c r="D975" s="131"/>
      <c r="E975" s="131"/>
      <c r="F975" s="131"/>
    </row>
    <row r="976">
      <c r="A976" s="131"/>
      <c r="B976" s="131"/>
      <c r="C976" s="131"/>
      <c r="D976" s="131"/>
      <c r="E976" s="131"/>
      <c r="F976" s="131"/>
    </row>
    <row r="977">
      <c r="A977" s="131"/>
      <c r="B977" s="131"/>
      <c r="C977" s="131"/>
      <c r="D977" s="131"/>
      <c r="E977" s="131"/>
      <c r="F977" s="131"/>
    </row>
    <row r="978">
      <c r="A978" s="131"/>
      <c r="B978" s="131"/>
      <c r="C978" s="131"/>
      <c r="D978" s="131"/>
      <c r="E978" s="131"/>
      <c r="F978" s="131"/>
    </row>
    <row r="979">
      <c r="A979" s="131"/>
      <c r="B979" s="131"/>
      <c r="C979" s="131"/>
      <c r="D979" s="131"/>
      <c r="E979" s="131"/>
      <c r="F979" s="131"/>
    </row>
    <row r="980">
      <c r="A980" s="131"/>
      <c r="B980" s="131"/>
      <c r="C980" s="131"/>
      <c r="D980" s="131"/>
      <c r="E980" s="131"/>
      <c r="F980" s="131"/>
    </row>
    <row r="981">
      <c r="A981" s="131"/>
      <c r="B981" s="131"/>
      <c r="C981" s="131"/>
      <c r="D981" s="131"/>
      <c r="E981" s="131"/>
      <c r="F981" s="131"/>
    </row>
    <row r="982">
      <c r="A982" s="131"/>
      <c r="B982" s="131"/>
      <c r="C982" s="131"/>
      <c r="D982" s="131"/>
      <c r="E982" s="131"/>
      <c r="F982" s="131"/>
    </row>
    <row r="983">
      <c r="A983" s="131"/>
      <c r="B983" s="131"/>
      <c r="C983" s="131"/>
      <c r="D983" s="131"/>
      <c r="E983" s="131"/>
      <c r="F983" s="131"/>
    </row>
    <row r="984">
      <c r="A984" s="131"/>
      <c r="B984" s="131"/>
      <c r="C984" s="131"/>
      <c r="D984" s="131"/>
      <c r="E984" s="131"/>
      <c r="F984" s="131"/>
    </row>
    <row r="985">
      <c r="A985" s="131"/>
      <c r="B985" s="131"/>
      <c r="C985" s="131"/>
      <c r="D985" s="131"/>
      <c r="E985" s="131"/>
      <c r="F985" s="131"/>
    </row>
    <row r="986">
      <c r="A986" s="131"/>
      <c r="B986" s="131"/>
      <c r="C986" s="131"/>
      <c r="D986" s="131"/>
      <c r="E986" s="131"/>
      <c r="F986" s="131"/>
    </row>
    <row r="987">
      <c r="A987" s="131"/>
      <c r="B987" s="131"/>
      <c r="C987" s="131"/>
      <c r="D987" s="131"/>
      <c r="E987" s="131"/>
      <c r="F987" s="131"/>
    </row>
    <row r="988">
      <c r="A988" s="131"/>
      <c r="B988" s="131"/>
      <c r="C988" s="131"/>
      <c r="D988" s="131"/>
      <c r="E988" s="131"/>
      <c r="F988" s="131"/>
    </row>
    <row r="989">
      <c r="A989" s="131"/>
      <c r="B989" s="131"/>
      <c r="C989" s="131"/>
      <c r="D989" s="131"/>
      <c r="E989" s="131"/>
      <c r="F989" s="131"/>
    </row>
    <row r="990">
      <c r="A990" s="131"/>
      <c r="B990" s="131"/>
      <c r="C990" s="131"/>
      <c r="D990" s="131"/>
      <c r="E990" s="131"/>
      <c r="F990" s="131"/>
    </row>
    <row r="991">
      <c r="A991" s="131"/>
      <c r="B991" s="131"/>
      <c r="C991" s="131"/>
      <c r="D991" s="131"/>
      <c r="E991" s="131"/>
      <c r="F991" s="131"/>
    </row>
    <row r="992">
      <c r="A992" s="131"/>
      <c r="B992" s="131"/>
      <c r="C992" s="131"/>
      <c r="D992" s="131"/>
      <c r="E992" s="131"/>
      <c r="F992" s="131"/>
    </row>
    <row r="993">
      <c r="A993" s="131"/>
      <c r="B993" s="131"/>
      <c r="C993" s="131"/>
      <c r="D993" s="131"/>
      <c r="E993" s="131"/>
      <c r="F993" s="131"/>
    </row>
    <row r="994">
      <c r="A994" s="131"/>
      <c r="B994" s="131"/>
      <c r="C994" s="131"/>
      <c r="D994" s="131"/>
      <c r="E994" s="131"/>
      <c r="F994" s="131"/>
    </row>
  </sheetData>
  <mergeCells count="12">
    <mergeCell ref="L752:P752"/>
    <mergeCell ref="Q752:W752"/>
    <mergeCell ref="G846:K846"/>
    <mergeCell ref="L846:P846"/>
    <mergeCell ref="Q846:W846"/>
    <mergeCell ref="G1:K1"/>
    <mergeCell ref="L1:P1"/>
    <mergeCell ref="Q1:W1"/>
    <mergeCell ref="G500:K500"/>
    <mergeCell ref="L500:P500"/>
    <mergeCell ref="Q500:W500"/>
    <mergeCell ref="G752:K75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2" max="22" width="16.29"/>
    <col customWidth="1" min="23" max="23" width="16.14"/>
  </cols>
  <sheetData>
    <row r="1">
      <c r="A1" s="86" t="s">
        <v>554</v>
      </c>
      <c r="B1" s="87" t="s">
        <v>27</v>
      </c>
      <c r="G1" s="121" t="s">
        <v>555</v>
      </c>
      <c r="H1" s="13"/>
      <c r="I1" s="13"/>
      <c r="J1" s="13"/>
      <c r="K1" s="14"/>
      <c r="L1" s="121" t="s">
        <v>556</v>
      </c>
      <c r="M1" s="13"/>
      <c r="N1" s="13"/>
      <c r="O1" s="13"/>
      <c r="P1" s="14"/>
      <c r="Q1" s="122" t="s">
        <v>33</v>
      </c>
      <c r="R1" s="13"/>
      <c r="S1" s="13"/>
      <c r="T1" s="13"/>
      <c r="U1" s="13"/>
      <c r="V1" s="13"/>
      <c r="W1" s="14"/>
    </row>
    <row r="2">
      <c r="A2" s="90" t="s">
        <v>41</v>
      </c>
      <c r="B2" s="90" t="s">
        <v>42</v>
      </c>
      <c r="C2" s="90" t="s">
        <v>43</v>
      </c>
      <c r="D2" s="90" t="s">
        <v>44</v>
      </c>
      <c r="E2" s="90" t="s">
        <v>45</v>
      </c>
      <c r="F2" s="90" t="s">
        <v>46</v>
      </c>
      <c r="G2" s="123" t="s">
        <v>557</v>
      </c>
      <c r="H2" s="124" t="s">
        <v>558</v>
      </c>
      <c r="I2" s="124" t="s">
        <v>559</v>
      </c>
      <c r="J2" s="125" t="s">
        <v>560</v>
      </c>
      <c r="K2" s="125" t="s">
        <v>561</v>
      </c>
      <c r="L2" s="126" t="s">
        <v>562</v>
      </c>
      <c r="M2" s="125" t="s">
        <v>563</v>
      </c>
      <c r="N2" s="125" t="s">
        <v>564</v>
      </c>
      <c r="O2" s="125" t="s">
        <v>565</v>
      </c>
      <c r="P2" s="127" t="s">
        <v>566</v>
      </c>
      <c r="Q2" s="128" t="s">
        <v>567</v>
      </c>
      <c r="R2" s="129" t="s">
        <v>568</v>
      </c>
      <c r="S2" s="129" t="s">
        <v>569</v>
      </c>
      <c r="T2" s="129" t="s">
        <v>570</v>
      </c>
      <c r="U2" s="129" t="s">
        <v>571</v>
      </c>
      <c r="V2" s="129" t="s">
        <v>572</v>
      </c>
      <c r="W2" s="130" t="s">
        <v>573</v>
      </c>
    </row>
    <row r="3">
      <c r="A3" s="131">
        <f>IFERROR(__xludf.DUMMYFUNCTION("QUERY(MASTERLIST!A3:F997, ""SELECT *"", 0)"),1.0)</f>
        <v>1</v>
      </c>
      <c r="B3" s="131"/>
      <c r="C3" s="131">
        <f>IFERROR(__xludf.DUMMYFUNCTION("""COMPUTED_VALUE"""),1.0)</f>
        <v>1</v>
      </c>
      <c r="D3" s="131" t="b">
        <f>IFERROR(__xludf.DUMMYFUNCTION("""COMPUTED_VALUE"""),TRUE)</f>
        <v>1</v>
      </c>
      <c r="E3" s="94" t="str">
        <f>IFERROR(__xludf.DUMMYFUNCTION("""COMPUTED_VALUE"""),"ARANDA")</f>
        <v>ARANDA</v>
      </c>
      <c r="F3" s="94" t="str">
        <f>IFERROR(__xludf.DUMMYFUNCTION("""COMPUTED_VALUE"""),"KAI")</f>
        <v>KAI</v>
      </c>
    </row>
    <row r="4">
      <c r="A4" s="131">
        <f>IFERROR(__xludf.DUMMYFUNCTION("""COMPUTED_VALUE"""),2.0)</f>
        <v>2</v>
      </c>
      <c r="B4" s="131"/>
      <c r="C4" s="131">
        <f>IFERROR(__xludf.DUMMYFUNCTION("""COMPUTED_VALUE"""),1.0)</f>
        <v>1</v>
      </c>
      <c r="D4" s="131" t="b">
        <f>IFERROR(__xludf.DUMMYFUNCTION("""COMPUTED_VALUE"""),FALSE)</f>
        <v>0</v>
      </c>
      <c r="E4" s="95" t="str">
        <f>IFERROR(__xludf.DUMMYFUNCTION("""COMPUTED_VALUE"""),"ARCILLA")</f>
        <v>ARCILLA</v>
      </c>
      <c r="F4" s="96" t="str">
        <f>IFERROR(__xludf.DUMMYFUNCTION("""COMPUTED_VALUE"""),"DANIELA")</f>
        <v>DANIELA</v>
      </c>
    </row>
    <row r="5">
      <c r="A5" s="131">
        <f>IFERROR(__xludf.DUMMYFUNCTION("""COMPUTED_VALUE"""),3.0)</f>
        <v>3</v>
      </c>
      <c r="B5" s="131"/>
      <c r="C5" s="131">
        <f>IFERROR(__xludf.DUMMYFUNCTION("""COMPUTED_VALUE"""),1.0)</f>
        <v>1</v>
      </c>
      <c r="D5" s="131" t="b">
        <f>IFERROR(__xludf.DUMMYFUNCTION("""COMPUTED_VALUE"""),FALSE)</f>
        <v>0</v>
      </c>
      <c r="E5" s="95" t="str">
        <f>IFERROR(__xludf.DUMMYFUNCTION("""COMPUTED_VALUE"""),"ANDRE")</f>
        <v>ANDRE</v>
      </c>
      <c r="F5" s="96" t="str">
        <f>IFERROR(__xludf.DUMMYFUNCTION("""COMPUTED_VALUE"""),"CARLA")</f>
        <v>CARLA</v>
      </c>
    </row>
    <row r="6">
      <c r="A6" s="131">
        <f>IFERROR(__xludf.DUMMYFUNCTION("""COMPUTED_VALUE"""),4.0)</f>
        <v>4</v>
      </c>
      <c r="B6" s="131"/>
      <c r="C6" s="131">
        <f>IFERROR(__xludf.DUMMYFUNCTION("""COMPUTED_VALUE"""),1.0)</f>
        <v>1</v>
      </c>
      <c r="D6" s="131" t="b">
        <f>IFERROR(__xludf.DUMMYFUNCTION("""COMPUTED_VALUE"""),FALSE)</f>
        <v>0</v>
      </c>
      <c r="E6" s="96" t="str">
        <f>IFERROR(__xludf.DUMMYFUNCTION("""COMPUTED_VALUE"""),"BALDELOVAR")</f>
        <v>BALDELOVAR</v>
      </c>
      <c r="F6" s="96" t="str">
        <f>IFERROR(__xludf.DUMMYFUNCTION("""COMPUTED_VALUE"""),"LEANNE")</f>
        <v>LEANNE</v>
      </c>
    </row>
    <row r="7">
      <c r="A7" s="131">
        <f>IFERROR(__xludf.DUMMYFUNCTION("""COMPUTED_VALUE"""),5.0)</f>
        <v>5</v>
      </c>
      <c r="B7" s="131"/>
      <c r="C7" s="131">
        <f>IFERROR(__xludf.DUMMYFUNCTION("""COMPUTED_VALUE"""),1.0)</f>
        <v>1</v>
      </c>
      <c r="D7" s="131" t="b">
        <f>IFERROR(__xludf.DUMMYFUNCTION("""COMPUTED_VALUE"""),FALSE)</f>
        <v>0</v>
      </c>
      <c r="E7" s="96" t="str">
        <f>IFERROR(__xludf.DUMMYFUNCTION("""COMPUTED_VALUE"""),"BANTAYAN")</f>
        <v>BANTAYAN</v>
      </c>
      <c r="F7" s="96" t="str">
        <f>IFERROR(__xludf.DUMMYFUNCTION("""COMPUTED_VALUE"""),"EURASIA")</f>
        <v>EURASIA</v>
      </c>
    </row>
    <row r="8">
      <c r="A8" s="131">
        <f>IFERROR(__xludf.DUMMYFUNCTION("""COMPUTED_VALUE"""),6.0)</f>
        <v>6</v>
      </c>
      <c r="B8" s="131"/>
      <c r="C8" s="131">
        <f>IFERROR(__xludf.DUMMYFUNCTION("""COMPUTED_VALUE"""),1.0)</f>
        <v>1</v>
      </c>
      <c r="D8" s="131" t="b">
        <f>IFERROR(__xludf.DUMMYFUNCTION("""COMPUTED_VALUE"""),FALSE)</f>
        <v>0</v>
      </c>
      <c r="E8" s="96" t="str">
        <f>IFERROR(__xludf.DUMMYFUNCTION("""COMPUTED_VALUE"""),"BUCTOT")</f>
        <v>BUCTOT</v>
      </c>
      <c r="F8" s="96" t="str">
        <f>IFERROR(__xludf.DUMMYFUNCTION("""COMPUTED_VALUE"""),"JEZEBEL")</f>
        <v>JEZEBEL</v>
      </c>
    </row>
    <row r="9">
      <c r="A9" s="131">
        <f>IFERROR(__xludf.DUMMYFUNCTION("""COMPUTED_VALUE"""),7.0)</f>
        <v>7</v>
      </c>
      <c r="B9" s="131"/>
      <c r="C9" s="131">
        <f>IFERROR(__xludf.DUMMYFUNCTION("""COMPUTED_VALUE"""),1.0)</f>
        <v>1</v>
      </c>
      <c r="D9" s="131" t="b">
        <f>IFERROR(__xludf.DUMMYFUNCTION("""COMPUTED_VALUE"""),FALSE)</f>
        <v>0</v>
      </c>
      <c r="E9" s="96" t="str">
        <f>IFERROR(__xludf.DUMMYFUNCTION("""COMPUTED_VALUE"""),"ENCARNACION")</f>
        <v>ENCARNACION</v>
      </c>
      <c r="F9" s="96" t="str">
        <f>IFERROR(__xludf.DUMMYFUNCTION("""COMPUTED_VALUE"""),"KRISTEL")</f>
        <v>KRISTEL</v>
      </c>
    </row>
    <row r="10">
      <c r="A10" s="131">
        <f>IFERROR(__xludf.DUMMYFUNCTION("""COMPUTED_VALUE"""),8.0)</f>
        <v>8</v>
      </c>
      <c r="B10" s="131"/>
      <c r="C10" s="131">
        <f>IFERROR(__xludf.DUMMYFUNCTION("""COMPUTED_VALUE"""),1.0)</f>
        <v>1</v>
      </c>
      <c r="D10" s="131" t="b">
        <f>IFERROR(__xludf.DUMMYFUNCTION("""COMPUTED_VALUE"""),FALSE)</f>
        <v>0</v>
      </c>
      <c r="E10" s="96" t="str">
        <f>IFERROR(__xludf.DUMMYFUNCTION("""COMPUTED_VALUE"""),"GUTIERREZ")</f>
        <v>GUTIERREZ</v>
      </c>
      <c r="F10" s="96" t="str">
        <f>IFERROR(__xludf.DUMMYFUNCTION("""COMPUTED_VALUE"""),"PAOLA")</f>
        <v>PAOLA</v>
      </c>
    </row>
    <row r="11">
      <c r="A11" s="131">
        <f>IFERROR(__xludf.DUMMYFUNCTION("""COMPUTED_VALUE"""),9.0)</f>
        <v>9</v>
      </c>
      <c r="B11" s="131"/>
      <c r="C11" s="131">
        <f>IFERROR(__xludf.DUMMYFUNCTION("""COMPUTED_VALUE"""),1.0)</f>
        <v>1</v>
      </c>
      <c r="D11" s="131" t="b">
        <f>IFERROR(__xludf.DUMMYFUNCTION("""COMPUTED_VALUE"""),FALSE)</f>
        <v>0</v>
      </c>
      <c r="E11" s="96" t="str">
        <f>IFERROR(__xludf.DUMMYFUNCTION("""COMPUTED_VALUE"""),"HISPANO")</f>
        <v>HISPANO</v>
      </c>
      <c r="F11" s="96" t="str">
        <f>IFERROR(__xludf.DUMMYFUNCTION("""COMPUTED_VALUE"""),"HANNA")</f>
        <v>HANNA</v>
      </c>
    </row>
    <row r="12">
      <c r="A12" s="131">
        <f>IFERROR(__xludf.DUMMYFUNCTION("""COMPUTED_VALUE"""),10.0)</f>
        <v>10</v>
      </c>
      <c r="B12" s="131"/>
      <c r="C12" s="131">
        <f>IFERROR(__xludf.DUMMYFUNCTION("""COMPUTED_VALUE"""),1.0)</f>
        <v>1</v>
      </c>
      <c r="D12" s="131" t="b">
        <f>IFERROR(__xludf.DUMMYFUNCTION("""COMPUTED_VALUE"""),FALSE)</f>
        <v>0</v>
      </c>
      <c r="E12" s="96" t="str">
        <f>IFERROR(__xludf.DUMMYFUNCTION("""COMPUTED_VALUE"""),"MALOLOY-ON")</f>
        <v>MALOLOY-ON</v>
      </c>
      <c r="F12" s="96" t="str">
        <f>IFERROR(__xludf.DUMMYFUNCTION("""COMPUTED_VALUE"""),"MARIANA")</f>
        <v>MARIANA</v>
      </c>
    </row>
    <row r="13">
      <c r="A13" s="131">
        <f>IFERROR(__xludf.DUMMYFUNCTION("""COMPUTED_VALUE"""),11.0)</f>
        <v>11</v>
      </c>
      <c r="B13" s="131"/>
      <c r="C13" s="131">
        <f>IFERROR(__xludf.DUMMYFUNCTION("""COMPUTED_VALUE"""),1.0)</f>
        <v>1</v>
      </c>
      <c r="D13" s="131" t="b">
        <f>IFERROR(__xludf.DUMMYFUNCTION("""COMPUTED_VALUE"""),FALSE)</f>
        <v>0</v>
      </c>
      <c r="E13" s="96" t="str">
        <f>IFERROR(__xludf.DUMMYFUNCTION("""COMPUTED_VALUE"""),"MALOLOY-ON")</f>
        <v>MALOLOY-ON</v>
      </c>
      <c r="F13" s="96" t="str">
        <f>IFERROR(__xludf.DUMMYFUNCTION("""COMPUTED_VALUE"""),"JOISEALAY")</f>
        <v>JOISEALAY</v>
      </c>
    </row>
    <row r="14">
      <c r="A14" s="131">
        <f>IFERROR(__xludf.DUMMYFUNCTION("""COMPUTED_VALUE"""),12.0)</f>
        <v>12</v>
      </c>
      <c r="B14" s="131"/>
      <c r="C14" s="131">
        <f>IFERROR(__xludf.DUMMYFUNCTION("""COMPUTED_VALUE"""),1.0)</f>
        <v>1</v>
      </c>
      <c r="D14" s="131" t="b">
        <f>IFERROR(__xludf.DUMMYFUNCTION("""COMPUTED_VALUE"""),FALSE)</f>
        <v>0</v>
      </c>
      <c r="E14" s="96" t="str">
        <f>IFERROR(__xludf.DUMMYFUNCTION("""COMPUTED_VALUE"""),"ORQUIA")</f>
        <v>ORQUIA</v>
      </c>
      <c r="F14" s="96" t="str">
        <f>IFERROR(__xludf.DUMMYFUNCTION("""COMPUTED_VALUE"""),"KAYLA")</f>
        <v>KAYLA</v>
      </c>
    </row>
    <row r="15">
      <c r="A15" s="131">
        <f>IFERROR(__xludf.DUMMYFUNCTION("""COMPUTED_VALUE"""),13.0)</f>
        <v>13</v>
      </c>
      <c r="B15" s="131"/>
      <c r="C15" s="131">
        <f>IFERROR(__xludf.DUMMYFUNCTION("""COMPUTED_VALUE"""),1.0)</f>
        <v>1</v>
      </c>
      <c r="D15" s="131" t="b">
        <f>IFERROR(__xludf.DUMMYFUNCTION("""COMPUTED_VALUE"""),FALSE)</f>
        <v>0</v>
      </c>
      <c r="E15" s="96" t="str">
        <f>IFERROR(__xludf.DUMMYFUNCTION("""COMPUTED_VALUE"""),"PIGAO")</f>
        <v>PIGAO</v>
      </c>
      <c r="F15" s="96" t="str">
        <f>IFERROR(__xludf.DUMMYFUNCTION("""COMPUTED_VALUE"""),"HANNAH")</f>
        <v>HANNAH</v>
      </c>
    </row>
    <row r="16">
      <c r="A16" s="131">
        <f>IFERROR(__xludf.DUMMYFUNCTION("""COMPUTED_VALUE"""),14.0)</f>
        <v>14</v>
      </c>
      <c r="B16" s="131"/>
      <c r="C16" s="131">
        <f>IFERROR(__xludf.DUMMYFUNCTION("""COMPUTED_VALUE"""),1.0)</f>
        <v>1</v>
      </c>
      <c r="D16" s="131" t="b">
        <f>IFERROR(__xludf.DUMMYFUNCTION("""COMPUTED_VALUE"""),FALSE)</f>
        <v>0</v>
      </c>
      <c r="E16" s="96" t="str">
        <f>IFERROR(__xludf.DUMMYFUNCTION("""COMPUTED_VALUE"""),"RELEVO")</f>
        <v>RELEVO</v>
      </c>
      <c r="F16" s="96" t="str">
        <f>IFERROR(__xludf.DUMMYFUNCTION("""COMPUTED_VALUE"""),"RICA")</f>
        <v>RICA</v>
      </c>
    </row>
    <row r="17">
      <c r="A17" s="131">
        <f>IFERROR(__xludf.DUMMYFUNCTION("""COMPUTED_VALUE"""),15.0)</f>
        <v>15</v>
      </c>
      <c r="B17" s="131"/>
      <c r="C17" s="131">
        <f>IFERROR(__xludf.DUMMYFUNCTION("""COMPUTED_VALUE"""),1.0)</f>
        <v>1</v>
      </c>
      <c r="D17" s="131" t="b">
        <f>IFERROR(__xludf.DUMMYFUNCTION("""COMPUTED_VALUE"""),FALSE)</f>
        <v>0</v>
      </c>
      <c r="E17" s="97" t="str">
        <f>IFERROR(__xludf.DUMMYFUNCTION("""COMPUTED_VALUE"""),"REYES")</f>
        <v>REYES</v>
      </c>
      <c r="F17" s="97" t="str">
        <f>IFERROR(__xludf.DUMMYFUNCTION("""COMPUTED_VALUE"""),"ARIANNE")</f>
        <v>ARIANNE</v>
      </c>
    </row>
    <row r="18">
      <c r="A18" s="131">
        <f>IFERROR(__xludf.DUMMYFUNCTION("""COMPUTED_VALUE"""),16.0)</f>
        <v>16</v>
      </c>
      <c r="B18" s="131"/>
      <c r="C18" s="131">
        <f>IFERROR(__xludf.DUMMYFUNCTION("""COMPUTED_VALUE"""),1.0)</f>
        <v>1</v>
      </c>
      <c r="D18" s="131" t="b">
        <f>IFERROR(__xludf.DUMMYFUNCTION("""COMPUTED_VALUE"""),FALSE)</f>
        <v>0</v>
      </c>
      <c r="E18" s="96" t="str">
        <f>IFERROR(__xludf.DUMMYFUNCTION("""COMPUTED_VALUE"""),"ROMANO")</f>
        <v>ROMANO</v>
      </c>
      <c r="F18" s="96" t="str">
        <f>IFERROR(__xludf.DUMMYFUNCTION("""COMPUTED_VALUE"""),"ROZANE")</f>
        <v>ROZANE</v>
      </c>
    </row>
    <row r="19">
      <c r="A19" s="131">
        <f>IFERROR(__xludf.DUMMYFUNCTION("""COMPUTED_VALUE"""),17.0)</f>
        <v>17</v>
      </c>
      <c r="B19" s="131"/>
      <c r="C19" s="131">
        <f>IFERROR(__xludf.DUMMYFUNCTION("""COMPUTED_VALUE"""),1.0)</f>
        <v>1</v>
      </c>
      <c r="D19" s="131" t="b">
        <f>IFERROR(__xludf.DUMMYFUNCTION("""COMPUTED_VALUE"""),FALSE)</f>
        <v>0</v>
      </c>
      <c r="E19" s="96" t="str">
        <f>IFERROR(__xludf.DUMMYFUNCTION("""COMPUTED_VALUE"""),"SEBASTIAN")</f>
        <v>SEBASTIAN</v>
      </c>
      <c r="F19" s="96" t="str">
        <f>IFERROR(__xludf.DUMMYFUNCTION("""COMPUTED_VALUE"""),"JENNIFER")</f>
        <v>JENNIFER</v>
      </c>
    </row>
    <row r="20">
      <c r="A20" s="131">
        <f>IFERROR(__xludf.DUMMYFUNCTION("""COMPUTED_VALUE"""),18.0)</f>
        <v>18</v>
      </c>
      <c r="B20" s="131"/>
      <c r="C20" s="131">
        <f>IFERROR(__xludf.DUMMYFUNCTION("""COMPUTED_VALUE"""),1.0)</f>
        <v>1</v>
      </c>
      <c r="D20" s="131" t="b">
        <f>IFERROR(__xludf.DUMMYFUNCTION("""COMPUTED_VALUE"""),FALSE)</f>
        <v>0</v>
      </c>
      <c r="E20" s="96" t="str">
        <f>IFERROR(__xludf.DUMMYFUNCTION("""COMPUTED_VALUE"""),"SIMON")</f>
        <v>SIMON</v>
      </c>
      <c r="F20" s="96" t="str">
        <f>IFERROR(__xludf.DUMMYFUNCTION("""COMPUTED_VALUE"""),"SHERRIE")</f>
        <v>SHERRIE</v>
      </c>
    </row>
    <row r="21">
      <c r="A21" s="131">
        <f>IFERROR(__xludf.DUMMYFUNCTION("""COMPUTED_VALUE"""),19.0)</f>
        <v>19</v>
      </c>
      <c r="B21" s="131">
        <f>IFERROR(__xludf.DUMMYFUNCTION("""COMPUTED_VALUE"""),15.0)</f>
        <v>15</v>
      </c>
      <c r="C21" s="131">
        <f>IFERROR(__xludf.DUMMYFUNCTION("""COMPUTED_VALUE"""),1.0)</f>
        <v>1</v>
      </c>
      <c r="D21" s="131" t="b">
        <f>IFERROR(__xludf.DUMMYFUNCTION("""COMPUTED_VALUE"""),FALSE)</f>
        <v>0</v>
      </c>
      <c r="E21" s="96" t="str">
        <f>IFERROR(__xludf.DUMMYFUNCTION("""COMPUTED_VALUE"""),"TAMIDLES")</f>
        <v>TAMIDLES</v>
      </c>
      <c r="F21" s="96" t="str">
        <f>IFERROR(__xludf.DUMMYFUNCTION("""COMPUTED_VALUE"""),"CZARINA")</f>
        <v>CZARINA</v>
      </c>
    </row>
    <row r="22">
      <c r="A22" s="131">
        <f>IFERROR(__xludf.DUMMYFUNCTION("""COMPUTED_VALUE"""),20.0)</f>
        <v>20</v>
      </c>
      <c r="B22" s="131">
        <f>IFERROR(__xludf.DUMMYFUNCTION("""COMPUTED_VALUE"""),15.0)</f>
        <v>15</v>
      </c>
      <c r="C22" s="131">
        <f>IFERROR(__xludf.DUMMYFUNCTION("""COMPUTED_VALUE"""),1.0)</f>
        <v>1</v>
      </c>
      <c r="D22" s="131" t="b">
        <f>IFERROR(__xludf.DUMMYFUNCTION("""COMPUTED_VALUE"""),FALSE)</f>
        <v>0</v>
      </c>
      <c r="E22" s="96" t="str">
        <f>IFERROR(__xludf.DUMMYFUNCTION("""COMPUTED_VALUE"""),"ULAN")</f>
        <v>ULAN</v>
      </c>
      <c r="F22" s="96" t="str">
        <f>IFERROR(__xludf.DUMMYFUNCTION("""COMPUTED_VALUE"""),"MCWAYNE")</f>
        <v>MCWAYNE</v>
      </c>
    </row>
    <row r="23">
      <c r="A23" s="131">
        <f>IFERROR(__xludf.DUMMYFUNCTION("""COMPUTED_VALUE"""),21.0)</f>
        <v>21</v>
      </c>
      <c r="B23" s="131"/>
      <c r="C23" s="131">
        <f>IFERROR(__xludf.DUMMYFUNCTION("""COMPUTED_VALUE"""),1.0)</f>
        <v>1</v>
      </c>
      <c r="D23" s="131" t="b">
        <f>IFERROR(__xludf.DUMMYFUNCTION("""COMPUTED_VALUE"""),FALSE)</f>
        <v>0</v>
      </c>
      <c r="E23" s="96" t="str">
        <f>IFERROR(__xludf.DUMMYFUNCTION("""COMPUTED_VALUE"""),"VILLARTA")</f>
        <v>VILLARTA</v>
      </c>
      <c r="F23" s="96" t="str">
        <f>IFERROR(__xludf.DUMMYFUNCTION("""COMPUTED_VALUE"""),"JERICKA")</f>
        <v>JERICKA</v>
      </c>
    </row>
    <row r="24">
      <c r="A24" s="131">
        <f>IFERROR(__xludf.DUMMYFUNCTION("""COMPUTED_VALUE"""),22.0)</f>
        <v>22</v>
      </c>
      <c r="B24" s="131"/>
      <c r="C24" s="131"/>
      <c r="D24" s="131" t="b">
        <f>IFERROR(__xludf.DUMMYFUNCTION("""COMPUTED_VALUE"""),FALSE)</f>
        <v>0</v>
      </c>
      <c r="E24" s="98"/>
      <c r="F24" s="96" t="str">
        <f>IFERROR(__xludf.DUMMYFUNCTION("""COMPUTED_VALUE"""),"ANGEL")</f>
        <v>ANGEL</v>
      </c>
    </row>
    <row r="25">
      <c r="A25" s="131">
        <f>IFERROR(__xludf.DUMMYFUNCTION("""COMPUTED_VALUE"""),23.0)</f>
        <v>23</v>
      </c>
      <c r="B25" s="131"/>
      <c r="C25" s="131">
        <f>IFERROR(__xludf.DUMMYFUNCTION("""COMPUTED_VALUE"""),23.0)</f>
        <v>23</v>
      </c>
      <c r="D25" s="131" t="b">
        <f>IFERROR(__xludf.DUMMYFUNCTION("""COMPUTED_VALUE"""),TRUE)</f>
        <v>1</v>
      </c>
      <c r="E25" s="99" t="str">
        <f>IFERROR(__xludf.DUMMYFUNCTION("""COMPUTED_VALUE"""),"AVANCENA")</f>
        <v>AVANCENA</v>
      </c>
      <c r="F25" s="99" t="str">
        <f>IFERROR(__xludf.DUMMYFUNCTION("""COMPUTED_VALUE"""),"AIMEE")</f>
        <v>AIMEE</v>
      </c>
    </row>
    <row r="26">
      <c r="A26" s="131">
        <f>IFERROR(__xludf.DUMMYFUNCTION("""COMPUTED_VALUE"""),24.0)</f>
        <v>24</v>
      </c>
      <c r="B26" s="131"/>
      <c r="C26" s="131">
        <f>IFERROR(__xludf.DUMMYFUNCTION("""COMPUTED_VALUE"""),23.0)</f>
        <v>23</v>
      </c>
      <c r="D26" s="131" t="b">
        <f>IFERROR(__xludf.DUMMYFUNCTION("""COMPUTED_VALUE"""),FALSE)</f>
        <v>0</v>
      </c>
      <c r="E26" s="100" t="str">
        <f>IFERROR(__xludf.DUMMYFUNCTION("""COMPUTED_VALUE"""),"CABO")</f>
        <v>CABO</v>
      </c>
      <c r="F26" s="100" t="str">
        <f>IFERROR(__xludf.DUMMYFUNCTION("""COMPUTED_VALUE"""),"MELANIE")</f>
        <v>MELANIE</v>
      </c>
    </row>
    <row r="27">
      <c r="A27" s="131">
        <f>IFERROR(__xludf.DUMMYFUNCTION("""COMPUTED_VALUE"""),25.0)</f>
        <v>25</v>
      </c>
      <c r="B27" s="131">
        <f>IFERROR(__xludf.DUMMYFUNCTION("""COMPUTED_VALUE"""),24.0)</f>
        <v>24</v>
      </c>
      <c r="C27" s="131">
        <f>IFERROR(__xludf.DUMMYFUNCTION("""COMPUTED_VALUE"""),23.0)</f>
        <v>23</v>
      </c>
      <c r="D27" s="131" t="b">
        <f>IFERROR(__xludf.DUMMYFUNCTION("""COMPUTED_VALUE"""),FALSE)</f>
        <v>0</v>
      </c>
      <c r="E27" s="100" t="str">
        <f>IFERROR(__xludf.DUMMYFUNCTION("""COMPUTED_VALUE"""),"CARLOS")</f>
        <v>CARLOS</v>
      </c>
      <c r="F27" s="100" t="str">
        <f>IFERROR(__xludf.DUMMYFUNCTION("""COMPUTED_VALUE"""),"FRANCINE")</f>
        <v>FRANCINE</v>
      </c>
    </row>
    <row r="28">
      <c r="A28" s="131">
        <f>IFERROR(__xludf.DUMMYFUNCTION("""COMPUTED_VALUE"""),26.0)</f>
        <v>26</v>
      </c>
      <c r="B28" s="131"/>
      <c r="C28" s="131">
        <f>IFERROR(__xludf.DUMMYFUNCTION("""COMPUTED_VALUE"""),23.0)</f>
        <v>23</v>
      </c>
      <c r="D28" s="131" t="b">
        <f>IFERROR(__xludf.DUMMYFUNCTION("""COMPUTED_VALUE"""),FALSE)</f>
        <v>0</v>
      </c>
      <c r="E28" s="100" t="str">
        <f>IFERROR(__xludf.DUMMYFUNCTION("""COMPUTED_VALUE"""),"DALIOAN")</f>
        <v>DALIOAN</v>
      </c>
      <c r="F28" s="100" t="str">
        <f>IFERROR(__xludf.DUMMYFUNCTION("""COMPUTED_VALUE"""),"MONIQUE")</f>
        <v>MONIQUE</v>
      </c>
    </row>
    <row r="29">
      <c r="A29" s="131">
        <f>IFERROR(__xludf.DUMMYFUNCTION("""COMPUTED_VALUE"""),27.0)</f>
        <v>27</v>
      </c>
      <c r="B29" s="131"/>
      <c r="C29" s="131">
        <f>IFERROR(__xludf.DUMMYFUNCTION("""COMPUTED_VALUE"""),23.0)</f>
        <v>23</v>
      </c>
      <c r="D29" s="131" t="b">
        <f>IFERROR(__xludf.DUMMYFUNCTION("""COMPUTED_VALUE"""),FALSE)</f>
        <v>0</v>
      </c>
      <c r="E29" s="100" t="str">
        <f>IFERROR(__xludf.DUMMYFUNCTION("""COMPUTED_VALUE"""),"GELICAME")</f>
        <v>GELICAME</v>
      </c>
      <c r="F29" s="100" t="str">
        <f>IFERROR(__xludf.DUMMYFUNCTION("""COMPUTED_VALUE"""),"ARYHANA")</f>
        <v>ARYHANA</v>
      </c>
    </row>
    <row r="30">
      <c r="A30" s="131">
        <f>IFERROR(__xludf.DUMMYFUNCTION("""COMPUTED_VALUE"""),28.0)</f>
        <v>28</v>
      </c>
      <c r="B30" s="131"/>
      <c r="C30" s="131">
        <f>IFERROR(__xludf.DUMMYFUNCTION("""COMPUTED_VALUE"""),23.0)</f>
        <v>23</v>
      </c>
      <c r="D30" s="131" t="b">
        <f>IFERROR(__xludf.DUMMYFUNCTION("""COMPUTED_VALUE"""),FALSE)</f>
        <v>0</v>
      </c>
      <c r="E30" s="100" t="str">
        <f>IFERROR(__xludf.DUMMYFUNCTION("""COMPUTED_VALUE"""),"GUIMONG")</f>
        <v>GUIMONG</v>
      </c>
      <c r="F30" s="100" t="str">
        <f>IFERROR(__xludf.DUMMYFUNCTION("""COMPUTED_VALUE"""),"FAITH")</f>
        <v>FAITH</v>
      </c>
    </row>
    <row r="31">
      <c r="A31" s="131">
        <f>IFERROR(__xludf.DUMMYFUNCTION("""COMPUTED_VALUE"""),29.0)</f>
        <v>29</v>
      </c>
      <c r="B31" s="131"/>
      <c r="C31" s="131">
        <f>IFERROR(__xludf.DUMMYFUNCTION("""COMPUTED_VALUE"""),23.0)</f>
        <v>23</v>
      </c>
      <c r="D31" s="131" t="b">
        <f>IFERROR(__xludf.DUMMYFUNCTION("""COMPUTED_VALUE"""),FALSE)</f>
        <v>0</v>
      </c>
      <c r="E31" s="100" t="str">
        <f>IFERROR(__xludf.DUMMYFUNCTION("""COMPUTED_VALUE"""),"MANALOTO")</f>
        <v>MANALOTO</v>
      </c>
      <c r="F31" s="100" t="str">
        <f>IFERROR(__xludf.DUMMYFUNCTION("""COMPUTED_VALUE"""),"YOSHA")</f>
        <v>YOSHA</v>
      </c>
    </row>
    <row r="32">
      <c r="A32" s="131">
        <f>IFERROR(__xludf.DUMMYFUNCTION("""COMPUTED_VALUE"""),30.0)</f>
        <v>30</v>
      </c>
      <c r="B32" s="131"/>
      <c r="C32" s="131">
        <f>IFERROR(__xludf.DUMMYFUNCTION("""COMPUTED_VALUE"""),23.0)</f>
        <v>23</v>
      </c>
      <c r="D32" s="131" t="b">
        <f>IFERROR(__xludf.DUMMYFUNCTION("""COMPUTED_VALUE"""),FALSE)</f>
        <v>0</v>
      </c>
      <c r="E32" s="100" t="str">
        <f>IFERROR(__xludf.DUMMYFUNCTION("""COMPUTED_VALUE"""),"MARINAS")</f>
        <v>MARINAS</v>
      </c>
      <c r="F32" s="100" t="str">
        <f>IFERROR(__xludf.DUMMYFUNCTION("""COMPUTED_VALUE"""),"CHERRY")</f>
        <v>CHERRY</v>
      </c>
    </row>
    <row r="33">
      <c r="A33" s="131">
        <f>IFERROR(__xludf.DUMMYFUNCTION("""COMPUTED_VALUE"""),31.0)</f>
        <v>31</v>
      </c>
      <c r="B33" s="131"/>
      <c r="C33" s="131">
        <f>IFERROR(__xludf.DUMMYFUNCTION("""COMPUTED_VALUE"""),23.0)</f>
        <v>23</v>
      </c>
      <c r="D33" s="131" t="b">
        <f>IFERROR(__xludf.DUMMYFUNCTION("""COMPUTED_VALUE"""),FALSE)</f>
        <v>0</v>
      </c>
      <c r="E33" s="101" t="str">
        <f>IFERROR(__xludf.DUMMYFUNCTION("""COMPUTED_VALUE"""),"JIMENEZ")</f>
        <v>JIMENEZ</v>
      </c>
      <c r="F33" s="101" t="str">
        <f>IFERROR(__xludf.DUMMYFUNCTION("""COMPUTED_VALUE"""),"RUTH JHAMELA")</f>
        <v>RUTH JHAMELA</v>
      </c>
    </row>
    <row r="34">
      <c r="A34" s="131">
        <f>IFERROR(__xludf.DUMMYFUNCTION("""COMPUTED_VALUE"""),32.0)</f>
        <v>32</v>
      </c>
      <c r="B34" s="131"/>
      <c r="C34" s="131">
        <f>IFERROR(__xludf.DUMMYFUNCTION("""COMPUTED_VALUE"""),23.0)</f>
        <v>23</v>
      </c>
      <c r="D34" s="131" t="b">
        <f>IFERROR(__xludf.DUMMYFUNCTION("""COMPUTED_VALUE"""),FALSE)</f>
        <v>0</v>
      </c>
      <c r="E34" s="100" t="str">
        <f>IFERROR(__xludf.DUMMYFUNCTION("""COMPUTED_VALUE"""),"GUILLERMO")</f>
        <v>GUILLERMO</v>
      </c>
      <c r="F34" s="100" t="str">
        <f>IFERROR(__xludf.DUMMYFUNCTION("""COMPUTED_VALUE"""),"STAR")</f>
        <v>STAR</v>
      </c>
    </row>
    <row r="35">
      <c r="A35" s="131">
        <f>IFERROR(__xludf.DUMMYFUNCTION("""COMPUTED_VALUE"""),33.0)</f>
        <v>33</v>
      </c>
      <c r="B35" s="131"/>
      <c r="C35" s="131">
        <f>IFERROR(__xludf.DUMMYFUNCTION("""COMPUTED_VALUE"""),23.0)</f>
        <v>23</v>
      </c>
      <c r="D35" s="131" t="b">
        <f>IFERROR(__xludf.DUMMYFUNCTION("""COMPUTED_VALUE"""),FALSE)</f>
        <v>0</v>
      </c>
      <c r="E35" s="100" t="str">
        <f>IFERROR(__xludf.DUMMYFUNCTION("""COMPUTED_VALUE"""),"CATENZA")</f>
        <v>CATENZA</v>
      </c>
      <c r="F35" s="100" t="str">
        <f>IFERROR(__xludf.DUMMYFUNCTION("""COMPUTED_VALUE"""),"PRINCESS")</f>
        <v>PRINCESS</v>
      </c>
    </row>
    <row r="36">
      <c r="A36" s="131">
        <f>IFERROR(__xludf.DUMMYFUNCTION("""COMPUTED_VALUE"""),34.0)</f>
        <v>34</v>
      </c>
      <c r="B36" s="131"/>
      <c r="C36" s="131">
        <f>IFERROR(__xludf.DUMMYFUNCTION("""COMPUTED_VALUE"""),23.0)</f>
        <v>23</v>
      </c>
      <c r="D36" s="131" t="b">
        <f>IFERROR(__xludf.DUMMYFUNCTION("""COMPUTED_VALUE"""),FALSE)</f>
        <v>0</v>
      </c>
      <c r="E36" s="102" t="str">
        <f>IFERROR(__xludf.DUMMYFUNCTION("""COMPUTED_VALUE"""),"GORDON")</f>
        <v>GORDON</v>
      </c>
      <c r="F36" s="102" t="str">
        <f>IFERROR(__xludf.DUMMYFUNCTION("""COMPUTED_VALUE"""),"HARRY")</f>
        <v>HARRY</v>
      </c>
    </row>
    <row r="37">
      <c r="A37" s="131">
        <f>IFERROR(__xludf.DUMMYFUNCTION("""COMPUTED_VALUE"""),35.0)</f>
        <v>35</v>
      </c>
      <c r="B37" s="131"/>
      <c r="C37" s="131">
        <f>IFERROR(__xludf.DUMMYFUNCTION("""COMPUTED_VALUE"""),23.0)</f>
        <v>23</v>
      </c>
      <c r="D37" s="131" t="b">
        <f>IFERROR(__xludf.DUMMYFUNCTION("""COMPUTED_VALUE"""),FALSE)</f>
        <v>0</v>
      </c>
      <c r="E37" s="103" t="str">
        <f>IFERROR(__xludf.DUMMYFUNCTION("""COMPUTED_VALUE"""),"AVILLANO")</f>
        <v>AVILLANO</v>
      </c>
      <c r="F37" s="103" t="str">
        <f>IFERROR(__xludf.DUMMYFUNCTION("""COMPUTED_VALUE"""),"ANGEL DIANNE")</f>
        <v>ANGEL DIANNE</v>
      </c>
    </row>
    <row r="38">
      <c r="A38" s="131">
        <f>IFERROR(__xludf.DUMMYFUNCTION("""COMPUTED_VALUE"""),36.0)</f>
        <v>36</v>
      </c>
      <c r="B38" s="131"/>
      <c r="C38" s="131">
        <f>IFERROR(__xludf.DUMMYFUNCTION("""COMPUTED_VALUE"""),23.0)</f>
        <v>23</v>
      </c>
      <c r="D38" s="131" t="b">
        <f>IFERROR(__xludf.DUMMYFUNCTION("""COMPUTED_VALUE"""),FALSE)</f>
        <v>0</v>
      </c>
      <c r="E38" s="103" t="str">
        <f>IFERROR(__xludf.DUMMYFUNCTION("""COMPUTED_VALUE"""),"BALTAZAR")</f>
        <v>BALTAZAR</v>
      </c>
      <c r="F38" s="103" t="str">
        <f>IFERROR(__xludf.DUMMYFUNCTION("""COMPUTED_VALUE"""),"ARSTON")</f>
        <v>ARSTON</v>
      </c>
    </row>
    <row r="39">
      <c r="A39" s="131">
        <f>IFERROR(__xludf.DUMMYFUNCTION("""COMPUTED_VALUE"""),37.0)</f>
        <v>37</v>
      </c>
      <c r="B39" s="131"/>
      <c r="C39" s="131">
        <f>IFERROR(__xludf.DUMMYFUNCTION("""COMPUTED_VALUE"""),23.0)</f>
        <v>23</v>
      </c>
      <c r="D39" s="131" t="b">
        <f>IFERROR(__xludf.DUMMYFUNCTION("""COMPUTED_VALUE"""),FALSE)</f>
        <v>0</v>
      </c>
      <c r="E39" s="102" t="str">
        <f>IFERROR(__xludf.DUMMYFUNCTION("""COMPUTED_VALUE"""),"SISON")</f>
        <v>SISON</v>
      </c>
      <c r="F39" s="103" t="str">
        <f>IFERROR(__xludf.DUMMYFUNCTION("""COMPUTED_VALUE"""),"KRISTA MAE")</f>
        <v>KRISTA MAE</v>
      </c>
    </row>
    <row r="40">
      <c r="A40" s="131">
        <f>IFERROR(__xludf.DUMMYFUNCTION("""COMPUTED_VALUE"""),38.0)</f>
        <v>38</v>
      </c>
      <c r="B40" s="131"/>
      <c r="C40" s="131">
        <f>IFERROR(__xludf.DUMMYFUNCTION("""COMPUTED_VALUE"""),23.0)</f>
        <v>23</v>
      </c>
      <c r="D40" s="131" t="b">
        <f>IFERROR(__xludf.DUMMYFUNCTION("""COMPUTED_VALUE"""),FALSE)</f>
        <v>0</v>
      </c>
      <c r="E40" s="103" t="str">
        <f>IFERROR(__xludf.DUMMYFUNCTION("""COMPUTED_VALUE"""),"GARCIA")</f>
        <v>GARCIA</v>
      </c>
      <c r="F40" s="103" t="str">
        <f>IFERROR(__xludf.DUMMYFUNCTION("""COMPUTED_VALUE"""),"SELTHIEL")</f>
        <v>SELTHIEL</v>
      </c>
    </row>
    <row r="41">
      <c r="A41" s="131">
        <f>IFERROR(__xludf.DUMMYFUNCTION("""COMPUTED_VALUE"""),39.0)</f>
        <v>39</v>
      </c>
      <c r="B41" s="131"/>
      <c r="C41" s="131">
        <f>IFERROR(__xludf.DUMMYFUNCTION("""COMPUTED_VALUE"""),23.0)</f>
        <v>23</v>
      </c>
      <c r="D41" s="131" t="b">
        <f>IFERROR(__xludf.DUMMYFUNCTION("""COMPUTED_VALUE"""),FALSE)</f>
        <v>0</v>
      </c>
      <c r="E41" s="103" t="str">
        <f>IFERROR(__xludf.DUMMYFUNCTION("""COMPUTED_VALUE"""),"HIJARA")</f>
        <v>HIJARA</v>
      </c>
      <c r="F41" s="103" t="str">
        <f>IFERROR(__xludf.DUMMYFUNCTION("""COMPUTED_VALUE"""),"JAIHMIER VIELLE")</f>
        <v>JAIHMIER VIELLE</v>
      </c>
    </row>
    <row r="42">
      <c r="A42" s="131">
        <f>IFERROR(__xludf.DUMMYFUNCTION("""COMPUTED_VALUE"""),40.0)</f>
        <v>40</v>
      </c>
      <c r="B42" s="131"/>
      <c r="C42" s="131">
        <f>IFERROR(__xludf.DUMMYFUNCTION("""COMPUTED_VALUE"""),23.0)</f>
        <v>23</v>
      </c>
      <c r="D42" s="131" t="b">
        <f>IFERROR(__xludf.DUMMYFUNCTION("""COMPUTED_VALUE"""),FALSE)</f>
        <v>0</v>
      </c>
      <c r="E42" s="103" t="str">
        <f>IFERROR(__xludf.DUMMYFUNCTION("""COMPUTED_VALUE"""),"MAGBANUA")</f>
        <v>MAGBANUA</v>
      </c>
      <c r="F42" s="103" t="str">
        <f>IFERROR(__xludf.DUMMYFUNCTION("""COMPUTED_VALUE"""),"MANUEL HARVEY")</f>
        <v>MANUEL HARVEY</v>
      </c>
    </row>
    <row r="43">
      <c r="A43" s="131">
        <f>IFERROR(__xludf.DUMMYFUNCTION("""COMPUTED_VALUE"""),41.0)</f>
        <v>41</v>
      </c>
      <c r="B43" s="131"/>
      <c r="C43" s="131">
        <f>IFERROR(__xludf.DUMMYFUNCTION("""COMPUTED_VALUE"""),23.0)</f>
        <v>23</v>
      </c>
      <c r="D43" s="131" t="b">
        <f>IFERROR(__xludf.DUMMYFUNCTION("""COMPUTED_VALUE"""),FALSE)</f>
        <v>0</v>
      </c>
      <c r="E43" s="103" t="str">
        <f>IFERROR(__xludf.DUMMYFUNCTION("""COMPUTED_VALUE"""),"TABOY")</f>
        <v>TABOY</v>
      </c>
      <c r="F43" s="103" t="str">
        <f>IFERROR(__xludf.DUMMYFUNCTION("""COMPUTED_VALUE"""),"PRIMO KLYDE")</f>
        <v>PRIMO KLYDE</v>
      </c>
    </row>
    <row r="44">
      <c r="A44" s="131">
        <f>IFERROR(__xludf.DUMMYFUNCTION("""COMPUTED_VALUE"""),42.0)</f>
        <v>42</v>
      </c>
      <c r="B44" s="131"/>
      <c r="C44" s="131"/>
      <c r="D44" s="131" t="b">
        <f>IFERROR(__xludf.DUMMYFUNCTION("""COMPUTED_VALUE"""),FALSE)</f>
        <v>0</v>
      </c>
      <c r="E44" s="103"/>
      <c r="F44" s="103"/>
    </row>
    <row r="45">
      <c r="A45" s="131">
        <f>IFERROR(__xludf.DUMMYFUNCTION("""COMPUTED_VALUE"""),43.0)</f>
        <v>43</v>
      </c>
      <c r="B45" s="131"/>
      <c r="C45" s="131">
        <f>IFERROR(__xludf.DUMMYFUNCTION("""COMPUTED_VALUE"""),23.0)</f>
        <v>23</v>
      </c>
      <c r="D45" s="131" t="b">
        <f>IFERROR(__xludf.DUMMYFUNCTION("""COMPUTED_VALUE"""),FALSE)</f>
        <v>0</v>
      </c>
      <c r="E45" s="103" t="str">
        <f>IFERROR(__xludf.DUMMYFUNCTION("""COMPUTED_VALUE"""),"SABEJON")</f>
        <v>SABEJON</v>
      </c>
      <c r="F45" s="103" t="str">
        <f>IFERROR(__xludf.DUMMYFUNCTION("""COMPUTED_VALUE"""),"KENNETH")</f>
        <v>KENNETH</v>
      </c>
    </row>
    <row r="46">
      <c r="A46" s="131">
        <f>IFERROR(__xludf.DUMMYFUNCTION("""COMPUTED_VALUE"""),44.0)</f>
        <v>44</v>
      </c>
      <c r="B46" s="131"/>
      <c r="C46" s="131">
        <f>IFERROR(__xludf.DUMMYFUNCTION("""COMPUTED_VALUE"""),23.0)</f>
        <v>23</v>
      </c>
      <c r="D46" s="131" t="b">
        <f>IFERROR(__xludf.DUMMYFUNCTION("""COMPUTED_VALUE"""),FALSE)</f>
        <v>0</v>
      </c>
      <c r="E46" s="103" t="str">
        <f>IFERROR(__xludf.DUMMYFUNCTION("""COMPUTED_VALUE"""),"LIRRAG")</f>
        <v>LIRRAG</v>
      </c>
      <c r="F46" s="103" t="str">
        <f>IFERROR(__xludf.DUMMYFUNCTION("""COMPUTED_VALUE"""),"DAN EDRIK")</f>
        <v>DAN EDRIK</v>
      </c>
    </row>
    <row r="47">
      <c r="A47" s="131">
        <f>IFERROR(__xludf.DUMMYFUNCTION("""COMPUTED_VALUE"""),45.0)</f>
        <v>45</v>
      </c>
      <c r="B47" s="131"/>
      <c r="C47" s="131">
        <f>IFERROR(__xludf.DUMMYFUNCTION("""COMPUTED_VALUE"""),23.0)</f>
        <v>23</v>
      </c>
      <c r="D47" s="131" t="b">
        <f>IFERROR(__xludf.DUMMYFUNCTION("""COMPUTED_VALUE"""),FALSE)</f>
        <v>0</v>
      </c>
      <c r="E47" s="103" t="str">
        <f>IFERROR(__xludf.DUMMYFUNCTION("""COMPUTED_VALUE"""),"DELA ROSA")</f>
        <v>DELA ROSA</v>
      </c>
      <c r="F47" s="103" t="str">
        <f>IFERROR(__xludf.DUMMYFUNCTION("""COMPUTED_VALUE"""),"JOREVE")</f>
        <v>JOREVE</v>
      </c>
    </row>
    <row r="48">
      <c r="A48" s="131">
        <f>IFERROR(__xludf.DUMMYFUNCTION("""COMPUTED_VALUE"""),46.0)</f>
        <v>46</v>
      </c>
      <c r="B48" s="131"/>
      <c r="C48" s="131">
        <f>IFERROR(__xludf.DUMMYFUNCTION("""COMPUTED_VALUE"""),23.0)</f>
        <v>23</v>
      </c>
      <c r="D48" s="131" t="b">
        <f>IFERROR(__xludf.DUMMYFUNCTION("""COMPUTED_VALUE"""),FALSE)</f>
        <v>0</v>
      </c>
      <c r="E48" s="103" t="str">
        <f>IFERROR(__xludf.DUMMYFUNCTION("""COMPUTED_VALUE"""),"KOI")</f>
        <v>KOI</v>
      </c>
      <c r="F48" s="103" t="str">
        <f>IFERROR(__xludf.DUMMYFUNCTION("""COMPUTED_VALUE"""),"HERMYLYN")</f>
        <v>HERMYLYN</v>
      </c>
    </row>
    <row r="49">
      <c r="A49" s="131">
        <f>IFERROR(__xludf.DUMMYFUNCTION("""COMPUTED_VALUE"""),47.0)</f>
        <v>47</v>
      </c>
      <c r="B49" s="131"/>
      <c r="C49" s="131">
        <f>IFERROR(__xludf.DUMMYFUNCTION("""COMPUTED_VALUE"""),23.0)</f>
        <v>23</v>
      </c>
      <c r="D49" s="131" t="b">
        <f>IFERROR(__xludf.DUMMYFUNCTION("""COMPUTED_VALUE"""),FALSE)</f>
        <v>0</v>
      </c>
      <c r="E49" s="103" t="str">
        <f>IFERROR(__xludf.DUMMYFUNCTION("""COMPUTED_VALUE"""),"SILVANO")</f>
        <v>SILVANO</v>
      </c>
      <c r="F49" s="103" t="str">
        <f>IFERROR(__xludf.DUMMYFUNCTION("""COMPUTED_VALUE"""),"CRISJARED")</f>
        <v>CRISJARED</v>
      </c>
    </row>
    <row r="50">
      <c r="A50" s="131">
        <f>IFERROR(__xludf.DUMMYFUNCTION("""COMPUTED_VALUE"""),48.0)</f>
        <v>48</v>
      </c>
      <c r="B50" s="131"/>
      <c r="C50" s="131">
        <f>IFERROR(__xludf.DUMMYFUNCTION("""COMPUTED_VALUE"""),23.0)</f>
        <v>23</v>
      </c>
      <c r="D50" s="131" t="b">
        <f>IFERROR(__xludf.DUMMYFUNCTION("""COMPUTED_VALUE"""),FALSE)</f>
        <v>0</v>
      </c>
      <c r="E50" s="103" t="str">
        <f>IFERROR(__xludf.DUMMYFUNCTION("""COMPUTED_VALUE"""),"CORONEL")</f>
        <v>CORONEL</v>
      </c>
      <c r="F50" s="103" t="str">
        <f>IFERROR(__xludf.DUMMYFUNCTION("""COMPUTED_VALUE"""),"CARL CEDRICK")</f>
        <v>CARL CEDRICK</v>
      </c>
    </row>
    <row r="51">
      <c r="A51" s="131">
        <f>IFERROR(__xludf.DUMMYFUNCTION("""COMPUTED_VALUE"""),49.0)</f>
        <v>49</v>
      </c>
      <c r="B51" s="131"/>
      <c r="C51" s="131">
        <f>IFERROR(__xludf.DUMMYFUNCTION("""COMPUTED_VALUE"""),23.0)</f>
        <v>23</v>
      </c>
      <c r="D51" s="131" t="b">
        <f>IFERROR(__xludf.DUMMYFUNCTION("""COMPUTED_VALUE"""),FALSE)</f>
        <v>0</v>
      </c>
      <c r="E51" s="103" t="str">
        <f>IFERROR(__xludf.DUMMYFUNCTION("""COMPUTED_VALUE"""),"ORTALEZA")</f>
        <v>ORTALEZA</v>
      </c>
      <c r="F51" s="103" t="str">
        <f>IFERROR(__xludf.DUMMYFUNCTION("""COMPUTED_VALUE"""),"FROI FANCIS")</f>
        <v>FROI FANCIS</v>
      </c>
    </row>
    <row r="52">
      <c r="A52" s="131">
        <f>IFERROR(__xludf.DUMMYFUNCTION("""COMPUTED_VALUE"""),50.0)</f>
        <v>50</v>
      </c>
      <c r="B52" s="131"/>
      <c r="C52" s="131">
        <f>IFERROR(__xludf.DUMMYFUNCTION("""COMPUTED_VALUE"""),23.0)</f>
        <v>23</v>
      </c>
      <c r="D52" s="131" t="b">
        <f>IFERROR(__xludf.DUMMYFUNCTION("""COMPUTED_VALUE"""),FALSE)</f>
        <v>0</v>
      </c>
      <c r="E52" s="103" t="str">
        <f>IFERROR(__xludf.DUMMYFUNCTION("""COMPUTED_VALUE"""),"ESPOZO")</f>
        <v>ESPOZO</v>
      </c>
      <c r="F52" s="103" t="str">
        <f>IFERROR(__xludf.DUMMYFUNCTION("""COMPUTED_VALUE"""),"MAICA ELLA")</f>
        <v>MAICA ELLA</v>
      </c>
    </row>
    <row r="53">
      <c r="A53" s="131">
        <f>IFERROR(__xludf.DUMMYFUNCTION("""COMPUTED_VALUE"""),51.0)</f>
        <v>51</v>
      </c>
      <c r="B53" s="131"/>
      <c r="C53" s="131">
        <f>IFERROR(__xludf.DUMMYFUNCTION("""COMPUTED_VALUE"""),23.0)</f>
        <v>23</v>
      </c>
      <c r="D53" s="131" t="b">
        <f>IFERROR(__xludf.DUMMYFUNCTION("""COMPUTED_VALUE"""),FALSE)</f>
        <v>0</v>
      </c>
      <c r="E53" s="103" t="str">
        <f>IFERROR(__xludf.DUMMYFUNCTION("""COMPUTED_VALUE"""),"SOBERANO")</f>
        <v>SOBERANO</v>
      </c>
      <c r="F53" s="103" t="str">
        <f>IFERROR(__xludf.DUMMYFUNCTION("""COMPUTED_VALUE"""),"ZAIRUS")</f>
        <v>ZAIRUS</v>
      </c>
    </row>
    <row r="54">
      <c r="A54" s="131">
        <f>IFERROR(__xludf.DUMMYFUNCTION("""COMPUTED_VALUE"""),52.0)</f>
        <v>52</v>
      </c>
      <c r="B54" s="131"/>
      <c r="C54" s="131">
        <f>IFERROR(__xludf.DUMMYFUNCTION("""COMPUTED_VALUE"""),23.0)</f>
        <v>23</v>
      </c>
      <c r="D54" s="131" t="b">
        <f>IFERROR(__xludf.DUMMYFUNCTION("""COMPUTED_VALUE"""),FALSE)</f>
        <v>0</v>
      </c>
      <c r="E54" s="99" t="str">
        <f>IFERROR(__xludf.DUMMYFUNCTION("""COMPUTED_VALUE"""),"ERA")</f>
        <v>ERA</v>
      </c>
      <c r="F54" s="99" t="str">
        <f>IFERROR(__xludf.DUMMYFUNCTION("""COMPUTED_VALUE"""),"ANALEZA")</f>
        <v>ANALEZA</v>
      </c>
    </row>
    <row r="55">
      <c r="A55" s="131">
        <f>IFERROR(__xludf.DUMMYFUNCTION("""COMPUTED_VALUE"""),53.0)</f>
        <v>53</v>
      </c>
      <c r="B55" s="131"/>
      <c r="C55" s="131">
        <f>IFERROR(__xludf.DUMMYFUNCTION("""COMPUTED_VALUE"""),23.0)</f>
        <v>23</v>
      </c>
      <c r="D55" s="131" t="b">
        <f>IFERROR(__xludf.DUMMYFUNCTION("""COMPUTED_VALUE"""),FALSE)</f>
        <v>0</v>
      </c>
      <c r="E55" s="100" t="str">
        <f>IFERROR(__xludf.DUMMYFUNCTION("""COMPUTED_VALUE"""),"ARANA")</f>
        <v>ARANA</v>
      </c>
      <c r="F55" s="100" t="str">
        <f>IFERROR(__xludf.DUMMYFUNCTION("""COMPUTED_VALUE"""),"RHEANA")</f>
        <v>RHEANA</v>
      </c>
    </row>
    <row r="56">
      <c r="A56" s="131">
        <f>IFERROR(__xludf.DUMMYFUNCTION("""COMPUTED_VALUE"""),54.0)</f>
        <v>54</v>
      </c>
      <c r="B56" s="131"/>
      <c r="C56" s="131">
        <f>IFERROR(__xludf.DUMMYFUNCTION("""COMPUTED_VALUE"""),23.0)</f>
        <v>23</v>
      </c>
      <c r="D56" s="131" t="b">
        <f>IFERROR(__xludf.DUMMYFUNCTION("""COMPUTED_VALUE"""),FALSE)</f>
        <v>0</v>
      </c>
      <c r="E56" s="100" t="str">
        <f>IFERROR(__xludf.DUMMYFUNCTION("""COMPUTED_VALUE"""),"BANDE")</f>
        <v>BANDE</v>
      </c>
      <c r="F56" s="100" t="str">
        <f>IFERROR(__xludf.DUMMYFUNCTION("""COMPUTED_VALUE"""),"ERICA")</f>
        <v>ERICA</v>
      </c>
    </row>
    <row r="57">
      <c r="A57" s="131">
        <f>IFERROR(__xludf.DUMMYFUNCTION("""COMPUTED_VALUE"""),55.0)</f>
        <v>55</v>
      </c>
      <c r="B57" s="131"/>
      <c r="C57" s="131">
        <f>IFERROR(__xludf.DUMMYFUNCTION("""COMPUTED_VALUE"""),23.0)</f>
        <v>23</v>
      </c>
      <c r="D57" s="131" t="b">
        <f>IFERROR(__xludf.DUMMYFUNCTION("""COMPUTED_VALUE"""),FALSE)</f>
        <v>0</v>
      </c>
      <c r="E57" s="100" t="str">
        <f>IFERROR(__xludf.DUMMYFUNCTION("""COMPUTED_VALUE"""),"DEL ROSARIO")</f>
        <v>DEL ROSARIO</v>
      </c>
      <c r="F57" s="100" t="str">
        <f>IFERROR(__xludf.DUMMYFUNCTION("""COMPUTED_VALUE"""),"JOY")</f>
        <v>JOY</v>
      </c>
    </row>
    <row r="58">
      <c r="A58" s="131">
        <f>IFERROR(__xludf.DUMMYFUNCTION("""COMPUTED_VALUE"""),56.0)</f>
        <v>56</v>
      </c>
      <c r="B58" s="131"/>
      <c r="C58" s="131">
        <f>IFERROR(__xludf.DUMMYFUNCTION("""COMPUTED_VALUE"""),23.0)</f>
        <v>23</v>
      </c>
      <c r="D58" s="131" t="b">
        <f>IFERROR(__xludf.DUMMYFUNCTION("""COMPUTED_VALUE"""),FALSE)</f>
        <v>0</v>
      </c>
      <c r="E58" s="100" t="str">
        <f>IFERROR(__xludf.DUMMYFUNCTION("""COMPUTED_VALUE"""),"GUETA")</f>
        <v>GUETA</v>
      </c>
      <c r="F58" s="100" t="str">
        <f>IFERROR(__xludf.DUMMYFUNCTION("""COMPUTED_VALUE"""),"SEYVEL")</f>
        <v>SEYVEL</v>
      </c>
    </row>
    <row r="59">
      <c r="A59" s="131">
        <f>IFERROR(__xludf.DUMMYFUNCTION("""COMPUTED_VALUE"""),57.0)</f>
        <v>57</v>
      </c>
      <c r="B59" s="131"/>
      <c r="C59" s="131">
        <f>IFERROR(__xludf.DUMMYFUNCTION("""COMPUTED_VALUE"""),23.0)</f>
        <v>23</v>
      </c>
      <c r="D59" s="131" t="b">
        <f>IFERROR(__xludf.DUMMYFUNCTION("""COMPUTED_VALUE"""),FALSE)</f>
        <v>0</v>
      </c>
      <c r="E59" s="100" t="str">
        <f>IFERROR(__xludf.DUMMYFUNCTION("""COMPUTED_VALUE"""),"MALIPOT")</f>
        <v>MALIPOT</v>
      </c>
      <c r="F59" s="100" t="str">
        <f>IFERROR(__xludf.DUMMYFUNCTION("""COMPUTED_VALUE"""),"JUSTINE")</f>
        <v>JUSTINE</v>
      </c>
    </row>
    <row r="60">
      <c r="A60" s="131">
        <f>IFERROR(__xludf.DUMMYFUNCTION("""COMPUTED_VALUE"""),58.0)</f>
        <v>58</v>
      </c>
      <c r="B60" s="131"/>
      <c r="C60" s="131">
        <f>IFERROR(__xludf.DUMMYFUNCTION("""COMPUTED_VALUE"""),23.0)</f>
        <v>23</v>
      </c>
      <c r="D60" s="131" t="b">
        <f>IFERROR(__xludf.DUMMYFUNCTION("""COMPUTED_VALUE"""),FALSE)</f>
        <v>0</v>
      </c>
      <c r="E60" s="100" t="str">
        <f>IFERROR(__xludf.DUMMYFUNCTION("""COMPUTED_VALUE"""),"PATRICIO")</f>
        <v>PATRICIO</v>
      </c>
      <c r="F60" s="100" t="str">
        <f>IFERROR(__xludf.DUMMYFUNCTION("""COMPUTED_VALUE"""),"VANESSA")</f>
        <v>VANESSA</v>
      </c>
    </row>
    <row r="61">
      <c r="A61" s="131">
        <f>IFERROR(__xludf.DUMMYFUNCTION("""COMPUTED_VALUE"""),59.0)</f>
        <v>59</v>
      </c>
      <c r="B61" s="131"/>
      <c r="C61" s="131">
        <f>IFERROR(__xludf.DUMMYFUNCTION("""COMPUTED_VALUE"""),23.0)</f>
        <v>23</v>
      </c>
      <c r="D61" s="131" t="b">
        <f>IFERROR(__xludf.DUMMYFUNCTION("""COMPUTED_VALUE"""),FALSE)</f>
        <v>0</v>
      </c>
      <c r="E61" s="100" t="str">
        <f>IFERROR(__xludf.DUMMYFUNCTION("""COMPUTED_VALUE"""),"PONCE")</f>
        <v>PONCE</v>
      </c>
      <c r="F61" s="100" t="str">
        <f>IFERROR(__xludf.DUMMYFUNCTION("""COMPUTED_VALUE"""),"SHEENA")</f>
        <v>SHEENA</v>
      </c>
    </row>
    <row r="62">
      <c r="A62" s="131">
        <f>IFERROR(__xludf.DUMMYFUNCTION("""COMPUTED_VALUE"""),60.0)</f>
        <v>60</v>
      </c>
      <c r="B62" s="131"/>
      <c r="C62" s="131">
        <f>IFERROR(__xludf.DUMMYFUNCTION("""COMPUTED_VALUE"""),23.0)</f>
        <v>23</v>
      </c>
      <c r="D62" s="131" t="b">
        <f>IFERROR(__xludf.DUMMYFUNCTION("""COMPUTED_VALUE"""),FALSE)</f>
        <v>0</v>
      </c>
      <c r="E62" s="100" t="str">
        <f>IFERROR(__xludf.DUMMYFUNCTION("""COMPUTED_VALUE"""),"RAMOS")</f>
        <v>RAMOS</v>
      </c>
      <c r="F62" s="100" t="str">
        <f>IFERROR(__xludf.DUMMYFUNCTION("""COMPUTED_VALUE"""),"AA")</f>
        <v>AA</v>
      </c>
    </row>
    <row r="63">
      <c r="A63" s="131">
        <f>IFERROR(__xludf.DUMMYFUNCTION("""COMPUTED_VALUE"""),61.0)</f>
        <v>61</v>
      </c>
      <c r="B63" s="131"/>
      <c r="C63" s="131">
        <f>IFERROR(__xludf.DUMMYFUNCTION("""COMPUTED_VALUE"""),23.0)</f>
        <v>23</v>
      </c>
      <c r="D63" s="131" t="b">
        <f>IFERROR(__xludf.DUMMYFUNCTION("""COMPUTED_VALUE"""),FALSE)</f>
        <v>0</v>
      </c>
      <c r="E63" s="100" t="str">
        <f>IFERROR(__xludf.DUMMYFUNCTION("""COMPUTED_VALUE"""),"REPUBLO")</f>
        <v>REPUBLO</v>
      </c>
      <c r="F63" s="100" t="str">
        <f>IFERROR(__xludf.DUMMYFUNCTION("""COMPUTED_VALUE"""),"CLARISSA")</f>
        <v>CLARISSA</v>
      </c>
    </row>
    <row r="64">
      <c r="A64" s="131">
        <f>IFERROR(__xludf.DUMMYFUNCTION("""COMPUTED_VALUE"""),62.0)</f>
        <v>62</v>
      </c>
      <c r="B64" s="131"/>
      <c r="C64" s="131">
        <f>IFERROR(__xludf.DUMMYFUNCTION("""COMPUTED_VALUE"""),23.0)</f>
        <v>23</v>
      </c>
      <c r="D64" s="131" t="b">
        <f>IFERROR(__xludf.DUMMYFUNCTION("""COMPUTED_VALUE"""),FALSE)</f>
        <v>0</v>
      </c>
      <c r="E64" s="100"/>
      <c r="F64" s="100" t="str">
        <f>IFERROR(__xludf.DUMMYFUNCTION("""COMPUTED_VALUE"""),"JENNY")</f>
        <v>JENNY</v>
      </c>
    </row>
    <row r="65">
      <c r="A65" s="131">
        <f>IFERROR(__xludf.DUMMYFUNCTION("""COMPUTED_VALUE"""),63.0)</f>
        <v>63</v>
      </c>
      <c r="B65" s="131"/>
      <c r="C65" s="131">
        <f>IFERROR(__xludf.DUMMYFUNCTION("""COMPUTED_VALUE"""),23.0)</f>
        <v>23</v>
      </c>
      <c r="D65" s="131" t="b">
        <f>IFERROR(__xludf.DUMMYFUNCTION("""COMPUTED_VALUE"""),FALSE)</f>
        <v>0</v>
      </c>
      <c r="E65" s="99" t="str">
        <f>IFERROR(__xludf.DUMMYFUNCTION("""COMPUTED_VALUE"""),"MAGISTRADO")</f>
        <v>MAGISTRADO</v>
      </c>
      <c r="F65" s="99" t="str">
        <f>IFERROR(__xludf.DUMMYFUNCTION("""COMPUTED_VALUE"""),"ERICA")</f>
        <v>ERICA</v>
      </c>
    </row>
    <row r="66">
      <c r="A66" s="131">
        <f>IFERROR(__xludf.DUMMYFUNCTION("""COMPUTED_VALUE"""),64.0)</f>
        <v>64</v>
      </c>
      <c r="B66" s="131"/>
      <c r="C66" s="131">
        <f>IFERROR(__xludf.DUMMYFUNCTION("""COMPUTED_VALUE"""),23.0)</f>
        <v>23</v>
      </c>
      <c r="D66" s="131" t="b">
        <f>IFERROR(__xludf.DUMMYFUNCTION("""COMPUTED_VALUE"""),FALSE)</f>
        <v>0</v>
      </c>
      <c r="E66" s="100" t="str">
        <f>IFERROR(__xludf.DUMMYFUNCTION("""COMPUTED_VALUE"""),"CARANGUIAN")</f>
        <v>CARANGUIAN</v>
      </c>
      <c r="F66" s="100" t="str">
        <f>IFERROR(__xludf.DUMMYFUNCTION("""COMPUTED_VALUE"""),"DIVINA GRACE")</f>
        <v>DIVINA GRACE</v>
      </c>
    </row>
    <row r="67">
      <c r="A67" s="131">
        <f>IFERROR(__xludf.DUMMYFUNCTION("""COMPUTED_VALUE"""),65.0)</f>
        <v>65</v>
      </c>
      <c r="B67" s="131"/>
      <c r="C67" s="131">
        <f>IFERROR(__xludf.DUMMYFUNCTION("""COMPUTED_VALUE"""),23.0)</f>
        <v>23</v>
      </c>
      <c r="D67" s="131" t="b">
        <f>IFERROR(__xludf.DUMMYFUNCTION("""COMPUTED_VALUE"""),FALSE)</f>
        <v>0</v>
      </c>
      <c r="E67" s="100" t="str">
        <f>IFERROR(__xludf.DUMMYFUNCTION("""COMPUTED_VALUE"""),"ERA")</f>
        <v>ERA</v>
      </c>
      <c r="F67" s="100" t="str">
        <f>IFERROR(__xludf.DUMMYFUNCTION("""COMPUTED_VALUE"""),"CHRISTINA")</f>
        <v>CHRISTINA</v>
      </c>
    </row>
    <row r="68">
      <c r="A68" s="131">
        <f>IFERROR(__xludf.DUMMYFUNCTION("""COMPUTED_VALUE"""),66.0)</f>
        <v>66</v>
      </c>
      <c r="B68" s="131"/>
      <c r="C68" s="131">
        <f>IFERROR(__xludf.DUMMYFUNCTION("""COMPUTED_VALUE"""),23.0)</f>
        <v>23</v>
      </c>
      <c r="D68" s="131" t="b">
        <f>IFERROR(__xludf.DUMMYFUNCTION("""COMPUTED_VALUE"""),FALSE)</f>
        <v>0</v>
      </c>
      <c r="E68" s="100" t="str">
        <f>IFERROR(__xludf.DUMMYFUNCTION("""COMPUTED_VALUE"""),"MAGISTRADO")</f>
        <v>MAGISTRADO</v>
      </c>
      <c r="F68" s="100" t="str">
        <f>IFERROR(__xludf.DUMMYFUNCTION("""COMPUTED_VALUE"""),"LOVELY")</f>
        <v>LOVELY</v>
      </c>
    </row>
    <row r="69">
      <c r="A69" s="131">
        <f>IFERROR(__xludf.DUMMYFUNCTION("""COMPUTED_VALUE"""),67.0)</f>
        <v>67</v>
      </c>
      <c r="B69" s="131"/>
      <c r="C69" s="131">
        <f>IFERROR(__xludf.DUMMYFUNCTION("""COMPUTED_VALUE"""),23.0)</f>
        <v>23</v>
      </c>
      <c r="D69" s="131" t="b">
        <f>IFERROR(__xludf.DUMMYFUNCTION("""COMPUTED_VALUE"""),FALSE)</f>
        <v>0</v>
      </c>
      <c r="E69" s="100" t="str">
        <f>IFERROR(__xludf.DUMMYFUNCTION("""COMPUTED_VALUE"""),"PACLITA")</f>
        <v>PACLITA</v>
      </c>
      <c r="F69" s="100" t="str">
        <f>IFERROR(__xludf.DUMMYFUNCTION("""COMPUTED_VALUE"""),"CHERRY ANN")</f>
        <v>CHERRY ANN</v>
      </c>
    </row>
    <row r="70">
      <c r="A70" s="131">
        <f>IFERROR(__xludf.DUMMYFUNCTION("""COMPUTED_VALUE"""),68.0)</f>
        <v>68</v>
      </c>
      <c r="B70" s="131"/>
      <c r="C70" s="131">
        <f>IFERROR(__xludf.DUMMYFUNCTION("""COMPUTED_VALUE"""),23.0)</f>
        <v>23</v>
      </c>
      <c r="D70" s="131" t="b">
        <f>IFERROR(__xludf.DUMMYFUNCTION("""COMPUTED_VALUE"""),FALSE)</f>
        <v>0</v>
      </c>
      <c r="E70" s="100" t="str">
        <f>IFERROR(__xludf.DUMMYFUNCTION("""COMPUTED_VALUE"""),"PALOMA")</f>
        <v>PALOMA</v>
      </c>
      <c r="F70" s="100" t="str">
        <f>IFERROR(__xludf.DUMMYFUNCTION("""COMPUTED_VALUE"""),"ALEAH")</f>
        <v>ALEAH</v>
      </c>
    </row>
    <row r="71">
      <c r="A71" s="131">
        <f>IFERROR(__xludf.DUMMYFUNCTION("""COMPUTED_VALUE"""),69.0)</f>
        <v>69</v>
      </c>
      <c r="B71" s="131"/>
      <c r="C71" s="131">
        <f>IFERROR(__xludf.DUMMYFUNCTION("""COMPUTED_VALUE"""),23.0)</f>
        <v>23</v>
      </c>
      <c r="D71" s="131" t="b">
        <f>IFERROR(__xludf.DUMMYFUNCTION("""COMPUTED_VALUE"""),FALSE)</f>
        <v>0</v>
      </c>
      <c r="E71" s="100" t="str">
        <f>IFERROR(__xludf.DUMMYFUNCTION("""COMPUTED_VALUE"""),"SATURINAS")</f>
        <v>SATURINAS</v>
      </c>
      <c r="F71" s="100" t="str">
        <f>IFERROR(__xludf.DUMMYFUNCTION("""COMPUTED_VALUE"""),"ALEXANDRA GRACE")</f>
        <v>ALEXANDRA GRACE</v>
      </c>
    </row>
    <row r="72">
      <c r="A72" s="131">
        <f>IFERROR(__xludf.DUMMYFUNCTION("""COMPUTED_VALUE"""),70.0)</f>
        <v>70</v>
      </c>
      <c r="B72" s="131"/>
      <c r="C72" s="131">
        <f>IFERROR(__xludf.DUMMYFUNCTION("""COMPUTED_VALUE"""),23.0)</f>
        <v>23</v>
      </c>
      <c r="D72" s="131" t="b">
        <f>IFERROR(__xludf.DUMMYFUNCTION("""COMPUTED_VALUE"""),FALSE)</f>
        <v>0</v>
      </c>
      <c r="E72" s="101" t="str">
        <f>IFERROR(__xludf.DUMMYFUNCTION("""COMPUTED_VALUE"""),"RONQUILLO")</f>
        <v>RONQUILLO</v>
      </c>
      <c r="F72" s="101" t="str">
        <f>IFERROR(__xludf.DUMMYFUNCTION("""COMPUTED_VALUE"""),"SHANE")</f>
        <v>SHANE</v>
      </c>
    </row>
    <row r="73">
      <c r="A73" s="131">
        <f>IFERROR(__xludf.DUMMYFUNCTION("""COMPUTED_VALUE"""),71.0)</f>
        <v>71</v>
      </c>
      <c r="B73" s="131"/>
      <c r="C73" s="131">
        <f>IFERROR(__xludf.DUMMYFUNCTION("""COMPUTED_VALUE"""),23.0)</f>
        <v>23</v>
      </c>
      <c r="D73" s="131" t="b">
        <f>IFERROR(__xludf.DUMMYFUNCTION("""COMPUTED_VALUE"""),FALSE)</f>
        <v>0</v>
      </c>
      <c r="E73" s="101" t="str">
        <f>IFERROR(__xludf.DUMMYFUNCTION("""COMPUTED_VALUE"""),"MARFIL")</f>
        <v>MARFIL</v>
      </c>
      <c r="F73" s="104" t="str">
        <f>IFERROR(__xludf.DUMMYFUNCTION("""COMPUTED_VALUE"""),"ADELAIZA")</f>
        <v>ADELAIZA</v>
      </c>
    </row>
    <row r="74">
      <c r="A74" s="131">
        <f>IFERROR(__xludf.DUMMYFUNCTION("""COMPUTED_VALUE"""),72.0)</f>
        <v>72</v>
      </c>
      <c r="B74" s="131"/>
      <c r="C74" s="131">
        <f>IFERROR(__xludf.DUMMYFUNCTION("""COMPUTED_VALUE"""),23.0)</f>
        <v>23</v>
      </c>
      <c r="D74" s="131" t="b">
        <f>IFERROR(__xludf.DUMMYFUNCTION("""COMPUTED_VALUE"""),FALSE)</f>
        <v>0</v>
      </c>
      <c r="E74" s="101" t="str">
        <f>IFERROR(__xludf.DUMMYFUNCTION("""COMPUTED_VALUE"""),"PERALTA")</f>
        <v>PERALTA</v>
      </c>
      <c r="F74" s="101" t="str">
        <f>IFERROR(__xludf.DUMMYFUNCTION("""COMPUTED_VALUE"""),"ALAICA")</f>
        <v>ALAICA</v>
      </c>
    </row>
    <row r="75">
      <c r="A75" s="131">
        <f>IFERROR(__xludf.DUMMYFUNCTION("""COMPUTED_VALUE"""),73.0)</f>
        <v>73</v>
      </c>
      <c r="B75" s="131"/>
      <c r="C75" s="131">
        <f>IFERROR(__xludf.DUMMYFUNCTION("""COMPUTED_VALUE"""),23.0)</f>
        <v>23</v>
      </c>
      <c r="D75" s="131" t="b">
        <f>IFERROR(__xludf.DUMMYFUNCTION("""COMPUTED_VALUE"""),FALSE)</f>
        <v>0</v>
      </c>
      <c r="E75" s="101"/>
      <c r="F75" s="101" t="str">
        <f>IFERROR(__xludf.DUMMYFUNCTION("""COMPUTED_VALUE"""),"ALISA")</f>
        <v>ALISA</v>
      </c>
    </row>
    <row r="76">
      <c r="A76" s="131">
        <f>IFERROR(__xludf.DUMMYFUNCTION("""COMPUTED_VALUE"""),74.0)</f>
        <v>74</v>
      </c>
      <c r="B76" s="131"/>
      <c r="C76" s="131">
        <f>IFERROR(__xludf.DUMMYFUNCTION("""COMPUTED_VALUE"""),23.0)</f>
        <v>23</v>
      </c>
      <c r="D76" s="131" t="b">
        <f>IFERROR(__xludf.DUMMYFUNCTION("""COMPUTED_VALUE"""),FALSE)</f>
        <v>0</v>
      </c>
      <c r="E76" s="101" t="str">
        <f>IFERROR(__xludf.DUMMYFUNCTION("""COMPUTED_VALUE"""),"VILLANUEVA")</f>
        <v>VILLANUEVA</v>
      </c>
      <c r="F76" s="101" t="str">
        <f>IFERROR(__xludf.DUMMYFUNCTION("""COMPUTED_VALUE"""),"SOFIA")</f>
        <v>SOFIA</v>
      </c>
    </row>
    <row r="77">
      <c r="A77" s="131">
        <f>IFERROR(__xludf.DUMMYFUNCTION("""COMPUTED_VALUE"""),75.0)</f>
        <v>75</v>
      </c>
      <c r="B77" s="131"/>
      <c r="C77" s="131">
        <f>IFERROR(__xludf.DUMMYFUNCTION("""COMPUTED_VALUE"""),23.0)</f>
        <v>23</v>
      </c>
      <c r="D77" s="131" t="b">
        <f>IFERROR(__xludf.DUMMYFUNCTION("""COMPUTED_VALUE"""),FALSE)</f>
        <v>0</v>
      </c>
      <c r="E77" s="101" t="str">
        <f>IFERROR(__xludf.DUMMYFUNCTION("""COMPUTED_VALUE"""),"TAKEYAMA")</f>
        <v>TAKEYAMA</v>
      </c>
      <c r="F77" s="101" t="str">
        <f>IFERROR(__xludf.DUMMYFUNCTION("""COMPUTED_VALUE"""),"YUKA")</f>
        <v>YUKA</v>
      </c>
    </row>
    <row r="78">
      <c r="A78" s="131">
        <f>IFERROR(__xludf.DUMMYFUNCTION("""COMPUTED_VALUE"""),76.0)</f>
        <v>76</v>
      </c>
      <c r="B78" s="131"/>
      <c r="C78" s="131">
        <f>IFERROR(__xludf.DUMMYFUNCTION("""COMPUTED_VALUE"""),76.0)</f>
        <v>76</v>
      </c>
      <c r="D78" s="131" t="b">
        <f>IFERROR(__xludf.DUMMYFUNCTION("""COMPUTED_VALUE"""),TRUE)</f>
        <v>1</v>
      </c>
      <c r="E78" s="105" t="str">
        <f>IFERROR(__xludf.DUMMYFUNCTION("""COMPUTED_VALUE"""),"ANTONIO")</f>
        <v>ANTONIO</v>
      </c>
      <c r="F78" s="105" t="str">
        <f>IFERROR(__xludf.DUMMYFUNCTION("""COMPUTED_VALUE"""),"CHOLO MIGUEL")</f>
        <v>CHOLO MIGUEL</v>
      </c>
    </row>
    <row r="79">
      <c r="A79" s="131">
        <f>IFERROR(__xludf.DUMMYFUNCTION("""COMPUTED_VALUE"""),77.0)</f>
        <v>77</v>
      </c>
      <c r="B79" s="131"/>
      <c r="C79" s="131">
        <f>IFERROR(__xludf.DUMMYFUNCTION("""COMPUTED_VALUE"""),76.0)</f>
        <v>76</v>
      </c>
      <c r="D79" s="131" t="b">
        <f>IFERROR(__xludf.DUMMYFUNCTION("""COMPUTED_VALUE"""),FALSE)</f>
        <v>0</v>
      </c>
      <c r="E79" s="106" t="str">
        <f>IFERROR(__xludf.DUMMYFUNCTION("""COMPUTED_VALUE"""),"ELCANA")</f>
        <v>ELCANA</v>
      </c>
      <c r="F79" s="106" t="str">
        <f>IFERROR(__xludf.DUMMYFUNCTION("""COMPUTED_VALUE"""),"JOAQUIN")</f>
        <v>JOAQUIN</v>
      </c>
    </row>
    <row r="80">
      <c r="A80" s="131">
        <f>IFERROR(__xludf.DUMMYFUNCTION("""COMPUTED_VALUE"""),78.0)</f>
        <v>78</v>
      </c>
      <c r="B80" s="131"/>
      <c r="C80" s="131">
        <f>IFERROR(__xludf.DUMMYFUNCTION("""COMPUTED_VALUE"""),76.0)</f>
        <v>76</v>
      </c>
      <c r="D80" s="131" t="b">
        <f>IFERROR(__xludf.DUMMYFUNCTION("""COMPUTED_VALUE"""),FALSE)</f>
        <v>0</v>
      </c>
      <c r="E80" s="107" t="str">
        <f>IFERROR(__xludf.DUMMYFUNCTION("""COMPUTED_VALUE"""),"VILLARTA")</f>
        <v>VILLARTA</v>
      </c>
      <c r="F80" s="107" t="str">
        <f>IFERROR(__xludf.DUMMYFUNCTION("""COMPUTED_VALUE"""),"JEXTER")</f>
        <v>JEXTER</v>
      </c>
    </row>
    <row r="81">
      <c r="A81" s="131">
        <f>IFERROR(__xludf.DUMMYFUNCTION("""COMPUTED_VALUE"""),79.0)</f>
        <v>79</v>
      </c>
      <c r="B81" s="131"/>
      <c r="C81" s="131">
        <f>IFERROR(__xludf.DUMMYFUNCTION("""COMPUTED_VALUE"""),76.0)</f>
        <v>76</v>
      </c>
      <c r="D81" s="131" t="b">
        <f>IFERROR(__xludf.DUMMYFUNCTION("""COMPUTED_VALUE"""),FALSE)</f>
        <v>0</v>
      </c>
      <c r="E81" s="107" t="str">
        <f>IFERROR(__xludf.DUMMYFUNCTION("""COMPUTED_VALUE"""),"MANUYAG")</f>
        <v>MANUYAG</v>
      </c>
      <c r="F81" s="107" t="str">
        <f>IFERROR(__xludf.DUMMYFUNCTION("""COMPUTED_VALUE"""),"RAYVER")</f>
        <v>RAYVER</v>
      </c>
    </row>
    <row r="82">
      <c r="A82" s="131">
        <f>IFERROR(__xludf.DUMMYFUNCTION("""COMPUTED_VALUE"""),80.0)</f>
        <v>80</v>
      </c>
      <c r="B82" s="131"/>
      <c r="C82" s="131">
        <f>IFERROR(__xludf.DUMMYFUNCTION("""COMPUTED_VALUE"""),76.0)</f>
        <v>76</v>
      </c>
      <c r="D82" s="131" t="b">
        <f>IFERROR(__xludf.DUMMYFUNCTION("""COMPUTED_VALUE"""),FALSE)</f>
        <v>0</v>
      </c>
      <c r="E82" s="108" t="str">
        <f>IFERROR(__xludf.DUMMYFUNCTION("""COMPUTED_VALUE"""),"RAAGAS")</f>
        <v>RAAGAS</v>
      </c>
      <c r="F82" s="108" t="str">
        <f>IFERROR(__xludf.DUMMYFUNCTION("""COMPUTED_VALUE"""),"PRINCE JHAMIR (YOHAN)")</f>
        <v>PRINCE JHAMIR (YOHAN)</v>
      </c>
    </row>
    <row r="83">
      <c r="A83" s="131">
        <f>IFERROR(__xludf.DUMMYFUNCTION("""COMPUTED_VALUE"""),81.0)</f>
        <v>81</v>
      </c>
      <c r="B83" s="131"/>
      <c r="C83" s="131">
        <f>IFERROR(__xludf.DUMMYFUNCTION("""COMPUTED_VALUE"""),76.0)</f>
        <v>76</v>
      </c>
      <c r="D83" s="131" t="b">
        <f>IFERROR(__xludf.DUMMYFUNCTION("""COMPUTED_VALUE"""),FALSE)</f>
        <v>0</v>
      </c>
      <c r="E83" s="107" t="str">
        <f>IFERROR(__xludf.DUMMYFUNCTION("""COMPUTED_VALUE"""),"MALOLOY-ON")</f>
        <v>MALOLOY-ON</v>
      </c>
      <c r="F83" s="107" t="str">
        <f>IFERROR(__xludf.DUMMYFUNCTION("""COMPUTED_VALUE"""),"HARLEY")</f>
        <v>HARLEY</v>
      </c>
    </row>
    <row r="84">
      <c r="A84" s="131">
        <f>IFERROR(__xludf.DUMMYFUNCTION("""COMPUTED_VALUE"""),82.0)</f>
        <v>82</v>
      </c>
      <c r="B84" s="131"/>
      <c r="C84" s="131">
        <f>IFERROR(__xludf.DUMMYFUNCTION("""COMPUTED_VALUE"""),76.0)</f>
        <v>76</v>
      </c>
      <c r="D84" s="131" t="b">
        <f>IFERROR(__xludf.DUMMYFUNCTION("""COMPUTED_VALUE"""),FALSE)</f>
        <v>0</v>
      </c>
      <c r="E84" s="106" t="str">
        <f>IFERROR(__xludf.DUMMYFUNCTION("""COMPUTED_VALUE"""),"MEDINA")</f>
        <v>MEDINA</v>
      </c>
      <c r="F84" s="106" t="str">
        <f>IFERROR(__xludf.DUMMYFUNCTION("""COMPUTED_VALUE"""),"JOHN PAUL")</f>
        <v>JOHN PAUL</v>
      </c>
    </row>
    <row r="85">
      <c r="A85" s="131">
        <f>IFERROR(__xludf.DUMMYFUNCTION("""COMPUTED_VALUE"""),83.0)</f>
        <v>83</v>
      </c>
      <c r="B85" s="131"/>
      <c r="C85" s="131">
        <f>IFERROR(__xludf.DUMMYFUNCTION("""COMPUTED_VALUE"""),76.0)</f>
        <v>76</v>
      </c>
      <c r="D85" s="131" t="b">
        <f>IFERROR(__xludf.DUMMYFUNCTION("""COMPUTED_VALUE"""),FALSE)</f>
        <v>0</v>
      </c>
      <c r="E85" s="107" t="str">
        <f>IFERROR(__xludf.DUMMYFUNCTION("""COMPUTED_VALUE"""),"SALTA")</f>
        <v>SALTA</v>
      </c>
      <c r="F85" s="107" t="str">
        <f>IFERROR(__xludf.DUMMYFUNCTION("""COMPUTED_VALUE"""),"KARL")</f>
        <v>KARL</v>
      </c>
    </row>
    <row r="86">
      <c r="A86" s="131">
        <f>IFERROR(__xludf.DUMMYFUNCTION("""COMPUTED_VALUE"""),84.0)</f>
        <v>84</v>
      </c>
      <c r="B86" s="131"/>
      <c r="C86" s="131">
        <f>IFERROR(__xludf.DUMMYFUNCTION("""COMPUTED_VALUE"""),76.0)</f>
        <v>76</v>
      </c>
      <c r="D86" s="131" t="b">
        <f>IFERROR(__xludf.DUMMYFUNCTION("""COMPUTED_VALUE"""),FALSE)</f>
        <v>0</v>
      </c>
      <c r="E86" s="107" t="str">
        <f>IFERROR(__xludf.DUMMYFUNCTION("""COMPUTED_VALUE"""),"ROBLOS")</f>
        <v>ROBLOS</v>
      </c>
      <c r="F86" s="107" t="str">
        <f>IFERROR(__xludf.DUMMYFUNCTION("""COMPUTED_VALUE"""),"CEDRIC")</f>
        <v>CEDRIC</v>
      </c>
    </row>
    <row r="87">
      <c r="A87" s="131">
        <f>IFERROR(__xludf.DUMMYFUNCTION("""COMPUTED_VALUE"""),85.0)</f>
        <v>85</v>
      </c>
      <c r="B87" s="131"/>
      <c r="C87" s="131">
        <f>IFERROR(__xludf.DUMMYFUNCTION("""COMPUTED_VALUE"""),76.0)</f>
        <v>76</v>
      </c>
      <c r="D87" s="131" t="b">
        <f>IFERROR(__xludf.DUMMYFUNCTION("""COMPUTED_VALUE"""),FALSE)</f>
        <v>0</v>
      </c>
      <c r="E87" s="107" t="str">
        <f>IFERROR(__xludf.DUMMYFUNCTION("""COMPUTED_VALUE"""),"RIVAS")</f>
        <v>RIVAS</v>
      </c>
      <c r="F87" s="107" t="str">
        <f>IFERROR(__xludf.DUMMYFUNCTION("""COMPUTED_VALUE"""),"RAY ALLEN")</f>
        <v>RAY ALLEN</v>
      </c>
    </row>
    <row r="88">
      <c r="A88" s="131">
        <f>IFERROR(__xludf.DUMMYFUNCTION("""COMPUTED_VALUE"""),86.0)</f>
        <v>86</v>
      </c>
      <c r="B88" s="131"/>
      <c r="C88" s="131">
        <f>IFERROR(__xludf.DUMMYFUNCTION("""COMPUTED_VALUE"""),76.0)</f>
        <v>76</v>
      </c>
      <c r="D88" s="131" t="b">
        <f>IFERROR(__xludf.DUMMYFUNCTION("""COMPUTED_VALUE"""),FALSE)</f>
        <v>0</v>
      </c>
      <c r="E88" s="107" t="str">
        <f>IFERROR(__xludf.DUMMYFUNCTION("""COMPUTED_VALUE"""),"MAGDANGAN")</f>
        <v>MAGDANGAN</v>
      </c>
      <c r="F88" s="107" t="str">
        <f>IFERROR(__xludf.DUMMYFUNCTION("""COMPUTED_VALUE"""),"DENMARK")</f>
        <v>DENMARK</v>
      </c>
    </row>
    <row r="89">
      <c r="A89" s="131">
        <f>IFERROR(__xludf.DUMMYFUNCTION("""COMPUTED_VALUE"""),87.0)</f>
        <v>87</v>
      </c>
      <c r="B89" s="131"/>
      <c r="C89" s="131">
        <f>IFERROR(__xludf.DUMMYFUNCTION("""COMPUTED_VALUE"""),76.0)</f>
        <v>76</v>
      </c>
      <c r="D89" s="131" t="b">
        <f>IFERROR(__xludf.DUMMYFUNCTION("""COMPUTED_VALUE"""),FALSE)</f>
        <v>0</v>
      </c>
      <c r="E89" s="106" t="str">
        <f>IFERROR(__xludf.DUMMYFUNCTION("""COMPUTED_VALUE"""),"SABONG")</f>
        <v>SABONG</v>
      </c>
      <c r="F89" s="106" t="str">
        <f>IFERROR(__xludf.DUMMYFUNCTION("""COMPUTED_VALUE"""),"VINCE")</f>
        <v>VINCE</v>
      </c>
    </row>
    <row r="90">
      <c r="A90" s="131">
        <f>IFERROR(__xludf.DUMMYFUNCTION("""COMPUTED_VALUE"""),88.0)</f>
        <v>88</v>
      </c>
      <c r="B90" s="131"/>
      <c r="C90" s="131">
        <f>IFERROR(__xludf.DUMMYFUNCTION("""COMPUTED_VALUE"""),76.0)</f>
        <v>76</v>
      </c>
      <c r="D90" s="131" t="b">
        <f>IFERROR(__xludf.DUMMYFUNCTION("""COMPUTED_VALUE"""),FALSE)</f>
        <v>0</v>
      </c>
      <c r="E90" s="107" t="str">
        <f>IFERROR(__xludf.DUMMYFUNCTION("""COMPUTED_VALUE"""),"AQUINO")</f>
        <v>AQUINO</v>
      </c>
      <c r="F90" s="107" t="str">
        <f>IFERROR(__xludf.DUMMYFUNCTION("""COMPUTED_VALUE"""),"MARVIN")</f>
        <v>MARVIN</v>
      </c>
    </row>
    <row r="91">
      <c r="A91" s="131">
        <f>IFERROR(__xludf.DUMMYFUNCTION("""COMPUTED_VALUE"""),89.0)</f>
        <v>89</v>
      </c>
      <c r="B91" s="131"/>
      <c r="C91" s="131">
        <f>IFERROR(__xludf.DUMMYFUNCTION("""COMPUTED_VALUE"""),76.0)</f>
        <v>76</v>
      </c>
      <c r="D91" s="131" t="b">
        <f>IFERROR(__xludf.DUMMYFUNCTION("""COMPUTED_VALUE"""),FALSE)</f>
        <v>0</v>
      </c>
      <c r="E91" s="109" t="str">
        <f>IFERROR(__xludf.DUMMYFUNCTION("""COMPUTED_VALUE"""),"LANOZO")</f>
        <v>LANOZO</v>
      </c>
      <c r="F91" s="109" t="str">
        <f>IFERROR(__xludf.DUMMYFUNCTION("""COMPUTED_VALUE"""),"REGGIENALD")</f>
        <v>REGGIENALD</v>
      </c>
    </row>
    <row r="92">
      <c r="A92" s="131">
        <f>IFERROR(__xludf.DUMMYFUNCTION("""COMPUTED_VALUE"""),90.0)</f>
        <v>90</v>
      </c>
      <c r="B92" s="131"/>
      <c r="C92" s="131">
        <f>IFERROR(__xludf.DUMMYFUNCTION("""COMPUTED_VALUE"""),76.0)</f>
        <v>76</v>
      </c>
      <c r="D92" s="131" t="b">
        <f>IFERROR(__xludf.DUMMYFUNCTION("""COMPUTED_VALUE"""),FALSE)</f>
        <v>0</v>
      </c>
      <c r="E92" s="110" t="str">
        <f>IFERROR(__xludf.DUMMYFUNCTION("""COMPUTED_VALUE"""),"QUIRONA")</f>
        <v>QUIRONA</v>
      </c>
      <c r="F92" s="110" t="str">
        <f>IFERROR(__xludf.DUMMYFUNCTION("""COMPUTED_VALUE"""),"IAN CHRISTOPHER")</f>
        <v>IAN CHRISTOPHER</v>
      </c>
    </row>
    <row r="93">
      <c r="A93" s="131">
        <f>IFERROR(__xludf.DUMMYFUNCTION("""COMPUTED_VALUE"""),91.0)</f>
        <v>91</v>
      </c>
      <c r="B93" s="131"/>
      <c r="C93" s="131">
        <f>IFERROR(__xludf.DUMMYFUNCTION("""COMPUTED_VALUE"""),76.0)</f>
        <v>76</v>
      </c>
      <c r="D93" s="131" t="b">
        <f>IFERROR(__xludf.DUMMYFUNCTION("""COMPUTED_VALUE"""),FALSE)</f>
        <v>0</v>
      </c>
      <c r="E93" s="110" t="str">
        <f>IFERROR(__xludf.DUMMYFUNCTION("""COMPUTED_VALUE"""),"BAUYON")</f>
        <v>BAUYON</v>
      </c>
      <c r="F93" s="110" t="str">
        <f>IFERROR(__xludf.DUMMYFUNCTION("""COMPUTED_VALUE"""),"JOHN CARLO")</f>
        <v>JOHN CARLO</v>
      </c>
    </row>
    <row r="94">
      <c r="A94" s="131">
        <f>IFERROR(__xludf.DUMMYFUNCTION("""COMPUTED_VALUE"""),92.0)</f>
        <v>92</v>
      </c>
      <c r="B94" s="131"/>
      <c r="C94" s="131">
        <f>IFERROR(__xludf.DUMMYFUNCTION("""COMPUTED_VALUE"""),76.0)</f>
        <v>76</v>
      </c>
      <c r="D94" s="131" t="b">
        <f>IFERROR(__xludf.DUMMYFUNCTION("""COMPUTED_VALUE"""),FALSE)</f>
        <v>0</v>
      </c>
      <c r="E94" s="111" t="str">
        <f>IFERROR(__xludf.DUMMYFUNCTION("""COMPUTED_VALUE"""),"FIGUEROA")</f>
        <v>FIGUEROA</v>
      </c>
      <c r="F94" s="111" t="str">
        <f>IFERROR(__xludf.DUMMYFUNCTION("""COMPUTED_VALUE"""),"RONALD")</f>
        <v>RONALD</v>
      </c>
    </row>
    <row r="95">
      <c r="A95" s="131"/>
      <c r="B95" s="131"/>
      <c r="C95" s="131"/>
      <c r="D95" s="131"/>
      <c r="E95" s="112"/>
      <c r="F95" s="112"/>
    </row>
    <row r="96">
      <c r="A96" s="131"/>
      <c r="B96" s="131"/>
      <c r="C96" s="131"/>
      <c r="D96" s="131"/>
      <c r="E96" s="112"/>
      <c r="F96" s="112"/>
    </row>
    <row r="97">
      <c r="A97" s="131"/>
      <c r="B97" s="131"/>
      <c r="C97" s="131"/>
      <c r="D97" s="131"/>
      <c r="E97" s="112"/>
      <c r="F97" s="112"/>
    </row>
    <row r="98">
      <c r="A98" s="131"/>
      <c r="B98" s="131"/>
      <c r="C98" s="131"/>
      <c r="D98" s="131"/>
      <c r="E98" s="112"/>
      <c r="F98" s="112"/>
    </row>
    <row r="99">
      <c r="A99" s="131"/>
      <c r="B99" s="131"/>
      <c r="C99" s="131">
        <f>IFERROR(__xludf.DUMMYFUNCTION("""COMPUTED_VALUE"""),76.0)</f>
        <v>76</v>
      </c>
      <c r="D99" s="131" t="b">
        <f>IFERROR(__xludf.DUMMYFUNCTION("""COMPUTED_VALUE"""),FALSE)</f>
        <v>0</v>
      </c>
      <c r="E99" s="113" t="str">
        <f>IFERROR(__xludf.DUMMYFUNCTION("""COMPUTED_VALUE"""),"INACTIVE")</f>
        <v>INACTIVE</v>
      </c>
      <c r="F99" s="110"/>
    </row>
    <row r="100">
      <c r="A100" s="131">
        <f>IFERROR(__xludf.DUMMYFUNCTION("""COMPUTED_VALUE"""),99.0)</f>
        <v>99</v>
      </c>
      <c r="B100" s="131"/>
      <c r="C100" s="131">
        <f>IFERROR(__xludf.DUMMYFUNCTION("""COMPUTED_VALUE"""),76.0)</f>
        <v>76</v>
      </c>
      <c r="D100" s="131" t="b">
        <f>IFERROR(__xludf.DUMMYFUNCTION("""COMPUTED_VALUE"""),FALSE)</f>
        <v>0</v>
      </c>
      <c r="E100" s="114" t="str">
        <f>IFERROR(__xludf.DUMMYFUNCTION("""COMPUTED_VALUE"""),"BONIFACIO")</f>
        <v>BONIFACIO</v>
      </c>
      <c r="F100" s="114" t="str">
        <f>IFERROR(__xludf.DUMMYFUNCTION("""COMPUTED_VALUE"""),"JUNIOR")</f>
        <v>JUNIOR</v>
      </c>
    </row>
    <row r="101">
      <c r="A101" s="131">
        <f>IFERROR(__xludf.DUMMYFUNCTION("""COMPUTED_VALUE"""),100.0)</f>
        <v>100</v>
      </c>
      <c r="B101" s="131"/>
      <c r="C101" s="131">
        <f>IFERROR(__xludf.DUMMYFUNCTION("""COMPUTED_VALUE"""),76.0)</f>
        <v>76</v>
      </c>
      <c r="D101" s="131" t="b">
        <f>IFERROR(__xludf.DUMMYFUNCTION("""COMPUTED_VALUE"""),FALSE)</f>
        <v>0</v>
      </c>
      <c r="E101" s="114" t="str">
        <f>IFERROR(__xludf.DUMMYFUNCTION("""COMPUTED_VALUE"""),"CASTILLO")</f>
        <v>CASTILLO</v>
      </c>
      <c r="F101" s="114" t="str">
        <f>IFERROR(__xludf.DUMMYFUNCTION("""COMPUTED_VALUE"""),"JOHNREY")</f>
        <v>JOHNREY</v>
      </c>
    </row>
    <row r="102">
      <c r="A102" s="131">
        <f>IFERROR(__xludf.DUMMYFUNCTION("""COMPUTED_VALUE"""),101.0)</f>
        <v>101</v>
      </c>
      <c r="B102" s="131"/>
      <c r="C102" s="131">
        <f>IFERROR(__xludf.DUMMYFUNCTION("""COMPUTED_VALUE"""),76.0)</f>
        <v>76</v>
      </c>
      <c r="D102" s="131" t="b">
        <f>IFERROR(__xludf.DUMMYFUNCTION("""COMPUTED_VALUE"""),FALSE)</f>
        <v>0</v>
      </c>
      <c r="E102" s="114" t="str">
        <f>IFERROR(__xludf.DUMMYFUNCTION("""COMPUTED_VALUE"""),"MENDOZA")</f>
        <v>MENDOZA</v>
      </c>
      <c r="F102" s="114" t="str">
        <f>IFERROR(__xludf.DUMMYFUNCTION("""COMPUTED_VALUE"""),"JUSTINE IAN")</f>
        <v>JUSTINE IAN</v>
      </c>
    </row>
    <row r="103">
      <c r="A103" s="131">
        <f>IFERROR(__xludf.DUMMYFUNCTION("""COMPUTED_VALUE"""),102.0)</f>
        <v>102</v>
      </c>
      <c r="B103" s="131"/>
      <c r="C103" s="131">
        <f>IFERROR(__xludf.DUMMYFUNCTION("""COMPUTED_VALUE"""),76.0)</f>
        <v>76</v>
      </c>
      <c r="D103" s="131" t="b">
        <f>IFERROR(__xludf.DUMMYFUNCTION("""COMPUTED_VALUE"""),FALSE)</f>
        <v>0</v>
      </c>
      <c r="E103" s="114" t="str">
        <f>IFERROR(__xludf.DUMMYFUNCTION("""COMPUTED_VALUE"""),"FERMIN")</f>
        <v>FERMIN</v>
      </c>
      <c r="F103" s="114" t="str">
        <f>IFERROR(__xludf.DUMMYFUNCTION("""COMPUTED_VALUE"""),"HARIMAR")</f>
        <v>HARIMAR</v>
      </c>
    </row>
    <row r="104">
      <c r="A104" s="131">
        <f>IFERROR(__xludf.DUMMYFUNCTION("""COMPUTED_VALUE"""),103.0)</f>
        <v>103</v>
      </c>
      <c r="B104" s="131"/>
      <c r="C104" s="131">
        <f>IFERROR(__xludf.DUMMYFUNCTION("""COMPUTED_VALUE"""),76.0)</f>
        <v>76</v>
      </c>
      <c r="D104" s="131" t="b">
        <f>IFERROR(__xludf.DUMMYFUNCTION("""COMPUTED_VALUE"""),FALSE)</f>
        <v>0</v>
      </c>
      <c r="E104" s="114" t="str">
        <f>IFERROR(__xludf.DUMMYFUNCTION("""COMPUTED_VALUE"""),"ADEME")</f>
        <v>ADEME</v>
      </c>
      <c r="F104" s="114" t="str">
        <f>IFERROR(__xludf.DUMMYFUNCTION("""COMPUTED_VALUE"""),"JOHN EVO")</f>
        <v>JOHN EVO</v>
      </c>
    </row>
    <row r="105">
      <c r="A105" s="131">
        <f>IFERROR(__xludf.DUMMYFUNCTION("""COMPUTED_VALUE"""),104.0)</f>
        <v>104</v>
      </c>
      <c r="B105" s="131"/>
      <c r="C105" s="131">
        <f>IFERROR(__xludf.DUMMYFUNCTION("""COMPUTED_VALUE"""),76.0)</f>
        <v>76</v>
      </c>
      <c r="D105" s="131" t="b">
        <f>IFERROR(__xludf.DUMMYFUNCTION("""COMPUTED_VALUE"""),FALSE)</f>
        <v>0</v>
      </c>
      <c r="E105" s="114" t="str">
        <f>IFERROR(__xludf.DUMMYFUNCTION("""COMPUTED_VALUE"""),"FLAGNE")</f>
        <v>FLAGNE</v>
      </c>
      <c r="F105" s="114" t="str">
        <f>IFERROR(__xludf.DUMMYFUNCTION("""COMPUTED_VALUE"""),"JHANDY")</f>
        <v>JHANDY</v>
      </c>
    </row>
    <row r="106">
      <c r="A106" s="131">
        <f>IFERROR(__xludf.DUMMYFUNCTION("""COMPUTED_VALUE"""),105.0)</f>
        <v>105</v>
      </c>
      <c r="B106" s="131"/>
      <c r="C106" s="131">
        <f>IFERROR(__xludf.DUMMYFUNCTION("""COMPUTED_VALUE"""),76.0)</f>
        <v>76</v>
      </c>
      <c r="D106" s="131" t="b">
        <f>IFERROR(__xludf.DUMMYFUNCTION("""COMPUTED_VALUE"""),FALSE)</f>
        <v>0</v>
      </c>
      <c r="E106" s="114" t="str">
        <f>IFERROR(__xludf.DUMMYFUNCTION("""COMPUTED_VALUE"""),"GURION")</f>
        <v>GURION</v>
      </c>
      <c r="F106" s="114" t="str">
        <f>IFERROR(__xludf.DUMMYFUNCTION("""COMPUTED_VALUE"""),"ARJIE")</f>
        <v>ARJIE</v>
      </c>
    </row>
    <row r="107">
      <c r="A107" s="131">
        <f>IFERROR(__xludf.DUMMYFUNCTION("""COMPUTED_VALUE"""),106.0)</f>
        <v>106</v>
      </c>
      <c r="B107" s="131"/>
      <c r="C107" s="131">
        <f>IFERROR(__xludf.DUMMYFUNCTION("""COMPUTED_VALUE"""),76.0)</f>
        <v>76</v>
      </c>
      <c r="D107" s="131" t="b">
        <f>IFERROR(__xludf.DUMMYFUNCTION("""COMPUTED_VALUE"""),FALSE)</f>
        <v>0</v>
      </c>
      <c r="E107" s="114" t="str">
        <f>IFERROR(__xludf.DUMMYFUNCTION("""COMPUTED_VALUE"""),"INAJE")</f>
        <v>INAJE</v>
      </c>
      <c r="F107" s="114" t="str">
        <f>IFERROR(__xludf.DUMMYFUNCTION("""COMPUTED_VALUE"""),"JAYSON")</f>
        <v>JAYSON</v>
      </c>
    </row>
    <row r="108">
      <c r="A108" s="131">
        <f>IFERROR(__xludf.DUMMYFUNCTION("""COMPUTED_VALUE"""),107.0)</f>
        <v>107</v>
      </c>
      <c r="B108" s="131"/>
      <c r="C108" s="131">
        <f>IFERROR(__xludf.DUMMYFUNCTION("""COMPUTED_VALUE"""),76.0)</f>
        <v>76</v>
      </c>
      <c r="D108" s="131" t="b">
        <f>IFERROR(__xludf.DUMMYFUNCTION("""COMPUTED_VALUE"""),FALSE)</f>
        <v>0</v>
      </c>
      <c r="E108" s="114" t="str">
        <f>IFERROR(__xludf.DUMMYFUNCTION("""COMPUTED_VALUE"""),"LUANGCO")</f>
        <v>LUANGCO</v>
      </c>
      <c r="F108" s="114" t="str">
        <f>IFERROR(__xludf.DUMMYFUNCTION("""COMPUTED_VALUE"""),"MARKHIEL")</f>
        <v>MARKHIEL</v>
      </c>
    </row>
    <row r="109">
      <c r="A109" s="131">
        <f>IFERROR(__xludf.DUMMYFUNCTION("""COMPUTED_VALUE"""),108.0)</f>
        <v>108</v>
      </c>
      <c r="B109" s="131"/>
      <c r="C109" s="131">
        <f>IFERROR(__xludf.DUMMYFUNCTION("""COMPUTED_VALUE"""),76.0)</f>
        <v>76</v>
      </c>
      <c r="D109" s="131" t="b">
        <f>IFERROR(__xludf.DUMMYFUNCTION("""COMPUTED_VALUE"""),FALSE)</f>
        <v>0</v>
      </c>
      <c r="E109" s="114" t="str">
        <f>IFERROR(__xludf.DUMMYFUNCTION("""COMPUTED_VALUE"""),"NAPARATO")</f>
        <v>NAPARATO</v>
      </c>
      <c r="F109" s="114" t="str">
        <f>IFERROR(__xludf.DUMMYFUNCTION("""COMPUTED_VALUE"""),"JONEL")</f>
        <v>JONEL</v>
      </c>
    </row>
    <row r="110">
      <c r="A110" s="131">
        <f>IFERROR(__xludf.DUMMYFUNCTION("""COMPUTED_VALUE"""),109.0)</f>
        <v>109</v>
      </c>
      <c r="B110" s="131"/>
      <c r="C110" s="131">
        <f>IFERROR(__xludf.DUMMYFUNCTION("""COMPUTED_VALUE"""),76.0)</f>
        <v>76</v>
      </c>
      <c r="D110" s="131" t="b">
        <f>IFERROR(__xludf.DUMMYFUNCTION("""COMPUTED_VALUE"""),FALSE)</f>
        <v>0</v>
      </c>
      <c r="E110" s="114" t="str">
        <f>IFERROR(__xludf.DUMMYFUNCTION("""COMPUTED_VALUE"""),"NAPARATO")</f>
        <v>NAPARATO</v>
      </c>
      <c r="F110" s="114" t="str">
        <f>IFERROR(__xludf.DUMMYFUNCTION("""COMPUTED_VALUE"""),"JEFF")</f>
        <v>JEFF</v>
      </c>
    </row>
    <row r="111">
      <c r="A111" s="131">
        <f>IFERROR(__xludf.DUMMYFUNCTION("""COMPUTED_VALUE"""),110.0)</f>
        <v>110</v>
      </c>
      <c r="B111" s="131"/>
      <c r="C111" s="131">
        <f>IFERROR(__xludf.DUMMYFUNCTION("""COMPUTED_VALUE"""),76.0)</f>
        <v>76</v>
      </c>
      <c r="D111" s="131" t="b">
        <f>IFERROR(__xludf.DUMMYFUNCTION("""COMPUTED_VALUE"""),FALSE)</f>
        <v>0</v>
      </c>
      <c r="E111" s="114" t="str">
        <f>IFERROR(__xludf.DUMMYFUNCTION("""COMPUTED_VALUE"""),"PABILLO")</f>
        <v>PABILLO</v>
      </c>
      <c r="F111" s="114" t="str">
        <f>IFERROR(__xludf.DUMMYFUNCTION("""COMPUTED_VALUE"""),"PRINCE ALECK")</f>
        <v>PRINCE ALECK</v>
      </c>
    </row>
    <row r="112">
      <c r="A112" s="131">
        <f>IFERROR(__xludf.DUMMYFUNCTION("""COMPUTED_VALUE"""),111.0)</f>
        <v>111</v>
      </c>
      <c r="B112" s="131"/>
      <c r="C112" s="131">
        <f>IFERROR(__xludf.DUMMYFUNCTION("""COMPUTED_VALUE"""),76.0)</f>
        <v>76</v>
      </c>
      <c r="D112" s="131" t="b">
        <f>IFERROR(__xludf.DUMMYFUNCTION("""COMPUTED_VALUE"""),FALSE)</f>
        <v>0</v>
      </c>
      <c r="E112" s="114" t="str">
        <f>IFERROR(__xludf.DUMMYFUNCTION("""COMPUTED_VALUE"""),"PRINCESA")</f>
        <v>PRINCESA</v>
      </c>
      <c r="F112" s="114" t="str">
        <f>IFERROR(__xludf.DUMMYFUNCTION("""COMPUTED_VALUE"""),"ADRIAN CARL")</f>
        <v>ADRIAN CARL</v>
      </c>
    </row>
    <row r="113">
      <c r="A113" s="131">
        <f>IFERROR(__xludf.DUMMYFUNCTION("""COMPUTED_VALUE"""),112.0)</f>
        <v>112</v>
      </c>
      <c r="B113" s="131"/>
      <c r="C113" s="131">
        <f>IFERROR(__xludf.DUMMYFUNCTION("""COMPUTED_VALUE"""),76.0)</f>
        <v>76</v>
      </c>
      <c r="D113" s="131" t="b">
        <f>IFERROR(__xludf.DUMMYFUNCTION("""COMPUTED_VALUE"""),FALSE)</f>
        <v>0</v>
      </c>
      <c r="E113" s="114" t="str">
        <f>IFERROR(__xludf.DUMMYFUNCTION("""COMPUTED_VALUE"""),"RAMOS")</f>
        <v>RAMOS</v>
      </c>
      <c r="F113" s="114" t="str">
        <f>IFERROR(__xludf.DUMMYFUNCTION("""COMPUTED_VALUE"""),"JEREMIAH")</f>
        <v>JEREMIAH</v>
      </c>
    </row>
    <row r="114">
      <c r="A114" s="131">
        <f>IFERROR(__xludf.DUMMYFUNCTION("""COMPUTED_VALUE"""),113.0)</f>
        <v>113</v>
      </c>
      <c r="B114" s="131"/>
      <c r="C114" s="131">
        <f>IFERROR(__xludf.DUMMYFUNCTION("""COMPUTED_VALUE"""),76.0)</f>
        <v>76</v>
      </c>
      <c r="D114" s="131" t="b">
        <f>IFERROR(__xludf.DUMMYFUNCTION("""COMPUTED_VALUE"""),FALSE)</f>
        <v>0</v>
      </c>
      <c r="E114" s="114" t="str">
        <f>IFERROR(__xludf.DUMMYFUNCTION("""COMPUTED_VALUE"""),"RAMOS")</f>
        <v>RAMOS</v>
      </c>
      <c r="F114" s="114" t="str">
        <f>IFERROR(__xludf.DUMMYFUNCTION("""COMPUTED_VALUE"""),"MATTHEW")</f>
        <v>MATTHEW</v>
      </c>
    </row>
    <row r="115">
      <c r="A115" s="131">
        <f>IFERROR(__xludf.DUMMYFUNCTION("""COMPUTED_VALUE"""),114.0)</f>
        <v>114</v>
      </c>
      <c r="B115" s="131"/>
      <c r="C115" s="131">
        <f>IFERROR(__xludf.DUMMYFUNCTION("""COMPUTED_VALUE"""),76.0)</f>
        <v>76</v>
      </c>
      <c r="D115" s="131" t="b">
        <f>IFERROR(__xludf.DUMMYFUNCTION("""COMPUTED_VALUE"""),FALSE)</f>
        <v>0</v>
      </c>
      <c r="E115" s="114" t="str">
        <f>IFERROR(__xludf.DUMMYFUNCTION("""COMPUTED_VALUE"""),"RAMOS")</f>
        <v>RAMOS</v>
      </c>
      <c r="F115" s="114" t="str">
        <f>IFERROR(__xludf.DUMMYFUNCTION("""COMPUTED_VALUE"""),"JONAS")</f>
        <v>JONAS</v>
      </c>
    </row>
    <row r="116">
      <c r="A116" s="131">
        <f>IFERROR(__xludf.DUMMYFUNCTION("""COMPUTED_VALUE"""),115.0)</f>
        <v>115</v>
      </c>
      <c r="B116" s="131"/>
      <c r="C116" s="131">
        <f>IFERROR(__xludf.DUMMYFUNCTION("""COMPUTED_VALUE"""),76.0)</f>
        <v>76</v>
      </c>
      <c r="D116" s="131" t="b">
        <f>IFERROR(__xludf.DUMMYFUNCTION("""COMPUTED_VALUE"""),FALSE)</f>
        <v>0</v>
      </c>
      <c r="E116" s="114" t="str">
        <f>IFERROR(__xludf.DUMMYFUNCTION("""COMPUTED_VALUE"""),"ROMANO")</f>
        <v>ROMANO</v>
      </c>
      <c r="F116" s="114" t="str">
        <f>IFERROR(__xludf.DUMMYFUNCTION("""COMPUTED_VALUE"""),"XIANREY")</f>
        <v>XIANREY</v>
      </c>
    </row>
    <row r="117">
      <c r="A117" s="131">
        <f>IFERROR(__xludf.DUMMYFUNCTION("""COMPUTED_VALUE"""),116.0)</f>
        <v>116</v>
      </c>
      <c r="B117" s="131"/>
      <c r="C117" s="131">
        <f>IFERROR(__xludf.DUMMYFUNCTION("""COMPUTED_VALUE"""),76.0)</f>
        <v>76</v>
      </c>
      <c r="D117" s="131" t="b">
        <f>IFERROR(__xludf.DUMMYFUNCTION("""COMPUTED_VALUE"""),FALSE)</f>
        <v>0</v>
      </c>
      <c r="E117" s="114" t="str">
        <f>IFERROR(__xludf.DUMMYFUNCTION("""COMPUTED_VALUE"""),"AMBROCIO")</f>
        <v>AMBROCIO</v>
      </c>
      <c r="F117" s="114" t="str">
        <f>IFERROR(__xludf.DUMMYFUNCTION("""COMPUTED_VALUE"""),"JAMES")</f>
        <v>JAMES</v>
      </c>
    </row>
    <row r="118">
      <c r="A118" s="131">
        <f>IFERROR(__xludf.DUMMYFUNCTION("""COMPUTED_VALUE"""),117.0)</f>
        <v>117</v>
      </c>
      <c r="B118" s="131"/>
      <c r="C118" s="131">
        <f>IFERROR(__xludf.DUMMYFUNCTION("""COMPUTED_VALUE"""),76.0)</f>
        <v>76</v>
      </c>
      <c r="D118" s="131" t="b">
        <f>IFERROR(__xludf.DUMMYFUNCTION("""COMPUTED_VALUE"""),FALSE)</f>
        <v>0</v>
      </c>
      <c r="E118" s="114" t="str">
        <f>IFERROR(__xludf.DUMMYFUNCTION("""COMPUTED_VALUE"""),"PANADO")</f>
        <v>PANADO</v>
      </c>
      <c r="F118" s="114" t="str">
        <f>IFERROR(__xludf.DUMMYFUNCTION("""COMPUTED_VALUE"""),"JAMES")</f>
        <v>JAMES</v>
      </c>
    </row>
    <row r="119">
      <c r="A119" s="131">
        <f>IFERROR(__xludf.DUMMYFUNCTION("""COMPUTED_VALUE"""),118.0)</f>
        <v>118</v>
      </c>
      <c r="B119" s="131"/>
      <c r="C119" s="131">
        <f>IFERROR(__xludf.DUMMYFUNCTION("""COMPUTED_VALUE"""),76.0)</f>
        <v>76</v>
      </c>
      <c r="D119" s="131" t="b">
        <f>IFERROR(__xludf.DUMMYFUNCTION("""COMPUTED_VALUE"""),FALSE)</f>
        <v>0</v>
      </c>
      <c r="E119" s="114" t="str">
        <f>IFERROR(__xludf.DUMMYFUNCTION("""COMPUTED_VALUE"""),"MALLARI")</f>
        <v>MALLARI</v>
      </c>
      <c r="F119" s="114" t="str">
        <f>IFERROR(__xludf.DUMMYFUNCTION("""COMPUTED_VALUE"""),"JAY IAN")</f>
        <v>JAY IAN</v>
      </c>
    </row>
    <row r="120">
      <c r="A120" s="131"/>
      <c r="B120" s="131"/>
      <c r="C120" s="131"/>
      <c r="D120" s="131"/>
      <c r="E120" s="131"/>
      <c r="F120" s="131"/>
    </row>
    <row r="121">
      <c r="A121" s="131">
        <f>IFERROR(__xludf.DUMMYFUNCTION("""COMPUTED_VALUE"""),120.0)</f>
        <v>120</v>
      </c>
      <c r="B121" s="131"/>
      <c r="C121" s="131">
        <f>IFERROR(__xludf.DUMMYFUNCTION("""COMPUTED_VALUE"""),120.0)</f>
        <v>120</v>
      </c>
      <c r="D121" s="131" t="b">
        <f>IFERROR(__xludf.DUMMYFUNCTION("""COMPUTED_VALUE"""),TRUE)</f>
        <v>1</v>
      </c>
      <c r="E121" s="105" t="str">
        <f>IFERROR(__xludf.DUMMYFUNCTION("""COMPUTED_VALUE"""),"MACASA")</f>
        <v>MACASA</v>
      </c>
      <c r="F121" s="105" t="str">
        <f>IFERROR(__xludf.DUMMYFUNCTION("""COMPUTED_VALUE"""),"POLO")</f>
        <v>POLO</v>
      </c>
    </row>
    <row r="122">
      <c r="A122" s="131">
        <f>IFERROR(__xludf.DUMMYFUNCTION("""COMPUTED_VALUE"""),121.0)</f>
        <v>121</v>
      </c>
      <c r="B122" s="131"/>
      <c r="C122" s="131">
        <f>IFERROR(__xludf.DUMMYFUNCTION("""COMPUTED_VALUE"""),120.0)</f>
        <v>120</v>
      </c>
      <c r="D122" s="131" t="b">
        <f>IFERROR(__xludf.DUMMYFUNCTION("""COMPUTED_VALUE"""),FALSE)</f>
        <v>0</v>
      </c>
      <c r="E122" s="115" t="str">
        <f>IFERROR(__xludf.DUMMYFUNCTION("""COMPUTED_VALUE"""),"ALCANTARA")</f>
        <v>ALCANTARA</v>
      </c>
      <c r="F122" s="107" t="str">
        <f>IFERROR(__xludf.DUMMYFUNCTION("""COMPUTED_VALUE"""),"GERALD")</f>
        <v>GERALD</v>
      </c>
    </row>
    <row r="123">
      <c r="A123" s="131">
        <f>IFERROR(__xludf.DUMMYFUNCTION("""COMPUTED_VALUE"""),122.0)</f>
        <v>122</v>
      </c>
      <c r="B123" s="131"/>
      <c r="C123" s="131">
        <f>IFERROR(__xludf.DUMMYFUNCTION("""COMPUTED_VALUE"""),120.0)</f>
        <v>120</v>
      </c>
      <c r="D123" s="131" t="b">
        <f>IFERROR(__xludf.DUMMYFUNCTION("""COMPUTED_VALUE"""),FALSE)</f>
        <v>0</v>
      </c>
      <c r="E123" s="107" t="str">
        <f>IFERROR(__xludf.DUMMYFUNCTION("""COMPUTED_VALUE"""),"ALVIAR")</f>
        <v>ALVIAR</v>
      </c>
      <c r="F123" s="107" t="str">
        <f>IFERROR(__xludf.DUMMYFUNCTION("""COMPUTED_VALUE"""),"PETER")</f>
        <v>PETER</v>
      </c>
    </row>
    <row r="124">
      <c r="A124" s="131">
        <f>IFERROR(__xludf.DUMMYFUNCTION("""COMPUTED_VALUE"""),123.0)</f>
        <v>123</v>
      </c>
      <c r="B124" s="131"/>
      <c r="C124" s="131">
        <f>IFERROR(__xludf.DUMMYFUNCTION("""COMPUTED_VALUE"""),120.0)</f>
        <v>120</v>
      </c>
      <c r="D124" s="131" t="b">
        <f>IFERROR(__xludf.DUMMYFUNCTION("""COMPUTED_VALUE"""),FALSE)</f>
        <v>0</v>
      </c>
      <c r="E124" s="116" t="str">
        <f>IFERROR(__xludf.DUMMYFUNCTION("""COMPUTED_VALUE"""),"BUCTOT")</f>
        <v>BUCTOT</v>
      </c>
      <c r="F124" s="107" t="str">
        <f>IFERROR(__xludf.DUMMYFUNCTION("""COMPUTED_VALUE"""),"JEFFREY")</f>
        <v>JEFFREY</v>
      </c>
    </row>
    <row r="125">
      <c r="A125" s="131">
        <f>IFERROR(__xludf.DUMMYFUNCTION("""COMPUTED_VALUE"""),124.0)</f>
        <v>124</v>
      </c>
      <c r="B125" s="131"/>
      <c r="C125" s="131">
        <f>IFERROR(__xludf.DUMMYFUNCTION("""COMPUTED_VALUE"""),120.0)</f>
        <v>120</v>
      </c>
      <c r="D125" s="131" t="b">
        <f>IFERROR(__xludf.DUMMYFUNCTION("""COMPUTED_VALUE"""),FALSE)</f>
        <v>0</v>
      </c>
      <c r="E125" s="107" t="str">
        <f>IFERROR(__xludf.DUMMYFUNCTION("""COMPUTED_VALUE"""),"CABRERA")</f>
        <v>CABRERA</v>
      </c>
      <c r="F125" s="107" t="str">
        <f>IFERROR(__xludf.DUMMYFUNCTION("""COMPUTED_VALUE"""),"LANCE")</f>
        <v>LANCE</v>
      </c>
    </row>
    <row r="126">
      <c r="A126" s="131">
        <f>IFERROR(__xludf.DUMMYFUNCTION("""COMPUTED_VALUE"""),125.0)</f>
        <v>125</v>
      </c>
      <c r="B126" s="131"/>
      <c r="C126" s="131">
        <f>IFERROR(__xludf.DUMMYFUNCTION("""COMPUTED_VALUE"""),120.0)</f>
        <v>120</v>
      </c>
      <c r="D126" s="131" t="b">
        <f>IFERROR(__xludf.DUMMYFUNCTION("""COMPUTED_VALUE"""),FALSE)</f>
        <v>0</v>
      </c>
      <c r="E126" s="107" t="str">
        <f>IFERROR(__xludf.DUMMYFUNCTION("""COMPUTED_VALUE"""),"CANDIDO")</f>
        <v>CANDIDO</v>
      </c>
      <c r="F126" s="107" t="str">
        <f>IFERROR(__xludf.DUMMYFUNCTION("""COMPUTED_VALUE"""),"PRINCE")</f>
        <v>PRINCE</v>
      </c>
    </row>
    <row r="127">
      <c r="A127" s="131">
        <f>IFERROR(__xludf.DUMMYFUNCTION("""COMPUTED_VALUE"""),126.0)</f>
        <v>126</v>
      </c>
      <c r="B127" s="131"/>
      <c r="C127" s="131">
        <f>IFERROR(__xludf.DUMMYFUNCTION("""COMPUTED_VALUE"""),120.0)</f>
        <v>120</v>
      </c>
      <c r="D127" s="131" t="b">
        <f>IFERROR(__xludf.DUMMYFUNCTION("""COMPUTED_VALUE"""),FALSE)</f>
        <v>0</v>
      </c>
      <c r="E127" s="107" t="str">
        <f>IFERROR(__xludf.DUMMYFUNCTION("""COMPUTED_VALUE"""),"LOUIE")</f>
        <v>LOUIE</v>
      </c>
      <c r="F127" s="107" t="str">
        <f>IFERROR(__xludf.DUMMYFUNCTION("""COMPUTED_VALUE"""),"JAMES")</f>
        <v>JAMES</v>
      </c>
    </row>
    <row r="128">
      <c r="A128" s="131">
        <f>IFERROR(__xludf.DUMMYFUNCTION("""COMPUTED_VALUE"""),127.0)</f>
        <v>127</v>
      </c>
      <c r="B128" s="131"/>
      <c r="C128" s="131">
        <f>IFERROR(__xludf.DUMMYFUNCTION("""COMPUTED_VALUE"""),120.0)</f>
        <v>120</v>
      </c>
      <c r="D128" s="131" t="b">
        <f>IFERROR(__xludf.DUMMYFUNCTION("""COMPUTED_VALUE"""),FALSE)</f>
        <v>0</v>
      </c>
      <c r="E128" s="107" t="str">
        <f>IFERROR(__xludf.DUMMYFUNCTION("""COMPUTED_VALUE"""),"MALIGTAS")</f>
        <v>MALIGTAS</v>
      </c>
      <c r="F128" s="107" t="str">
        <f>IFERROR(__xludf.DUMMYFUNCTION("""COMPUTED_VALUE"""),"SKYE")</f>
        <v>SKYE</v>
      </c>
    </row>
    <row r="129">
      <c r="A129" s="131">
        <f>IFERROR(__xludf.DUMMYFUNCTION("""COMPUTED_VALUE"""),128.0)</f>
        <v>128</v>
      </c>
      <c r="B129" s="131"/>
      <c r="C129" s="131">
        <f>IFERROR(__xludf.DUMMYFUNCTION("""COMPUTED_VALUE"""),120.0)</f>
        <v>120</v>
      </c>
      <c r="D129" s="131" t="b">
        <f>IFERROR(__xludf.DUMMYFUNCTION("""COMPUTED_VALUE"""),FALSE)</f>
        <v>0</v>
      </c>
      <c r="E129" s="107" t="str">
        <f>IFERROR(__xludf.DUMMYFUNCTION("""COMPUTED_VALUE"""),"NEHEMIAH")</f>
        <v>NEHEMIAH</v>
      </c>
      <c r="F129" s="107" t="str">
        <f>IFERROR(__xludf.DUMMYFUNCTION("""COMPUTED_VALUE"""),"ARKHEL")</f>
        <v>ARKHEL</v>
      </c>
    </row>
    <row r="130">
      <c r="A130" s="131">
        <f>IFERROR(__xludf.DUMMYFUNCTION("""COMPUTED_VALUE"""),129.0)</f>
        <v>129</v>
      </c>
      <c r="B130" s="131"/>
      <c r="C130" s="131">
        <f>IFERROR(__xludf.DUMMYFUNCTION("""COMPUTED_VALUE"""),120.0)</f>
        <v>120</v>
      </c>
      <c r="D130" s="131" t="b">
        <f>IFERROR(__xludf.DUMMYFUNCTION("""COMPUTED_VALUE"""),FALSE)</f>
        <v>0</v>
      </c>
      <c r="E130" s="107" t="str">
        <f>IFERROR(__xludf.DUMMYFUNCTION("""COMPUTED_VALUE"""),"OLASO")</f>
        <v>OLASO</v>
      </c>
      <c r="F130" s="107" t="str">
        <f>IFERROR(__xludf.DUMMYFUNCTION("""COMPUTED_VALUE"""),"CHARLES")</f>
        <v>CHARLES</v>
      </c>
    </row>
    <row r="131">
      <c r="A131" s="131">
        <f>IFERROR(__xludf.DUMMYFUNCTION("""COMPUTED_VALUE"""),130.0)</f>
        <v>130</v>
      </c>
      <c r="B131" s="131"/>
      <c r="C131" s="131">
        <f>IFERROR(__xludf.DUMMYFUNCTION("""COMPUTED_VALUE"""),120.0)</f>
        <v>120</v>
      </c>
      <c r="D131" s="131" t="b">
        <f>IFERROR(__xludf.DUMMYFUNCTION("""COMPUTED_VALUE"""),FALSE)</f>
        <v>0</v>
      </c>
      <c r="E131" s="107" t="str">
        <f>IFERROR(__xludf.DUMMYFUNCTION("""COMPUTED_VALUE"""),"PASCUA")</f>
        <v>PASCUA</v>
      </c>
      <c r="F131" s="107" t="str">
        <f>IFERROR(__xludf.DUMMYFUNCTION("""COMPUTED_VALUE"""),"JOHN MICHAEL")</f>
        <v>JOHN MICHAEL</v>
      </c>
    </row>
    <row r="132">
      <c r="A132" s="131">
        <f>IFERROR(__xludf.DUMMYFUNCTION("""COMPUTED_VALUE"""),131.0)</f>
        <v>131</v>
      </c>
      <c r="B132" s="131"/>
      <c r="C132" s="131">
        <f>IFERROR(__xludf.DUMMYFUNCTION("""COMPUTED_VALUE"""),120.0)</f>
        <v>120</v>
      </c>
      <c r="D132" s="131" t="b">
        <f>IFERROR(__xludf.DUMMYFUNCTION("""COMPUTED_VALUE"""),FALSE)</f>
        <v>0</v>
      </c>
      <c r="E132" s="107" t="str">
        <f>IFERROR(__xludf.DUMMYFUNCTION("""COMPUTED_VALUE"""),"PERALTA")</f>
        <v>PERALTA</v>
      </c>
      <c r="F132" s="107" t="str">
        <f>IFERROR(__xludf.DUMMYFUNCTION("""COMPUTED_VALUE"""),"MARLON")</f>
        <v>MARLON</v>
      </c>
    </row>
    <row r="133">
      <c r="A133" s="131">
        <f>IFERROR(__xludf.DUMMYFUNCTION("""COMPUTED_VALUE"""),132.0)</f>
        <v>132</v>
      </c>
      <c r="B133" s="131"/>
      <c r="C133" s="131">
        <f>IFERROR(__xludf.DUMMYFUNCTION("""COMPUTED_VALUE"""),120.0)</f>
        <v>120</v>
      </c>
      <c r="D133" s="131" t="b">
        <f>IFERROR(__xludf.DUMMYFUNCTION("""COMPUTED_VALUE"""),FALSE)</f>
        <v>0</v>
      </c>
      <c r="E133" s="107" t="str">
        <f>IFERROR(__xludf.DUMMYFUNCTION("""COMPUTED_VALUE"""),"PESAYCO")</f>
        <v>PESAYCO</v>
      </c>
      <c r="F133" s="107" t="str">
        <f>IFERROR(__xludf.DUMMYFUNCTION("""COMPUTED_VALUE"""),"KEITH")</f>
        <v>KEITH</v>
      </c>
    </row>
    <row r="134">
      <c r="A134" s="131">
        <f>IFERROR(__xludf.DUMMYFUNCTION("""COMPUTED_VALUE"""),133.0)</f>
        <v>133</v>
      </c>
      <c r="B134" s="131"/>
      <c r="C134" s="131">
        <f>IFERROR(__xludf.DUMMYFUNCTION("""COMPUTED_VALUE"""),120.0)</f>
        <v>120</v>
      </c>
      <c r="D134" s="131" t="b">
        <f>IFERROR(__xludf.DUMMYFUNCTION("""COMPUTED_VALUE"""),FALSE)</f>
        <v>0</v>
      </c>
      <c r="E134" s="107" t="str">
        <f>IFERROR(__xludf.DUMMYFUNCTION("""COMPUTED_VALUE"""),"RAZON")</f>
        <v>RAZON</v>
      </c>
      <c r="F134" s="107" t="str">
        <f>IFERROR(__xludf.DUMMYFUNCTION("""COMPUTED_VALUE"""),"JOSHUA")</f>
        <v>JOSHUA</v>
      </c>
    </row>
    <row r="135">
      <c r="A135" s="131">
        <f>IFERROR(__xludf.DUMMYFUNCTION("""COMPUTED_VALUE"""),134.0)</f>
        <v>134</v>
      </c>
      <c r="B135" s="131"/>
      <c r="C135" s="131">
        <f>IFERROR(__xludf.DUMMYFUNCTION("""COMPUTED_VALUE"""),120.0)</f>
        <v>120</v>
      </c>
      <c r="D135" s="131" t="b">
        <f>IFERROR(__xludf.DUMMYFUNCTION("""COMPUTED_VALUE"""),FALSE)</f>
        <v>0</v>
      </c>
      <c r="E135" s="107" t="str">
        <f>IFERROR(__xludf.DUMMYFUNCTION("""COMPUTED_VALUE"""),"ROCCO")</f>
        <v>ROCCO</v>
      </c>
      <c r="F135" s="107" t="str">
        <f>IFERROR(__xludf.DUMMYFUNCTION("""COMPUTED_VALUE"""),"MARK")</f>
        <v>MARK</v>
      </c>
    </row>
    <row r="136">
      <c r="A136" s="131">
        <f>IFERROR(__xludf.DUMMYFUNCTION("""COMPUTED_VALUE"""),135.0)</f>
        <v>135</v>
      </c>
      <c r="B136" s="131"/>
      <c r="C136" s="131">
        <f>IFERROR(__xludf.DUMMYFUNCTION("""COMPUTED_VALUE"""),120.0)</f>
        <v>120</v>
      </c>
      <c r="D136" s="131" t="b">
        <f>IFERROR(__xludf.DUMMYFUNCTION("""COMPUTED_VALUE"""),FALSE)</f>
        <v>0</v>
      </c>
      <c r="E136" s="107" t="str">
        <f>IFERROR(__xludf.DUMMYFUNCTION("""COMPUTED_VALUE"""),"ROME")</f>
        <v>ROME</v>
      </c>
      <c r="F136" s="107" t="str">
        <f>IFERROR(__xludf.DUMMYFUNCTION("""COMPUTED_VALUE"""),"ZAYIN")</f>
        <v>ZAYIN</v>
      </c>
    </row>
    <row r="137">
      <c r="A137" s="131">
        <f>IFERROR(__xludf.DUMMYFUNCTION("""COMPUTED_VALUE"""),136.0)</f>
        <v>136</v>
      </c>
      <c r="B137" s="131"/>
      <c r="C137" s="131">
        <f>IFERROR(__xludf.DUMMYFUNCTION("""COMPUTED_VALUE"""),120.0)</f>
        <v>120</v>
      </c>
      <c r="D137" s="131" t="b">
        <f>IFERROR(__xludf.DUMMYFUNCTION("""COMPUTED_VALUE"""),FALSE)</f>
        <v>0</v>
      </c>
      <c r="E137" s="107" t="str">
        <f>IFERROR(__xludf.DUMMYFUNCTION("""COMPUTED_VALUE"""),"ROME")</f>
        <v>ROME</v>
      </c>
      <c r="F137" s="107" t="str">
        <f>IFERROR(__xludf.DUMMYFUNCTION("""COMPUTED_VALUE"""),"ZACH")</f>
        <v>ZACH</v>
      </c>
    </row>
    <row r="138">
      <c r="A138" s="131">
        <f>IFERROR(__xludf.DUMMYFUNCTION("""COMPUTED_VALUE"""),137.0)</f>
        <v>137</v>
      </c>
      <c r="B138" s="131"/>
      <c r="C138" s="131">
        <f>IFERROR(__xludf.DUMMYFUNCTION("""COMPUTED_VALUE"""),120.0)</f>
        <v>120</v>
      </c>
      <c r="D138" s="131" t="b">
        <f>IFERROR(__xludf.DUMMYFUNCTION("""COMPUTED_VALUE"""),FALSE)</f>
        <v>0</v>
      </c>
      <c r="E138" s="107" t="str">
        <f>IFERROR(__xludf.DUMMYFUNCTION("""COMPUTED_VALUE"""),"SERRANO")</f>
        <v>SERRANO</v>
      </c>
      <c r="F138" s="107" t="str">
        <f>IFERROR(__xludf.DUMMYFUNCTION("""COMPUTED_VALUE"""),"MICO")</f>
        <v>MICO</v>
      </c>
    </row>
    <row r="139">
      <c r="A139" s="131">
        <f>IFERROR(__xludf.DUMMYFUNCTION("""COMPUTED_VALUE"""),138.0)</f>
        <v>138</v>
      </c>
      <c r="B139" s="131"/>
      <c r="C139" s="131">
        <f>IFERROR(__xludf.DUMMYFUNCTION("""COMPUTED_VALUE"""),120.0)</f>
        <v>120</v>
      </c>
      <c r="D139" s="131" t="b">
        <f>IFERROR(__xludf.DUMMYFUNCTION("""COMPUTED_VALUE"""),FALSE)</f>
        <v>0</v>
      </c>
      <c r="E139" s="98"/>
      <c r="F139" s="107" t="str">
        <f>IFERROR(__xludf.DUMMYFUNCTION("""COMPUTED_VALUE"""),"PAUL")</f>
        <v>PAUL</v>
      </c>
    </row>
    <row r="140">
      <c r="A140" s="131"/>
      <c r="B140" s="131"/>
      <c r="C140" s="131"/>
      <c r="D140" s="131"/>
      <c r="E140" s="131"/>
      <c r="F140" s="131"/>
    </row>
    <row r="141">
      <c r="A141" s="131">
        <f>IFERROR(__xludf.DUMMYFUNCTION("""COMPUTED_VALUE"""),140.0)</f>
        <v>140</v>
      </c>
      <c r="B141" s="131"/>
      <c r="C141" s="131">
        <f>IFERROR(__xludf.DUMMYFUNCTION("""COMPUTED_VALUE"""),140.0)</f>
        <v>140</v>
      </c>
      <c r="D141" s="131" t="b">
        <f>IFERROR(__xludf.DUMMYFUNCTION("""COMPUTED_VALUE"""),TRUE)</f>
        <v>1</v>
      </c>
      <c r="E141" s="105" t="str">
        <f>IFERROR(__xludf.DUMMYFUNCTION("""COMPUTED_VALUE"""),"ARANDA")</f>
        <v>ARANDA</v>
      </c>
      <c r="F141" s="105" t="str">
        <f>IFERROR(__xludf.DUMMYFUNCTION("""COMPUTED_VALUE"""),"IYA")</f>
        <v>IYA</v>
      </c>
    </row>
    <row r="142">
      <c r="A142" s="131">
        <f>IFERROR(__xludf.DUMMYFUNCTION("""COMPUTED_VALUE"""),141.0)</f>
        <v>141</v>
      </c>
      <c r="B142" s="131"/>
      <c r="C142" s="131">
        <f>IFERROR(__xludf.DUMMYFUNCTION("""COMPUTED_VALUE"""),140.0)</f>
        <v>140</v>
      </c>
      <c r="D142" s="131" t="b">
        <f>IFERROR(__xludf.DUMMYFUNCTION("""COMPUTED_VALUE"""),FALSE)</f>
        <v>0</v>
      </c>
      <c r="E142" s="109" t="str">
        <f>IFERROR(__xludf.DUMMYFUNCTION("""COMPUTED_VALUE"""),"ALIANZA")</f>
        <v>ALIANZA</v>
      </c>
      <c r="F142" s="109" t="str">
        <f>IFERROR(__xludf.DUMMYFUNCTION("""COMPUTED_VALUE"""),"JESEMIL")</f>
        <v>JESEMIL</v>
      </c>
    </row>
    <row r="143">
      <c r="A143" s="131">
        <f>IFERROR(__xludf.DUMMYFUNCTION("""COMPUTED_VALUE"""),142.0)</f>
        <v>142</v>
      </c>
      <c r="B143" s="131"/>
      <c r="C143" s="131">
        <f>IFERROR(__xludf.DUMMYFUNCTION("""COMPUTED_VALUE"""),140.0)</f>
        <v>140</v>
      </c>
      <c r="D143" s="131" t="b">
        <f>IFERROR(__xludf.DUMMYFUNCTION("""COMPUTED_VALUE"""),FALSE)</f>
        <v>0</v>
      </c>
      <c r="E143" s="109" t="str">
        <f>IFERROR(__xludf.DUMMYFUNCTION("""COMPUTED_VALUE"""),"ANTONIO")</f>
        <v>ANTONIO</v>
      </c>
      <c r="F143" s="109" t="str">
        <f>IFERROR(__xludf.DUMMYFUNCTION("""COMPUTED_VALUE"""),"CHAM")</f>
        <v>CHAM</v>
      </c>
    </row>
    <row r="144">
      <c r="A144" s="131">
        <f>IFERROR(__xludf.DUMMYFUNCTION("""COMPUTED_VALUE"""),143.0)</f>
        <v>143</v>
      </c>
      <c r="B144" s="131"/>
      <c r="C144" s="131">
        <f>IFERROR(__xludf.DUMMYFUNCTION("""COMPUTED_VALUE"""),140.0)</f>
        <v>140</v>
      </c>
      <c r="D144" s="131" t="b">
        <f>IFERROR(__xludf.DUMMYFUNCTION("""COMPUTED_VALUE"""),FALSE)</f>
        <v>0</v>
      </c>
      <c r="E144" s="109" t="str">
        <f>IFERROR(__xludf.DUMMYFUNCTION("""COMPUTED_VALUE"""),"AQUINO")</f>
        <v>AQUINO</v>
      </c>
      <c r="F144" s="109" t="str">
        <f>IFERROR(__xludf.DUMMYFUNCTION("""COMPUTED_VALUE"""),"JOANNA")</f>
        <v>JOANNA</v>
      </c>
    </row>
    <row r="145">
      <c r="A145" s="131">
        <f>IFERROR(__xludf.DUMMYFUNCTION("""COMPUTED_VALUE"""),144.0)</f>
        <v>144</v>
      </c>
      <c r="B145" s="131"/>
      <c r="C145" s="131">
        <f>IFERROR(__xludf.DUMMYFUNCTION("""COMPUTED_VALUE"""),140.0)</f>
        <v>140</v>
      </c>
      <c r="D145" s="131" t="b">
        <f>IFERROR(__xludf.DUMMYFUNCTION("""COMPUTED_VALUE"""),FALSE)</f>
        <v>0</v>
      </c>
      <c r="E145" s="109" t="str">
        <f>IFERROR(__xludf.DUMMYFUNCTION("""COMPUTED_VALUE"""),"ARANDA")</f>
        <v>ARANDA</v>
      </c>
      <c r="F145" s="109" t="str">
        <f>IFERROR(__xludf.DUMMYFUNCTION("""COMPUTED_VALUE"""),"ALEXANDRA")</f>
        <v>ALEXANDRA</v>
      </c>
    </row>
    <row r="146">
      <c r="A146" s="131">
        <f>IFERROR(__xludf.DUMMYFUNCTION("""COMPUTED_VALUE"""),145.0)</f>
        <v>145</v>
      </c>
      <c r="B146" s="131"/>
      <c r="C146" s="131">
        <f>IFERROR(__xludf.DUMMYFUNCTION("""COMPUTED_VALUE"""),140.0)</f>
        <v>140</v>
      </c>
      <c r="D146" s="131" t="b">
        <f>IFERROR(__xludf.DUMMYFUNCTION("""COMPUTED_VALUE"""),FALSE)</f>
        <v>0</v>
      </c>
      <c r="E146" s="109" t="str">
        <f>IFERROR(__xludf.DUMMYFUNCTION("""COMPUTED_VALUE"""),"CARAAN")</f>
        <v>CARAAN</v>
      </c>
      <c r="F146" s="109" t="str">
        <f>IFERROR(__xludf.DUMMYFUNCTION("""COMPUTED_VALUE"""),"CATHLINE")</f>
        <v>CATHLINE</v>
      </c>
    </row>
    <row r="147">
      <c r="A147" s="131">
        <f>IFERROR(__xludf.DUMMYFUNCTION("""COMPUTED_VALUE"""),146.0)</f>
        <v>146</v>
      </c>
      <c r="B147" s="131"/>
      <c r="C147" s="131">
        <f>IFERROR(__xludf.DUMMYFUNCTION("""COMPUTED_VALUE"""),140.0)</f>
        <v>140</v>
      </c>
      <c r="D147" s="131" t="b">
        <f>IFERROR(__xludf.DUMMYFUNCTION("""COMPUTED_VALUE"""),FALSE)</f>
        <v>0</v>
      </c>
      <c r="E147" s="109" t="str">
        <f>IFERROR(__xludf.DUMMYFUNCTION("""COMPUTED_VALUE"""),"CASTILLO")</f>
        <v>CASTILLO</v>
      </c>
      <c r="F147" s="109" t="str">
        <f>IFERROR(__xludf.DUMMYFUNCTION("""COMPUTED_VALUE"""),"JASIEL")</f>
        <v>JASIEL</v>
      </c>
    </row>
    <row r="148">
      <c r="A148" s="131">
        <f>IFERROR(__xludf.DUMMYFUNCTION("""COMPUTED_VALUE"""),147.0)</f>
        <v>147</v>
      </c>
      <c r="B148" s="131"/>
      <c r="C148" s="131">
        <f>IFERROR(__xludf.DUMMYFUNCTION("""COMPUTED_VALUE"""),140.0)</f>
        <v>140</v>
      </c>
      <c r="D148" s="131" t="b">
        <f>IFERROR(__xludf.DUMMYFUNCTION("""COMPUTED_VALUE"""),FALSE)</f>
        <v>0</v>
      </c>
      <c r="E148" s="109" t="str">
        <f>IFERROR(__xludf.DUMMYFUNCTION("""COMPUTED_VALUE"""),"CEA")</f>
        <v>CEA</v>
      </c>
      <c r="F148" s="109" t="str">
        <f>IFERROR(__xludf.DUMMYFUNCTION("""COMPUTED_VALUE"""),"DIANA")</f>
        <v>DIANA</v>
      </c>
    </row>
    <row r="149">
      <c r="A149" s="131">
        <f>IFERROR(__xludf.DUMMYFUNCTION("""COMPUTED_VALUE"""),148.0)</f>
        <v>148</v>
      </c>
      <c r="B149" s="131"/>
      <c r="C149" s="131">
        <f>IFERROR(__xludf.DUMMYFUNCTION("""COMPUTED_VALUE"""),140.0)</f>
        <v>140</v>
      </c>
      <c r="D149" s="131" t="b">
        <f>IFERROR(__xludf.DUMMYFUNCTION("""COMPUTED_VALUE"""),FALSE)</f>
        <v>0</v>
      </c>
      <c r="E149" s="109" t="str">
        <f>IFERROR(__xludf.DUMMYFUNCTION("""COMPUTED_VALUE"""),"CHUA")</f>
        <v>CHUA</v>
      </c>
      <c r="F149" s="109" t="str">
        <f>IFERROR(__xludf.DUMMYFUNCTION("""COMPUTED_VALUE"""),"PJ")</f>
        <v>PJ</v>
      </c>
    </row>
    <row r="150">
      <c r="A150" s="131">
        <f>IFERROR(__xludf.DUMMYFUNCTION("""COMPUTED_VALUE"""),149.0)</f>
        <v>149</v>
      </c>
      <c r="B150" s="131"/>
      <c r="C150" s="131">
        <f>IFERROR(__xludf.DUMMYFUNCTION("""COMPUTED_VALUE"""),140.0)</f>
        <v>140</v>
      </c>
      <c r="D150" s="131" t="b">
        <f>IFERROR(__xludf.DUMMYFUNCTION("""COMPUTED_VALUE"""),FALSE)</f>
        <v>0</v>
      </c>
      <c r="E150" s="109" t="str">
        <f>IFERROR(__xludf.DUMMYFUNCTION("""COMPUTED_VALUE"""),"DIZON")</f>
        <v>DIZON</v>
      </c>
      <c r="F150" s="109" t="str">
        <f>IFERROR(__xludf.DUMMYFUNCTION("""COMPUTED_VALUE"""),"ARRA")</f>
        <v>ARRA</v>
      </c>
    </row>
    <row r="151">
      <c r="A151" s="131">
        <f>IFERROR(__xludf.DUMMYFUNCTION("""COMPUTED_VALUE"""),150.0)</f>
        <v>150</v>
      </c>
      <c r="B151" s="131"/>
      <c r="C151" s="131">
        <f>IFERROR(__xludf.DUMMYFUNCTION("""COMPUTED_VALUE"""),140.0)</f>
        <v>140</v>
      </c>
      <c r="D151" s="131" t="b">
        <f>IFERROR(__xludf.DUMMYFUNCTION("""COMPUTED_VALUE"""),FALSE)</f>
        <v>0</v>
      </c>
      <c r="E151" s="109" t="str">
        <f>IFERROR(__xludf.DUMMYFUNCTION("""COMPUTED_VALUE"""),"ECLEVIA")</f>
        <v>ECLEVIA</v>
      </c>
      <c r="F151" s="109" t="str">
        <f>IFERROR(__xludf.DUMMYFUNCTION("""COMPUTED_VALUE"""),"ANGELICA")</f>
        <v>ANGELICA</v>
      </c>
    </row>
    <row r="152">
      <c r="A152" s="131">
        <f>IFERROR(__xludf.DUMMYFUNCTION("""COMPUTED_VALUE"""),151.0)</f>
        <v>151</v>
      </c>
      <c r="B152" s="131"/>
      <c r="C152" s="131">
        <f>IFERROR(__xludf.DUMMYFUNCTION("""COMPUTED_VALUE"""),140.0)</f>
        <v>140</v>
      </c>
      <c r="D152" s="131" t="b">
        <f>IFERROR(__xludf.DUMMYFUNCTION("""COMPUTED_VALUE"""),FALSE)</f>
        <v>0</v>
      </c>
      <c r="E152" s="109" t="str">
        <f>IFERROR(__xludf.DUMMYFUNCTION("""COMPUTED_VALUE"""),"FELIPE")</f>
        <v>FELIPE</v>
      </c>
      <c r="F152" s="109" t="str">
        <f>IFERROR(__xludf.DUMMYFUNCTION("""COMPUTED_VALUE"""),"JAIMIE")</f>
        <v>JAIMIE</v>
      </c>
    </row>
    <row r="153">
      <c r="A153" s="131">
        <f>IFERROR(__xludf.DUMMYFUNCTION("""COMPUTED_VALUE"""),152.0)</f>
        <v>152</v>
      </c>
      <c r="B153" s="131"/>
      <c r="C153" s="131">
        <f>IFERROR(__xludf.DUMMYFUNCTION("""COMPUTED_VALUE"""),140.0)</f>
        <v>140</v>
      </c>
      <c r="D153" s="131" t="b">
        <f>IFERROR(__xludf.DUMMYFUNCTION("""COMPUTED_VALUE"""),FALSE)</f>
        <v>0</v>
      </c>
      <c r="E153" s="109" t="str">
        <f>IFERROR(__xludf.DUMMYFUNCTION("""COMPUTED_VALUE"""),"FERNANDEZ")</f>
        <v>FERNANDEZ</v>
      </c>
      <c r="F153" s="109" t="str">
        <f>IFERROR(__xludf.DUMMYFUNCTION("""COMPUTED_VALUE"""),"SHARMAINE")</f>
        <v>SHARMAINE</v>
      </c>
    </row>
    <row r="154">
      <c r="A154" s="131">
        <f>IFERROR(__xludf.DUMMYFUNCTION("""COMPUTED_VALUE"""),153.0)</f>
        <v>153</v>
      </c>
      <c r="B154" s="131"/>
      <c r="C154" s="131">
        <f>IFERROR(__xludf.DUMMYFUNCTION("""COMPUTED_VALUE"""),140.0)</f>
        <v>140</v>
      </c>
      <c r="D154" s="131" t="b">
        <f>IFERROR(__xludf.DUMMYFUNCTION("""COMPUTED_VALUE"""),FALSE)</f>
        <v>0</v>
      </c>
      <c r="E154" s="109" t="str">
        <f>IFERROR(__xludf.DUMMYFUNCTION("""COMPUTED_VALUE"""),"FILIO")</f>
        <v>FILIO</v>
      </c>
      <c r="F154" s="109" t="str">
        <f>IFERROR(__xludf.DUMMYFUNCTION("""COMPUTED_VALUE"""),"DAISY")</f>
        <v>DAISY</v>
      </c>
    </row>
    <row r="155">
      <c r="A155" s="131">
        <f>IFERROR(__xludf.DUMMYFUNCTION("""COMPUTED_VALUE"""),154.0)</f>
        <v>154</v>
      </c>
      <c r="B155" s="131"/>
      <c r="C155" s="131">
        <f>IFERROR(__xludf.DUMMYFUNCTION("""COMPUTED_VALUE"""),140.0)</f>
        <v>140</v>
      </c>
      <c r="D155" s="131" t="b">
        <f>IFERROR(__xludf.DUMMYFUNCTION("""COMPUTED_VALUE"""),FALSE)</f>
        <v>0</v>
      </c>
      <c r="E155" s="109" t="str">
        <f>IFERROR(__xludf.DUMMYFUNCTION("""COMPUTED_VALUE"""),"FILIO")</f>
        <v>FILIO</v>
      </c>
      <c r="F155" s="109" t="str">
        <f>IFERROR(__xludf.DUMMYFUNCTION("""COMPUTED_VALUE"""),"JENNY")</f>
        <v>JENNY</v>
      </c>
    </row>
    <row r="156">
      <c r="A156" s="131">
        <f>IFERROR(__xludf.DUMMYFUNCTION("""COMPUTED_VALUE"""),155.0)</f>
        <v>155</v>
      </c>
      <c r="B156" s="131"/>
      <c r="C156" s="131">
        <f>IFERROR(__xludf.DUMMYFUNCTION("""COMPUTED_VALUE"""),140.0)</f>
        <v>140</v>
      </c>
      <c r="D156" s="131" t="b">
        <f>IFERROR(__xludf.DUMMYFUNCTION("""COMPUTED_VALUE"""),FALSE)</f>
        <v>0</v>
      </c>
      <c r="E156" s="109" t="str">
        <f>IFERROR(__xludf.DUMMYFUNCTION("""COMPUTED_VALUE"""),"FLORO")</f>
        <v>FLORO</v>
      </c>
      <c r="F156" s="109" t="str">
        <f>IFERROR(__xludf.DUMMYFUNCTION("""COMPUTED_VALUE"""),"JUSTINE")</f>
        <v>JUSTINE</v>
      </c>
    </row>
    <row r="157">
      <c r="A157" s="131">
        <f>IFERROR(__xludf.DUMMYFUNCTION("""COMPUTED_VALUE"""),156.0)</f>
        <v>156</v>
      </c>
      <c r="B157" s="131"/>
      <c r="C157" s="131">
        <f>IFERROR(__xludf.DUMMYFUNCTION("""COMPUTED_VALUE"""),140.0)</f>
        <v>140</v>
      </c>
      <c r="D157" s="131" t="b">
        <f>IFERROR(__xludf.DUMMYFUNCTION("""COMPUTED_VALUE"""),FALSE)</f>
        <v>0</v>
      </c>
      <c r="E157" s="109" t="str">
        <f>IFERROR(__xludf.DUMMYFUNCTION("""COMPUTED_VALUE"""),"FLORO")</f>
        <v>FLORO</v>
      </c>
      <c r="F157" s="109" t="str">
        <f>IFERROR(__xludf.DUMMYFUNCTION("""COMPUTED_VALUE"""),"MICA")</f>
        <v>MICA</v>
      </c>
    </row>
    <row r="158">
      <c r="A158" s="131">
        <f>IFERROR(__xludf.DUMMYFUNCTION("""COMPUTED_VALUE"""),157.0)</f>
        <v>157</v>
      </c>
      <c r="B158" s="131"/>
      <c r="C158" s="131">
        <f>IFERROR(__xludf.DUMMYFUNCTION("""COMPUTED_VALUE"""),140.0)</f>
        <v>140</v>
      </c>
      <c r="D158" s="131" t="b">
        <f>IFERROR(__xludf.DUMMYFUNCTION("""COMPUTED_VALUE"""),FALSE)</f>
        <v>0</v>
      </c>
      <c r="E158" s="109" t="str">
        <f>IFERROR(__xludf.DUMMYFUNCTION("""COMPUTED_VALUE"""),"FRANCISCO")</f>
        <v>FRANCISCO</v>
      </c>
      <c r="F158" s="109" t="str">
        <f>IFERROR(__xludf.DUMMYFUNCTION("""COMPUTED_VALUE"""),"RAMILYN")</f>
        <v>RAMILYN</v>
      </c>
    </row>
    <row r="159">
      <c r="A159" s="131">
        <f>IFERROR(__xludf.DUMMYFUNCTION("""COMPUTED_VALUE"""),158.0)</f>
        <v>158</v>
      </c>
      <c r="B159" s="131"/>
      <c r="C159" s="131">
        <f>IFERROR(__xludf.DUMMYFUNCTION("""COMPUTED_VALUE"""),140.0)</f>
        <v>140</v>
      </c>
      <c r="D159" s="131" t="b">
        <f>IFERROR(__xludf.DUMMYFUNCTION("""COMPUTED_VALUE"""),FALSE)</f>
        <v>0</v>
      </c>
      <c r="E159" s="109" t="str">
        <f>IFERROR(__xludf.DUMMYFUNCTION("""COMPUTED_VALUE"""),"GEMOTO")</f>
        <v>GEMOTO</v>
      </c>
      <c r="F159" s="109" t="str">
        <f>IFERROR(__xludf.DUMMYFUNCTION("""COMPUTED_VALUE"""),"JASMINE")</f>
        <v>JASMINE</v>
      </c>
    </row>
    <row r="160">
      <c r="A160" s="131">
        <f>IFERROR(__xludf.DUMMYFUNCTION("""COMPUTED_VALUE"""),159.0)</f>
        <v>159</v>
      </c>
      <c r="B160" s="131"/>
      <c r="C160" s="131">
        <f>IFERROR(__xludf.DUMMYFUNCTION("""COMPUTED_VALUE"""),140.0)</f>
        <v>140</v>
      </c>
      <c r="D160" s="131" t="b">
        <f>IFERROR(__xludf.DUMMYFUNCTION("""COMPUTED_VALUE"""),FALSE)</f>
        <v>0</v>
      </c>
      <c r="E160" s="109" t="str">
        <f>IFERROR(__xludf.DUMMYFUNCTION("""COMPUTED_VALUE"""),"LABAYNE")</f>
        <v>LABAYNE</v>
      </c>
      <c r="F160" s="109" t="str">
        <f>IFERROR(__xludf.DUMMYFUNCTION("""COMPUTED_VALUE"""),"GRACE")</f>
        <v>GRACE</v>
      </c>
    </row>
    <row r="161">
      <c r="A161" s="131">
        <f>IFERROR(__xludf.DUMMYFUNCTION("""COMPUTED_VALUE"""),160.0)</f>
        <v>160</v>
      </c>
      <c r="B161" s="131"/>
      <c r="C161" s="131">
        <f>IFERROR(__xludf.DUMMYFUNCTION("""COMPUTED_VALUE"""),140.0)</f>
        <v>140</v>
      </c>
      <c r="D161" s="131" t="b">
        <f>IFERROR(__xludf.DUMMYFUNCTION("""COMPUTED_VALUE"""),FALSE)</f>
        <v>0</v>
      </c>
      <c r="E161" s="109" t="str">
        <f>IFERROR(__xludf.DUMMYFUNCTION("""COMPUTED_VALUE"""),"OCEMAN")</f>
        <v>OCEMAN</v>
      </c>
      <c r="F161" s="109" t="str">
        <f>IFERROR(__xludf.DUMMYFUNCTION("""COMPUTED_VALUE"""),"RAI-RAI")</f>
        <v>RAI-RAI</v>
      </c>
    </row>
    <row r="162">
      <c r="A162" s="131">
        <f>IFERROR(__xludf.DUMMYFUNCTION("""COMPUTED_VALUE"""),161.0)</f>
        <v>161</v>
      </c>
      <c r="B162" s="131"/>
      <c r="C162" s="131">
        <f>IFERROR(__xludf.DUMMYFUNCTION("""COMPUTED_VALUE"""),140.0)</f>
        <v>140</v>
      </c>
      <c r="D162" s="131" t="b">
        <f>IFERROR(__xludf.DUMMYFUNCTION("""COMPUTED_VALUE"""),FALSE)</f>
        <v>0</v>
      </c>
      <c r="E162" s="109" t="str">
        <f>IFERROR(__xludf.DUMMYFUNCTION("""COMPUTED_VALUE"""),"ORQUIA")</f>
        <v>ORQUIA</v>
      </c>
      <c r="F162" s="109" t="str">
        <f>IFERROR(__xludf.DUMMYFUNCTION("""COMPUTED_VALUE"""),"KEZA")</f>
        <v>KEZA</v>
      </c>
    </row>
    <row r="163">
      <c r="A163" s="131">
        <f>IFERROR(__xludf.DUMMYFUNCTION("""COMPUTED_VALUE"""),162.0)</f>
        <v>162</v>
      </c>
      <c r="B163" s="131"/>
      <c r="C163" s="131">
        <f>IFERROR(__xludf.DUMMYFUNCTION("""COMPUTED_VALUE"""),140.0)</f>
        <v>140</v>
      </c>
      <c r="D163" s="131" t="b">
        <f>IFERROR(__xludf.DUMMYFUNCTION("""COMPUTED_VALUE"""),FALSE)</f>
        <v>0</v>
      </c>
      <c r="E163" s="109" t="str">
        <f>IFERROR(__xludf.DUMMYFUNCTION("""COMPUTED_VALUE"""),"PERALTA")</f>
        <v>PERALTA</v>
      </c>
      <c r="F163" s="109" t="str">
        <f>IFERROR(__xludf.DUMMYFUNCTION("""COMPUTED_VALUE"""),"YEN")</f>
        <v>YEN</v>
      </c>
    </row>
    <row r="164">
      <c r="A164" s="131">
        <f>IFERROR(__xludf.DUMMYFUNCTION("""COMPUTED_VALUE"""),163.0)</f>
        <v>163</v>
      </c>
      <c r="B164" s="131"/>
      <c r="C164" s="131">
        <f>IFERROR(__xludf.DUMMYFUNCTION("""COMPUTED_VALUE"""),140.0)</f>
        <v>140</v>
      </c>
      <c r="D164" s="131" t="b">
        <f>IFERROR(__xludf.DUMMYFUNCTION("""COMPUTED_VALUE"""),FALSE)</f>
        <v>0</v>
      </c>
      <c r="E164" s="109" t="str">
        <f>IFERROR(__xludf.DUMMYFUNCTION("""COMPUTED_VALUE"""),"TAN SANCHEZ")</f>
        <v>TAN SANCHEZ</v>
      </c>
      <c r="F164" s="109" t="str">
        <f>IFERROR(__xludf.DUMMYFUNCTION("""COMPUTED_VALUE"""),"MARY KHAYE")</f>
        <v>MARY KHAYE</v>
      </c>
    </row>
    <row r="165">
      <c r="A165" s="131">
        <f>IFERROR(__xludf.DUMMYFUNCTION("""COMPUTED_VALUE"""),164.0)</f>
        <v>164</v>
      </c>
      <c r="B165" s="131"/>
      <c r="C165" s="131">
        <f>IFERROR(__xludf.DUMMYFUNCTION("""COMPUTED_VALUE"""),140.0)</f>
        <v>140</v>
      </c>
      <c r="D165" s="131" t="b">
        <f>IFERROR(__xludf.DUMMYFUNCTION("""COMPUTED_VALUE"""),FALSE)</f>
        <v>0</v>
      </c>
      <c r="E165" s="109" t="str">
        <f>IFERROR(__xludf.DUMMYFUNCTION("""COMPUTED_VALUE"""),"TANDUL")</f>
        <v>TANDUL</v>
      </c>
      <c r="F165" s="109" t="str">
        <f>IFERROR(__xludf.DUMMYFUNCTION("""COMPUTED_VALUE"""),"ELAIJAH")</f>
        <v>ELAIJAH</v>
      </c>
    </row>
    <row r="166">
      <c r="A166" s="131">
        <f>IFERROR(__xludf.DUMMYFUNCTION("""COMPUTED_VALUE"""),165.0)</f>
        <v>165</v>
      </c>
      <c r="B166" s="131"/>
      <c r="C166" s="131">
        <f>IFERROR(__xludf.DUMMYFUNCTION("""COMPUTED_VALUE"""),140.0)</f>
        <v>140</v>
      </c>
      <c r="D166" s="131" t="b">
        <f>IFERROR(__xludf.DUMMYFUNCTION("""COMPUTED_VALUE"""),FALSE)</f>
        <v>0</v>
      </c>
      <c r="E166" s="109" t="str">
        <f>IFERROR(__xludf.DUMMYFUNCTION("""COMPUTED_VALUE"""),"VILLONES")</f>
        <v>VILLONES</v>
      </c>
      <c r="F166" s="109" t="str">
        <f>IFERROR(__xludf.DUMMYFUNCTION("""COMPUTED_VALUE"""),"RHEA")</f>
        <v>RHEA</v>
      </c>
    </row>
    <row r="167">
      <c r="A167" s="131">
        <f>IFERROR(__xludf.DUMMYFUNCTION("""COMPUTED_VALUE"""),166.0)</f>
        <v>166</v>
      </c>
      <c r="B167" s="131"/>
      <c r="C167" s="131"/>
      <c r="D167" s="131" t="b">
        <f>IFERROR(__xludf.DUMMYFUNCTION("""COMPUTED_VALUE"""),FALSE)</f>
        <v>0</v>
      </c>
      <c r="E167" s="131"/>
      <c r="F167" s="131"/>
    </row>
    <row r="168">
      <c r="A168" s="131">
        <f>IFERROR(__xludf.DUMMYFUNCTION("""COMPUTED_VALUE"""),167.0)</f>
        <v>167</v>
      </c>
      <c r="B168" s="131"/>
      <c r="C168" s="131">
        <f>IFERROR(__xludf.DUMMYFUNCTION("""COMPUTED_VALUE"""),167.0)</f>
        <v>167</v>
      </c>
      <c r="D168" s="131" t="b">
        <f>IFERROR(__xludf.DUMMYFUNCTION("""COMPUTED_VALUE"""),TRUE)</f>
        <v>1</v>
      </c>
      <c r="E168" s="105" t="str">
        <f>IFERROR(__xludf.DUMMYFUNCTION("""COMPUTED_VALUE"""),"DE-DIOS")</f>
        <v>DE-DIOS</v>
      </c>
      <c r="F168" s="105" t="str">
        <f>IFERROR(__xludf.DUMMYFUNCTION("""COMPUTED_VALUE"""),"JAY-EL")</f>
        <v>JAY-EL</v>
      </c>
    </row>
    <row r="169">
      <c r="A169" s="131">
        <f>IFERROR(__xludf.DUMMYFUNCTION("""COMPUTED_VALUE"""),168.0)</f>
        <v>168</v>
      </c>
      <c r="B169" s="131"/>
      <c r="C169" s="131">
        <f>IFERROR(__xludf.DUMMYFUNCTION("""COMPUTED_VALUE"""),167.0)</f>
        <v>167</v>
      </c>
      <c r="D169" s="131" t="b">
        <f>IFERROR(__xludf.DUMMYFUNCTION("""COMPUTED_VALUE"""),FALSE)</f>
        <v>0</v>
      </c>
      <c r="E169" s="107" t="str">
        <f>IFERROR(__xludf.DUMMYFUNCTION("""COMPUTED_VALUE"""),"BARONGGO")</f>
        <v>BARONGGO</v>
      </c>
      <c r="F169" s="107" t="str">
        <f>IFERROR(__xludf.DUMMYFUNCTION("""COMPUTED_VALUE"""),"FRANK")</f>
        <v>FRANK</v>
      </c>
    </row>
    <row r="170">
      <c r="A170" s="131">
        <f>IFERROR(__xludf.DUMMYFUNCTION("""COMPUTED_VALUE"""),169.0)</f>
        <v>169</v>
      </c>
      <c r="B170" s="131"/>
      <c r="C170" s="131">
        <f>IFERROR(__xludf.DUMMYFUNCTION("""COMPUTED_VALUE"""),167.0)</f>
        <v>167</v>
      </c>
      <c r="D170" s="131" t="b">
        <f>IFERROR(__xludf.DUMMYFUNCTION("""COMPUTED_VALUE"""),FALSE)</f>
        <v>0</v>
      </c>
      <c r="E170" s="107" t="str">
        <f>IFERROR(__xludf.DUMMYFUNCTION("""COMPUTED_VALUE"""),"ABENOJAR")</f>
        <v>ABENOJAR</v>
      </c>
      <c r="F170" s="107" t="str">
        <f>IFERROR(__xludf.DUMMYFUNCTION("""COMPUTED_VALUE"""),"CLIFFORD")</f>
        <v>CLIFFORD</v>
      </c>
    </row>
    <row r="171">
      <c r="A171" s="131">
        <f>IFERROR(__xludf.DUMMYFUNCTION("""COMPUTED_VALUE"""),170.0)</f>
        <v>170</v>
      </c>
      <c r="B171" s="131"/>
      <c r="C171" s="131">
        <f>IFERROR(__xludf.DUMMYFUNCTION("""COMPUTED_VALUE"""),167.0)</f>
        <v>167</v>
      </c>
      <c r="D171" s="131" t="b">
        <f>IFERROR(__xludf.DUMMYFUNCTION("""COMPUTED_VALUE"""),FALSE)</f>
        <v>0</v>
      </c>
      <c r="E171" s="107" t="str">
        <f>IFERROR(__xludf.DUMMYFUNCTION("""COMPUTED_VALUE"""),"ABUS")</f>
        <v>ABUS</v>
      </c>
      <c r="F171" s="107" t="str">
        <f>IFERROR(__xludf.DUMMYFUNCTION("""COMPUTED_VALUE"""),"RV PETER")</f>
        <v>RV PETER</v>
      </c>
    </row>
    <row r="172">
      <c r="A172" s="131">
        <f>IFERROR(__xludf.DUMMYFUNCTION("""COMPUTED_VALUE"""),171.0)</f>
        <v>171</v>
      </c>
      <c r="B172" s="131"/>
      <c r="C172" s="131">
        <f>IFERROR(__xludf.DUMMYFUNCTION("""COMPUTED_VALUE"""),167.0)</f>
        <v>167</v>
      </c>
      <c r="D172" s="131" t="b">
        <f>IFERROR(__xludf.DUMMYFUNCTION("""COMPUTED_VALUE"""),FALSE)</f>
        <v>0</v>
      </c>
      <c r="E172" s="107" t="str">
        <f>IFERROR(__xludf.DUMMYFUNCTION("""COMPUTED_VALUE"""),"ANTONIO")</f>
        <v>ANTONIO</v>
      </c>
      <c r="F172" s="107" t="str">
        <f>IFERROR(__xludf.DUMMYFUNCTION("""COMPUTED_VALUE"""),"DON")</f>
        <v>DON</v>
      </c>
    </row>
    <row r="173">
      <c r="A173" s="131">
        <f>IFERROR(__xludf.DUMMYFUNCTION("""COMPUTED_VALUE"""),172.0)</f>
        <v>172</v>
      </c>
      <c r="B173" s="131"/>
      <c r="C173" s="131">
        <f>IFERROR(__xludf.DUMMYFUNCTION("""COMPUTED_VALUE"""),167.0)</f>
        <v>167</v>
      </c>
      <c r="D173" s="131" t="b">
        <f>IFERROR(__xludf.DUMMYFUNCTION("""COMPUTED_VALUE"""),FALSE)</f>
        <v>0</v>
      </c>
      <c r="E173" s="107" t="str">
        <f>IFERROR(__xludf.DUMMYFUNCTION("""COMPUTED_VALUE"""),"BERDIN")</f>
        <v>BERDIN</v>
      </c>
      <c r="F173" s="107" t="str">
        <f>IFERROR(__xludf.DUMMYFUNCTION("""COMPUTED_VALUE"""),"KURT")</f>
        <v>KURT</v>
      </c>
    </row>
    <row r="174">
      <c r="A174" s="131">
        <f>IFERROR(__xludf.DUMMYFUNCTION("""COMPUTED_VALUE"""),173.0)</f>
        <v>173</v>
      </c>
      <c r="B174" s="131"/>
      <c r="C174" s="131">
        <f>IFERROR(__xludf.DUMMYFUNCTION("""COMPUTED_VALUE"""),167.0)</f>
        <v>167</v>
      </c>
      <c r="D174" s="131" t="b">
        <f>IFERROR(__xludf.DUMMYFUNCTION("""COMPUTED_VALUE"""),FALSE)</f>
        <v>0</v>
      </c>
      <c r="E174" s="107" t="str">
        <f>IFERROR(__xludf.DUMMYFUNCTION("""COMPUTED_VALUE"""),"CALUBIRAN")</f>
        <v>CALUBIRAN</v>
      </c>
      <c r="F174" s="107" t="str">
        <f>IFERROR(__xludf.DUMMYFUNCTION("""COMPUTED_VALUE"""),"JOEL")</f>
        <v>JOEL</v>
      </c>
    </row>
    <row r="175">
      <c r="A175" s="131">
        <f>IFERROR(__xludf.DUMMYFUNCTION("""COMPUTED_VALUE"""),174.0)</f>
        <v>174</v>
      </c>
      <c r="B175" s="131"/>
      <c r="C175" s="131">
        <f>IFERROR(__xludf.DUMMYFUNCTION("""COMPUTED_VALUE"""),167.0)</f>
        <v>167</v>
      </c>
      <c r="D175" s="131" t="b">
        <f>IFERROR(__xludf.DUMMYFUNCTION("""COMPUTED_VALUE"""),FALSE)</f>
        <v>0</v>
      </c>
      <c r="E175" s="107" t="str">
        <f>IFERROR(__xludf.DUMMYFUNCTION("""COMPUTED_VALUE"""),"CARANGAN")</f>
        <v>CARANGAN</v>
      </c>
      <c r="F175" s="107" t="str">
        <f>IFERROR(__xludf.DUMMYFUNCTION("""COMPUTED_VALUE"""),"LANCE")</f>
        <v>LANCE</v>
      </c>
    </row>
    <row r="176">
      <c r="A176" s="131">
        <f>IFERROR(__xludf.DUMMYFUNCTION("""COMPUTED_VALUE"""),175.0)</f>
        <v>175</v>
      </c>
      <c r="B176" s="131"/>
      <c r="C176" s="131">
        <f>IFERROR(__xludf.DUMMYFUNCTION("""COMPUTED_VALUE"""),167.0)</f>
        <v>167</v>
      </c>
      <c r="D176" s="131" t="b">
        <f>IFERROR(__xludf.DUMMYFUNCTION("""COMPUTED_VALUE"""),FALSE)</f>
        <v>0</v>
      </c>
      <c r="E176" s="107" t="str">
        <f>IFERROR(__xludf.DUMMYFUNCTION("""COMPUTED_VALUE"""),"CASINUSIMAN")</f>
        <v>CASINUSIMAN</v>
      </c>
      <c r="F176" s="107" t="str">
        <f>IFERROR(__xludf.DUMMYFUNCTION("""COMPUTED_VALUE"""),"RAINER")</f>
        <v>RAINER</v>
      </c>
    </row>
    <row r="177">
      <c r="A177" s="131">
        <f>IFERROR(__xludf.DUMMYFUNCTION("""COMPUTED_VALUE"""),176.0)</f>
        <v>176</v>
      </c>
      <c r="B177" s="131"/>
      <c r="C177" s="131">
        <f>IFERROR(__xludf.DUMMYFUNCTION("""COMPUTED_VALUE"""),167.0)</f>
        <v>167</v>
      </c>
      <c r="D177" s="131" t="b">
        <f>IFERROR(__xludf.DUMMYFUNCTION("""COMPUTED_VALUE"""),FALSE)</f>
        <v>0</v>
      </c>
      <c r="E177" s="107" t="str">
        <f>IFERROR(__xludf.DUMMYFUNCTION("""COMPUTED_VALUE"""),"CORVERA")</f>
        <v>CORVERA</v>
      </c>
      <c r="F177" s="107" t="str">
        <f>IFERROR(__xludf.DUMMYFUNCTION("""COMPUTED_VALUE"""),"FLORENCE")</f>
        <v>FLORENCE</v>
      </c>
    </row>
    <row r="178">
      <c r="A178" s="131">
        <f>IFERROR(__xludf.DUMMYFUNCTION("""COMPUTED_VALUE"""),177.0)</f>
        <v>177</v>
      </c>
      <c r="B178" s="131"/>
      <c r="C178" s="131">
        <f>IFERROR(__xludf.DUMMYFUNCTION("""COMPUTED_VALUE"""),167.0)</f>
        <v>167</v>
      </c>
      <c r="D178" s="131" t="b">
        <f>IFERROR(__xludf.DUMMYFUNCTION("""COMPUTED_VALUE"""),FALSE)</f>
        <v>0</v>
      </c>
      <c r="E178" s="107" t="str">
        <f>IFERROR(__xludf.DUMMYFUNCTION("""COMPUTED_VALUE"""),"DABALOS")</f>
        <v>DABALOS</v>
      </c>
      <c r="F178" s="107" t="str">
        <f>IFERROR(__xludf.DUMMYFUNCTION("""COMPUTED_VALUE"""),"MERVIN")</f>
        <v>MERVIN</v>
      </c>
    </row>
    <row r="179">
      <c r="A179" s="131">
        <f>IFERROR(__xludf.DUMMYFUNCTION("""COMPUTED_VALUE"""),178.0)</f>
        <v>178</v>
      </c>
      <c r="B179" s="131"/>
      <c r="C179" s="131">
        <f>IFERROR(__xludf.DUMMYFUNCTION("""COMPUTED_VALUE"""),167.0)</f>
        <v>167</v>
      </c>
      <c r="D179" s="131" t="b">
        <f>IFERROR(__xludf.DUMMYFUNCTION("""COMPUTED_VALUE"""),FALSE)</f>
        <v>0</v>
      </c>
      <c r="E179" s="107" t="str">
        <f>IFERROR(__xludf.DUMMYFUNCTION("""COMPUTED_VALUE"""),"DATO")</f>
        <v>DATO</v>
      </c>
      <c r="F179" s="107" t="str">
        <f>IFERROR(__xludf.DUMMYFUNCTION("""COMPUTED_VALUE"""),"JOHN AL")</f>
        <v>JOHN AL</v>
      </c>
    </row>
    <row r="180">
      <c r="A180" s="131">
        <f>IFERROR(__xludf.DUMMYFUNCTION("""COMPUTED_VALUE"""),179.0)</f>
        <v>179</v>
      </c>
      <c r="B180" s="131"/>
      <c r="C180" s="131">
        <f>IFERROR(__xludf.DUMMYFUNCTION("""COMPUTED_VALUE"""),167.0)</f>
        <v>167</v>
      </c>
      <c r="D180" s="131" t="b">
        <f>IFERROR(__xludf.DUMMYFUNCTION("""COMPUTED_VALUE"""),FALSE)</f>
        <v>0</v>
      </c>
      <c r="E180" s="107" t="str">
        <f>IFERROR(__xludf.DUMMYFUNCTION("""COMPUTED_VALUE"""),"DELA CRUZ")</f>
        <v>DELA CRUZ</v>
      </c>
      <c r="F180" s="107" t="str">
        <f>IFERROR(__xludf.DUMMYFUNCTION("""COMPUTED_VALUE"""),"DYLAN")</f>
        <v>DYLAN</v>
      </c>
    </row>
    <row r="181">
      <c r="A181" s="131">
        <f>IFERROR(__xludf.DUMMYFUNCTION("""COMPUTED_VALUE"""),180.0)</f>
        <v>180</v>
      </c>
      <c r="B181" s="131"/>
      <c r="C181" s="131">
        <f>IFERROR(__xludf.DUMMYFUNCTION("""COMPUTED_VALUE"""),167.0)</f>
        <v>167</v>
      </c>
      <c r="D181" s="131" t="b">
        <f>IFERROR(__xludf.DUMMYFUNCTION("""COMPUTED_VALUE"""),FALSE)</f>
        <v>0</v>
      </c>
      <c r="E181" s="107" t="str">
        <f>IFERROR(__xludf.DUMMYFUNCTION("""COMPUTED_VALUE"""),"DELA PEÑA")</f>
        <v>DELA PEÑA</v>
      </c>
      <c r="F181" s="107" t="str">
        <f>IFERROR(__xludf.DUMMYFUNCTION("""COMPUTED_VALUE"""),"ACEL")</f>
        <v>ACEL</v>
      </c>
    </row>
    <row r="182">
      <c r="A182" s="131">
        <f>IFERROR(__xludf.DUMMYFUNCTION("""COMPUTED_VALUE"""),181.0)</f>
        <v>181</v>
      </c>
      <c r="B182" s="131"/>
      <c r="C182" s="131">
        <f>IFERROR(__xludf.DUMMYFUNCTION("""COMPUTED_VALUE"""),167.0)</f>
        <v>167</v>
      </c>
      <c r="D182" s="131" t="b">
        <f>IFERROR(__xludf.DUMMYFUNCTION("""COMPUTED_VALUE"""),FALSE)</f>
        <v>0</v>
      </c>
      <c r="E182" s="107" t="str">
        <f>IFERROR(__xludf.DUMMYFUNCTION("""COMPUTED_VALUE"""),"DELECTOR")</f>
        <v>DELECTOR</v>
      </c>
      <c r="F182" s="107" t="str">
        <f>IFERROR(__xludf.DUMMYFUNCTION("""COMPUTED_VALUE"""),"FRANCIS CRISTEL")</f>
        <v>FRANCIS CRISTEL</v>
      </c>
    </row>
    <row r="183">
      <c r="A183" s="131">
        <f>IFERROR(__xludf.DUMMYFUNCTION("""COMPUTED_VALUE"""),182.0)</f>
        <v>182</v>
      </c>
      <c r="B183" s="131"/>
      <c r="C183" s="131">
        <f>IFERROR(__xludf.DUMMYFUNCTION("""COMPUTED_VALUE"""),167.0)</f>
        <v>167</v>
      </c>
      <c r="D183" s="131" t="b">
        <f>IFERROR(__xludf.DUMMYFUNCTION("""COMPUTED_VALUE"""),FALSE)</f>
        <v>0</v>
      </c>
      <c r="E183" s="107" t="str">
        <f>IFERROR(__xludf.DUMMYFUNCTION("""COMPUTED_VALUE"""),"DELECTOR")</f>
        <v>DELECTOR</v>
      </c>
      <c r="F183" s="107" t="str">
        <f>IFERROR(__xludf.DUMMYFUNCTION("""COMPUTED_VALUE"""),"FRANZINE CARLO")</f>
        <v>FRANZINE CARLO</v>
      </c>
    </row>
    <row r="184">
      <c r="A184" s="131">
        <f>IFERROR(__xludf.DUMMYFUNCTION("""COMPUTED_VALUE"""),183.0)</f>
        <v>183</v>
      </c>
      <c r="B184" s="131"/>
      <c r="C184" s="131">
        <f>IFERROR(__xludf.DUMMYFUNCTION("""COMPUTED_VALUE"""),167.0)</f>
        <v>167</v>
      </c>
      <c r="D184" s="131" t="b">
        <f>IFERROR(__xludf.DUMMYFUNCTION("""COMPUTED_VALUE"""),FALSE)</f>
        <v>0</v>
      </c>
      <c r="E184" s="107" t="str">
        <f>IFERROR(__xludf.DUMMYFUNCTION("""COMPUTED_VALUE"""),"FRONDA")</f>
        <v>FRONDA</v>
      </c>
      <c r="F184" s="107" t="str">
        <f>IFERROR(__xludf.DUMMYFUNCTION("""COMPUTED_VALUE"""),"ED")</f>
        <v>ED</v>
      </c>
    </row>
    <row r="185">
      <c r="A185" s="131">
        <f>IFERROR(__xludf.DUMMYFUNCTION("""COMPUTED_VALUE"""),184.0)</f>
        <v>184</v>
      </c>
      <c r="B185" s="131"/>
      <c r="C185" s="131">
        <f>IFERROR(__xludf.DUMMYFUNCTION("""COMPUTED_VALUE"""),167.0)</f>
        <v>167</v>
      </c>
      <c r="D185" s="131" t="b">
        <f>IFERROR(__xludf.DUMMYFUNCTION("""COMPUTED_VALUE"""),FALSE)</f>
        <v>0</v>
      </c>
      <c r="E185" s="107" t="str">
        <f>IFERROR(__xludf.DUMMYFUNCTION("""COMPUTED_VALUE"""),"GELICAME")</f>
        <v>GELICAME</v>
      </c>
      <c r="F185" s="107" t="str">
        <f>IFERROR(__xludf.DUMMYFUNCTION("""COMPUTED_VALUE"""),"ALJHUN")</f>
        <v>ALJHUN</v>
      </c>
    </row>
    <row r="186">
      <c r="A186" s="131">
        <f>IFERROR(__xludf.DUMMYFUNCTION("""COMPUTED_VALUE"""),185.0)</f>
        <v>185</v>
      </c>
      <c r="B186" s="131"/>
      <c r="C186" s="131">
        <f>IFERROR(__xludf.DUMMYFUNCTION("""COMPUTED_VALUE"""),167.0)</f>
        <v>167</v>
      </c>
      <c r="D186" s="131" t="b">
        <f>IFERROR(__xludf.DUMMYFUNCTION("""COMPUTED_VALUE"""),FALSE)</f>
        <v>0</v>
      </c>
      <c r="E186" s="107" t="str">
        <f>IFERROR(__xludf.DUMMYFUNCTION("""COMPUTED_VALUE"""),"LABAYNE")</f>
        <v>LABAYNE</v>
      </c>
      <c r="F186" s="107" t="str">
        <f>IFERROR(__xludf.DUMMYFUNCTION("""COMPUTED_VALUE"""),"JOSHUA")</f>
        <v>JOSHUA</v>
      </c>
    </row>
    <row r="187">
      <c r="A187" s="131">
        <f>IFERROR(__xludf.DUMMYFUNCTION("""COMPUTED_VALUE"""),186.0)</f>
        <v>186</v>
      </c>
      <c r="B187" s="131"/>
      <c r="C187" s="131">
        <f>IFERROR(__xludf.DUMMYFUNCTION("""COMPUTED_VALUE"""),167.0)</f>
        <v>167</v>
      </c>
      <c r="D187" s="131" t="b">
        <f>IFERROR(__xludf.DUMMYFUNCTION("""COMPUTED_VALUE"""),FALSE)</f>
        <v>0</v>
      </c>
      <c r="E187" s="107" t="str">
        <f>IFERROR(__xludf.DUMMYFUNCTION("""COMPUTED_VALUE"""),"LABAYNE")</f>
        <v>LABAYNE</v>
      </c>
      <c r="F187" s="107" t="str">
        <f>IFERROR(__xludf.DUMMYFUNCTION("""COMPUTED_VALUE"""),"MARK")</f>
        <v>MARK</v>
      </c>
    </row>
    <row r="188">
      <c r="A188" s="131">
        <f>IFERROR(__xludf.DUMMYFUNCTION("""COMPUTED_VALUE"""),187.0)</f>
        <v>187</v>
      </c>
      <c r="B188" s="131"/>
      <c r="C188" s="131">
        <f>IFERROR(__xludf.DUMMYFUNCTION("""COMPUTED_VALUE"""),167.0)</f>
        <v>167</v>
      </c>
      <c r="D188" s="131" t="b">
        <f>IFERROR(__xludf.DUMMYFUNCTION("""COMPUTED_VALUE"""),FALSE)</f>
        <v>0</v>
      </c>
      <c r="E188" s="107" t="str">
        <f>IFERROR(__xludf.DUMMYFUNCTION("""COMPUTED_VALUE"""),"LABAYNE")</f>
        <v>LABAYNE</v>
      </c>
      <c r="F188" s="107" t="str">
        <f>IFERROR(__xludf.DUMMYFUNCTION("""COMPUTED_VALUE"""),"JAMES")</f>
        <v>JAMES</v>
      </c>
    </row>
    <row r="189">
      <c r="A189" s="131">
        <f>IFERROR(__xludf.DUMMYFUNCTION("""COMPUTED_VALUE"""),188.0)</f>
        <v>188</v>
      </c>
      <c r="B189" s="131"/>
      <c r="C189" s="131">
        <f>IFERROR(__xludf.DUMMYFUNCTION("""COMPUTED_VALUE"""),167.0)</f>
        <v>167</v>
      </c>
      <c r="D189" s="131" t="b">
        <f>IFERROR(__xludf.DUMMYFUNCTION("""COMPUTED_VALUE"""),FALSE)</f>
        <v>0</v>
      </c>
      <c r="E189" s="107" t="str">
        <f>IFERROR(__xludf.DUMMYFUNCTION("""COMPUTED_VALUE"""),"LLORENTE")</f>
        <v>LLORENTE</v>
      </c>
      <c r="F189" s="107" t="str">
        <f>IFERROR(__xludf.DUMMYFUNCTION("""COMPUTED_VALUE"""),"MILLS")</f>
        <v>MILLS</v>
      </c>
    </row>
    <row r="190">
      <c r="A190" s="131">
        <f>IFERROR(__xludf.DUMMYFUNCTION("""COMPUTED_VALUE"""),189.0)</f>
        <v>189</v>
      </c>
      <c r="B190" s="131"/>
      <c r="C190" s="131">
        <f>IFERROR(__xludf.DUMMYFUNCTION("""COMPUTED_VALUE"""),167.0)</f>
        <v>167</v>
      </c>
      <c r="D190" s="131" t="b">
        <f>IFERROR(__xludf.DUMMYFUNCTION("""COMPUTED_VALUE"""),FALSE)</f>
        <v>0</v>
      </c>
      <c r="E190" s="107" t="str">
        <f>IFERROR(__xludf.DUMMYFUNCTION("""COMPUTED_VALUE"""),"MANUEL")</f>
        <v>MANUEL</v>
      </c>
      <c r="F190" s="107" t="str">
        <f>IFERROR(__xludf.DUMMYFUNCTION("""COMPUTED_VALUE"""),"JOHN MARK")</f>
        <v>JOHN MARK</v>
      </c>
    </row>
    <row r="191">
      <c r="A191" s="131">
        <f>IFERROR(__xludf.DUMMYFUNCTION("""COMPUTED_VALUE"""),190.0)</f>
        <v>190</v>
      </c>
      <c r="B191" s="131"/>
      <c r="C191" s="131">
        <f>IFERROR(__xludf.DUMMYFUNCTION("""COMPUTED_VALUE"""),167.0)</f>
        <v>167</v>
      </c>
      <c r="D191" s="131" t="b">
        <f>IFERROR(__xludf.DUMMYFUNCTION("""COMPUTED_VALUE"""),FALSE)</f>
        <v>0</v>
      </c>
      <c r="E191" s="107" t="str">
        <f>IFERROR(__xludf.DUMMYFUNCTION("""COMPUTED_VALUE"""),"MENDOZA")</f>
        <v>MENDOZA</v>
      </c>
      <c r="F191" s="107" t="str">
        <f>IFERROR(__xludf.DUMMYFUNCTION("""COMPUTED_VALUE"""),"JM")</f>
        <v>JM</v>
      </c>
    </row>
    <row r="192">
      <c r="A192" s="131">
        <f>IFERROR(__xludf.DUMMYFUNCTION("""COMPUTED_VALUE"""),191.0)</f>
        <v>191</v>
      </c>
      <c r="B192" s="131"/>
      <c r="C192" s="131">
        <f>IFERROR(__xludf.DUMMYFUNCTION("""COMPUTED_VALUE"""),167.0)</f>
        <v>167</v>
      </c>
      <c r="D192" s="131" t="b">
        <f>IFERROR(__xludf.DUMMYFUNCTION("""COMPUTED_VALUE"""),FALSE)</f>
        <v>0</v>
      </c>
      <c r="E192" s="107" t="str">
        <f>IFERROR(__xludf.DUMMYFUNCTION("""COMPUTED_VALUE"""),"MOLINA")</f>
        <v>MOLINA</v>
      </c>
      <c r="F192" s="107" t="str">
        <f>IFERROR(__xludf.DUMMYFUNCTION("""COMPUTED_VALUE"""),"ADRIAN")</f>
        <v>ADRIAN</v>
      </c>
    </row>
    <row r="193">
      <c r="A193" s="131">
        <f>IFERROR(__xludf.DUMMYFUNCTION("""COMPUTED_VALUE"""),192.0)</f>
        <v>192</v>
      </c>
      <c r="B193" s="131"/>
      <c r="C193" s="131">
        <f>IFERROR(__xludf.DUMMYFUNCTION("""COMPUTED_VALUE"""),167.0)</f>
        <v>167</v>
      </c>
      <c r="D193" s="131" t="b">
        <f>IFERROR(__xludf.DUMMYFUNCTION("""COMPUTED_VALUE"""),FALSE)</f>
        <v>0</v>
      </c>
      <c r="E193" s="107" t="str">
        <f>IFERROR(__xludf.DUMMYFUNCTION("""COMPUTED_VALUE"""),"MONTECER")</f>
        <v>MONTECER</v>
      </c>
      <c r="F193" s="107" t="str">
        <f>IFERROR(__xludf.DUMMYFUNCTION("""COMPUTED_VALUE"""),"RYAN")</f>
        <v>RYAN</v>
      </c>
    </row>
    <row r="194">
      <c r="A194" s="131">
        <f>IFERROR(__xludf.DUMMYFUNCTION("""COMPUTED_VALUE"""),193.0)</f>
        <v>193</v>
      </c>
      <c r="B194" s="131"/>
      <c r="C194" s="131">
        <f>IFERROR(__xludf.DUMMYFUNCTION("""COMPUTED_VALUE"""),167.0)</f>
        <v>167</v>
      </c>
      <c r="D194" s="131" t="b">
        <f>IFERROR(__xludf.DUMMYFUNCTION("""COMPUTED_VALUE"""),FALSE)</f>
        <v>0</v>
      </c>
      <c r="E194" s="107" t="str">
        <f>IFERROR(__xludf.DUMMYFUNCTION("""COMPUTED_VALUE"""),"MOSQUITO")</f>
        <v>MOSQUITO</v>
      </c>
      <c r="F194" s="107" t="str">
        <f>IFERROR(__xludf.DUMMYFUNCTION("""COMPUTED_VALUE"""),"JOHN MARK")</f>
        <v>JOHN MARK</v>
      </c>
    </row>
    <row r="195">
      <c r="A195" s="131">
        <f>IFERROR(__xludf.DUMMYFUNCTION("""COMPUTED_VALUE"""),194.0)</f>
        <v>194</v>
      </c>
      <c r="B195" s="131"/>
      <c r="C195" s="131">
        <f>IFERROR(__xludf.DUMMYFUNCTION("""COMPUTED_VALUE"""),167.0)</f>
        <v>167</v>
      </c>
      <c r="D195" s="131" t="b">
        <f>IFERROR(__xludf.DUMMYFUNCTION("""COMPUTED_VALUE"""),FALSE)</f>
        <v>0</v>
      </c>
      <c r="E195" s="107" t="str">
        <f>IFERROR(__xludf.DUMMYFUNCTION("""COMPUTED_VALUE"""),"PASCUAL")</f>
        <v>PASCUAL</v>
      </c>
      <c r="F195" s="107" t="str">
        <f>IFERROR(__xludf.DUMMYFUNCTION("""COMPUTED_VALUE"""),"KIOSKE")</f>
        <v>KIOSKE</v>
      </c>
    </row>
    <row r="196">
      <c r="A196" s="131">
        <f>IFERROR(__xludf.DUMMYFUNCTION("""COMPUTED_VALUE"""),195.0)</f>
        <v>195</v>
      </c>
      <c r="B196" s="131"/>
      <c r="C196" s="131">
        <f>IFERROR(__xludf.DUMMYFUNCTION("""COMPUTED_VALUE"""),167.0)</f>
        <v>167</v>
      </c>
      <c r="D196" s="131" t="b">
        <f>IFERROR(__xludf.DUMMYFUNCTION("""COMPUTED_VALUE"""),FALSE)</f>
        <v>0</v>
      </c>
      <c r="E196" s="107" t="str">
        <f>IFERROR(__xludf.DUMMYFUNCTION("""COMPUTED_VALUE"""),"PERALTA")</f>
        <v>PERALTA</v>
      </c>
      <c r="F196" s="107" t="str">
        <f>IFERROR(__xludf.DUMMYFUNCTION("""COMPUTED_VALUE"""),"MARION")</f>
        <v>MARION</v>
      </c>
    </row>
    <row r="197">
      <c r="A197" s="131">
        <f>IFERROR(__xludf.DUMMYFUNCTION("""COMPUTED_VALUE"""),196.0)</f>
        <v>196</v>
      </c>
      <c r="B197" s="131"/>
      <c r="C197" s="131">
        <f>IFERROR(__xludf.DUMMYFUNCTION("""COMPUTED_VALUE"""),167.0)</f>
        <v>167</v>
      </c>
      <c r="D197" s="131" t="b">
        <f>IFERROR(__xludf.DUMMYFUNCTION("""COMPUTED_VALUE"""),FALSE)</f>
        <v>0</v>
      </c>
      <c r="E197" s="107" t="str">
        <f>IFERROR(__xludf.DUMMYFUNCTION("""COMPUTED_VALUE"""),"RANOLA")</f>
        <v>RANOLA</v>
      </c>
      <c r="F197" s="107" t="str">
        <f>IFERROR(__xludf.DUMMYFUNCTION("""COMPUTED_VALUE"""),"JOHN GABRIELLE P.")</f>
        <v>JOHN GABRIELLE P.</v>
      </c>
    </row>
    <row r="198">
      <c r="A198" s="131">
        <f>IFERROR(__xludf.DUMMYFUNCTION("""COMPUTED_VALUE"""),197.0)</f>
        <v>197</v>
      </c>
      <c r="B198" s="131"/>
      <c r="C198" s="131">
        <f>IFERROR(__xludf.DUMMYFUNCTION("""COMPUTED_VALUE"""),167.0)</f>
        <v>167</v>
      </c>
      <c r="D198" s="131" t="b">
        <f>IFERROR(__xludf.DUMMYFUNCTION("""COMPUTED_VALUE"""),FALSE)</f>
        <v>0</v>
      </c>
      <c r="E198" s="107" t="str">
        <f>IFERROR(__xludf.DUMMYFUNCTION("""COMPUTED_VALUE"""),"REMOPALOS")</f>
        <v>REMOPALOS</v>
      </c>
      <c r="F198" s="107" t="str">
        <f>IFERROR(__xludf.DUMMYFUNCTION("""COMPUTED_VALUE"""),"ZION")</f>
        <v>ZION</v>
      </c>
    </row>
    <row r="199">
      <c r="A199" s="131">
        <f>IFERROR(__xludf.DUMMYFUNCTION("""COMPUTED_VALUE"""),198.0)</f>
        <v>198</v>
      </c>
      <c r="B199" s="131"/>
      <c r="C199" s="131">
        <f>IFERROR(__xludf.DUMMYFUNCTION("""COMPUTED_VALUE"""),167.0)</f>
        <v>167</v>
      </c>
      <c r="D199" s="131" t="b">
        <f>IFERROR(__xludf.DUMMYFUNCTION("""COMPUTED_VALUE"""),FALSE)</f>
        <v>0</v>
      </c>
      <c r="E199" s="107" t="str">
        <f>IFERROR(__xludf.DUMMYFUNCTION("""COMPUTED_VALUE"""),"ROSAL")</f>
        <v>ROSAL</v>
      </c>
      <c r="F199" s="107" t="str">
        <f>IFERROR(__xludf.DUMMYFUNCTION("""COMPUTED_VALUE"""),"CYRUS JOSEPH")</f>
        <v>CYRUS JOSEPH</v>
      </c>
    </row>
    <row r="200">
      <c r="A200" s="131">
        <f>IFERROR(__xludf.DUMMYFUNCTION("""COMPUTED_VALUE"""),199.0)</f>
        <v>199</v>
      </c>
      <c r="B200" s="131"/>
      <c r="C200" s="131">
        <f>IFERROR(__xludf.DUMMYFUNCTION("""COMPUTED_VALUE"""),167.0)</f>
        <v>167</v>
      </c>
      <c r="D200" s="131" t="b">
        <f>IFERROR(__xludf.DUMMYFUNCTION("""COMPUTED_VALUE"""),FALSE)</f>
        <v>0</v>
      </c>
      <c r="E200" s="107" t="str">
        <f>IFERROR(__xludf.DUMMYFUNCTION("""COMPUTED_VALUE"""),"SAMONTANES")</f>
        <v>SAMONTANES</v>
      </c>
      <c r="F200" s="107" t="str">
        <f>IFERROR(__xludf.DUMMYFUNCTION("""COMPUTED_VALUE"""),"DAVID")</f>
        <v>DAVID</v>
      </c>
    </row>
    <row r="201">
      <c r="A201" s="131">
        <f>IFERROR(__xludf.DUMMYFUNCTION("""COMPUTED_VALUE"""),200.0)</f>
        <v>200</v>
      </c>
      <c r="B201" s="131"/>
      <c r="C201" s="131">
        <f>IFERROR(__xludf.DUMMYFUNCTION("""COMPUTED_VALUE"""),167.0)</f>
        <v>167</v>
      </c>
      <c r="D201" s="131" t="b">
        <f>IFERROR(__xludf.DUMMYFUNCTION("""COMPUTED_VALUE"""),FALSE)</f>
        <v>0</v>
      </c>
      <c r="E201" s="107" t="str">
        <f>IFERROR(__xludf.DUMMYFUNCTION("""COMPUTED_VALUE"""),"SISON")</f>
        <v>SISON</v>
      </c>
      <c r="F201" s="107" t="str">
        <f>IFERROR(__xludf.DUMMYFUNCTION("""COMPUTED_VALUE"""),"RAVEN JAZZ")</f>
        <v>RAVEN JAZZ</v>
      </c>
    </row>
    <row r="202">
      <c r="A202" s="131">
        <f>IFERROR(__xludf.DUMMYFUNCTION("""COMPUTED_VALUE"""),201.0)</f>
        <v>201</v>
      </c>
      <c r="B202" s="131"/>
      <c r="C202" s="131">
        <f>IFERROR(__xludf.DUMMYFUNCTION("""COMPUTED_VALUE"""),167.0)</f>
        <v>167</v>
      </c>
      <c r="D202" s="131" t="b">
        <f>IFERROR(__xludf.DUMMYFUNCTION("""COMPUTED_VALUE"""),FALSE)</f>
        <v>0</v>
      </c>
      <c r="E202" s="107" t="str">
        <f>IFERROR(__xludf.DUMMYFUNCTION("""COMPUTED_VALUE"""),"SOMERA")</f>
        <v>SOMERA</v>
      </c>
      <c r="F202" s="107" t="str">
        <f>IFERROR(__xludf.DUMMYFUNCTION("""COMPUTED_VALUE"""),"MICHAEL")</f>
        <v>MICHAEL</v>
      </c>
    </row>
    <row r="203">
      <c r="A203" s="131">
        <f>IFERROR(__xludf.DUMMYFUNCTION("""COMPUTED_VALUE"""),202.0)</f>
        <v>202</v>
      </c>
      <c r="B203" s="131"/>
      <c r="C203" s="131">
        <f>IFERROR(__xludf.DUMMYFUNCTION("""COMPUTED_VALUE"""),167.0)</f>
        <v>167</v>
      </c>
      <c r="D203" s="131" t="b">
        <f>IFERROR(__xludf.DUMMYFUNCTION("""COMPUTED_VALUE"""),FALSE)</f>
        <v>0</v>
      </c>
      <c r="E203" s="107" t="str">
        <f>IFERROR(__xludf.DUMMYFUNCTION("""COMPUTED_VALUE"""),"TAMIDLES")</f>
        <v>TAMIDLES</v>
      </c>
      <c r="F203" s="107" t="str">
        <f>IFERROR(__xludf.DUMMYFUNCTION("""COMPUTED_VALUE"""),"KARL")</f>
        <v>KARL</v>
      </c>
    </row>
    <row r="204">
      <c r="A204" s="131">
        <f>IFERROR(__xludf.DUMMYFUNCTION("""COMPUTED_VALUE"""),203.0)</f>
        <v>203</v>
      </c>
      <c r="B204" s="131"/>
      <c r="C204" s="131">
        <f>IFERROR(__xludf.DUMMYFUNCTION("""COMPUTED_VALUE"""),167.0)</f>
        <v>167</v>
      </c>
      <c r="D204" s="131" t="b">
        <f>IFERROR(__xludf.DUMMYFUNCTION("""COMPUTED_VALUE"""),FALSE)</f>
        <v>0</v>
      </c>
      <c r="E204" s="107" t="str">
        <f>IFERROR(__xludf.DUMMYFUNCTION("""COMPUTED_VALUE"""),"TAN")</f>
        <v>TAN</v>
      </c>
      <c r="F204" s="107" t="str">
        <f>IFERROR(__xludf.DUMMYFUNCTION("""COMPUTED_VALUE"""),"RAMON")</f>
        <v>RAMON</v>
      </c>
    </row>
    <row r="205">
      <c r="A205" s="131">
        <f>IFERROR(__xludf.DUMMYFUNCTION("""COMPUTED_VALUE"""),204.0)</f>
        <v>204</v>
      </c>
      <c r="B205" s="131"/>
      <c r="C205" s="131">
        <f>IFERROR(__xludf.DUMMYFUNCTION("""COMPUTED_VALUE"""),167.0)</f>
        <v>167</v>
      </c>
      <c r="D205" s="131" t="b">
        <f>IFERROR(__xludf.DUMMYFUNCTION("""COMPUTED_VALUE"""),FALSE)</f>
        <v>0</v>
      </c>
      <c r="E205" s="116" t="str">
        <f>IFERROR(__xludf.DUMMYFUNCTION("""COMPUTED_VALUE"""),"TOLEDO")</f>
        <v>TOLEDO</v>
      </c>
      <c r="F205" s="115" t="str">
        <f>IFERROR(__xludf.DUMMYFUNCTION("""COMPUTED_VALUE"""),"ASZHER")</f>
        <v>ASZHER</v>
      </c>
    </row>
    <row r="206">
      <c r="A206" s="131">
        <f>IFERROR(__xludf.DUMMYFUNCTION("""COMPUTED_VALUE"""),205.0)</f>
        <v>205</v>
      </c>
      <c r="B206" s="131"/>
      <c r="C206" s="131">
        <f>IFERROR(__xludf.DUMMYFUNCTION("""COMPUTED_VALUE"""),167.0)</f>
        <v>167</v>
      </c>
      <c r="D206" s="131" t="b">
        <f>IFERROR(__xludf.DUMMYFUNCTION("""COMPUTED_VALUE"""),FALSE)</f>
        <v>0</v>
      </c>
      <c r="E206" s="115" t="str">
        <f>IFERROR(__xludf.DUMMYFUNCTION("""COMPUTED_VALUE"""),"TAMIDLES")</f>
        <v>TAMIDLES</v>
      </c>
      <c r="F206" s="107" t="str">
        <f>IFERROR(__xludf.DUMMYFUNCTION("""COMPUTED_VALUE"""),"ZHAIRON")</f>
        <v>ZHAIRON</v>
      </c>
    </row>
    <row r="207">
      <c r="A207" s="131">
        <f>IFERROR(__xludf.DUMMYFUNCTION("""COMPUTED_VALUE"""),206.0)</f>
        <v>206</v>
      </c>
      <c r="B207" s="131"/>
      <c r="C207" s="131">
        <f>IFERROR(__xludf.DUMMYFUNCTION("""COMPUTED_VALUE"""),167.0)</f>
        <v>167</v>
      </c>
      <c r="D207" s="131" t="b">
        <f>IFERROR(__xludf.DUMMYFUNCTION("""COMPUTED_VALUE"""),FALSE)</f>
        <v>0</v>
      </c>
      <c r="E207" s="107" t="str">
        <f>IFERROR(__xludf.DUMMYFUNCTION("""COMPUTED_VALUE"""),"VERTUDAZO")</f>
        <v>VERTUDAZO</v>
      </c>
      <c r="F207" s="107" t="str">
        <f>IFERROR(__xludf.DUMMYFUNCTION("""COMPUTED_VALUE"""),"KENNETH")</f>
        <v>KENNETH</v>
      </c>
    </row>
    <row r="208">
      <c r="A208" s="131">
        <f>IFERROR(__xludf.DUMMYFUNCTION("""COMPUTED_VALUE"""),207.0)</f>
        <v>207</v>
      </c>
      <c r="B208" s="131"/>
      <c r="C208" s="131">
        <f>IFERROR(__xludf.DUMMYFUNCTION("""COMPUTED_VALUE"""),167.0)</f>
        <v>167</v>
      </c>
      <c r="D208" s="131" t="b">
        <f>IFERROR(__xludf.DUMMYFUNCTION("""COMPUTED_VALUE"""),FALSE)</f>
        <v>0</v>
      </c>
      <c r="E208" s="107" t="str">
        <f>IFERROR(__xludf.DUMMYFUNCTION("""COMPUTED_VALUE"""),"VILLARUEL")</f>
        <v>VILLARUEL</v>
      </c>
      <c r="F208" s="107" t="str">
        <f>IFERROR(__xludf.DUMMYFUNCTION("""COMPUTED_VALUE"""),"KIAN")</f>
        <v>KIAN</v>
      </c>
    </row>
    <row r="209">
      <c r="A209" s="131">
        <f>IFERROR(__xludf.DUMMYFUNCTION("""COMPUTED_VALUE"""),208.0)</f>
        <v>208</v>
      </c>
      <c r="B209" s="131"/>
      <c r="C209" s="131">
        <f>IFERROR(__xludf.DUMMYFUNCTION("""COMPUTED_VALUE"""),167.0)</f>
        <v>167</v>
      </c>
      <c r="D209" s="131" t="b">
        <f>IFERROR(__xludf.DUMMYFUNCTION("""COMPUTED_VALUE"""),FALSE)</f>
        <v>0</v>
      </c>
      <c r="E209" s="107" t="str">
        <f>IFERROR(__xludf.DUMMYFUNCTION("""COMPUTED_VALUE"""),"VILLARUEL")</f>
        <v>VILLARUEL</v>
      </c>
      <c r="F209" s="107" t="str">
        <f>IFERROR(__xludf.DUMMYFUNCTION("""COMPUTED_VALUE"""),"KYLE")</f>
        <v>KYLE</v>
      </c>
    </row>
    <row r="210">
      <c r="A210" s="131">
        <f>IFERROR(__xludf.DUMMYFUNCTION("""COMPUTED_VALUE"""),209.0)</f>
        <v>209</v>
      </c>
      <c r="B210" s="131"/>
      <c r="C210" s="131">
        <f>IFERROR(__xludf.DUMMYFUNCTION("""COMPUTED_VALUE"""),167.0)</f>
        <v>167</v>
      </c>
      <c r="D210" s="131" t="b">
        <f>IFERROR(__xludf.DUMMYFUNCTION("""COMPUTED_VALUE"""),FALSE)</f>
        <v>0</v>
      </c>
      <c r="E210" s="117" t="str">
        <f>IFERROR(__xludf.DUMMYFUNCTION("""COMPUTED_VALUE"""),"PADLAN")</f>
        <v>PADLAN</v>
      </c>
      <c r="F210" s="107" t="str">
        <f>IFERROR(__xludf.DUMMYFUNCTION("""COMPUTED_VALUE"""),"STEPHEN")</f>
        <v>STEPHEN</v>
      </c>
    </row>
    <row r="211">
      <c r="A211" s="131">
        <f>IFERROR(__xludf.DUMMYFUNCTION("""COMPUTED_VALUE"""),210.0)</f>
        <v>210</v>
      </c>
      <c r="B211" s="131"/>
      <c r="C211" s="131">
        <f>IFERROR(__xludf.DUMMYFUNCTION("""COMPUTED_VALUE"""),167.0)</f>
        <v>167</v>
      </c>
      <c r="D211" s="131" t="b">
        <f>IFERROR(__xludf.DUMMYFUNCTION("""COMPUTED_VALUE"""),FALSE)</f>
        <v>0</v>
      </c>
      <c r="E211" s="118"/>
      <c r="F211" s="107" t="str">
        <f>IFERROR(__xludf.DUMMYFUNCTION("""COMPUTED_VALUE"""),"SIMON")</f>
        <v>SIMON</v>
      </c>
    </row>
    <row r="212">
      <c r="A212" s="131">
        <f>IFERROR(__xludf.DUMMYFUNCTION("""COMPUTED_VALUE"""),211.0)</f>
        <v>211</v>
      </c>
      <c r="B212" s="131"/>
      <c r="C212" s="131">
        <f>IFERROR(__xludf.DUMMYFUNCTION("""COMPUTED_VALUE"""),167.0)</f>
        <v>167</v>
      </c>
      <c r="D212" s="131" t="b">
        <f>IFERROR(__xludf.DUMMYFUNCTION("""COMPUTED_VALUE"""),FALSE)</f>
        <v>0</v>
      </c>
      <c r="E212" s="118"/>
      <c r="F212" s="107" t="str">
        <f>IFERROR(__xludf.DUMMYFUNCTION("""COMPUTED_VALUE"""),"NICO")</f>
        <v>NICO</v>
      </c>
    </row>
    <row r="213">
      <c r="A213" s="131">
        <f>IFERROR(__xludf.DUMMYFUNCTION("""COMPUTED_VALUE"""),212.0)</f>
        <v>212</v>
      </c>
      <c r="B213" s="131"/>
      <c r="C213" s="131">
        <f>IFERROR(__xludf.DUMMYFUNCTION("""COMPUTED_VALUE"""),167.0)</f>
        <v>167</v>
      </c>
      <c r="D213" s="131" t="b">
        <f>IFERROR(__xludf.DUMMYFUNCTION("""COMPUTED_VALUE"""),FALSE)</f>
        <v>0</v>
      </c>
      <c r="E213" s="118"/>
      <c r="F213" s="107" t="str">
        <f>IFERROR(__xludf.DUMMYFUNCTION("""COMPUTED_VALUE"""),"JERVISH")</f>
        <v>JERVISH</v>
      </c>
    </row>
    <row r="214">
      <c r="A214" s="131">
        <f>IFERROR(__xludf.DUMMYFUNCTION("""COMPUTED_VALUE"""),213.0)</f>
        <v>213</v>
      </c>
      <c r="B214" s="131"/>
      <c r="C214" s="131">
        <f>IFERROR(__xludf.DUMMYFUNCTION("""COMPUTED_VALUE"""),23.0)</f>
        <v>23</v>
      </c>
      <c r="D214" s="131" t="b">
        <f>IFERROR(__xludf.DUMMYFUNCTION("""COMPUTED_VALUE"""),TRUE)</f>
        <v>1</v>
      </c>
      <c r="E214" s="119" t="str">
        <f>IFERROR(__xludf.DUMMYFUNCTION("""COMPUTED_VALUE"""),"UDAUNDO")</f>
        <v>UDAUNDO</v>
      </c>
      <c r="F214" s="119" t="str">
        <f>IFERROR(__xludf.DUMMYFUNCTION("""COMPUTED_VALUE"""),"RINOA MAE")</f>
        <v>RINOA MAE</v>
      </c>
    </row>
    <row r="215">
      <c r="A215" s="131">
        <f>IFERROR(__xludf.DUMMYFUNCTION("""COMPUTED_VALUE"""),214.0)</f>
        <v>214</v>
      </c>
      <c r="B215" s="131"/>
      <c r="C215" s="131">
        <f>IFERROR(__xludf.DUMMYFUNCTION("""COMPUTED_VALUE"""),23.0)</f>
        <v>23</v>
      </c>
      <c r="D215" s="131" t="b">
        <f>IFERROR(__xludf.DUMMYFUNCTION("""COMPUTED_VALUE"""),FALSE)</f>
        <v>0</v>
      </c>
      <c r="E215" s="107" t="str">
        <f>IFERROR(__xludf.DUMMYFUNCTION("""COMPUTED_VALUE"""),"CASERO")</f>
        <v>CASERO</v>
      </c>
      <c r="F215" s="107" t="str">
        <f>IFERROR(__xludf.DUMMYFUNCTION("""COMPUTED_VALUE"""),"AALIYAH")</f>
        <v>AALIYAH</v>
      </c>
    </row>
    <row r="216">
      <c r="A216" s="131">
        <f>IFERROR(__xludf.DUMMYFUNCTION("""COMPUTED_VALUE"""),215.0)</f>
        <v>215</v>
      </c>
      <c r="B216" s="131"/>
      <c r="C216" s="131">
        <f>IFERROR(__xludf.DUMMYFUNCTION("""COMPUTED_VALUE"""),23.0)</f>
        <v>23</v>
      </c>
      <c r="D216" s="131" t="b">
        <f>IFERROR(__xludf.DUMMYFUNCTION("""COMPUTED_VALUE"""),FALSE)</f>
        <v>0</v>
      </c>
      <c r="E216" s="107" t="str">
        <f>IFERROR(__xludf.DUMMYFUNCTION("""COMPUTED_VALUE"""),"CELASES")</f>
        <v>CELASES</v>
      </c>
      <c r="F216" s="107" t="str">
        <f>IFERROR(__xludf.DUMMYFUNCTION("""COMPUTED_VALUE"""),"SOFIA")</f>
        <v>SOFIA</v>
      </c>
    </row>
    <row r="217">
      <c r="A217" s="131">
        <f>IFERROR(__xludf.DUMMYFUNCTION("""COMPUTED_VALUE"""),216.0)</f>
        <v>216</v>
      </c>
      <c r="B217" s="131"/>
      <c r="C217" s="131">
        <f>IFERROR(__xludf.DUMMYFUNCTION("""COMPUTED_VALUE"""),23.0)</f>
        <v>23</v>
      </c>
      <c r="D217" s="131" t="b">
        <f>IFERROR(__xludf.DUMMYFUNCTION("""COMPUTED_VALUE"""),FALSE)</f>
        <v>0</v>
      </c>
      <c r="E217" s="107" t="str">
        <f>IFERROR(__xludf.DUMMYFUNCTION("""COMPUTED_VALUE"""),"LACONSAY")</f>
        <v>LACONSAY</v>
      </c>
      <c r="F217" s="107" t="str">
        <f>IFERROR(__xludf.DUMMYFUNCTION("""COMPUTED_VALUE"""),"MAIYA")</f>
        <v>MAIYA</v>
      </c>
    </row>
    <row r="218">
      <c r="A218" s="131">
        <f>IFERROR(__xludf.DUMMYFUNCTION("""COMPUTED_VALUE"""),217.0)</f>
        <v>217</v>
      </c>
      <c r="B218" s="131"/>
      <c r="C218" s="131">
        <f>IFERROR(__xludf.DUMMYFUNCTION("""COMPUTED_VALUE"""),23.0)</f>
        <v>23</v>
      </c>
      <c r="D218" s="131" t="b">
        <f>IFERROR(__xludf.DUMMYFUNCTION("""COMPUTED_VALUE"""),FALSE)</f>
        <v>0</v>
      </c>
      <c r="E218" s="107" t="str">
        <f>IFERROR(__xludf.DUMMYFUNCTION("""COMPUTED_VALUE"""),"MADLANGAWA")</f>
        <v>MADLANGAWA</v>
      </c>
      <c r="F218" s="107" t="str">
        <f>IFERROR(__xludf.DUMMYFUNCTION("""COMPUTED_VALUE"""),"INGRID")</f>
        <v>INGRID</v>
      </c>
    </row>
    <row r="219">
      <c r="A219" s="131">
        <f>IFERROR(__xludf.DUMMYFUNCTION("""COMPUTED_VALUE"""),218.0)</f>
        <v>218</v>
      </c>
      <c r="B219" s="131"/>
      <c r="C219" s="131">
        <f>IFERROR(__xludf.DUMMYFUNCTION("""COMPUTED_VALUE"""),23.0)</f>
        <v>23</v>
      </c>
      <c r="D219" s="131" t="b">
        <f>IFERROR(__xludf.DUMMYFUNCTION("""COMPUTED_VALUE"""),FALSE)</f>
        <v>0</v>
      </c>
      <c r="E219" s="107" t="str">
        <f>IFERROR(__xludf.DUMMYFUNCTION("""COMPUTED_VALUE"""),"MALAGOTNOT")</f>
        <v>MALAGOTNOT</v>
      </c>
      <c r="F219" s="107" t="str">
        <f>IFERROR(__xludf.DUMMYFUNCTION("""COMPUTED_VALUE"""),"PHOEBE")</f>
        <v>PHOEBE</v>
      </c>
    </row>
    <row r="220">
      <c r="A220" s="131">
        <f>IFERROR(__xludf.DUMMYFUNCTION("""COMPUTED_VALUE"""),219.0)</f>
        <v>219</v>
      </c>
      <c r="B220" s="131"/>
      <c r="C220" s="131">
        <f>IFERROR(__xludf.DUMMYFUNCTION("""COMPUTED_VALUE"""),23.0)</f>
        <v>23</v>
      </c>
      <c r="D220" s="131" t="b">
        <f>IFERROR(__xludf.DUMMYFUNCTION("""COMPUTED_VALUE"""),FALSE)</f>
        <v>0</v>
      </c>
      <c r="E220" s="107" t="str">
        <f>IFERROR(__xludf.DUMMYFUNCTION("""COMPUTED_VALUE"""),"MALOLOY-ON")</f>
        <v>MALOLOY-ON</v>
      </c>
      <c r="F220" s="107" t="str">
        <f>IFERROR(__xludf.DUMMYFUNCTION("""COMPUTED_VALUE"""),"EUNICE")</f>
        <v>EUNICE</v>
      </c>
    </row>
    <row r="221">
      <c r="A221" s="131">
        <f>IFERROR(__xludf.DUMMYFUNCTION("""COMPUTED_VALUE"""),220.0)</f>
        <v>220</v>
      </c>
      <c r="B221" s="131"/>
      <c r="C221" s="131">
        <f>IFERROR(__xludf.DUMMYFUNCTION("""COMPUTED_VALUE"""),23.0)</f>
        <v>23</v>
      </c>
      <c r="D221" s="131" t="b">
        <f>IFERROR(__xludf.DUMMYFUNCTION("""COMPUTED_VALUE"""),FALSE)</f>
        <v>0</v>
      </c>
      <c r="E221" s="107" t="str">
        <f>IFERROR(__xludf.DUMMYFUNCTION("""COMPUTED_VALUE"""),"OBASAN")</f>
        <v>OBASAN</v>
      </c>
      <c r="F221" s="107" t="str">
        <f>IFERROR(__xludf.DUMMYFUNCTION("""COMPUTED_VALUE"""),"AUDREY")</f>
        <v>AUDREY</v>
      </c>
    </row>
    <row r="222">
      <c r="A222" s="131">
        <f>IFERROR(__xludf.DUMMYFUNCTION("""COMPUTED_VALUE"""),221.0)</f>
        <v>221</v>
      </c>
      <c r="B222" s="131"/>
      <c r="C222" s="131">
        <f>IFERROR(__xludf.DUMMYFUNCTION("""COMPUTED_VALUE"""),23.0)</f>
        <v>23</v>
      </c>
      <c r="D222" s="131" t="b">
        <f>IFERROR(__xludf.DUMMYFUNCTION("""COMPUTED_VALUE"""),FALSE)</f>
        <v>0</v>
      </c>
      <c r="E222" s="107" t="str">
        <f>IFERROR(__xludf.DUMMYFUNCTION("""COMPUTED_VALUE"""),"OBASAN")</f>
        <v>OBASAN</v>
      </c>
      <c r="F222" s="107" t="str">
        <f>IFERROR(__xludf.DUMMYFUNCTION("""COMPUTED_VALUE"""),"ACEZZY")</f>
        <v>ACEZZY</v>
      </c>
    </row>
    <row r="223">
      <c r="A223" s="131">
        <f>IFERROR(__xludf.DUMMYFUNCTION("""COMPUTED_VALUE"""),222.0)</f>
        <v>222</v>
      </c>
      <c r="B223" s="131"/>
      <c r="C223" s="131">
        <f>IFERROR(__xludf.DUMMYFUNCTION("""COMPUTED_VALUE"""),23.0)</f>
        <v>23</v>
      </c>
      <c r="D223" s="131" t="b">
        <f>IFERROR(__xludf.DUMMYFUNCTION("""COMPUTED_VALUE"""),FALSE)</f>
        <v>0</v>
      </c>
      <c r="E223" s="107" t="str">
        <f>IFERROR(__xludf.DUMMYFUNCTION("""COMPUTED_VALUE"""),"OBASAN")</f>
        <v>OBASAN</v>
      </c>
      <c r="F223" s="107" t="str">
        <f>IFERROR(__xludf.DUMMYFUNCTION("""COMPUTED_VALUE"""),"AYESHA")</f>
        <v>AYESHA</v>
      </c>
    </row>
    <row r="224">
      <c r="A224" s="131">
        <f>IFERROR(__xludf.DUMMYFUNCTION("""COMPUTED_VALUE"""),223.0)</f>
        <v>223</v>
      </c>
      <c r="B224" s="131"/>
      <c r="C224" s="131">
        <f>IFERROR(__xludf.DUMMYFUNCTION("""COMPUTED_VALUE"""),23.0)</f>
        <v>23</v>
      </c>
      <c r="D224" s="131" t="b">
        <f>IFERROR(__xludf.DUMMYFUNCTION("""COMPUTED_VALUE"""),FALSE)</f>
        <v>0</v>
      </c>
      <c r="E224" s="107" t="str">
        <f>IFERROR(__xludf.DUMMYFUNCTION("""COMPUTED_VALUE"""),"PACSON")</f>
        <v>PACSON</v>
      </c>
      <c r="F224" s="107" t="str">
        <f>IFERROR(__xludf.DUMMYFUNCTION("""COMPUTED_VALUE"""),"KAYTE")</f>
        <v>KAYTE</v>
      </c>
    </row>
    <row r="225">
      <c r="A225" s="131">
        <f>IFERROR(__xludf.DUMMYFUNCTION("""COMPUTED_VALUE"""),224.0)</f>
        <v>224</v>
      </c>
      <c r="B225" s="131"/>
      <c r="C225" s="131">
        <f>IFERROR(__xludf.DUMMYFUNCTION("""COMPUTED_VALUE"""),23.0)</f>
        <v>23</v>
      </c>
      <c r="D225" s="131" t="b">
        <f>IFERROR(__xludf.DUMMYFUNCTION("""COMPUTED_VALUE"""),FALSE)</f>
        <v>0</v>
      </c>
      <c r="E225" s="107" t="str">
        <f>IFERROR(__xludf.DUMMYFUNCTION("""COMPUTED_VALUE"""),"PACSON")</f>
        <v>PACSON</v>
      </c>
      <c r="F225" s="107" t="str">
        <f>IFERROR(__xludf.DUMMYFUNCTION("""COMPUTED_VALUE"""),"MICAELLA")</f>
        <v>MICAELLA</v>
      </c>
    </row>
    <row r="226">
      <c r="A226" s="131">
        <f>IFERROR(__xludf.DUMMYFUNCTION("""COMPUTED_VALUE"""),225.0)</f>
        <v>225</v>
      </c>
      <c r="B226" s="131"/>
      <c r="C226" s="131">
        <f>IFERROR(__xludf.DUMMYFUNCTION("""COMPUTED_VALUE"""),23.0)</f>
        <v>23</v>
      </c>
      <c r="D226" s="131" t="b">
        <f>IFERROR(__xludf.DUMMYFUNCTION("""COMPUTED_VALUE"""),FALSE)</f>
        <v>0</v>
      </c>
      <c r="E226" s="107" t="str">
        <f>IFERROR(__xludf.DUMMYFUNCTION("""COMPUTED_VALUE"""),"RETAMAR")</f>
        <v>RETAMAR</v>
      </c>
      <c r="F226" s="107" t="str">
        <f>IFERROR(__xludf.DUMMYFUNCTION("""COMPUTED_VALUE"""),"JASMINE")</f>
        <v>JASMINE</v>
      </c>
    </row>
    <row r="227">
      <c r="A227" s="131">
        <f>IFERROR(__xludf.DUMMYFUNCTION("""COMPUTED_VALUE"""),226.0)</f>
        <v>226</v>
      </c>
      <c r="B227" s="131"/>
      <c r="C227" s="131">
        <f>IFERROR(__xludf.DUMMYFUNCTION("""COMPUTED_VALUE"""),23.0)</f>
        <v>23</v>
      </c>
      <c r="D227" s="131" t="b">
        <f>IFERROR(__xludf.DUMMYFUNCTION("""COMPUTED_VALUE"""),FALSE)</f>
        <v>0</v>
      </c>
      <c r="E227" s="107" t="str">
        <f>IFERROR(__xludf.DUMMYFUNCTION("""COMPUTED_VALUE"""),"ROGACION")</f>
        <v>ROGACION</v>
      </c>
      <c r="F227" s="107" t="str">
        <f>IFERROR(__xludf.DUMMYFUNCTION("""COMPUTED_VALUE"""),"LYKA")</f>
        <v>LYKA</v>
      </c>
    </row>
    <row r="228">
      <c r="A228" s="131">
        <f>IFERROR(__xludf.DUMMYFUNCTION("""COMPUTED_VALUE"""),227.0)</f>
        <v>227</v>
      </c>
      <c r="B228" s="131"/>
      <c r="C228" s="131">
        <f>IFERROR(__xludf.DUMMYFUNCTION("""COMPUTED_VALUE"""),23.0)</f>
        <v>23</v>
      </c>
      <c r="D228" s="131" t="b">
        <f>IFERROR(__xludf.DUMMYFUNCTION("""COMPUTED_VALUE"""),FALSE)</f>
        <v>0</v>
      </c>
      <c r="E228" s="107" t="str">
        <f>IFERROR(__xludf.DUMMYFUNCTION("""COMPUTED_VALUE"""),"TINGSON")</f>
        <v>TINGSON</v>
      </c>
      <c r="F228" s="107" t="str">
        <f>IFERROR(__xludf.DUMMYFUNCTION("""COMPUTED_VALUE"""),"JANELLE")</f>
        <v>JANELLE</v>
      </c>
    </row>
    <row r="229">
      <c r="A229" s="131">
        <f>IFERROR(__xludf.DUMMYFUNCTION("""COMPUTED_VALUE"""),228.0)</f>
        <v>228</v>
      </c>
      <c r="B229" s="131"/>
      <c r="C229" s="131">
        <f>IFERROR(__xludf.DUMMYFUNCTION("""COMPUTED_VALUE"""),23.0)</f>
        <v>23</v>
      </c>
      <c r="D229" s="131" t="b">
        <f>IFERROR(__xludf.DUMMYFUNCTION("""COMPUTED_VALUE"""),FALSE)</f>
        <v>0</v>
      </c>
      <c r="E229" s="107" t="str">
        <f>IFERROR(__xludf.DUMMYFUNCTION("""COMPUTED_VALUE"""),"TOLEDO")</f>
        <v>TOLEDO</v>
      </c>
      <c r="F229" s="115" t="str">
        <f>IFERROR(__xludf.DUMMYFUNCTION("""COMPUTED_VALUE"""),"AKIZSAH")</f>
        <v>AKIZSAH</v>
      </c>
    </row>
    <row r="230">
      <c r="A230" s="131">
        <f>IFERROR(__xludf.DUMMYFUNCTION("""COMPUTED_VALUE"""),229.0)</f>
        <v>229</v>
      </c>
      <c r="B230" s="131"/>
      <c r="C230" s="131">
        <f>IFERROR(__xludf.DUMMYFUNCTION("""COMPUTED_VALUE"""),23.0)</f>
        <v>23</v>
      </c>
      <c r="D230" s="131" t="b">
        <f>IFERROR(__xludf.DUMMYFUNCTION("""COMPUTED_VALUE"""),FALSE)</f>
        <v>0</v>
      </c>
      <c r="E230" s="107" t="str">
        <f>IFERROR(__xludf.DUMMYFUNCTION("""COMPUTED_VALUE"""),"UDAUNDO")</f>
        <v>UDAUNDO</v>
      </c>
      <c r="F230" s="107" t="str">
        <f>IFERROR(__xludf.DUMMYFUNCTION("""COMPUTED_VALUE"""),"ELLA")</f>
        <v>ELLA</v>
      </c>
    </row>
    <row r="231">
      <c r="A231" s="131">
        <f>IFERROR(__xludf.DUMMYFUNCTION("""COMPUTED_VALUE"""),230.0)</f>
        <v>230</v>
      </c>
      <c r="B231" s="131"/>
      <c r="C231" s="131">
        <f>IFERROR(__xludf.DUMMYFUNCTION("""COMPUTED_VALUE"""),1.0)</f>
        <v>1</v>
      </c>
      <c r="D231" s="131" t="b">
        <f>IFERROR(__xludf.DUMMYFUNCTION("""COMPUTED_VALUE"""),FALSE)</f>
        <v>0</v>
      </c>
      <c r="E231" s="131" t="str">
        <f>IFERROR(__xludf.DUMMYFUNCTION("""COMPUTED_VALUE"""),"ROMUALDO")</f>
        <v>ROMUALDO</v>
      </c>
      <c r="F231" s="131" t="str">
        <f>IFERROR(__xludf.DUMMYFUNCTION("""COMPUTED_VALUE"""),"AC")</f>
        <v>AC</v>
      </c>
    </row>
    <row r="232">
      <c r="A232" s="131">
        <f>IFERROR(__xludf.DUMMYFUNCTION("""COMPUTED_VALUE"""),231.0)</f>
        <v>231</v>
      </c>
      <c r="B232" s="131"/>
      <c r="C232" s="131">
        <f>IFERROR(__xludf.DUMMYFUNCTION("""COMPUTED_VALUE"""),1.0)</f>
        <v>1</v>
      </c>
      <c r="D232" s="131" t="b">
        <f>IFERROR(__xludf.DUMMYFUNCTION("""COMPUTED_VALUE"""),FALSE)</f>
        <v>0</v>
      </c>
      <c r="E232" s="131" t="str">
        <f>IFERROR(__xludf.DUMMYFUNCTION("""COMPUTED_VALUE"""),"SEBASTIAN")</f>
        <v>SEBASTIAN</v>
      </c>
      <c r="F232" s="131" t="str">
        <f>IFERROR(__xludf.DUMMYFUNCTION("""COMPUTED_VALUE"""),"NEHEMIAH")</f>
        <v>NEHEMIAH</v>
      </c>
    </row>
    <row r="233">
      <c r="A233" s="131">
        <f>IFERROR(__xludf.DUMMYFUNCTION("""COMPUTED_VALUE"""),232.0)</f>
        <v>232</v>
      </c>
      <c r="B233" s="131"/>
      <c r="C233" s="131">
        <f>IFERROR(__xludf.DUMMYFUNCTION("""COMPUTED_VALUE"""),1.0)</f>
        <v>1</v>
      </c>
      <c r="D233" s="131" t="b">
        <f>IFERROR(__xludf.DUMMYFUNCTION("""COMPUTED_VALUE"""),FALSE)</f>
        <v>0</v>
      </c>
      <c r="E233" s="131" t="str">
        <f>IFERROR(__xludf.DUMMYFUNCTION("""COMPUTED_VALUE"""),"GINONGALA")</f>
        <v>GINONGALA</v>
      </c>
      <c r="F233" s="131" t="str">
        <f>IFERROR(__xludf.DUMMYFUNCTION("""COMPUTED_VALUE"""),"HANNAH MAE")</f>
        <v>HANNAH MAE</v>
      </c>
    </row>
    <row r="234">
      <c r="A234" s="131">
        <f>IFERROR(__xludf.DUMMYFUNCTION("""COMPUTED_VALUE"""),233.0)</f>
        <v>233</v>
      </c>
      <c r="B234" s="131"/>
      <c r="C234" s="131">
        <f>IFERROR(__xludf.DUMMYFUNCTION("""COMPUTED_VALUE"""),76.0)</f>
        <v>76</v>
      </c>
      <c r="D234" s="131" t="b">
        <f>IFERROR(__xludf.DUMMYFUNCTION("""COMPUTED_VALUE"""),FALSE)</f>
        <v>0</v>
      </c>
      <c r="E234" s="131" t="str">
        <f>IFERROR(__xludf.DUMMYFUNCTION("""COMPUTED_VALUE"""),"NIONES")</f>
        <v>NIONES</v>
      </c>
      <c r="F234" s="131" t="str">
        <f>IFERROR(__xludf.DUMMYFUNCTION("""COMPUTED_VALUE"""),"LOUIS")</f>
        <v>LOUIS</v>
      </c>
    </row>
    <row r="235">
      <c r="A235" s="131">
        <f>IFERROR(__xludf.DUMMYFUNCTION("""COMPUTED_VALUE"""),234.0)</f>
        <v>234</v>
      </c>
      <c r="B235" s="131"/>
      <c r="C235" s="131">
        <f>IFERROR(__xludf.DUMMYFUNCTION("""COMPUTED_VALUE"""),76.0)</f>
        <v>76</v>
      </c>
      <c r="D235" s="131" t="b">
        <f>IFERROR(__xludf.DUMMYFUNCTION("""COMPUTED_VALUE"""),FALSE)</f>
        <v>0</v>
      </c>
      <c r="E235" s="131" t="str">
        <f>IFERROR(__xludf.DUMMYFUNCTION("""COMPUTED_VALUE"""),"ACA")</f>
        <v>ACA</v>
      </c>
      <c r="F235" s="131" t="str">
        <f>IFERROR(__xludf.DUMMYFUNCTION("""COMPUTED_VALUE"""),"ELIJAH")</f>
        <v>ELIJAH</v>
      </c>
    </row>
    <row r="236">
      <c r="A236" s="131">
        <f>IFERROR(__xludf.DUMMYFUNCTION("""COMPUTED_VALUE"""),235.0)</f>
        <v>235</v>
      </c>
      <c r="B236" s="131"/>
      <c r="C236" s="131">
        <f>IFERROR(__xludf.DUMMYFUNCTION("""COMPUTED_VALUE"""),120.0)</f>
        <v>120</v>
      </c>
      <c r="D236" s="131" t="b">
        <f>IFERROR(__xludf.DUMMYFUNCTION("""COMPUTED_VALUE"""),FALSE)</f>
        <v>0</v>
      </c>
      <c r="E236" s="131" t="str">
        <f>IFERROR(__xludf.DUMMYFUNCTION("""COMPUTED_VALUE"""),"CERBETO")</f>
        <v>CERBETO</v>
      </c>
      <c r="F236" s="131" t="str">
        <f>IFERROR(__xludf.DUMMYFUNCTION("""COMPUTED_VALUE"""),"AIVANNE")</f>
        <v>AIVANNE</v>
      </c>
    </row>
    <row r="237">
      <c r="A237" s="131">
        <f>IFERROR(__xludf.DUMMYFUNCTION("""COMPUTED_VALUE"""),236.0)</f>
        <v>236</v>
      </c>
      <c r="B237" s="131"/>
      <c r="C237" s="131">
        <f>IFERROR(__xludf.DUMMYFUNCTION("""COMPUTED_VALUE"""),120.0)</f>
        <v>120</v>
      </c>
      <c r="D237" s="131" t="b">
        <f>IFERROR(__xludf.DUMMYFUNCTION("""COMPUTED_VALUE"""),FALSE)</f>
        <v>0</v>
      </c>
      <c r="E237" s="131" t="str">
        <f>IFERROR(__xludf.DUMMYFUNCTION("""COMPUTED_VALUE"""),"PARAZO")</f>
        <v>PARAZO</v>
      </c>
      <c r="F237" s="131" t="str">
        <f>IFERROR(__xludf.DUMMYFUNCTION("""COMPUTED_VALUE"""),"CJ")</f>
        <v>CJ</v>
      </c>
    </row>
    <row r="238">
      <c r="A238" s="131">
        <f>IFERROR(__xludf.DUMMYFUNCTION("""COMPUTED_VALUE"""),237.0)</f>
        <v>237</v>
      </c>
      <c r="B238" s="131"/>
      <c r="C238" s="131">
        <f>IFERROR(__xludf.DUMMYFUNCTION("""COMPUTED_VALUE"""),120.0)</f>
        <v>120</v>
      </c>
      <c r="D238" s="131" t="b">
        <f>IFERROR(__xludf.DUMMYFUNCTION("""COMPUTED_VALUE"""),FALSE)</f>
        <v>0</v>
      </c>
      <c r="E238" s="131" t="str">
        <f>IFERROR(__xludf.DUMMYFUNCTION("""COMPUTED_VALUE"""),"AWA-AW")</f>
        <v>AWA-AW</v>
      </c>
      <c r="F238" s="131" t="str">
        <f>IFERROR(__xludf.DUMMYFUNCTION("""COMPUTED_VALUE"""),"CARL")</f>
        <v>CARL</v>
      </c>
    </row>
    <row r="239">
      <c r="A239" s="131">
        <f>IFERROR(__xludf.DUMMYFUNCTION("""COMPUTED_VALUE"""),238.0)</f>
        <v>238</v>
      </c>
      <c r="B239" s="131"/>
      <c r="C239" s="131">
        <f>IFERROR(__xludf.DUMMYFUNCTION("""COMPUTED_VALUE"""),23.0)</f>
        <v>23</v>
      </c>
      <c r="D239" s="131" t="b">
        <f>IFERROR(__xludf.DUMMYFUNCTION("""COMPUTED_VALUE"""),FALSE)</f>
        <v>0</v>
      </c>
      <c r="E239" s="131" t="str">
        <f>IFERROR(__xludf.DUMMYFUNCTION("""COMPUTED_VALUE"""),"ALAYON")</f>
        <v>ALAYON</v>
      </c>
      <c r="F239" s="131" t="str">
        <f>IFERROR(__xludf.DUMMYFUNCTION("""COMPUTED_VALUE"""),"PATRICIA")</f>
        <v>PATRICIA</v>
      </c>
    </row>
    <row r="240">
      <c r="A240" s="131">
        <f>IFERROR(__xludf.DUMMYFUNCTION("""COMPUTED_VALUE"""),239.0)</f>
        <v>239</v>
      </c>
      <c r="B240" s="131"/>
      <c r="C240" s="131">
        <f>IFERROR(__xludf.DUMMYFUNCTION("""COMPUTED_VALUE"""),23.0)</f>
        <v>23</v>
      </c>
      <c r="D240" s="131" t="b">
        <f>IFERROR(__xludf.DUMMYFUNCTION("""COMPUTED_VALUE"""),FALSE)</f>
        <v>0</v>
      </c>
      <c r="E240" s="131" t="str">
        <f>IFERROR(__xludf.DUMMYFUNCTION("""COMPUTED_VALUE"""),"UDAUNDO")</f>
        <v>UDAUNDO</v>
      </c>
      <c r="F240" s="131" t="str">
        <f>IFERROR(__xludf.DUMMYFUNCTION("""COMPUTED_VALUE"""),"MICA ELLA")</f>
        <v>MICA ELLA</v>
      </c>
    </row>
    <row r="241">
      <c r="A241" s="131">
        <f>IFERROR(__xludf.DUMMYFUNCTION("""COMPUTED_VALUE"""),240.0)</f>
        <v>240</v>
      </c>
      <c r="B241" s="131"/>
      <c r="C241" s="131">
        <f>IFERROR(__xludf.DUMMYFUNCTION("""COMPUTED_VALUE"""),23.0)</f>
        <v>23</v>
      </c>
      <c r="D241" s="131" t="b">
        <f>IFERROR(__xludf.DUMMYFUNCTION("""COMPUTED_VALUE"""),FALSE)</f>
        <v>0</v>
      </c>
      <c r="E241" s="131" t="str">
        <f>IFERROR(__xludf.DUMMYFUNCTION("""COMPUTED_VALUE"""),"CALUBIRAN")</f>
        <v>CALUBIRAN</v>
      </c>
      <c r="F241" s="131" t="str">
        <f>IFERROR(__xludf.DUMMYFUNCTION("""COMPUTED_VALUE"""),"JACKIELYN")</f>
        <v>JACKIELYN</v>
      </c>
    </row>
    <row r="242">
      <c r="A242" s="131">
        <f>IFERROR(__xludf.DUMMYFUNCTION("""COMPUTED_VALUE"""),241.0)</f>
        <v>241</v>
      </c>
      <c r="B242" s="131"/>
      <c r="C242" s="131">
        <f>IFERROR(__xludf.DUMMYFUNCTION("""COMPUTED_VALUE"""),23.0)</f>
        <v>23</v>
      </c>
      <c r="D242" s="131" t="b">
        <f>IFERROR(__xludf.DUMMYFUNCTION("""COMPUTED_VALUE"""),FALSE)</f>
        <v>0</v>
      </c>
      <c r="E242" s="131" t="str">
        <f>IFERROR(__xludf.DUMMYFUNCTION("""COMPUTED_VALUE"""),"MATAMIS")</f>
        <v>MATAMIS</v>
      </c>
      <c r="F242" s="131" t="str">
        <f>IFERROR(__xludf.DUMMYFUNCTION("""COMPUTED_VALUE"""),"JEAH G.")</f>
        <v>JEAH G.</v>
      </c>
    </row>
    <row r="243">
      <c r="A243" s="131">
        <f>IFERROR(__xludf.DUMMYFUNCTION("""COMPUTED_VALUE"""),242.0)</f>
        <v>242</v>
      </c>
      <c r="B243" s="131"/>
      <c r="C243" s="131">
        <f>IFERROR(__xludf.DUMMYFUNCTION("""COMPUTED_VALUE"""),23.0)</f>
        <v>23</v>
      </c>
      <c r="D243" s="131" t="b">
        <f>IFERROR(__xludf.DUMMYFUNCTION("""COMPUTED_VALUE"""),FALSE)</f>
        <v>0</v>
      </c>
      <c r="E243" s="131" t="str">
        <f>IFERROR(__xludf.DUMMYFUNCTION("""COMPUTED_VALUE"""),"MATAMIS")</f>
        <v>MATAMIS</v>
      </c>
      <c r="F243" s="131" t="str">
        <f>IFERROR(__xludf.DUMMYFUNCTION("""COMPUTED_VALUE"""),"JANELA")</f>
        <v>JANELA</v>
      </c>
    </row>
    <row r="244">
      <c r="A244" s="131">
        <f>IFERROR(__xludf.DUMMYFUNCTION("""COMPUTED_VALUE"""),243.0)</f>
        <v>243</v>
      </c>
      <c r="B244" s="131"/>
      <c r="C244" s="131">
        <f>IFERROR(__xludf.DUMMYFUNCTION("""COMPUTED_VALUE"""),23.0)</f>
        <v>23</v>
      </c>
      <c r="D244" s="131" t="b">
        <f>IFERROR(__xludf.DUMMYFUNCTION("""COMPUTED_VALUE"""),FALSE)</f>
        <v>0</v>
      </c>
      <c r="E244" s="131" t="str">
        <f>IFERROR(__xludf.DUMMYFUNCTION("""COMPUTED_VALUE"""),"GALANG")</f>
        <v>GALANG</v>
      </c>
      <c r="F244" s="131" t="str">
        <f>IFERROR(__xludf.DUMMYFUNCTION("""COMPUTED_VALUE"""),"MAGGA")</f>
        <v>MAGGA</v>
      </c>
    </row>
    <row r="245">
      <c r="A245" s="131">
        <f>IFERROR(__xludf.DUMMYFUNCTION("""COMPUTED_VALUE"""),244.0)</f>
        <v>244</v>
      </c>
      <c r="B245" s="131"/>
      <c r="C245" s="131">
        <f>IFERROR(__xludf.DUMMYFUNCTION("""COMPUTED_VALUE"""),244.0)</f>
        <v>244</v>
      </c>
      <c r="D245" s="131" t="b">
        <f>IFERROR(__xludf.DUMMYFUNCTION("""COMPUTED_VALUE"""),TRUE)</f>
        <v>1</v>
      </c>
      <c r="E245" s="131" t="str">
        <f>IFERROR(__xludf.DUMMYFUNCTION("""COMPUTED_VALUE"""),"ORQUIA")</f>
        <v>ORQUIA</v>
      </c>
      <c r="F245" s="131" t="str">
        <f>IFERROR(__xludf.DUMMYFUNCTION("""COMPUTED_VALUE"""),"HANNA ")</f>
        <v>HANNA </v>
      </c>
    </row>
    <row r="246">
      <c r="A246" s="131">
        <f>IFERROR(__xludf.DUMMYFUNCTION("""COMPUTED_VALUE"""),245.0)</f>
        <v>245</v>
      </c>
      <c r="B246" s="131"/>
      <c r="C246" s="131">
        <f>IFERROR(__xludf.DUMMYFUNCTION("""COMPUTED_VALUE"""),244.0)</f>
        <v>244</v>
      </c>
      <c r="D246" s="131" t="b">
        <f>IFERROR(__xludf.DUMMYFUNCTION("""COMPUTED_VALUE"""),FALSE)</f>
        <v>0</v>
      </c>
      <c r="E246" s="131" t="str">
        <f>IFERROR(__xludf.DUMMYFUNCTION("""COMPUTED_VALUE"""),"DEL ROSARIO")</f>
        <v>DEL ROSARIO</v>
      </c>
      <c r="F246" s="131" t="str">
        <f>IFERROR(__xludf.DUMMYFUNCTION("""COMPUTED_VALUE"""),"GRACE")</f>
        <v>GRACE</v>
      </c>
    </row>
    <row r="247">
      <c r="A247" s="131">
        <f>IFERROR(__xludf.DUMMYFUNCTION("""COMPUTED_VALUE"""),246.0)</f>
        <v>246</v>
      </c>
      <c r="B247" s="131"/>
      <c r="C247" s="131">
        <f>IFERROR(__xludf.DUMMYFUNCTION("""COMPUTED_VALUE"""),244.0)</f>
        <v>244</v>
      </c>
      <c r="D247" s="131" t="b">
        <f>IFERROR(__xludf.DUMMYFUNCTION("""COMPUTED_VALUE"""),FALSE)</f>
        <v>0</v>
      </c>
      <c r="E247" s="131" t="str">
        <f>IFERROR(__xludf.DUMMYFUNCTION("""COMPUTED_VALUE"""),"CODILLA")</f>
        <v>CODILLA</v>
      </c>
      <c r="F247" s="131" t="str">
        <f>IFERROR(__xludf.DUMMYFUNCTION("""COMPUTED_VALUE"""),"JANNA")</f>
        <v>JANNA</v>
      </c>
    </row>
    <row r="248">
      <c r="A248" s="131">
        <f>IFERROR(__xludf.DUMMYFUNCTION("""COMPUTED_VALUE"""),247.0)</f>
        <v>247</v>
      </c>
      <c r="B248" s="131"/>
      <c r="C248" s="131">
        <f>IFERROR(__xludf.DUMMYFUNCTION("""COMPUTED_VALUE"""),244.0)</f>
        <v>244</v>
      </c>
      <c r="D248" s="131" t="b">
        <f>IFERROR(__xludf.DUMMYFUNCTION("""COMPUTED_VALUE"""),FALSE)</f>
        <v>0</v>
      </c>
      <c r="E248" s="131" t="str">
        <f>IFERROR(__xludf.DUMMYFUNCTION("""COMPUTED_VALUE"""),"WALATH")</f>
        <v>WALATH</v>
      </c>
      <c r="F248" s="131" t="str">
        <f>IFERROR(__xludf.DUMMYFUNCTION("""COMPUTED_VALUE"""),"AILEEN")</f>
        <v>AILEEN</v>
      </c>
    </row>
    <row r="249">
      <c r="A249" s="131">
        <f>IFERROR(__xludf.DUMMYFUNCTION("""COMPUTED_VALUE"""),248.0)</f>
        <v>248</v>
      </c>
      <c r="B249" s="131"/>
      <c r="C249" s="131">
        <f>IFERROR(__xludf.DUMMYFUNCTION("""COMPUTED_VALUE"""),244.0)</f>
        <v>244</v>
      </c>
      <c r="D249" s="131" t="b">
        <f>IFERROR(__xludf.DUMMYFUNCTION("""COMPUTED_VALUE"""),FALSE)</f>
        <v>0</v>
      </c>
      <c r="E249" s="131" t="str">
        <f>IFERROR(__xludf.DUMMYFUNCTION("""COMPUTED_VALUE"""),"FULLON")</f>
        <v>FULLON</v>
      </c>
      <c r="F249" s="131" t="str">
        <f>IFERROR(__xludf.DUMMYFUNCTION("""COMPUTED_VALUE"""),"SARAH")</f>
        <v>SARAH</v>
      </c>
    </row>
    <row r="250">
      <c r="A250" s="131">
        <f>IFERROR(__xludf.DUMMYFUNCTION("""COMPUTED_VALUE"""),249.0)</f>
        <v>249</v>
      </c>
      <c r="B250" s="131"/>
      <c r="C250" s="131">
        <f>IFERROR(__xludf.DUMMYFUNCTION("""COMPUTED_VALUE"""),244.0)</f>
        <v>244</v>
      </c>
      <c r="D250" s="131" t="b">
        <f>IFERROR(__xludf.DUMMYFUNCTION("""COMPUTED_VALUE"""),FALSE)</f>
        <v>0</v>
      </c>
      <c r="E250" s="131" t="str">
        <f>IFERROR(__xludf.DUMMYFUNCTION("""COMPUTED_VALUE"""),"MONTERDE")</f>
        <v>MONTERDE</v>
      </c>
      <c r="F250" s="131" t="str">
        <f>IFERROR(__xludf.DUMMYFUNCTION("""COMPUTED_VALUE"""),"BELLE")</f>
        <v>BELLE</v>
      </c>
    </row>
    <row r="251">
      <c r="A251" s="86">
        <f>IFERROR(__xludf.DUMMYFUNCTION("""COMPUTED_VALUE"""),250.0)</f>
        <v>250</v>
      </c>
      <c r="B251" s="87"/>
      <c r="C251" s="131">
        <f>IFERROR(__xludf.DUMMYFUNCTION("""COMPUTED_VALUE"""),167.0)</f>
        <v>167</v>
      </c>
      <c r="D251" s="131"/>
      <c r="E251" s="131" t="str">
        <f>IFERROR(__xludf.DUMMYFUNCTION("""COMPUTED_VALUE"""),"RAUSO")</f>
        <v>RAUSO</v>
      </c>
      <c r="F251" s="131" t="str">
        <f>IFERROR(__xludf.DUMMYFUNCTION("""COMPUTED_VALUE"""),"STEVE")</f>
        <v>STEVE</v>
      </c>
      <c r="G251" s="133"/>
      <c r="H251" s="133"/>
      <c r="I251" s="133"/>
      <c r="J251" s="133"/>
      <c r="K251" s="133"/>
      <c r="L251" s="133"/>
      <c r="M251" s="133"/>
      <c r="N251" s="133"/>
      <c r="O251" s="133"/>
      <c r="P251" s="133"/>
      <c r="Q251" s="89"/>
      <c r="R251" s="89"/>
      <c r="S251" s="89"/>
      <c r="T251" s="89"/>
      <c r="U251" s="89"/>
      <c r="V251" s="89"/>
      <c r="W251" s="89"/>
    </row>
    <row r="252">
      <c r="A252" s="131">
        <f>IFERROR(__xludf.DUMMYFUNCTION("""COMPUTED_VALUE"""),251.0)</f>
        <v>251</v>
      </c>
      <c r="B252" s="131"/>
      <c r="C252" s="131">
        <f>IFERROR(__xludf.DUMMYFUNCTION("""COMPUTED_VALUE"""),167.0)</f>
        <v>167</v>
      </c>
      <c r="D252" s="131" t="b">
        <f>IFERROR(__xludf.DUMMYFUNCTION("""COMPUTED_VALUE"""),FALSE)</f>
        <v>0</v>
      </c>
      <c r="E252" s="131" t="str">
        <f>IFERROR(__xludf.DUMMYFUNCTION("""COMPUTED_VALUE"""),"LIBRES")</f>
        <v>LIBRES</v>
      </c>
      <c r="F252" s="131" t="str">
        <f>IFERROR(__xludf.DUMMYFUNCTION("""COMPUTED_VALUE"""),"GABRIEL")</f>
        <v>GABRIEL</v>
      </c>
      <c r="G252" s="93"/>
      <c r="H252" s="93"/>
      <c r="I252" s="93"/>
      <c r="J252" s="93"/>
      <c r="K252" s="93"/>
      <c r="L252" s="93"/>
      <c r="M252" s="93"/>
      <c r="N252" s="93"/>
      <c r="O252" s="93"/>
      <c r="P252" s="93"/>
    </row>
    <row r="253">
      <c r="A253" s="131">
        <f>IFERROR(__xludf.DUMMYFUNCTION("""COMPUTED_VALUE"""),252.0)</f>
        <v>252</v>
      </c>
      <c r="B253" s="131"/>
      <c r="C253" s="131">
        <f>IFERROR(__xludf.DUMMYFUNCTION("""COMPUTED_VALUE"""),167.0)</f>
        <v>167</v>
      </c>
      <c r="D253" s="131" t="b">
        <f>IFERROR(__xludf.DUMMYFUNCTION("""COMPUTED_VALUE"""),FALSE)</f>
        <v>0</v>
      </c>
      <c r="E253" s="94" t="str">
        <f>IFERROR(__xludf.DUMMYFUNCTION("""COMPUTED_VALUE"""),"PARONGAN")</f>
        <v>PARONGAN</v>
      </c>
      <c r="F253" s="94" t="str">
        <f>IFERROR(__xludf.DUMMYFUNCTION("""COMPUTED_VALUE"""),"KIAN")</f>
        <v>KIAN</v>
      </c>
    </row>
    <row r="254">
      <c r="A254" s="131">
        <f>IFERROR(__xludf.DUMMYFUNCTION("""COMPUTED_VALUE"""),253.0)</f>
        <v>253</v>
      </c>
      <c r="B254" s="131"/>
      <c r="C254" s="131">
        <f>IFERROR(__xludf.DUMMYFUNCTION("""COMPUTED_VALUE"""),167.0)</f>
        <v>167</v>
      </c>
      <c r="D254" s="131" t="b">
        <f>IFERROR(__xludf.DUMMYFUNCTION("""COMPUTED_VALUE"""),FALSE)</f>
        <v>0</v>
      </c>
      <c r="E254" s="95" t="str">
        <f>IFERROR(__xludf.DUMMYFUNCTION("""COMPUTED_VALUE"""),"RACCA")</f>
        <v>RACCA</v>
      </c>
      <c r="F254" s="95" t="str">
        <f>IFERROR(__xludf.DUMMYFUNCTION("""COMPUTED_VALUE"""),"GRANT EL")</f>
        <v>GRANT EL</v>
      </c>
    </row>
    <row r="255">
      <c r="A255" s="131">
        <f>IFERROR(__xludf.DUMMYFUNCTION("""COMPUTED_VALUE"""),254.0)</f>
        <v>254</v>
      </c>
      <c r="B255" s="131"/>
      <c r="C255" s="131">
        <f>IFERROR(__xludf.DUMMYFUNCTION("""COMPUTED_VALUE"""),23.0)</f>
        <v>23</v>
      </c>
      <c r="D255" s="131" t="b">
        <f>IFERROR(__xludf.DUMMYFUNCTION("""COMPUTED_VALUE"""),FALSE)</f>
        <v>0</v>
      </c>
      <c r="E255" s="95" t="str">
        <f>IFERROR(__xludf.DUMMYFUNCTION("""COMPUTED_VALUE"""),"MATAMIS")</f>
        <v>MATAMIS</v>
      </c>
      <c r="F255" s="95" t="str">
        <f>IFERROR(__xludf.DUMMYFUNCTION("""COMPUTED_VALUE"""),"SEYVEL")</f>
        <v>SEYVEL</v>
      </c>
    </row>
    <row r="256">
      <c r="A256" s="131">
        <f>IFERROR(__xludf.DUMMYFUNCTION("""COMPUTED_VALUE"""),257.0)</f>
        <v>257</v>
      </c>
      <c r="B256" s="131"/>
      <c r="C256" s="131">
        <f>IFERROR(__xludf.DUMMYFUNCTION("""COMPUTED_VALUE"""),23.0)</f>
        <v>23</v>
      </c>
      <c r="D256" s="131" t="b">
        <f>IFERROR(__xludf.DUMMYFUNCTION("""COMPUTED_VALUE"""),FALSE)</f>
        <v>0</v>
      </c>
      <c r="E256" s="95" t="str">
        <f>IFERROR(__xludf.DUMMYFUNCTION("""COMPUTED_VALUE"""),"PARCAREY")</f>
        <v>PARCAREY</v>
      </c>
      <c r="F256" s="95" t="str">
        <f>IFERROR(__xludf.DUMMYFUNCTION("""COMPUTED_VALUE"""),"MARZETTI")</f>
        <v>MARZETTI</v>
      </c>
    </row>
    <row r="257">
      <c r="A257" s="131">
        <f>IFERROR(__xludf.DUMMYFUNCTION("""COMPUTED_VALUE"""),256.0)</f>
        <v>256</v>
      </c>
      <c r="B257" s="131"/>
      <c r="C257" s="131">
        <f>IFERROR(__xludf.DUMMYFUNCTION("""COMPUTED_VALUE"""),23.0)</f>
        <v>23</v>
      </c>
      <c r="D257" s="131" t="b">
        <f>IFERROR(__xludf.DUMMYFUNCTION("""COMPUTED_VALUE"""),FALSE)</f>
        <v>0</v>
      </c>
      <c r="E257" s="95" t="str">
        <f>IFERROR(__xludf.DUMMYFUNCTION("""COMPUTED_VALUE"""),"AGSALUD")</f>
        <v>AGSALUD</v>
      </c>
      <c r="F257" s="95" t="str">
        <f>IFERROR(__xludf.DUMMYFUNCTION("""COMPUTED_VALUE"""),"ROSE MARIE")</f>
        <v>ROSE MARIE</v>
      </c>
    </row>
    <row r="258">
      <c r="A258" s="131">
        <f>IFERROR(__xludf.DUMMYFUNCTION("""COMPUTED_VALUE"""),259.0)</f>
        <v>259</v>
      </c>
      <c r="B258" s="131"/>
      <c r="C258" s="131">
        <f>IFERROR(__xludf.DUMMYFUNCTION("""COMPUTED_VALUE"""),167.0)</f>
        <v>167</v>
      </c>
      <c r="D258" s="131"/>
      <c r="E258" s="96" t="str">
        <f>IFERROR(__xludf.DUMMYFUNCTION("""COMPUTED_VALUE"""),"Gelicame")</f>
        <v>Gelicame</v>
      </c>
      <c r="F258" s="96" t="str">
        <f>IFERROR(__xludf.DUMMYFUNCTION("""COMPUTED_VALUE"""),"Aljun")</f>
        <v>Aljun</v>
      </c>
    </row>
    <row r="259">
      <c r="A259" s="131">
        <f>IFERROR(__xludf.DUMMYFUNCTION("""COMPUTED_VALUE"""),260.0)</f>
        <v>260</v>
      </c>
      <c r="B259" s="131"/>
      <c r="C259" s="131">
        <f>IFERROR(__xludf.DUMMYFUNCTION("""COMPUTED_VALUE"""),167.0)</f>
        <v>167</v>
      </c>
      <c r="D259" s="131"/>
      <c r="E259" s="95" t="str">
        <f>IFERROR(__xludf.DUMMYFUNCTION("""COMPUTED_VALUE"""),"Valera")</f>
        <v>Valera</v>
      </c>
      <c r="F259" s="95" t="str">
        <f>IFERROR(__xludf.DUMMYFUNCTION("""COMPUTED_VALUE"""),"Edward Luis")</f>
        <v>Edward Luis</v>
      </c>
    </row>
    <row r="260">
      <c r="A260" s="131">
        <f>IFERROR(__xludf.DUMMYFUNCTION("""COMPUTED_VALUE"""),261.0)</f>
        <v>261</v>
      </c>
      <c r="B260" s="131"/>
      <c r="C260" s="131">
        <f>IFERROR(__xludf.DUMMYFUNCTION("""COMPUTED_VALUE"""),23.0)</f>
        <v>23</v>
      </c>
      <c r="D260" s="131"/>
      <c r="E260" s="95" t="str">
        <f>IFERROR(__xludf.DUMMYFUNCTION("""COMPUTED_VALUE"""),"CERBETO")</f>
        <v>CERBETO</v>
      </c>
      <c r="F260" s="95" t="str">
        <f>IFERROR(__xludf.DUMMYFUNCTION("""COMPUTED_VALUE"""),"AIFHA")</f>
        <v>AIFHA</v>
      </c>
    </row>
    <row r="261">
      <c r="A261" s="131">
        <f>IFERROR(__xludf.DUMMYFUNCTION("""COMPUTED_VALUE"""),262.0)</f>
        <v>262</v>
      </c>
      <c r="B261" s="131"/>
      <c r="C261" s="131">
        <f>IFERROR(__xludf.DUMMYFUNCTION("""COMPUTED_VALUE"""),23.0)</f>
        <v>23</v>
      </c>
      <c r="D261" s="131"/>
      <c r="E261" s="95" t="str">
        <f>IFERROR(__xludf.DUMMYFUNCTION("""COMPUTED_VALUE"""),"PARCAREY")</f>
        <v>PARCAREY</v>
      </c>
      <c r="F261" s="95" t="str">
        <f>IFERROR(__xludf.DUMMYFUNCTION("""COMPUTED_VALUE"""),"MARZETTI")</f>
        <v>MARZETTI</v>
      </c>
    </row>
    <row r="262">
      <c r="A262" s="131">
        <f>IFERROR(__xludf.DUMMYFUNCTION("""COMPUTED_VALUE"""),263.0)</f>
        <v>263</v>
      </c>
      <c r="B262" s="131"/>
      <c r="C262" s="131">
        <f>IFERROR(__xludf.DUMMYFUNCTION("""COMPUTED_VALUE"""),1.0)</f>
        <v>1</v>
      </c>
      <c r="D262" s="131"/>
      <c r="E262" s="96" t="str">
        <f>IFERROR(__xludf.DUMMYFUNCTION("""COMPUTED_VALUE"""),"MABAO")</f>
        <v>MABAO</v>
      </c>
      <c r="F262" s="96" t="str">
        <f>IFERROR(__xludf.DUMMYFUNCTION("""COMPUTED_VALUE"""),"ROSELYN")</f>
        <v>ROSELYN</v>
      </c>
    </row>
    <row r="263">
      <c r="A263" s="131">
        <f>IFERROR(__xludf.DUMMYFUNCTION("""COMPUTED_VALUE"""),264.0)</f>
        <v>264</v>
      </c>
      <c r="B263" s="131"/>
      <c r="C263" s="131">
        <f>IFERROR(__xludf.DUMMYFUNCTION("""COMPUTED_VALUE"""),167.0)</f>
        <v>167</v>
      </c>
      <c r="D263" s="131"/>
      <c r="E263" s="96" t="str">
        <f>IFERROR(__xludf.DUMMYFUNCTION("""COMPUTED_VALUE"""),"VALERA")</f>
        <v>VALERA</v>
      </c>
      <c r="F263" s="96" t="str">
        <f>IFERROR(__xludf.DUMMYFUNCTION("""COMPUTED_VALUE"""),"ELY")</f>
        <v>ELY</v>
      </c>
    </row>
    <row r="264">
      <c r="A264" s="131">
        <f>IFERROR(__xludf.DUMMYFUNCTION("""COMPUTED_VALUE"""),265.0)</f>
        <v>265</v>
      </c>
      <c r="B264" s="131"/>
      <c r="C264" s="131">
        <f>IFERROR(__xludf.DUMMYFUNCTION("""COMPUTED_VALUE"""),167.0)</f>
        <v>167</v>
      </c>
      <c r="D264" s="131"/>
      <c r="E264" s="96" t="str">
        <f>IFERROR(__xludf.DUMMYFUNCTION("""COMPUTED_VALUE"""),"RAUSO")</f>
        <v>RAUSO</v>
      </c>
      <c r="F264" s="96" t="str">
        <f>IFERROR(__xludf.DUMMYFUNCTION("""COMPUTED_VALUE"""),"GABRIEL")</f>
        <v>GABRIEL</v>
      </c>
    </row>
    <row r="265">
      <c r="A265" s="131"/>
      <c r="B265" s="131"/>
      <c r="C265" s="131"/>
      <c r="D265" s="131"/>
      <c r="E265" s="96"/>
      <c r="F265" s="96"/>
    </row>
    <row r="266">
      <c r="A266" s="131">
        <f>IFERROR(__xludf.DUMMYFUNCTION("""COMPUTED_VALUE"""),1230.0)</f>
        <v>1230</v>
      </c>
      <c r="B266" s="131"/>
      <c r="C266" s="131">
        <f>IFERROR(__xludf.DUMMYFUNCTION("""COMPUTED_VALUE"""),1230.0)</f>
        <v>1230</v>
      </c>
      <c r="D266" s="131" t="b">
        <f>IFERROR(__xludf.DUMMYFUNCTION("""COMPUTED_VALUE"""),TRUE)</f>
        <v>1</v>
      </c>
      <c r="E266" s="96" t="str">
        <f>IFERROR(__xludf.DUMMYFUNCTION("""COMPUTED_VALUE"""),"CALUALHATIAN")</f>
        <v>CALUALHATIAN</v>
      </c>
      <c r="F266" s="96" t="str">
        <f>IFERROR(__xludf.DUMMYFUNCTION("""COMPUTED_VALUE"""),"DANTE")</f>
        <v>DANTE</v>
      </c>
    </row>
    <row r="267">
      <c r="A267" s="131">
        <f>IFERROR(__xludf.DUMMYFUNCTION("""COMPUTED_VALUE"""),1231.0)</f>
        <v>1231</v>
      </c>
      <c r="B267" s="131"/>
      <c r="C267" s="131">
        <f>IFERROR(__xludf.DUMMYFUNCTION("""COMPUTED_VALUE"""),1230.0)</f>
        <v>1230</v>
      </c>
      <c r="D267" s="131"/>
      <c r="E267" s="97" t="str">
        <f>IFERROR(__xludf.DUMMYFUNCTION("""COMPUTED_VALUE"""),"A.")</f>
        <v>A.</v>
      </c>
      <c r="F267" s="97" t="str">
        <f>IFERROR(__xludf.DUMMYFUNCTION("""COMPUTED_VALUE"""),"BONG")</f>
        <v>BONG</v>
      </c>
    </row>
    <row r="268">
      <c r="A268" s="131">
        <f>IFERROR(__xludf.DUMMYFUNCTION("""COMPUTED_VALUE"""),1232.0)</f>
        <v>1232</v>
      </c>
      <c r="B268" s="131"/>
      <c r="C268" s="131">
        <f>IFERROR(__xludf.DUMMYFUNCTION("""COMPUTED_VALUE"""),1230.0)</f>
        <v>1230</v>
      </c>
      <c r="D268" s="131"/>
      <c r="E268" s="96" t="str">
        <f>IFERROR(__xludf.DUMMYFUNCTION("""COMPUTED_VALUE"""),"SALAC")</f>
        <v>SALAC</v>
      </c>
      <c r="F268" s="96" t="str">
        <f>IFERROR(__xludf.DUMMYFUNCTION("""COMPUTED_VALUE"""),"ROMEO")</f>
        <v>ROMEO</v>
      </c>
    </row>
    <row r="269">
      <c r="A269" s="131">
        <f>IFERROR(__xludf.DUMMYFUNCTION("""COMPUTED_VALUE"""),1233.0)</f>
        <v>1233</v>
      </c>
      <c r="B269" s="131"/>
      <c r="C269" s="131">
        <f>IFERROR(__xludf.DUMMYFUNCTION("""COMPUTED_VALUE"""),1230.0)</f>
        <v>1230</v>
      </c>
      <c r="D269" s="131"/>
      <c r="E269" s="96" t="str">
        <f>IFERROR(__xludf.DUMMYFUNCTION("""COMPUTED_VALUE"""),"GREGORIO")</f>
        <v>GREGORIO</v>
      </c>
      <c r="F269" s="96" t="str">
        <f>IFERROR(__xludf.DUMMYFUNCTION("""COMPUTED_VALUE"""),"MARLOU")</f>
        <v>MARLOU</v>
      </c>
    </row>
    <row r="270">
      <c r="A270" s="131">
        <f>IFERROR(__xludf.DUMMYFUNCTION("""COMPUTED_VALUE"""),1234.0)</f>
        <v>1234</v>
      </c>
      <c r="B270" s="131"/>
      <c r="C270" s="131">
        <f>IFERROR(__xludf.DUMMYFUNCTION("""COMPUTED_VALUE"""),1230.0)</f>
        <v>1230</v>
      </c>
      <c r="D270" s="131"/>
      <c r="E270" s="96" t="str">
        <f>IFERROR(__xludf.DUMMYFUNCTION("""COMPUTED_VALUE"""),"SOMERA")</f>
        <v>SOMERA</v>
      </c>
      <c r="F270" s="96" t="str">
        <f>IFERROR(__xludf.DUMMYFUNCTION("""COMPUTED_VALUE"""),"JAY")</f>
        <v>JAY</v>
      </c>
    </row>
    <row r="271">
      <c r="A271" s="131">
        <f>IFERROR(__xludf.DUMMYFUNCTION("""COMPUTED_VALUE"""),1235.0)</f>
        <v>1235</v>
      </c>
      <c r="B271" s="131"/>
      <c r="C271" s="131">
        <f>IFERROR(__xludf.DUMMYFUNCTION("""COMPUTED_VALUE"""),1230.0)</f>
        <v>1230</v>
      </c>
      <c r="D271" s="131"/>
      <c r="E271" s="96" t="str">
        <f>IFERROR(__xludf.DUMMYFUNCTION("""COMPUTED_VALUE"""),"MALIWAT")</f>
        <v>MALIWAT</v>
      </c>
      <c r="F271" s="96" t="str">
        <f>IFERROR(__xludf.DUMMYFUNCTION("""COMPUTED_VALUE"""),"LEO")</f>
        <v>LEO</v>
      </c>
    </row>
    <row r="272">
      <c r="A272" s="131"/>
      <c r="B272" s="131"/>
      <c r="C272" s="131"/>
      <c r="D272" s="131"/>
      <c r="E272" s="96"/>
      <c r="F272" s="96"/>
    </row>
    <row r="273">
      <c r="A273" s="131">
        <f>IFERROR(__xludf.DUMMYFUNCTION("""COMPUTED_VALUE"""),1236.0)</f>
        <v>1236</v>
      </c>
      <c r="B273" s="131"/>
      <c r="C273" s="131">
        <f>IFERROR(__xludf.DUMMYFUNCTION("""COMPUTED_VALUE"""),1236.0)</f>
        <v>1236</v>
      </c>
      <c r="D273" s="131" t="b">
        <f>IFERROR(__xludf.DUMMYFUNCTION("""COMPUTED_VALUE"""),TRUE)</f>
        <v>1</v>
      </c>
      <c r="E273" s="96" t="str">
        <f>IFERROR(__xludf.DUMMYFUNCTION("""COMPUTED_VALUE"""),"RETAMAR")</f>
        <v>RETAMAR</v>
      </c>
      <c r="F273" s="96" t="str">
        <f>IFERROR(__xludf.DUMMYFUNCTION("""COMPUTED_VALUE"""),"ELENA")</f>
        <v>ELENA</v>
      </c>
    </row>
    <row r="274">
      <c r="A274" s="131">
        <f>IFERROR(__xludf.DUMMYFUNCTION("""COMPUTED_VALUE"""),1237.0)</f>
        <v>1237</v>
      </c>
      <c r="B274" s="131"/>
      <c r="C274" s="131">
        <f>IFERROR(__xludf.DUMMYFUNCTION("""COMPUTED_VALUE"""),1236.0)</f>
        <v>1236</v>
      </c>
      <c r="D274" s="131"/>
      <c r="E274" s="98" t="str">
        <f>IFERROR(__xludf.DUMMYFUNCTION("""COMPUTED_VALUE"""),"VILLA")</f>
        <v>VILLA</v>
      </c>
      <c r="F274" s="96" t="str">
        <f>IFERROR(__xludf.DUMMYFUNCTION("""COMPUTED_VALUE"""),"WENG NIONES")</f>
        <v>WENG NIONES</v>
      </c>
    </row>
    <row r="275">
      <c r="A275" s="131">
        <f>IFERROR(__xludf.DUMMYFUNCTION("""COMPUTED_VALUE"""),1238.0)</f>
        <v>1238</v>
      </c>
      <c r="B275" s="131"/>
      <c r="C275" s="131">
        <f>IFERROR(__xludf.DUMMYFUNCTION("""COMPUTED_VALUE"""),1236.0)</f>
        <v>1236</v>
      </c>
      <c r="D275" s="131"/>
      <c r="E275" s="99" t="str">
        <f>IFERROR(__xludf.DUMMYFUNCTION("""COMPUTED_VALUE"""),"V")</f>
        <v>V</v>
      </c>
      <c r="F275" s="99" t="str">
        <f>IFERROR(__xludf.DUMMYFUNCTION("""COMPUTED_VALUE"""),"ROSE")</f>
        <v>ROSE</v>
      </c>
    </row>
    <row r="276">
      <c r="A276" s="131">
        <f>IFERROR(__xludf.DUMMYFUNCTION("""COMPUTED_VALUE"""),1239.0)</f>
        <v>1239</v>
      </c>
      <c r="B276" s="131"/>
      <c r="C276" s="131">
        <f>IFERROR(__xludf.DUMMYFUNCTION("""COMPUTED_VALUE"""),1236.0)</f>
        <v>1236</v>
      </c>
      <c r="D276" s="131"/>
      <c r="E276" s="100" t="str">
        <f>IFERROR(__xludf.DUMMYFUNCTION("""COMPUTED_VALUE"""),"DATO")</f>
        <v>DATO</v>
      </c>
      <c r="F276" s="100" t="str">
        <f>IFERROR(__xludf.DUMMYFUNCTION("""COMPUTED_VALUE"""),"EVELYN")</f>
        <v>EVELYN</v>
      </c>
    </row>
    <row r="277">
      <c r="A277" s="131">
        <f>IFERROR(__xludf.DUMMYFUNCTION("""COMPUTED_VALUE"""),1240.0)</f>
        <v>1240</v>
      </c>
      <c r="B277" s="131"/>
      <c r="C277" s="131">
        <f>IFERROR(__xludf.DUMMYFUNCTION("""COMPUTED_VALUE"""),1236.0)</f>
        <v>1236</v>
      </c>
      <c r="D277" s="131"/>
      <c r="E277" s="100"/>
      <c r="F277" s="100" t="str">
        <f>IFERROR(__xludf.DUMMYFUNCTION("""COMPUTED_VALUE"""),"ELIZABETH")</f>
        <v>ELIZABETH</v>
      </c>
    </row>
    <row r="278">
      <c r="A278" s="131">
        <f>IFERROR(__xludf.DUMMYFUNCTION("""COMPUTED_VALUE"""),1241.0)</f>
        <v>1241</v>
      </c>
      <c r="B278" s="131"/>
      <c r="C278" s="131">
        <f>IFERROR(__xludf.DUMMYFUNCTION("""COMPUTED_VALUE"""),1236.0)</f>
        <v>1236</v>
      </c>
      <c r="D278" s="131"/>
      <c r="E278" s="100"/>
      <c r="F278" s="100" t="str">
        <f>IFERROR(__xludf.DUMMYFUNCTION("""COMPUTED_VALUE"""),"WINNIE")</f>
        <v>WINNIE</v>
      </c>
    </row>
    <row r="279">
      <c r="A279" s="131">
        <f>IFERROR(__xludf.DUMMYFUNCTION("""COMPUTED_VALUE"""),1242.0)</f>
        <v>1242</v>
      </c>
      <c r="B279" s="131"/>
      <c r="C279" s="131">
        <f>IFERROR(__xludf.DUMMYFUNCTION("""COMPUTED_VALUE"""),1236.0)</f>
        <v>1236</v>
      </c>
      <c r="D279" s="131"/>
      <c r="E279" s="100"/>
      <c r="F279" s="100" t="str">
        <f>IFERROR(__xludf.DUMMYFUNCTION("""COMPUTED_VALUE"""),"MALOU")</f>
        <v>MALOU</v>
      </c>
    </row>
    <row r="280">
      <c r="A280" s="131">
        <f>IFERROR(__xludf.DUMMYFUNCTION("""COMPUTED_VALUE"""),1243.0)</f>
        <v>1243</v>
      </c>
      <c r="B280" s="131"/>
      <c r="C280" s="131">
        <f>IFERROR(__xludf.DUMMYFUNCTION("""COMPUTED_VALUE"""),1236.0)</f>
        <v>1236</v>
      </c>
      <c r="D280" s="131"/>
      <c r="E280" s="100" t="str">
        <f>IFERROR(__xludf.DUMMYFUNCTION("""COMPUTED_VALUE"""),"TOLEDO")</f>
        <v>TOLEDO</v>
      </c>
      <c r="F280" s="100" t="str">
        <f>IFERROR(__xludf.DUMMYFUNCTION("""COMPUTED_VALUE"""),"MAYE")</f>
        <v>MAYE</v>
      </c>
    </row>
    <row r="281">
      <c r="A281" s="131">
        <f>IFERROR(__xludf.DUMMYFUNCTION("""COMPUTED_VALUE"""),1244.0)</f>
        <v>1244</v>
      </c>
      <c r="B281" s="131"/>
      <c r="C281" s="131">
        <f>IFERROR(__xludf.DUMMYFUNCTION("""COMPUTED_VALUE"""),1236.0)</f>
        <v>1236</v>
      </c>
      <c r="D281" s="131"/>
      <c r="E281" s="100" t="str">
        <f>IFERROR(__xludf.DUMMYFUNCTION("""COMPUTED_VALUE"""),"LIM")</f>
        <v>LIM</v>
      </c>
      <c r="F281" s="100" t="str">
        <f>IFERROR(__xludf.DUMMYFUNCTION("""COMPUTED_VALUE"""),"GRACE")</f>
        <v>GRACE</v>
      </c>
    </row>
    <row r="282">
      <c r="A282" s="131">
        <f>IFERROR(__xludf.DUMMYFUNCTION("""COMPUTED_VALUE"""),1245.0)</f>
        <v>1245</v>
      </c>
      <c r="B282" s="131"/>
      <c r="C282" s="131">
        <f>IFERROR(__xludf.DUMMYFUNCTION("""COMPUTED_VALUE"""),1236.0)</f>
        <v>1236</v>
      </c>
      <c r="D282" s="131"/>
      <c r="E282" s="100" t="str">
        <f>IFERROR(__xludf.DUMMYFUNCTION("""COMPUTED_VALUE"""),"CALUALHATIAN")</f>
        <v>CALUALHATIAN</v>
      </c>
      <c r="F282" s="100" t="str">
        <f>IFERROR(__xludf.DUMMYFUNCTION("""COMPUTED_VALUE"""),"ADELAIDA")</f>
        <v>ADELAIDA</v>
      </c>
    </row>
    <row r="283">
      <c r="A283" s="131">
        <f>IFERROR(__xludf.DUMMYFUNCTION("""COMPUTED_VALUE"""),1246.0)</f>
        <v>1246</v>
      </c>
      <c r="B283" s="131"/>
      <c r="C283" s="131">
        <f>IFERROR(__xludf.DUMMYFUNCTION("""COMPUTED_VALUE"""),1236.0)</f>
        <v>1236</v>
      </c>
      <c r="D283" s="131"/>
      <c r="E283" s="101" t="str">
        <f>IFERROR(__xludf.DUMMYFUNCTION("""COMPUTED_VALUE"""),"CALUALHATIAN")</f>
        <v>CALUALHATIAN</v>
      </c>
      <c r="F283" s="101" t="str">
        <f>IFERROR(__xludf.DUMMYFUNCTION("""COMPUTED_VALUE"""),"DAHNA")</f>
        <v>DAHNA</v>
      </c>
    </row>
    <row r="284">
      <c r="A284" s="131">
        <f>IFERROR(__xludf.DUMMYFUNCTION("""COMPUTED_VALUE"""),1247.0)</f>
        <v>1247</v>
      </c>
      <c r="B284" s="131"/>
      <c r="C284" s="131">
        <f>IFERROR(__xludf.DUMMYFUNCTION("""COMPUTED_VALUE"""),1236.0)</f>
        <v>1236</v>
      </c>
      <c r="D284" s="131"/>
      <c r="E284" s="100" t="str">
        <f>IFERROR(__xludf.DUMMYFUNCTION("""COMPUTED_VALUE"""),"SEXON")</f>
        <v>SEXON</v>
      </c>
      <c r="F284" s="100" t="str">
        <f>IFERROR(__xludf.DUMMYFUNCTION("""COMPUTED_VALUE"""),"MARILYN")</f>
        <v>MARILYN</v>
      </c>
    </row>
    <row r="285">
      <c r="A285" s="131">
        <f>IFERROR(__xludf.DUMMYFUNCTION("""COMPUTED_VALUE"""),1248.0)</f>
        <v>1248</v>
      </c>
      <c r="B285" s="131"/>
      <c r="C285" s="131">
        <f>IFERROR(__xludf.DUMMYFUNCTION("""COMPUTED_VALUE"""),1236.0)</f>
        <v>1236</v>
      </c>
      <c r="D285" s="131"/>
      <c r="E285" s="100" t="str">
        <f>IFERROR(__xludf.DUMMYFUNCTION("""COMPUTED_VALUE"""),"CALUALHATIAN")</f>
        <v>CALUALHATIAN</v>
      </c>
      <c r="F285" s="100" t="str">
        <f>IFERROR(__xludf.DUMMYFUNCTION("""COMPUTED_VALUE"""),"DANIKKA")</f>
        <v>DANIKKA</v>
      </c>
    </row>
    <row r="286">
      <c r="A286" s="131">
        <f>IFERROR(__xludf.DUMMYFUNCTION("""COMPUTED_VALUE"""),1249.0)</f>
        <v>1249</v>
      </c>
      <c r="B286" s="131"/>
      <c r="C286" s="131">
        <f>IFERROR(__xludf.DUMMYFUNCTION("""COMPUTED_VALUE"""),1236.0)</f>
        <v>1236</v>
      </c>
      <c r="D286" s="131"/>
      <c r="E286" s="102" t="str">
        <f>IFERROR(__xludf.DUMMYFUNCTION("""COMPUTED_VALUE"""),"CODILLA")</f>
        <v>CODILLA</v>
      </c>
      <c r="F286" s="102" t="str">
        <f>IFERROR(__xludf.DUMMYFUNCTION("""COMPUTED_VALUE"""),"CORY")</f>
        <v>CORY</v>
      </c>
    </row>
    <row r="287">
      <c r="A287" s="131">
        <f>IFERROR(__xludf.DUMMYFUNCTION("""COMPUTED_VALUE"""),1250.0)</f>
        <v>1250</v>
      </c>
      <c r="B287" s="131"/>
      <c r="C287" s="131">
        <f>IFERROR(__xludf.DUMMYFUNCTION("""COMPUTED_VALUE"""),1236.0)</f>
        <v>1236</v>
      </c>
      <c r="D287" s="131"/>
      <c r="E287" s="103" t="str">
        <f>IFERROR(__xludf.DUMMYFUNCTION("""COMPUTED_VALUE"""),"LANGITAN")</f>
        <v>LANGITAN</v>
      </c>
      <c r="F287" s="103" t="str">
        <f>IFERROR(__xludf.DUMMYFUNCTION("""COMPUTED_VALUE"""),"SARAH")</f>
        <v>SARAH</v>
      </c>
    </row>
    <row r="288">
      <c r="A288" s="131">
        <f>IFERROR(__xludf.DUMMYFUNCTION("""COMPUTED_VALUE"""),1251.0)</f>
        <v>1251</v>
      </c>
      <c r="B288" s="131"/>
      <c r="C288" s="131">
        <f>IFERROR(__xludf.DUMMYFUNCTION("""COMPUTED_VALUE"""),1236.0)</f>
        <v>1236</v>
      </c>
      <c r="D288" s="131"/>
      <c r="E288" s="103" t="str">
        <f>IFERROR(__xludf.DUMMYFUNCTION("""COMPUTED_VALUE"""),"LACONSAY")</f>
        <v>LACONSAY</v>
      </c>
      <c r="F288" s="103" t="str">
        <f>IFERROR(__xludf.DUMMYFUNCTION("""COMPUTED_VALUE"""),"MA. LOURDES")</f>
        <v>MA. LOURDES</v>
      </c>
    </row>
    <row r="289">
      <c r="A289" s="131">
        <f>IFERROR(__xludf.DUMMYFUNCTION("""COMPUTED_VALUE"""),1252.0)</f>
        <v>1252</v>
      </c>
      <c r="B289" s="131"/>
      <c r="C289" s="131">
        <f>IFERROR(__xludf.DUMMYFUNCTION("""COMPUTED_VALUE"""),1236.0)</f>
        <v>1236</v>
      </c>
      <c r="D289" s="131"/>
      <c r="E289" s="102" t="str">
        <f>IFERROR(__xludf.DUMMYFUNCTION("""COMPUTED_VALUE"""),"LACONSAY")</f>
        <v>LACONSAY</v>
      </c>
      <c r="F289" s="103" t="str">
        <f>IFERROR(__xludf.DUMMYFUNCTION("""COMPUTED_VALUE"""),"MA. ELENA")</f>
        <v>MA. ELENA</v>
      </c>
    </row>
    <row r="290">
      <c r="A290" s="131">
        <f>IFERROR(__xludf.DUMMYFUNCTION("""COMPUTED_VALUE"""),1253.0)</f>
        <v>1253</v>
      </c>
      <c r="B290" s="131"/>
      <c r="C290" s="131">
        <f>IFERROR(__xludf.DUMMYFUNCTION("""COMPUTED_VALUE"""),1236.0)</f>
        <v>1236</v>
      </c>
      <c r="D290" s="131"/>
      <c r="E290" s="103" t="str">
        <f>IFERROR(__xludf.DUMMYFUNCTION("""COMPUTED_VALUE"""),"MENOSO")</f>
        <v>MENOSO</v>
      </c>
      <c r="F290" s="103" t="str">
        <f>IFERROR(__xludf.DUMMYFUNCTION("""COMPUTED_VALUE"""),"DANICA")</f>
        <v>DANICA</v>
      </c>
    </row>
    <row r="291">
      <c r="A291" s="131">
        <f>IFERROR(__xludf.DUMMYFUNCTION("""COMPUTED_VALUE"""),1254.0)</f>
        <v>1254</v>
      </c>
      <c r="B291" s="131"/>
      <c r="C291" s="131">
        <f>IFERROR(__xludf.DUMMYFUNCTION("""COMPUTED_VALUE"""),1236.0)</f>
        <v>1236</v>
      </c>
      <c r="D291" s="131"/>
      <c r="E291" s="103"/>
      <c r="F291" s="103" t="str">
        <f>IFERROR(__xludf.DUMMYFUNCTION("""COMPUTED_VALUE"""),"AGNES")</f>
        <v>AGNES</v>
      </c>
    </row>
    <row r="292">
      <c r="A292" s="131"/>
      <c r="B292" s="131"/>
      <c r="C292" s="131"/>
      <c r="D292" s="131"/>
      <c r="E292" s="103"/>
      <c r="F292" s="103"/>
    </row>
    <row r="293">
      <c r="A293" s="131">
        <f>IFERROR(__xludf.DUMMYFUNCTION("""COMPUTED_VALUE"""),1255.0)</f>
        <v>1255</v>
      </c>
      <c r="B293" s="131"/>
      <c r="C293" s="131">
        <f>IFERROR(__xludf.DUMMYFUNCTION("""COMPUTED_VALUE"""),1255.0)</f>
        <v>1255</v>
      </c>
      <c r="D293" s="131" t="b">
        <f>IFERROR(__xludf.DUMMYFUNCTION("""COMPUTED_VALUE"""),TRUE)</f>
        <v>1</v>
      </c>
      <c r="E293" s="103" t="str">
        <f>IFERROR(__xludf.DUMMYFUNCTION("""COMPUTED_VALUE"""),"VERTODAZO")</f>
        <v>VERTODAZO</v>
      </c>
      <c r="F293" s="103" t="str">
        <f>IFERROR(__xludf.DUMMYFUNCTION("""COMPUTED_VALUE"""),"MONETH")</f>
        <v>MONETH</v>
      </c>
    </row>
    <row r="294">
      <c r="A294" s="131">
        <f>IFERROR(__xludf.DUMMYFUNCTION("""COMPUTED_VALUE"""),1256.0)</f>
        <v>1256</v>
      </c>
      <c r="B294" s="131"/>
      <c r="C294" s="131">
        <f>IFERROR(__xludf.DUMMYFUNCTION("""COMPUTED_VALUE"""),1255.0)</f>
        <v>1255</v>
      </c>
      <c r="D294" s="131"/>
      <c r="E294" s="103" t="str">
        <f>IFERROR(__xludf.DUMMYFUNCTION("""COMPUTED_VALUE"""),"SOMERA")</f>
        <v>SOMERA</v>
      </c>
      <c r="F294" s="103" t="str">
        <f>IFERROR(__xludf.DUMMYFUNCTION("""COMPUTED_VALUE"""),"CHA")</f>
        <v>CHA</v>
      </c>
    </row>
    <row r="295">
      <c r="A295" s="131">
        <f>IFERROR(__xludf.DUMMYFUNCTION("""COMPUTED_VALUE"""),1257.0)</f>
        <v>1257</v>
      </c>
      <c r="B295" s="131"/>
      <c r="C295" s="131">
        <f>IFERROR(__xludf.DUMMYFUNCTION("""COMPUTED_VALUE"""),1255.0)</f>
        <v>1255</v>
      </c>
      <c r="D295" s="131"/>
      <c r="E295" s="103" t="str">
        <f>IFERROR(__xludf.DUMMYFUNCTION("""COMPUTED_VALUE"""),"MAGDUAY")</f>
        <v>MAGDUAY</v>
      </c>
      <c r="F295" s="103" t="str">
        <f>IFERROR(__xludf.DUMMYFUNCTION("""COMPUTED_VALUE"""),"HEIDEE")</f>
        <v>HEIDEE</v>
      </c>
    </row>
    <row r="296">
      <c r="A296" s="131">
        <f>IFERROR(__xludf.DUMMYFUNCTION("""COMPUTED_VALUE"""),1258.0)</f>
        <v>1258</v>
      </c>
      <c r="B296" s="131"/>
      <c r="C296" s="131">
        <f>IFERROR(__xludf.DUMMYFUNCTION("""COMPUTED_VALUE"""),1255.0)</f>
        <v>1255</v>
      </c>
      <c r="D296" s="131"/>
      <c r="E296" s="103" t="str">
        <f>IFERROR(__xludf.DUMMYFUNCTION("""COMPUTED_VALUE"""),"TANDUL")</f>
        <v>TANDUL</v>
      </c>
      <c r="F296" s="103" t="str">
        <f>IFERROR(__xludf.DUMMYFUNCTION("""COMPUTED_VALUE"""),"RAQUEL")</f>
        <v>RAQUEL</v>
      </c>
    </row>
    <row r="297">
      <c r="A297" s="131">
        <f>IFERROR(__xludf.DUMMYFUNCTION("""COMPUTED_VALUE"""),1259.0)</f>
        <v>1259</v>
      </c>
      <c r="B297" s="131"/>
      <c r="C297" s="131">
        <f>IFERROR(__xludf.DUMMYFUNCTION("""COMPUTED_VALUE"""),1255.0)</f>
        <v>1255</v>
      </c>
      <c r="D297" s="131"/>
      <c r="E297" s="103" t="str">
        <f>IFERROR(__xludf.DUMMYFUNCTION("""COMPUTED_VALUE"""),"ARTICULO")</f>
        <v>ARTICULO</v>
      </c>
      <c r="F297" s="103" t="str">
        <f>IFERROR(__xludf.DUMMYFUNCTION("""COMPUTED_VALUE"""),"LEILA M.")</f>
        <v>LEILA M.</v>
      </c>
    </row>
    <row r="298">
      <c r="A298" s="131">
        <f>IFERROR(__xludf.DUMMYFUNCTION("""COMPUTED_VALUE"""),1260.0)</f>
        <v>1260</v>
      </c>
      <c r="B298" s="131"/>
      <c r="C298" s="131">
        <f>IFERROR(__xludf.DUMMYFUNCTION("""COMPUTED_VALUE"""),1255.0)</f>
        <v>1255</v>
      </c>
      <c r="D298" s="131"/>
      <c r="E298" s="103" t="str">
        <f>IFERROR(__xludf.DUMMYFUNCTION("""COMPUTED_VALUE"""),"BALDONADO")</f>
        <v>BALDONADO</v>
      </c>
      <c r="F298" s="103" t="str">
        <f>IFERROR(__xludf.DUMMYFUNCTION("""COMPUTED_VALUE"""),"JULIETA")</f>
        <v>JULIETA</v>
      </c>
    </row>
    <row r="299">
      <c r="A299" s="131">
        <f>IFERROR(__xludf.DUMMYFUNCTION("""COMPUTED_VALUE"""),1261.0)</f>
        <v>1261</v>
      </c>
      <c r="B299" s="131"/>
      <c r="C299" s="131">
        <f>IFERROR(__xludf.DUMMYFUNCTION("""COMPUTED_VALUE"""),1255.0)</f>
        <v>1255</v>
      </c>
      <c r="D299" s="131"/>
      <c r="E299" s="103" t="str">
        <f>IFERROR(__xludf.DUMMYFUNCTION("""COMPUTED_VALUE"""),"CARLOS")</f>
        <v>CARLOS</v>
      </c>
      <c r="F299" s="103" t="str">
        <f>IFERROR(__xludf.DUMMYFUNCTION("""COMPUTED_VALUE"""),"ANTONETTE M.")</f>
        <v>ANTONETTE M.</v>
      </c>
    </row>
    <row r="300">
      <c r="A300" s="131">
        <f>IFERROR(__xludf.DUMMYFUNCTION("""COMPUTED_VALUE"""),1262.0)</f>
        <v>1262</v>
      </c>
      <c r="B300" s="131"/>
      <c r="C300" s="131">
        <f>IFERROR(__xludf.DUMMYFUNCTION("""COMPUTED_VALUE"""),1255.0)</f>
        <v>1255</v>
      </c>
      <c r="D300" s="131"/>
      <c r="E300" s="103" t="str">
        <f>IFERROR(__xludf.DUMMYFUNCTION("""COMPUTED_VALUE"""),"INCARNATION")</f>
        <v>INCARNATION</v>
      </c>
      <c r="F300" s="103" t="str">
        <f>IFERROR(__xludf.DUMMYFUNCTION("""COMPUTED_VALUE"""),"LUCILA")</f>
        <v>LUCILA</v>
      </c>
    </row>
    <row r="301">
      <c r="A301" s="131">
        <f>IFERROR(__xludf.DUMMYFUNCTION("""COMPUTED_VALUE"""),1263.0)</f>
        <v>1263</v>
      </c>
      <c r="B301" s="131"/>
      <c r="C301" s="131">
        <f>IFERROR(__xludf.DUMMYFUNCTION("""COMPUTED_VALUE"""),1255.0)</f>
        <v>1255</v>
      </c>
      <c r="D301" s="131"/>
      <c r="E301" s="103" t="str">
        <f>IFERROR(__xludf.DUMMYFUNCTION("""COMPUTED_VALUE"""),"MAGAT")</f>
        <v>MAGAT</v>
      </c>
      <c r="F301" s="103" t="str">
        <f>IFERROR(__xludf.DUMMYFUNCTION("""COMPUTED_VALUE"""),"SYLVIA")</f>
        <v>SYLVIA</v>
      </c>
    </row>
    <row r="302">
      <c r="A302" s="131">
        <f>IFERROR(__xludf.DUMMYFUNCTION("""COMPUTED_VALUE"""),1264.0)</f>
        <v>1264</v>
      </c>
      <c r="B302" s="131"/>
      <c r="C302" s="131">
        <f>IFERROR(__xludf.DUMMYFUNCTION("""COMPUTED_VALUE"""),1255.0)</f>
        <v>1255</v>
      </c>
      <c r="D302" s="131"/>
      <c r="E302" s="103" t="str">
        <f>IFERROR(__xludf.DUMMYFUNCTION("""COMPUTED_VALUE"""),"MAGAT")</f>
        <v>MAGAT</v>
      </c>
      <c r="F302" s="103" t="str">
        <f>IFERROR(__xludf.DUMMYFUNCTION("""COMPUTED_VALUE"""),"JOSEPHINA")</f>
        <v>JOSEPHINA</v>
      </c>
    </row>
    <row r="303">
      <c r="A303" s="131">
        <f>IFERROR(__xludf.DUMMYFUNCTION("""COMPUTED_VALUE"""),1265.0)</f>
        <v>1265</v>
      </c>
      <c r="B303" s="131"/>
      <c r="C303" s="131">
        <f>IFERROR(__xludf.DUMMYFUNCTION("""COMPUTED_VALUE"""),1255.0)</f>
        <v>1255</v>
      </c>
      <c r="D303" s="131"/>
      <c r="E303" s="103" t="str">
        <f>IFERROR(__xludf.DUMMYFUNCTION("""COMPUTED_VALUE"""),"VILLARTA")</f>
        <v>VILLARTA</v>
      </c>
      <c r="F303" s="103" t="str">
        <f>IFERROR(__xludf.DUMMYFUNCTION("""COMPUTED_VALUE"""),"JESSICA")</f>
        <v>JESSICA</v>
      </c>
    </row>
    <row r="304">
      <c r="A304" s="131">
        <f>IFERROR(__xludf.DUMMYFUNCTION("""COMPUTED_VALUE"""),1266.0)</f>
        <v>1266</v>
      </c>
      <c r="B304" s="131"/>
      <c r="C304" s="131">
        <f>IFERROR(__xludf.DUMMYFUNCTION("""COMPUTED_VALUE"""),1255.0)</f>
        <v>1255</v>
      </c>
      <c r="D304" s="131"/>
      <c r="E304" s="99" t="str">
        <f>IFERROR(__xludf.DUMMYFUNCTION("""COMPUTED_VALUE"""),"MORAL")</f>
        <v>MORAL</v>
      </c>
      <c r="F304" s="99" t="str">
        <f>IFERROR(__xludf.DUMMYFUNCTION("""COMPUTED_VALUE"""),"LUCHELLE")</f>
        <v>LUCHELLE</v>
      </c>
    </row>
    <row r="305">
      <c r="A305" s="131">
        <f>IFERROR(__xludf.DUMMYFUNCTION("""COMPUTED_VALUE"""),1267.0)</f>
        <v>1267</v>
      </c>
      <c r="B305" s="131"/>
      <c r="C305" s="131">
        <f>IFERROR(__xludf.DUMMYFUNCTION("""COMPUTED_VALUE"""),1255.0)</f>
        <v>1255</v>
      </c>
      <c r="D305" s="131"/>
      <c r="E305" s="100" t="str">
        <f>IFERROR(__xludf.DUMMYFUNCTION("""COMPUTED_VALUE"""),"BRUSOLA")</f>
        <v>BRUSOLA</v>
      </c>
      <c r="F305" s="100" t="str">
        <f>IFERROR(__xludf.DUMMYFUNCTION("""COMPUTED_VALUE"""),"MERLY")</f>
        <v>MERLY</v>
      </c>
    </row>
    <row r="306">
      <c r="A306" s="131">
        <f>IFERROR(__xludf.DUMMYFUNCTION("""COMPUTED_VALUE"""),1268.0)</f>
        <v>1268</v>
      </c>
      <c r="B306" s="131"/>
      <c r="C306" s="131">
        <f>IFERROR(__xludf.DUMMYFUNCTION("""COMPUTED_VALUE"""),1255.0)</f>
        <v>1255</v>
      </c>
      <c r="D306" s="131"/>
      <c r="E306" s="100" t="str">
        <f>IFERROR(__xludf.DUMMYFUNCTION("""COMPUTED_VALUE"""),"TARINAY")</f>
        <v>TARINAY</v>
      </c>
      <c r="F306" s="100" t="str">
        <f>IFERROR(__xludf.DUMMYFUNCTION("""COMPUTED_VALUE"""),"MARILYN")</f>
        <v>MARILYN</v>
      </c>
    </row>
    <row r="307">
      <c r="A307" s="131">
        <f>IFERROR(__xludf.DUMMYFUNCTION("""COMPUTED_VALUE"""),1269.0)</f>
        <v>1269</v>
      </c>
      <c r="B307" s="131"/>
      <c r="C307" s="131">
        <f>IFERROR(__xludf.DUMMYFUNCTION("""COMPUTED_VALUE"""),1255.0)</f>
        <v>1255</v>
      </c>
      <c r="D307" s="131"/>
      <c r="E307" s="100" t="str">
        <f>IFERROR(__xludf.DUMMYFUNCTION("""COMPUTED_VALUE"""),"VARGAS")</f>
        <v>VARGAS</v>
      </c>
      <c r="F307" s="100" t="str">
        <f>IFERROR(__xludf.DUMMYFUNCTION("""COMPUTED_VALUE"""),"VILMA")</f>
        <v>VILMA</v>
      </c>
    </row>
    <row r="308">
      <c r="A308" s="131">
        <f>IFERROR(__xludf.DUMMYFUNCTION("""COMPUTED_VALUE"""),1270.0)</f>
        <v>1270</v>
      </c>
      <c r="B308" s="131"/>
      <c r="C308" s="131">
        <f>IFERROR(__xludf.DUMMYFUNCTION("""COMPUTED_VALUE"""),1255.0)</f>
        <v>1255</v>
      </c>
      <c r="D308" s="131"/>
      <c r="E308" s="100" t="str">
        <f>IFERROR(__xludf.DUMMYFUNCTION("""COMPUTED_VALUE"""),"GAPAS")</f>
        <v>GAPAS</v>
      </c>
      <c r="F308" s="100" t="str">
        <f>IFERROR(__xludf.DUMMYFUNCTION("""COMPUTED_VALUE"""),"EDITH")</f>
        <v>EDITH</v>
      </c>
    </row>
    <row r="309">
      <c r="A309" s="131">
        <f>IFERROR(__xludf.DUMMYFUNCTION("""COMPUTED_VALUE"""),1271.0)</f>
        <v>1271</v>
      </c>
      <c r="B309" s="131"/>
      <c r="C309" s="131">
        <f>IFERROR(__xludf.DUMMYFUNCTION("""COMPUTED_VALUE"""),1255.0)</f>
        <v>1255</v>
      </c>
      <c r="D309" s="131"/>
      <c r="E309" s="100" t="str">
        <f>IFERROR(__xludf.DUMMYFUNCTION("""COMPUTED_VALUE"""),"PACHECO")</f>
        <v>PACHECO</v>
      </c>
      <c r="F309" s="100" t="str">
        <f>IFERROR(__xludf.DUMMYFUNCTION("""COMPUTED_VALUE"""),"CAROLINE")</f>
        <v>CAROLINE</v>
      </c>
    </row>
    <row r="310">
      <c r="A310" s="131">
        <f>IFERROR(__xludf.DUMMYFUNCTION("""COMPUTED_VALUE"""),1272.0)</f>
        <v>1272</v>
      </c>
      <c r="B310" s="131"/>
      <c r="C310" s="131">
        <f>IFERROR(__xludf.DUMMYFUNCTION("""COMPUTED_VALUE"""),1255.0)</f>
        <v>1255</v>
      </c>
      <c r="D310" s="131"/>
      <c r="E310" s="100" t="str">
        <f>IFERROR(__xludf.DUMMYFUNCTION("""COMPUTED_VALUE"""),"BACOSA")</f>
        <v>BACOSA</v>
      </c>
      <c r="F310" s="100" t="str">
        <f>IFERROR(__xludf.DUMMYFUNCTION("""COMPUTED_VALUE"""),"MAIDA")</f>
        <v>MAIDA</v>
      </c>
    </row>
    <row r="311">
      <c r="A311" s="131">
        <f>IFERROR(__xludf.DUMMYFUNCTION("""COMPUTED_VALUE"""),1273.0)</f>
        <v>1273</v>
      </c>
      <c r="B311" s="131"/>
      <c r="C311" s="131">
        <f>IFERROR(__xludf.DUMMYFUNCTION("""COMPUTED_VALUE"""),1255.0)</f>
        <v>1255</v>
      </c>
      <c r="D311" s="131"/>
      <c r="E311" s="100" t="str">
        <f>IFERROR(__xludf.DUMMYFUNCTION("""COMPUTED_VALUE"""),"LIM")</f>
        <v>LIM</v>
      </c>
      <c r="F311" s="100" t="str">
        <f>IFERROR(__xludf.DUMMYFUNCTION("""COMPUTED_VALUE"""),"LANIE")</f>
        <v>LANIE</v>
      </c>
    </row>
    <row r="312">
      <c r="A312" s="131">
        <f>IFERROR(__xludf.DUMMYFUNCTION("""COMPUTED_VALUE"""),1274.0)</f>
        <v>1274</v>
      </c>
      <c r="B312" s="131"/>
      <c r="C312" s="131">
        <f>IFERROR(__xludf.DUMMYFUNCTION("""COMPUTED_VALUE"""),1255.0)</f>
        <v>1255</v>
      </c>
      <c r="D312" s="131"/>
      <c r="E312" s="100" t="str">
        <f>IFERROR(__xludf.DUMMYFUNCTION("""COMPUTED_VALUE"""),"DELA VEGA")</f>
        <v>DELA VEGA</v>
      </c>
      <c r="F312" s="100" t="str">
        <f>IFERROR(__xludf.DUMMYFUNCTION("""COMPUTED_VALUE"""),"MAVIC")</f>
        <v>MAVIC</v>
      </c>
    </row>
    <row r="313">
      <c r="A313" s="131">
        <f>IFERROR(__xludf.DUMMYFUNCTION("""COMPUTED_VALUE"""),1275.0)</f>
        <v>1275</v>
      </c>
      <c r="B313" s="131"/>
      <c r="C313" s="131">
        <f>IFERROR(__xludf.DUMMYFUNCTION("""COMPUTED_VALUE"""),1255.0)</f>
        <v>1255</v>
      </c>
      <c r="D313" s="131"/>
      <c r="E313" s="100"/>
      <c r="F313" s="100" t="str">
        <f>IFERROR(__xludf.DUMMYFUNCTION("""COMPUTED_VALUE"""),"MILA M.")</f>
        <v>MILA M.</v>
      </c>
    </row>
    <row r="314">
      <c r="A314" s="131">
        <f>IFERROR(__xludf.DUMMYFUNCTION("""COMPUTED_VALUE"""),1276.0)</f>
        <v>1276</v>
      </c>
      <c r="B314" s="131"/>
      <c r="C314" s="131">
        <f>IFERROR(__xludf.DUMMYFUNCTION("""COMPUTED_VALUE"""),1230.0)</f>
        <v>1230</v>
      </c>
      <c r="D314" s="131"/>
      <c r="E314" s="100" t="str">
        <f>IFERROR(__xludf.DUMMYFUNCTION("""COMPUTED_VALUE"""),"TANDUL")</f>
        <v>TANDUL</v>
      </c>
      <c r="F314" s="100" t="str">
        <f>IFERROR(__xludf.DUMMYFUNCTION("""COMPUTED_VALUE"""),"ED")</f>
        <v>ED</v>
      </c>
    </row>
    <row r="315">
      <c r="A315" s="131">
        <f>IFERROR(__xludf.DUMMYFUNCTION("""COMPUTED_VALUE"""),1277.0)</f>
        <v>1277</v>
      </c>
      <c r="B315" s="131"/>
      <c r="C315" s="131">
        <f>IFERROR(__xludf.DUMMYFUNCTION("""COMPUTED_VALUE"""),1230.0)</f>
        <v>1230</v>
      </c>
      <c r="D315" s="131"/>
      <c r="E315" s="99" t="str">
        <f>IFERROR(__xludf.DUMMYFUNCTION("""COMPUTED_VALUE"""),"VILLA")</f>
        <v>VILLA</v>
      </c>
      <c r="F315" s="99" t="str">
        <f>IFERROR(__xludf.DUMMYFUNCTION("""COMPUTED_VALUE"""),"EDWARD")</f>
        <v>EDWARD</v>
      </c>
    </row>
    <row r="316">
      <c r="A316" s="131">
        <f>IFERROR(__xludf.DUMMYFUNCTION("""COMPUTED_VALUE"""),1278.0)</f>
        <v>1278</v>
      </c>
      <c r="B316" s="131"/>
      <c r="C316" s="131">
        <f>IFERROR(__xludf.DUMMYFUNCTION("""COMPUTED_VALUE"""),1230.0)</f>
        <v>1230</v>
      </c>
      <c r="D316" s="131"/>
      <c r="E316" s="100" t="str">
        <f>IFERROR(__xludf.DUMMYFUNCTION("""COMPUTED_VALUE"""),"RETAMAR")</f>
        <v>RETAMAR</v>
      </c>
      <c r="F316" s="100" t="str">
        <f>IFERROR(__xludf.DUMMYFUNCTION("""COMPUTED_VALUE"""),"GLEN")</f>
        <v>GLEN</v>
      </c>
    </row>
    <row r="317">
      <c r="A317" s="131">
        <f>IFERROR(__xludf.DUMMYFUNCTION("""COMPUTED_VALUE"""),1279.0)</f>
        <v>1279</v>
      </c>
      <c r="B317" s="131"/>
      <c r="C317" s="131">
        <f>IFERROR(__xludf.DUMMYFUNCTION("""COMPUTED_VALUE"""),1230.0)</f>
        <v>1230</v>
      </c>
      <c r="D317" s="131"/>
      <c r="E317" s="100" t="str">
        <f>IFERROR(__xludf.DUMMYFUNCTION("""COMPUTED_VALUE"""),"PASAYLON")</f>
        <v>PASAYLON</v>
      </c>
      <c r="F317" s="100" t="str">
        <f>IFERROR(__xludf.DUMMYFUNCTION("""COMPUTED_VALUE"""),"RAYMOND")</f>
        <v>RAYMOND</v>
      </c>
    </row>
    <row r="318">
      <c r="A318" s="131">
        <f>IFERROR(__xludf.DUMMYFUNCTION("""COMPUTED_VALUE"""),1280.0)</f>
        <v>1280</v>
      </c>
      <c r="B318" s="131"/>
      <c r="C318" s="131">
        <f>IFERROR(__xludf.DUMMYFUNCTION("""COMPUTED_VALUE"""),1230.0)</f>
        <v>1230</v>
      </c>
      <c r="D318" s="131"/>
      <c r="E318" s="100" t="str">
        <f>IFERROR(__xludf.DUMMYFUNCTION("""COMPUTED_VALUE"""),"CODILLA")</f>
        <v>CODILLA</v>
      </c>
      <c r="F318" s="100" t="str">
        <f>IFERROR(__xludf.DUMMYFUNCTION("""COMPUTED_VALUE"""),"JONNEL")</f>
        <v>JONNEL</v>
      </c>
    </row>
    <row r="319">
      <c r="A319" s="131">
        <f>IFERROR(__xludf.DUMMYFUNCTION("""COMPUTED_VALUE"""),1281.0)</f>
        <v>1281</v>
      </c>
      <c r="B319" s="131"/>
      <c r="C319" s="131">
        <f>IFERROR(__xludf.DUMMYFUNCTION("""COMPUTED_VALUE"""),1230.0)</f>
        <v>1230</v>
      </c>
      <c r="D319" s="131"/>
      <c r="E319" s="100" t="str">
        <f>IFERROR(__xludf.DUMMYFUNCTION("""COMPUTED_VALUE"""),"AZUL")</f>
        <v>AZUL</v>
      </c>
      <c r="F319" s="100" t="str">
        <f>IFERROR(__xludf.DUMMYFUNCTION("""COMPUTED_VALUE"""),"BENIE")</f>
        <v>BENIE</v>
      </c>
    </row>
    <row r="320">
      <c r="A320" s="131">
        <f>IFERROR(__xludf.DUMMYFUNCTION("""COMPUTED_VALUE"""),1282.0)</f>
        <v>1282</v>
      </c>
      <c r="B320" s="131"/>
      <c r="C320" s="131">
        <f>IFERROR(__xludf.DUMMYFUNCTION("""COMPUTED_VALUE"""),1230.0)</f>
        <v>1230</v>
      </c>
      <c r="D320" s="131"/>
      <c r="E320" s="100" t="str">
        <f>IFERROR(__xludf.DUMMYFUNCTION("""COMPUTED_VALUE"""),"E.")</f>
        <v>E.</v>
      </c>
      <c r="F320" s="100" t="str">
        <f>IFERROR(__xludf.DUMMYFUNCTION("""COMPUTED_VALUE"""),"MANNY")</f>
        <v>MANNY</v>
      </c>
    </row>
    <row r="321">
      <c r="A321" s="131"/>
      <c r="B321" s="131"/>
      <c r="C321" s="131"/>
      <c r="D321" s="131"/>
      <c r="E321" s="100"/>
      <c r="F321" s="100"/>
    </row>
    <row r="322">
      <c r="A322" s="131">
        <f>IFERROR(__xludf.DUMMYFUNCTION("""COMPUTED_VALUE"""),1283.0)</f>
        <v>1283</v>
      </c>
      <c r="B322" s="131"/>
      <c r="C322" s="131">
        <f>IFERROR(__xludf.DUMMYFUNCTION("""COMPUTED_VALUE"""),1283.0)</f>
        <v>1283</v>
      </c>
      <c r="D322" s="131" t="b">
        <f>IFERROR(__xludf.DUMMYFUNCTION("""COMPUTED_VALUE"""),TRUE)</f>
        <v>1</v>
      </c>
      <c r="E322" s="101" t="str">
        <f>IFERROR(__xludf.DUMMYFUNCTION("""COMPUTED_VALUE"""),"LIM")</f>
        <v>LIM</v>
      </c>
      <c r="F322" s="101" t="str">
        <f>IFERROR(__xludf.DUMMYFUNCTION("""COMPUTED_VALUE"""),"MARLINA")</f>
        <v>MARLINA</v>
      </c>
    </row>
    <row r="323">
      <c r="A323" s="131"/>
      <c r="B323" s="131"/>
      <c r="C323" s="131"/>
      <c r="D323" s="131"/>
      <c r="E323" s="101"/>
      <c r="F323" s="101"/>
    </row>
    <row r="324">
      <c r="A324" s="131"/>
      <c r="B324" s="131"/>
      <c r="C324" s="131"/>
      <c r="D324" s="131"/>
      <c r="E324" s="101"/>
      <c r="F324" s="101"/>
    </row>
    <row r="325">
      <c r="A325" s="131"/>
      <c r="B325" s="131"/>
      <c r="C325" s="131"/>
      <c r="D325" s="131"/>
      <c r="E325" s="101"/>
      <c r="F325" s="101"/>
    </row>
    <row r="326">
      <c r="A326" s="131"/>
      <c r="B326" s="131"/>
      <c r="C326" s="131"/>
      <c r="D326" s="131"/>
      <c r="E326" s="101"/>
      <c r="F326" s="101"/>
    </row>
    <row r="327">
      <c r="A327" s="131"/>
      <c r="B327" s="131"/>
      <c r="C327" s="131"/>
      <c r="D327" s="131"/>
      <c r="E327" s="105"/>
      <c r="F327" s="105"/>
    </row>
    <row r="328">
      <c r="A328" s="131"/>
      <c r="B328" s="131"/>
      <c r="C328" s="131"/>
      <c r="D328" s="131"/>
      <c r="E328" s="106"/>
      <c r="F328" s="106"/>
    </row>
    <row r="329">
      <c r="A329" s="131"/>
      <c r="B329" s="131"/>
      <c r="C329" s="131"/>
      <c r="D329" s="131"/>
      <c r="E329" s="107"/>
      <c r="F329" s="107"/>
    </row>
    <row r="330">
      <c r="A330" s="131"/>
      <c r="B330" s="131"/>
      <c r="C330" s="131"/>
      <c r="D330" s="131"/>
      <c r="E330" s="107"/>
      <c r="F330" s="107"/>
    </row>
    <row r="331">
      <c r="A331" s="131"/>
      <c r="B331" s="131"/>
      <c r="C331" s="131"/>
      <c r="D331" s="131"/>
      <c r="E331" s="108"/>
      <c r="F331" s="108"/>
    </row>
    <row r="332">
      <c r="A332" s="131"/>
      <c r="B332" s="131"/>
      <c r="C332" s="131"/>
      <c r="D332" s="131"/>
      <c r="E332" s="107"/>
      <c r="F332" s="107"/>
    </row>
    <row r="333">
      <c r="A333" s="131"/>
      <c r="B333" s="131"/>
      <c r="C333" s="131"/>
      <c r="D333" s="131"/>
      <c r="E333" s="106"/>
      <c r="F333" s="106"/>
    </row>
    <row r="334">
      <c r="A334" s="131"/>
      <c r="B334" s="131"/>
      <c r="C334" s="131"/>
      <c r="D334" s="131"/>
      <c r="E334" s="107"/>
      <c r="F334" s="107"/>
    </row>
    <row r="335">
      <c r="A335" s="131"/>
      <c r="B335" s="131"/>
      <c r="C335" s="131"/>
      <c r="D335" s="131"/>
      <c r="E335" s="107"/>
      <c r="F335" s="107"/>
    </row>
    <row r="336">
      <c r="A336" s="131"/>
      <c r="B336" s="131"/>
      <c r="C336" s="131"/>
      <c r="D336" s="131"/>
      <c r="E336" s="107"/>
      <c r="F336" s="107"/>
    </row>
    <row r="337">
      <c r="A337" s="131"/>
      <c r="B337" s="131"/>
      <c r="C337" s="131"/>
      <c r="D337" s="131"/>
      <c r="E337" s="107"/>
      <c r="F337" s="107"/>
    </row>
    <row r="338">
      <c r="A338" s="131"/>
      <c r="B338" s="131"/>
      <c r="C338" s="131"/>
      <c r="D338" s="131"/>
      <c r="E338" s="106"/>
      <c r="F338" s="106"/>
    </row>
    <row r="339">
      <c r="A339" s="131"/>
      <c r="B339" s="131"/>
      <c r="C339" s="131"/>
      <c r="D339" s="131"/>
      <c r="E339" s="107"/>
      <c r="F339" s="107"/>
    </row>
    <row r="340">
      <c r="A340" s="131"/>
      <c r="B340" s="131"/>
      <c r="C340" s="131"/>
      <c r="D340" s="131"/>
      <c r="E340" s="109"/>
      <c r="F340" s="109"/>
    </row>
    <row r="341">
      <c r="A341" s="131"/>
      <c r="B341" s="131"/>
      <c r="C341" s="131"/>
      <c r="D341" s="131"/>
      <c r="E341" s="110"/>
      <c r="F341" s="110"/>
    </row>
    <row r="342">
      <c r="A342" s="131"/>
      <c r="B342" s="131"/>
      <c r="C342" s="131"/>
      <c r="D342" s="131"/>
      <c r="E342" s="110"/>
      <c r="F342" s="110"/>
    </row>
    <row r="343">
      <c r="A343" s="131"/>
      <c r="B343" s="131"/>
      <c r="C343" s="131"/>
      <c r="D343" s="131"/>
      <c r="E343" s="111"/>
      <c r="F343" s="111"/>
    </row>
    <row r="344">
      <c r="A344" s="131"/>
      <c r="B344" s="131"/>
      <c r="C344" s="131"/>
      <c r="D344" s="131"/>
      <c r="E344" s="112"/>
      <c r="F344" s="112"/>
    </row>
    <row r="345">
      <c r="A345" s="131"/>
      <c r="B345" s="131"/>
      <c r="C345" s="131"/>
      <c r="D345" s="131"/>
      <c r="E345" s="112"/>
      <c r="F345" s="112"/>
    </row>
    <row r="346">
      <c r="A346" s="131"/>
      <c r="B346" s="131"/>
      <c r="C346" s="131"/>
      <c r="D346" s="131"/>
      <c r="E346" s="112"/>
      <c r="F346" s="112"/>
    </row>
    <row r="347">
      <c r="A347" s="131"/>
      <c r="B347" s="131"/>
      <c r="C347" s="131"/>
      <c r="D347" s="131"/>
      <c r="E347" s="112"/>
      <c r="F347" s="112"/>
    </row>
    <row r="348">
      <c r="A348" s="131"/>
      <c r="B348" s="131"/>
      <c r="C348" s="131"/>
      <c r="D348" s="131"/>
      <c r="E348" s="113"/>
      <c r="F348" s="110"/>
    </row>
    <row r="349">
      <c r="A349" s="131"/>
      <c r="B349" s="131"/>
      <c r="C349" s="131"/>
      <c r="D349" s="131"/>
      <c r="E349" s="114"/>
      <c r="F349" s="114"/>
    </row>
    <row r="350">
      <c r="A350" s="131"/>
      <c r="B350" s="131"/>
      <c r="C350" s="131"/>
      <c r="D350" s="131"/>
      <c r="E350" s="114"/>
      <c r="F350" s="114"/>
    </row>
    <row r="351">
      <c r="A351" s="131"/>
      <c r="B351" s="131"/>
      <c r="C351" s="131"/>
      <c r="D351" s="131"/>
      <c r="E351" s="114"/>
      <c r="F351" s="114"/>
    </row>
    <row r="352">
      <c r="A352" s="131"/>
      <c r="B352" s="131"/>
      <c r="C352" s="131"/>
      <c r="D352" s="131"/>
      <c r="E352" s="114"/>
      <c r="F352" s="114"/>
    </row>
    <row r="353">
      <c r="A353" s="131"/>
      <c r="B353" s="131"/>
      <c r="C353" s="131"/>
      <c r="D353" s="131"/>
      <c r="E353" s="114"/>
      <c r="F353" s="114"/>
    </row>
    <row r="354">
      <c r="A354" s="131"/>
      <c r="B354" s="131"/>
      <c r="C354" s="131"/>
      <c r="D354" s="131"/>
      <c r="E354" s="114"/>
      <c r="F354" s="114"/>
    </row>
    <row r="355">
      <c r="A355" s="131"/>
      <c r="B355" s="131"/>
      <c r="C355" s="131"/>
      <c r="D355" s="131"/>
      <c r="E355" s="114"/>
      <c r="F355" s="114"/>
    </row>
    <row r="356">
      <c r="A356" s="131"/>
      <c r="B356" s="131"/>
      <c r="C356" s="131"/>
      <c r="D356" s="131"/>
      <c r="E356" s="114"/>
      <c r="F356" s="114"/>
    </row>
    <row r="357">
      <c r="A357" s="131"/>
      <c r="B357" s="131"/>
      <c r="C357" s="131"/>
      <c r="D357" s="131"/>
      <c r="E357" s="114"/>
      <c r="F357" s="114"/>
    </row>
    <row r="358">
      <c r="A358" s="131"/>
      <c r="B358" s="131"/>
      <c r="C358" s="131"/>
      <c r="D358" s="131"/>
      <c r="E358" s="114"/>
      <c r="F358" s="114"/>
    </row>
    <row r="359">
      <c r="A359" s="131"/>
      <c r="B359" s="131"/>
      <c r="C359" s="131"/>
      <c r="D359" s="131"/>
      <c r="E359" s="114"/>
      <c r="F359" s="114"/>
    </row>
    <row r="360">
      <c r="A360" s="131"/>
      <c r="B360" s="131"/>
      <c r="C360" s="131"/>
      <c r="D360" s="131"/>
      <c r="E360" s="114"/>
      <c r="F360" s="114"/>
    </row>
    <row r="361">
      <c r="A361" s="131"/>
      <c r="B361" s="131"/>
      <c r="C361" s="131"/>
      <c r="D361" s="131"/>
      <c r="E361" s="114"/>
      <c r="F361" s="114"/>
    </row>
    <row r="362">
      <c r="A362" s="131"/>
      <c r="B362" s="131"/>
      <c r="C362" s="131"/>
      <c r="D362" s="131"/>
      <c r="E362" s="114"/>
      <c r="F362" s="114"/>
    </row>
    <row r="363">
      <c r="A363" s="131"/>
      <c r="B363" s="131"/>
      <c r="C363" s="131"/>
      <c r="D363" s="131"/>
      <c r="E363" s="114"/>
      <c r="F363" s="114"/>
    </row>
    <row r="364">
      <c r="A364" s="131"/>
      <c r="B364" s="131"/>
      <c r="C364" s="131"/>
      <c r="D364" s="131"/>
      <c r="E364" s="114"/>
      <c r="F364" s="114"/>
    </row>
    <row r="365">
      <c r="A365" s="131"/>
      <c r="B365" s="131"/>
      <c r="C365" s="131"/>
      <c r="D365" s="131"/>
      <c r="E365" s="114"/>
      <c r="F365" s="114"/>
    </row>
    <row r="366">
      <c r="A366" s="131"/>
      <c r="B366" s="131"/>
      <c r="C366" s="131"/>
      <c r="D366" s="131"/>
      <c r="E366" s="114"/>
      <c r="F366" s="114"/>
    </row>
    <row r="367">
      <c r="A367" s="131"/>
      <c r="B367" s="131"/>
      <c r="C367" s="131"/>
      <c r="D367" s="131"/>
      <c r="E367" s="114"/>
      <c r="F367" s="114"/>
    </row>
    <row r="368">
      <c r="A368" s="131"/>
      <c r="B368" s="131"/>
      <c r="C368" s="131"/>
      <c r="D368" s="131"/>
      <c r="E368" s="114"/>
      <c r="F368" s="114"/>
    </row>
    <row r="369">
      <c r="A369" s="131"/>
      <c r="B369" s="131"/>
      <c r="C369" s="131"/>
      <c r="D369" s="131"/>
      <c r="E369" s="131"/>
      <c r="F369" s="131"/>
    </row>
    <row r="370">
      <c r="A370" s="131"/>
      <c r="B370" s="131"/>
      <c r="C370" s="131"/>
      <c r="D370" s="131"/>
      <c r="E370" s="105"/>
      <c r="F370" s="105"/>
    </row>
    <row r="371">
      <c r="A371" s="131"/>
      <c r="B371" s="131"/>
      <c r="C371" s="131"/>
      <c r="D371" s="131"/>
      <c r="E371" s="115"/>
      <c r="F371" s="107"/>
    </row>
    <row r="372">
      <c r="A372" s="131"/>
      <c r="B372" s="131"/>
      <c r="C372" s="131"/>
      <c r="D372" s="131"/>
      <c r="E372" s="107"/>
      <c r="F372" s="107"/>
    </row>
    <row r="373">
      <c r="A373" s="131"/>
      <c r="B373" s="131"/>
      <c r="C373" s="131"/>
      <c r="D373" s="131"/>
      <c r="E373" s="116"/>
      <c r="F373" s="107"/>
    </row>
    <row r="374">
      <c r="A374" s="131"/>
      <c r="B374" s="131"/>
      <c r="C374" s="131"/>
      <c r="D374" s="131"/>
      <c r="E374" s="107"/>
      <c r="F374" s="107"/>
    </row>
    <row r="375">
      <c r="A375" s="131"/>
      <c r="B375" s="131"/>
      <c r="C375" s="131"/>
      <c r="D375" s="131"/>
      <c r="E375" s="107"/>
      <c r="F375" s="107"/>
    </row>
    <row r="376">
      <c r="A376" s="131"/>
      <c r="B376" s="131"/>
      <c r="C376" s="131"/>
      <c r="D376" s="131"/>
      <c r="E376" s="107"/>
      <c r="F376" s="107"/>
    </row>
    <row r="377">
      <c r="A377" s="131"/>
      <c r="B377" s="131"/>
      <c r="C377" s="131"/>
      <c r="D377" s="131"/>
      <c r="E377" s="107"/>
      <c r="F377" s="107"/>
    </row>
    <row r="378">
      <c r="A378" s="131"/>
      <c r="B378" s="131"/>
      <c r="C378" s="131"/>
      <c r="D378" s="131"/>
      <c r="E378" s="107"/>
      <c r="F378" s="107"/>
    </row>
    <row r="379">
      <c r="A379" s="131"/>
      <c r="B379" s="131"/>
      <c r="C379" s="131"/>
      <c r="D379" s="131"/>
      <c r="E379" s="107"/>
      <c r="F379" s="107"/>
    </row>
    <row r="380">
      <c r="A380" s="131"/>
      <c r="B380" s="131"/>
      <c r="C380" s="131"/>
      <c r="D380" s="131"/>
      <c r="E380" s="107"/>
      <c r="F380" s="107"/>
    </row>
    <row r="381">
      <c r="A381" s="131"/>
      <c r="B381" s="131"/>
      <c r="C381" s="131"/>
      <c r="D381" s="131"/>
      <c r="E381" s="107"/>
      <c r="F381" s="107"/>
    </row>
    <row r="382">
      <c r="A382" s="131"/>
      <c r="B382" s="131"/>
      <c r="C382" s="131"/>
      <c r="D382" s="131"/>
      <c r="E382" s="107"/>
      <c r="F382" s="107"/>
    </row>
    <row r="383">
      <c r="A383" s="131"/>
      <c r="B383" s="131"/>
      <c r="C383" s="131"/>
      <c r="D383" s="131"/>
      <c r="E383" s="107"/>
      <c r="F383" s="107"/>
    </row>
    <row r="384">
      <c r="A384" s="131"/>
      <c r="B384" s="131"/>
      <c r="C384" s="131"/>
      <c r="D384" s="131"/>
      <c r="E384" s="107"/>
      <c r="F384" s="107"/>
    </row>
    <row r="385">
      <c r="A385" s="131"/>
      <c r="B385" s="131"/>
      <c r="C385" s="131"/>
      <c r="D385" s="131"/>
      <c r="E385" s="107"/>
      <c r="F385" s="107"/>
    </row>
    <row r="386">
      <c r="A386" s="131"/>
      <c r="B386" s="131"/>
      <c r="C386" s="131"/>
      <c r="D386" s="131"/>
      <c r="E386" s="107"/>
      <c r="F386" s="107"/>
    </row>
    <row r="387">
      <c r="A387" s="131"/>
      <c r="B387" s="131"/>
      <c r="C387" s="131"/>
      <c r="D387" s="131"/>
      <c r="E387" s="107"/>
      <c r="F387" s="107"/>
    </row>
    <row r="388">
      <c r="A388" s="131"/>
      <c r="B388" s="131"/>
      <c r="C388" s="131"/>
      <c r="D388" s="131"/>
      <c r="E388" s="98"/>
      <c r="F388" s="107"/>
    </row>
    <row r="389">
      <c r="A389" s="131"/>
      <c r="B389" s="131"/>
      <c r="C389" s="131"/>
      <c r="D389" s="131"/>
      <c r="E389" s="131"/>
      <c r="F389" s="131"/>
    </row>
    <row r="390">
      <c r="A390" s="131"/>
      <c r="B390" s="131"/>
      <c r="C390" s="131"/>
      <c r="D390" s="131"/>
      <c r="E390" s="105"/>
      <c r="F390" s="105"/>
    </row>
    <row r="391">
      <c r="A391" s="131"/>
      <c r="B391" s="131"/>
      <c r="C391" s="131"/>
      <c r="D391" s="131"/>
      <c r="E391" s="109"/>
      <c r="F391" s="109"/>
    </row>
    <row r="392">
      <c r="A392" s="131"/>
      <c r="B392" s="131"/>
      <c r="C392" s="131"/>
      <c r="D392" s="131"/>
      <c r="E392" s="109"/>
      <c r="F392" s="109"/>
    </row>
    <row r="393">
      <c r="A393" s="131"/>
      <c r="B393" s="131"/>
      <c r="C393" s="131"/>
      <c r="D393" s="131"/>
      <c r="E393" s="109"/>
      <c r="F393" s="109"/>
    </row>
    <row r="394">
      <c r="A394" s="131"/>
      <c r="B394" s="131"/>
      <c r="C394" s="131"/>
      <c r="D394" s="131"/>
      <c r="E394" s="109"/>
      <c r="F394" s="109"/>
    </row>
    <row r="395">
      <c r="A395" s="131"/>
      <c r="B395" s="131"/>
      <c r="C395" s="131"/>
      <c r="D395" s="131"/>
      <c r="E395" s="109"/>
      <c r="F395" s="109"/>
    </row>
    <row r="396">
      <c r="A396" s="131"/>
      <c r="B396" s="131"/>
      <c r="C396" s="131"/>
      <c r="D396" s="131"/>
      <c r="E396" s="109"/>
      <c r="F396" s="109"/>
    </row>
    <row r="397">
      <c r="A397" s="131"/>
      <c r="B397" s="131"/>
      <c r="C397" s="131"/>
      <c r="D397" s="131"/>
      <c r="E397" s="109"/>
      <c r="F397" s="109"/>
    </row>
    <row r="398">
      <c r="A398" s="131"/>
      <c r="B398" s="131"/>
      <c r="C398" s="131"/>
      <c r="D398" s="131"/>
      <c r="E398" s="109"/>
      <c r="F398" s="109"/>
    </row>
    <row r="399">
      <c r="A399" s="131"/>
      <c r="B399" s="131"/>
      <c r="C399" s="131"/>
      <c r="D399" s="131"/>
      <c r="E399" s="109"/>
      <c r="F399" s="109"/>
    </row>
    <row r="400">
      <c r="A400" s="131"/>
      <c r="B400" s="131"/>
      <c r="C400" s="131"/>
      <c r="D400" s="131"/>
      <c r="E400" s="109"/>
      <c r="F400" s="109"/>
    </row>
    <row r="401">
      <c r="A401" s="131"/>
      <c r="B401" s="131"/>
      <c r="C401" s="131"/>
      <c r="D401" s="131"/>
      <c r="E401" s="109"/>
      <c r="F401" s="109"/>
    </row>
    <row r="402">
      <c r="A402" s="131"/>
      <c r="B402" s="131"/>
      <c r="C402" s="131"/>
      <c r="D402" s="131"/>
      <c r="E402" s="109"/>
      <c r="F402" s="109"/>
    </row>
    <row r="403">
      <c r="A403" s="131"/>
      <c r="B403" s="131"/>
      <c r="C403" s="131"/>
      <c r="D403" s="131"/>
      <c r="E403" s="109"/>
      <c r="F403" s="109"/>
    </row>
    <row r="404">
      <c r="A404" s="131"/>
      <c r="B404" s="131"/>
      <c r="C404" s="131"/>
      <c r="D404" s="131"/>
      <c r="E404" s="109"/>
      <c r="F404" s="109"/>
    </row>
    <row r="405">
      <c r="A405" s="131"/>
      <c r="B405" s="131"/>
      <c r="C405" s="131"/>
      <c r="D405" s="131"/>
      <c r="E405" s="109"/>
      <c r="F405" s="109"/>
    </row>
    <row r="406">
      <c r="A406" s="131"/>
      <c r="B406" s="131"/>
      <c r="C406" s="131"/>
      <c r="D406" s="131"/>
      <c r="E406" s="109"/>
      <c r="F406" s="109"/>
    </row>
    <row r="407">
      <c r="A407" s="131"/>
      <c r="B407" s="131"/>
      <c r="C407" s="131"/>
      <c r="D407" s="131"/>
      <c r="E407" s="109"/>
      <c r="F407" s="109"/>
    </row>
    <row r="408">
      <c r="A408" s="131"/>
      <c r="B408" s="131"/>
      <c r="C408" s="131"/>
      <c r="D408" s="131"/>
      <c r="E408" s="109"/>
      <c r="F408" s="109"/>
    </row>
    <row r="409">
      <c r="A409" s="131"/>
      <c r="B409" s="131"/>
      <c r="C409" s="131"/>
      <c r="D409" s="131"/>
      <c r="E409" s="109"/>
      <c r="F409" s="109"/>
    </row>
    <row r="410">
      <c r="A410" s="131"/>
      <c r="B410" s="131"/>
      <c r="C410" s="131"/>
      <c r="D410" s="131"/>
      <c r="E410" s="109"/>
      <c r="F410" s="109"/>
    </row>
    <row r="411">
      <c r="A411" s="131"/>
      <c r="B411" s="131"/>
      <c r="C411" s="131"/>
      <c r="D411" s="131"/>
      <c r="E411" s="109"/>
      <c r="F411" s="109"/>
    </row>
    <row r="412">
      <c r="A412" s="131"/>
      <c r="B412" s="131"/>
      <c r="C412" s="131"/>
      <c r="D412" s="131"/>
      <c r="E412" s="109"/>
      <c r="F412" s="109"/>
    </row>
    <row r="413">
      <c r="A413" s="131"/>
      <c r="B413" s="131"/>
      <c r="C413" s="131"/>
      <c r="D413" s="131"/>
      <c r="E413" s="109"/>
      <c r="F413" s="109"/>
    </row>
    <row r="414">
      <c r="A414" s="131"/>
      <c r="B414" s="131"/>
      <c r="C414" s="131"/>
      <c r="D414" s="131"/>
      <c r="E414" s="109"/>
      <c r="F414" s="109"/>
    </row>
    <row r="415">
      <c r="A415" s="131"/>
      <c r="B415" s="131"/>
      <c r="C415" s="131"/>
      <c r="D415" s="131"/>
      <c r="E415" s="109"/>
      <c r="F415" s="109"/>
    </row>
    <row r="416">
      <c r="A416" s="131"/>
      <c r="B416" s="131"/>
      <c r="C416" s="131"/>
      <c r="D416" s="131"/>
      <c r="E416" s="131"/>
      <c r="F416" s="131"/>
    </row>
    <row r="417">
      <c r="A417" s="131"/>
      <c r="B417" s="131"/>
      <c r="C417" s="131"/>
      <c r="D417" s="131"/>
      <c r="E417" s="105"/>
      <c r="F417" s="105"/>
    </row>
    <row r="418">
      <c r="A418" s="131"/>
      <c r="B418" s="131"/>
      <c r="C418" s="131"/>
      <c r="D418" s="131"/>
      <c r="E418" s="107"/>
      <c r="F418" s="107"/>
    </row>
    <row r="419">
      <c r="A419" s="131"/>
      <c r="B419" s="131"/>
      <c r="C419" s="131"/>
      <c r="D419" s="131"/>
      <c r="E419" s="107"/>
      <c r="F419" s="107"/>
    </row>
    <row r="420">
      <c r="A420" s="131"/>
      <c r="B420" s="131"/>
      <c r="C420" s="131"/>
      <c r="D420" s="131"/>
      <c r="E420" s="107"/>
      <c r="F420" s="107"/>
    </row>
    <row r="421">
      <c r="A421" s="131"/>
      <c r="B421" s="131"/>
      <c r="C421" s="131"/>
      <c r="D421" s="131"/>
      <c r="E421" s="107"/>
      <c r="F421" s="107"/>
    </row>
    <row r="422">
      <c r="A422" s="131"/>
      <c r="B422" s="131"/>
      <c r="C422" s="131"/>
      <c r="D422" s="131"/>
      <c r="E422" s="107"/>
      <c r="F422" s="107"/>
    </row>
    <row r="423">
      <c r="A423" s="131"/>
      <c r="B423" s="131"/>
      <c r="C423" s="131"/>
      <c r="D423" s="131"/>
      <c r="E423" s="107"/>
      <c r="F423" s="107"/>
    </row>
    <row r="424">
      <c r="A424" s="131"/>
      <c r="B424" s="131"/>
      <c r="C424" s="131"/>
      <c r="D424" s="131"/>
      <c r="E424" s="107"/>
      <c r="F424" s="107"/>
    </row>
    <row r="425">
      <c r="A425" s="131"/>
      <c r="B425" s="131"/>
      <c r="C425" s="131"/>
      <c r="D425" s="131"/>
      <c r="E425" s="107"/>
      <c r="F425" s="107"/>
    </row>
    <row r="426">
      <c r="A426" s="131"/>
      <c r="B426" s="131"/>
      <c r="C426" s="131"/>
      <c r="D426" s="131"/>
      <c r="E426" s="107"/>
      <c r="F426" s="107"/>
    </row>
    <row r="427">
      <c r="A427" s="131"/>
      <c r="B427" s="131"/>
      <c r="C427" s="131"/>
      <c r="D427" s="131"/>
      <c r="E427" s="107"/>
      <c r="F427" s="107"/>
    </row>
    <row r="428">
      <c r="A428" s="131"/>
      <c r="B428" s="131"/>
      <c r="C428" s="131"/>
      <c r="D428" s="131"/>
      <c r="E428" s="107"/>
      <c r="F428" s="107"/>
    </row>
    <row r="429">
      <c r="A429" s="131"/>
      <c r="B429" s="131"/>
      <c r="C429" s="131"/>
      <c r="D429" s="131"/>
      <c r="E429" s="107"/>
      <c r="F429" s="107"/>
    </row>
    <row r="430">
      <c r="A430" s="131"/>
      <c r="B430" s="131"/>
      <c r="C430" s="131"/>
      <c r="D430" s="131"/>
      <c r="E430" s="107"/>
      <c r="F430" s="107"/>
    </row>
    <row r="431">
      <c r="A431" s="131"/>
      <c r="B431" s="131"/>
      <c r="C431" s="131"/>
      <c r="D431" s="131"/>
      <c r="E431" s="107"/>
      <c r="F431" s="107"/>
    </row>
    <row r="432">
      <c r="A432" s="131"/>
      <c r="B432" s="131"/>
      <c r="C432" s="131"/>
      <c r="D432" s="131"/>
      <c r="E432" s="107"/>
      <c r="F432" s="107"/>
    </row>
    <row r="433">
      <c r="A433" s="131"/>
      <c r="B433" s="131"/>
      <c r="C433" s="131"/>
      <c r="D433" s="131"/>
      <c r="E433" s="107"/>
      <c r="F433" s="107"/>
    </row>
    <row r="434">
      <c r="A434" s="131"/>
      <c r="B434" s="131"/>
      <c r="C434" s="131"/>
      <c r="D434" s="131"/>
      <c r="E434" s="107"/>
      <c r="F434" s="107"/>
    </row>
    <row r="435">
      <c r="A435" s="131"/>
      <c r="B435" s="131"/>
      <c r="C435" s="131"/>
      <c r="D435" s="131"/>
      <c r="E435" s="107"/>
      <c r="F435" s="107"/>
    </row>
    <row r="436">
      <c r="A436" s="131"/>
      <c r="B436" s="131"/>
      <c r="C436" s="131"/>
      <c r="D436" s="131"/>
      <c r="E436" s="107"/>
      <c r="F436" s="107"/>
    </row>
    <row r="437">
      <c r="A437" s="131"/>
      <c r="B437" s="131"/>
      <c r="C437" s="131"/>
      <c r="D437" s="131"/>
      <c r="E437" s="107"/>
      <c r="F437" s="107"/>
    </row>
    <row r="438">
      <c r="A438" s="131"/>
      <c r="B438" s="131"/>
      <c r="C438" s="131"/>
      <c r="D438" s="131"/>
      <c r="E438" s="107"/>
      <c r="F438" s="107"/>
    </row>
    <row r="439">
      <c r="A439" s="131"/>
      <c r="B439" s="131"/>
      <c r="C439" s="131"/>
      <c r="D439" s="131"/>
      <c r="E439" s="107"/>
      <c r="F439" s="107"/>
    </row>
    <row r="440">
      <c r="A440" s="131"/>
      <c r="B440" s="131"/>
      <c r="C440" s="131"/>
      <c r="D440" s="131"/>
      <c r="E440" s="107"/>
      <c r="F440" s="107"/>
    </row>
    <row r="441">
      <c r="A441" s="131"/>
      <c r="B441" s="131"/>
      <c r="C441" s="131"/>
      <c r="D441" s="131"/>
      <c r="E441" s="107"/>
      <c r="F441" s="107"/>
    </row>
    <row r="442">
      <c r="A442" s="131"/>
      <c r="B442" s="131"/>
      <c r="C442" s="131"/>
      <c r="D442" s="131"/>
      <c r="E442" s="107"/>
      <c r="F442" s="107"/>
    </row>
    <row r="443">
      <c r="A443" s="131"/>
      <c r="B443" s="131"/>
      <c r="C443" s="131"/>
      <c r="D443" s="131"/>
      <c r="E443" s="107"/>
      <c r="F443" s="107"/>
    </row>
    <row r="444">
      <c r="A444" s="131"/>
      <c r="B444" s="131"/>
      <c r="C444" s="131"/>
      <c r="D444" s="131"/>
      <c r="E444" s="107"/>
      <c r="F444" s="107"/>
    </row>
    <row r="445">
      <c r="A445" s="131"/>
      <c r="B445" s="131"/>
      <c r="C445" s="131"/>
      <c r="D445" s="131"/>
      <c r="E445" s="107"/>
      <c r="F445" s="107"/>
    </row>
    <row r="446">
      <c r="A446" s="131"/>
      <c r="B446" s="131"/>
      <c r="C446" s="131"/>
      <c r="D446" s="131"/>
      <c r="E446" s="107"/>
      <c r="F446" s="107"/>
    </row>
    <row r="447">
      <c r="A447" s="131"/>
      <c r="B447" s="131"/>
      <c r="C447" s="131"/>
      <c r="D447" s="131"/>
      <c r="E447" s="107"/>
      <c r="F447" s="107"/>
    </row>
    <row r="448">
      <c r="A448" s="131"/>
      <c r="B448" s="131"/>
      <c r="C448" s="131"/>
      <c r="D448" s="131"/>
      <c r="E448" s="107"/>
      <c r="F448" s="107"/>
    </row>
    <row r="449">
      <c r="A449" s="131"/>
      <c r="B449" s="131"/>
      <c r="C449" s="131"/>
      <c r="D449" s="131"/>
      <c r="E449" s="107"/>
      <c r="F449" s="107"/>
    </row>
    <row r="450">
      <c r="A450" s="131"/>
      <c r="B450" s="131"/>
      <c r="C450" s="131"/>
      <c r="D450" s="131"/>
      <c r="E450" s="107"/>
      <c r="F450" s="107"/>
    </row>
    <row r="451">
      <c r="A451" s="131"/>
      <c r="B451" s="131"/>
      <c r="C451" s="131"/>
      <c r="D451" s="131"/>
      <c r="E451" s="107"/>
      <c r="F451" s="107"/>
    </row>
    <row r="452">
      <c r="A452" s="131"/>
      <c r="B452" s="131"/>
      <c r="C452" s="131"/>
      <c r="D452" s="131"/>
      <c r="E452" s="107"/>
      <c r="F452" s="107"/>
    </row>
    <row r="453">
      <c r="A453" s="131"/>
      <c r="B453" s="131"/>
      <c r="C453" s="131"/>
      <c r="D453" s="131"/>
      <c r="E453" s="107"/>
      <c r="F453" s="107"/>
    </row>
    <row r="454">
      <c r="A454" s="131"/>
      <c r="B454" s="131"/>
      <c r="C454" s="131"/>
      <c r="D454" s="131"/>
      <c r="E454" s="116"/>
      <c r="F454" s="107"/>
    </row>
    <row r="455">
      <c r="A455" s="131"/>
      <c r="B455" s="131"/>
      <c r="C455" s="131"/>
      <c r="D455" s="131"/>
      <c r="E455" s="107"/>
      <c r="F455" s="107"/>
    </row>
    <row r="456">
      <c r="A456" s="131"/>
      <c r="B456" s="131"/>
      <c r="C456" s="131"/>
      <c r="D456" s="131"/>
      <c r="E456" s="107"/>
      <c r="F456" s="107"/>
    </row>
    <row r="457">
      <c r="A457" s="131"/>
      <c r="B457" s="131"/>
      <c r="C457" s="131"/>
      <c r="D457" s="131"/>
      <c r="E457" s="107"/>
      <c r="F457" s="107"/>
    </row>
    <row r="458">
      <c r="A458" s="131"/>
      <c r="B458" s="131"/>
      <c r="C458" s="131"/>
      <c r="D458" s="131"/>
      <c r="E458" s="107"/>
      <c r="F458" s="107"/>
    </row>
    <row r="459">
      <c r="A459" s="131"/>
      <c r="B459" s="131"/>
      <c r="C459" s="131"/>
      <c r="D459" s="131"/>
      <c r="E459" s="118"/>
      <c r="F459" s="107"/>
    </row>
    <row r="460">
      <c r="A460" s="131"/>
      <c r="B460" s="131"/>
      <c r="C460" s="131"/>
      <c r="D460" s="131"/>
      <c r="E460" s="118"/>
      <c r="F460" s="107"/>
    </row>
    <row r="461">
      <c r="A461" s="131"/>
      <c r="B461" s="131"/>
      <c r="C461" s="131"/>
      <c r="D461" s="131"/>
      <c r="E461" s="118"/>
      <c r="F461" s="107"/>
    </row>
    <row r="462">
      <c r="A462" s="131"/>
      <c r="B462" s="131"/>
      <c r="C462" s="131"/>
      <c r="D462" s="131"/>
      <c r="E462" s="118"/>
      <c r="F462" s="107"/>
    </row>
    <row r="463">
      <c r="A463" s="131"/>
      <c r="B463" s="131"/>
      <c r="C463" s="131"/>
      <c r="D463" s="131"/>
      <c r="E463" s="119"/>
      <c r="F463" s="119"/>
    </row>
    <row r="464">
      <c r="A464" s="131"/>
      <c r="B464" s="131"/>
      <c r="C464" s="131"/>
      <c r="D464" s="131"/>
      <c r="E464" s="107"/>
      <c r="F464" s="107"/>
    </row>
    <row r="465">
      <c r="A465" s="131"/>
      <c r="B465" s="131"/>
      <c r="C465" s="131"/>
      <c r="D465" s="131"/>
      <c r="E465" s="107"/>
      <c r="F465" s="107"/>
    </row>
    <row r="466">
      <c r="A466" s="131"/>
      <c r="B466" s="131"/>
      <c r="C466" s="131"/>
      <c r="D466" s="131"/>
      <c r="E466" s="107"/>
      <c r="F466" s="107"/>
    </row>
    <row r="467">
      <c r="A467" s="131"/>
      <c r="B467" s="131"/>
      <c r="C467" s="131"/>
      <c r="D467" s="131"/>
      <c r="E467" s="107"/>
      <c r="F467" s="107"/>
    </row>
    <row r="468">
      <c r="A468" s="131"/>
      <c r="B468" s="131"/>
      <c r="C468" s="131"/>
      <c r="D468" s="131"/>
      <c r="E468" s="107"/>
      <c r="F468" s="107"/>
    </row>
    <row r="469">
      <c r="A469" s="131"/>
      <c r="B469" s="131"/>
      <c r="C469" s="131"/>
      <c r="D469" s="131"/>
      <c r="E469" s="107"/>
      <c r="F469" s="107"/>
    </row>
    <row r="470">
      <c r="A470" s="131"/>
      <c r="B470" s="131"/>
      <c r="C470" s="131"/>
      <c r="D470" s="131"/>
      <c r="E470" s="107"/>
      <c r="F470" s="107"/>
    </row>
    <row r="471">
      <c r="A471" s="131"/>
      <c r="B471" s="131"/>
      <c r="C471" s="131"/>
      <c r="D471" s="131"/>
      <c r="E471" s="107"/>
      <c r="F471" s="107"/>
    </row>
    <row r="472">
      <c r="A472" s="131"/>
      <c r="B472" s="131"/>
      <c r="C472" s="131"/>
      <c r="D472" s="131"/>
      <c r="E472" s="107"/>
      <c r="F472" s="107"/>
    </row>
    <row r="473">
      <c r="A473" s="131"/>
      <c r="B473" s="131"/>
      <c r="C473" s="131"/>
      <c r="D473" s="131"/>
      <c r="E473" s="107"/>
      <c r="F473" s="107"/>
    </row>
    <row r="474">
      <c r="A474" s="131"/>
      <c r="B474" s="131"/>
      <c r="C474" s="131"/>
      <c r="D474" s="131"/>
      <c r="E474" s="107"/>
      <c r="F474" s="107"/>
    </row>
    <row r="475">
      <c r="A475" s="131"/>
      <c r="B475" s="131"/>
      <c r="C475" s="131"/>
      <c r="D475" s="131"/>
      <c r="E475" s="107"/>
      <c r="F475" s="107"/>
    </row>
    <row r="476">
      <c r="A476" s="131"/>
      <c r="B476" s="131"/>
      <c r="C476" s="131"/>
      <c r="D476" s="131"/>
      <c r="E476" s="107"/>
      <c r="F476" s="107"/>
    </row>
    <row r="477">
      <c r="A477" s="131"/>
      <c r="B477" s="131"/>
      <c r="C477" s="131"/>
      <c r="D477" s="131"/>
      <c r="E477" s="107"/>
      <c r="F477" s="107"/>
    </row>
    <row r="478">
      <c r="A478" s="131"/>
      <c r="B478" s="131"/>
      <c r="C478" s="131"/>
      <c r="D478" s="131"/>
      <c r="E478" s="107"/>
      <c r="F478" s="115"/>
    </row>
    <row r="479">
      <c r="A479" s="131"/>
      <c r="B479" s="131"/>
      <c r="C479" s="131"/>
      <c r="D479" s="131"/>
      <c r="E479" s="107"/>
      <c r="F479" s="107"/>
    </row>
    <row r="480">
      <c r="A480" s="131"/>
      <c r="B480" s="131"/>
      <c r="C480" s="131"/>
      <c r="D480" s="131"/>
      <c r="E480" s="131"/>
      <c r="F480" s="131"/>
    </row>
    <row r="481">
      <c r="A481" s="131"/>
      <c r="B481" s="131"/>
      <c r="C481" s="131"/>
      <c r="D481" s="131"/>
      <c r="E481" s="131"/>
      <c r="F481" s="131"/>
    </row>
    <row r="482">
      <c r="A482" s="131"/>
      <c r="B482" s="131"/>
      <c r="C482" s="131"/>
      <c r="D482" s="131"/>
      <c r="E482" s="131"/>
      <c r="F482" s="131"/>
    </row>
    <row r="483">
      <c r="A483" s="131"/>
      <c r="B483" s="131"/>
      <c r="C483" s="131"/>
      <c r="D483" s="131"/>
      <c r="E483" s="131"/>
      <c r="F483" s="131"/>
    </row>
    <row r="484">
      <c r="A484" s="131"/>
      <c r="B484" s="131"/>
      <c r="C484" s="131"/>
      <c r="D484" s="131"/>
      <c r="E484" s="131"/>
      <c r="F484" s="131"/>
    </row>
    <row r="485">
      <c r="A485" s="131"/>
      <c r="B485" s="131"/>
      <c r="C485" s="131"/>
      <c r="D485" s="131"/>
      <c r="E485" s="131"/>
      <c r="F485" s="131"/>
    </row>
    <row r="486">
      <c r="A486" s="131"/>
      <c r="B486" s="131"/>
      <c r="C486" s="131"/>
      <c r="D486" s="131"/>
      <c r="E486" s="131"/>
      <c r="F486" s="131"/>
    </row>
    <row r="487">
      <c r="A487" s="131"/>
      <c r="B487" s="131"/>
      <c r="C487" s="131"/>
      <c r="D487" s="131"/>
      <c r="E487" s="131"/>
      <c r="F487" s="131"/>
    </row>
    <row r="488">
      <c r="A488" s="131"/>
      <c r="B488" s="131"/>
      <c r="C488" s="131"/>
      <c r="D488" s="131"/>
      <c r="E488" s="131"/>
      <c r="F488" s="131"/>
    </row>
    <row r="489">
      <c r="A489" s="131"/>
      <c r="B489" s="131"/>
      <c r="C489" s="131"/>
      <c r="D489" s="131"/>
      <c r="E489" s="131"/>
      <c r="F489" s="131"/>
    </row>
    <row r="490">
      <c r="A490" s="131"/>
      <c r="B490" s="131"/>
      <c r="C490" s="131"/>
      <c r="D490" s="131"/>
      <c r="E490" s="131"/>
      <c r="F490" s="131"/>
    </row>
    <row r="491">
      <c r="A491" s="131"/>
      <c r="B491" s="131"/>
      <c r="C491" s="131"/>
      <c r="D491" s="131"/>
      <c r="E491" s="131"/>
      <c r="F491" s="131"/>
    </row>
    <row r="492">
      <c r="A492" s="131"/>
      <c r="B492" s="131"/>
      <c r="C492" s="131"/>
      <c r="D492" s="131"/>
      <c r="E492" s="131"/>
      <c r="F492" s="131"/>
    </row>
    <row r="493">
      <c r="A493" s="131"/>
      <c r="B493" s="131"/>
      <c r="C493" s="131"/>
      <c r="D493" s="131"/>
      <c r="E493" s="131"/>
      <c r="F493" s="131"/>
    </row>
    <row r="494">
      <c r="A494" s="131"/>
      <c r="B494" s="131"/>
      <c r="C494" s="131"/>
      <c r="D494" s="131"/>
      <c r="E494" s="131"/>
      <c r="F494" s="131"/>
    </row>
    <row r="495">
      <c r="A495" s="131"/>
      <c r="B495" s="131"/>
      <c r="C495" s="131"/>
      <c r="D495" s="131"/>
      <c r="E495" s="131"/>
      <c r="F495" s="131"/>
    </row>
    <row r="496">
      <c r="A496" s="131"/>
      <c r="B496" s="131"/>
      <c r="C496" s="131"/>
      <c r="D496" s="131"/>
      <c r="E496" s="131"/>
      <c r="F496" s="131"/>
    </row>
    <row r="497">
      <c r="A497" s="131"/>
      <c r="B497" s="131"/>
      <c r="C497" s="131"/>
      <c r="D497" s="131"/>
      <c r="E497" s="131"/>
      <c r="F497" s="131"/>
    </row>
    <row r="498">
      <c r="A498" s="131"/>
      <c r="B498" s="131"/>
      <c r="C498" s="131"/>
      <c r="D498" s="131"/>
      <c r="E498" s="131"/>
      <c r="F498" s="131"/>
    </row>
    <row r="499">
      <c r="A499" s="131"/>
      <c r="B499" s="131"/>
      <c r="C499" s="131"/>
      <c r="D499" s="131"/>
      <c r="E499" s="131"/>
      <c r="F499" s="131"/>
    </row>
    <row r="500">
      <c r="A500" s="86"/>
      <c r="B500" s="87"/>
      <c r="C500" s="131"/>
      <c r="D500" s="131"/>
      <c r="E500" s="131"/>
      <c r="F500" s="131"/>
      <c r="G500" s="88"/>
      <c r="L500" s="88"/>
      <c r="Q500" s="89"/>
    </row>
    <row r="501">
      <c r="A501" s="131"/>
      <c r="B501" s="131"/>
      <c r="C501" s="131"/>
      <c r="D501" s="131"/>
      <c r="E501" s="131"/>
      <c r="F501" s="131"/>
      <c r="G501" s="91"/>
      <c r="H501" s="92"/>
      <c r="I501" s="92"/>
      <c r="J501" s="93"/>
      <c r="K501" s="93"/>
      <c r="L501" s="93"/>
      <c r="M501" s="93"/>
      <c r="N501" s="93"/>
      <c r="O501" s="93"/>
      <c r="P501" s="93"/>
      <c r="Q501" s="90"/>
      <c r="R501" s="90"/>
      <c r="S501" s="90"/>
      <c r="T501" s="90"/>
      <c r="U501" s="90"/>
      <c r="V501" s="90"/>
      <c r="W501" s="90"/>
    </row>
    <row r="502">
      <c r="A502" s="131"/>
      <c r="B502" s="131"/>
      <c r="C502" s="131"/>
      <c r="D502" s="131"/>
      <c r="E502" s="94"/>
      <c r="F502" s="94"/>
    </row>
    <row r="503">
      <c r="A503" s="131"/>
      <c r="B503" s="131"/>
      <c r="C503" s="131"/>
      <c r="D503" s="131"/>
      <c r="E503" s="95"/>
      <c r="F503" s="96"/>
    </row>
    <row r="504">
      <c r="A504" s="131"/>
      <c r="B504" s="131"/>
      <c r="C504" s="131"/>
      <c r="D504" s="131"/>
      <c r="E504" s="95"/>
      <c r="F504" s="96"/>
    </row>
    <row r="505">
      <c r="A505" s="131"/>
      <c r="B505" s="131"/>
      <c r="C505" s="131"/>
      <c r="D505" s="131"/>
      <c r="E505" s="96"/>
      <c r="F505" s="96"/>
    </row>
    <row r="506">
      <c r="A506" s="131"/>
      <c r="B506" s="131"/>
      <c r="C506" s="131"/>
      <c r="D506" s="131"/>
      <c r="E506" s="96"/>
      <c r="F506" s="96"/>
    </row>
    <row r="507">
      <c r="A507" s="131"/>
      <c r="B507" s="131"/>
      <c r="C507" s="131"/>
      <c r="D507" s="131"/>
      <c r="E507" s="96"/>
      <c r="F507" s="96"/>
    </row>
    <row r="508">
      <c r="A508" s="131"/>
      <c r="B508" s="131"/>
      <c r="C508" s="131"/>
      <c r="D508" s="131"/>
      <c r="E508" s="96"/>
      <c r="F508" s="96"/>
    </row>
    <row r="509">
      <c r="A509" s="131"/>
      <c r="B509" s="131"/>
      <c r="C509" s="131"/>
      <c r="D509" s="131"/>
      <c r="E509" s="96"/>
      <c r="F509" s="96"/>
    </row>
    <row r="510">
      <c r="A510" s="131"/>
      <c r="B510" s="131"/>
      <c r="C510" s="131"/>
      <c r="D510" s="131"/>
      <c r="E510" s="96"/>
      <c r="F510" s="96"/>
    </row>
    <row r="511">
      <c r="A511" s="131"/>
      <c r="B511" s="131"/>
      <c r="C511" s="131"/>
      <c r="D511" s="131"/>
      <c r="E511" s="96"/>
      <c r="F511" s="96"/>
    </row>
    <row r="512">
      <c r="A512" s="131"/>
      <c r="B512" s="131"/>
      <c r="C512" s="131"/>
      <c r="D512" s="131"/>
      <c r="E512" s="96"/>
      <c r="F512" s="96"/>
    </row>
    <row r="513">
      <c r="A513" s="131"/>
      <c r="B513" s="131"/>
      <c r="C513" s="131"/>
      <c r="D513" s="131"/>
      <c r="E513" s="96"/>
      <c r="F513" s="96"/>
    </row>
    <row r="514">
      <c r="A514" s="131"/>
      <c r="B514" s="131"/>
      <c r="C514" s="131"/>
      <c r="D514" s="131"/>
      <c r="E514" s="96"/>
      <c r="F514" s="96"/>
    </row>
    <row r="515">
      <c r="A515" s="131"/>
      <c r="B515" s="131"/>
      <c r="C515" s="131"/>
      <c r="D515" s="131"/>
      <c r="E515" s="96"/>
      <c r="F515" s="96"/>
    </row>
    <row r="516">
      <c r="A516" s="131"/>
      <c r="B516" s="131"/>
      <c r="C516" s="131"/>
      <c r="D516" s="131"/>
      <c r="E516" s="97"/>
      <c r="F516" s="97"/>
    </row>
    <row r="517">
      <c r="A517" s="131"/>
      <c r="B517" s="131"/>
      <c r="C517" s="131"/>
      <c r="D517" s="131"/>
      <c r="E517" s="96"/>
      <c r="F517" s="96"/>
    </row>
    <row r="518">
      <c r="A518" s="131"/>
      <c r="B518" s="131"/>
      <c r="C518" s="131"/>
      <c r="D518" s="131"/>
      <c r="E518" s="96"/>
      <c r="F518" s="96"/>
    </row>
    <row r="519">
      <c r="A519" s="131"/>
      <c r="B519" s="131"/>
      <c r="C519" s="131"/>
      <c r="D519" s="131"/>
      <c r="E519" s="96"/>
      <c r="F519" s="96"/>
    </row>
    <row r="520">
      <c r="A520" s="131"/>
      <c r="B520" s="131"/>
      <c r="C520" s="131"/>
      <c r="D520" s="131"/>
      <c r="E520" s="96"/>
      <c r="F520" s="96"/>
    </row>
    <row r="521">
      <c r="A521" s="131"/>
      <c r="B521" s="131"/>
      <c r="C521" s="131"/>
      <c r="D521" s="131"/>
      <c r="E521" s="96"/>
      <c r="F521" s="96"/>
    </row>
    <row r="522">
      <c r="A522" s="131"/>
      <c r="B522" s="131"/>
      <c r="C522" s="131"/>
      <c r="D522" s="131"/>
      <c r="E522" s="96"/>
      <c r="F522" s="96"/>
    </row>
    <row r="523">
      <c r="A523" s="131"/>
      <c r="B523" s="131"/>
      <c r="C523" s="131"/>
      <c r="D523" s="131"/>
      <c r="E523" s="98"/>
      <c r="F523" s="96"/>
    </row>
    <row r="524">
      <c r="A524" s="131"/>
      <c r="B524" s="131"/>
      <c r="C524" s="131"/>
      <c r="D524" s="131"/>
      <c r="E524" s="99"/>
      <c r="F524" s="99"/>
    </row>
    <row r="525">
      <c r="A525" s="131"/>
      <c r="B525" s="131"/>
      <c r="C525" s="131"/>
      <c r="D525" s="131"/>
      <c r="E525" s="100"/>
      <c r="F525" s="100"/>
    </row>
    <row r="526">
      <c r="A526" s="131"/>
      <c r="B526" s="131"/>
      <c r="C526" s="131"/>
      <c r="D526" s="131"/>
      <c r="E526" s="100"/>
      <c r="F526" s="100"/>
    </row>
    <row r="527">
      <c r="A527" s="131"/>
      <c r="B527" s="131"/>
      <c r="C527" s="131"/>
      <c r="D527" s="131"/>
      <c r="E527" s="100"/>
      <c r="F527" s="100"/>
    </row>
    <row r="528">
      <c r="A528" s="131"/>
      <c r="B528" s="131"/>
      <c r="C528" s="131"/>
      <c r="D528" s="131"/>
      <c r="E528" s="100"/>
      <c r="F528" s="100"/>
    </row>
    <row r="529">
      <c r="A529" s="131"/>
      <c r="B529" s="131"/>
      <c r="C529" s="131"/>
      <c r="D529" s="131"/>
      <c r="E529" s="100"/>
      <c r="F529" s="100"/>
    </row>
    <row r="530">
      <c r="A530" s="131"/>
      <c r="B530" s="131"/>
      <c r="C530" s="131"/>
      <c r="D530" s="131"/>
      <c r="E530" s="100"/>
      <c r="F530" s="100"/>
    </row>
    <row r="531">
      <c r="A531" s="131"/>
      <c r="B531" s="131"/>
      <c r="C531" s="131"/>
      <c r="D531" s="131"/>
      <c r="E531" s="100"/>
      <c r="F531" s="100"/>
    </row>
    <row r="532">
      <c r="A532" s="131"/>
      <c r="B532" s="131"/>
      <c r="C532" s="131"/>
      <c r="D532" s="131"/>
      <c r="E532" s="101"/>
      <c r="F532" s="101"/>
    </row>
    <row r="533">
      <c r="A533" s="131"/>
      <c r="B533" s="131"/>
      <c r="C533" s="131"/>
      <c r="D533" s="131"/>
      <c r="E533" s="100"/>
      <c r="F533" s="100"/>
    </row>
    <row r="534">
      <c r="A534" s="131"/>
      <c r="B534" s="131"/>
      <c r="C534" s="131"/>
      <c r="D534" s="131"/>
      <c r="E534" s="100"/>
      <c r="F534" s="100"/>
    </row>
    <row r="535">
      <c r="A535" s="131"/>
      <c r="B535" s="131"/>
      <c r="C535" s="131"/>
      <c r="D535" s="131"/>
      <c r="E535" s="102"/>
      <c r="F535" s="102"/>
    </row>
    <row r="536">
      <c r="A536" s="131"/>
      <c r="B536" s="131"/>
      <c r="C536" s="131"/>
      <c r="D536" s="131"/>
      <c r="E536" s="103"/>
      <c r="F536" s="103"/>
    </row>
    <row r="537">
      <c r="A537" s="131"/>
      <c r="B537" s="131"/>
      <c r="C537" s="131"/>
      <c r="D537" s="131"/>
      <c r="E537" s="103"/>
      <c r="F537" s="103"/>
    </row>
    <row r="538">
      <c r="A538" s="131"/>
      <c r="B538" s="131"/>
      <c r="C538" s="131"/>
      <c r="D538" s="131"/>
      <c r="E538" s="102"/>
      <c r="F538" s="103"/>
    </row>
    <row r="539">
      <c r="A539" s="131"/>
      <c r="B539" s="131"/>
      <c r="C539" s="131"/>
      <c r="D539" s="131"/>
      <c r="E539" s="103"/>
      <c r="F539" s="103"/>
    </row>
    <row r="540">
      <c r="A540" s="131"/>
      <c r="B540" s="131"/>
      <c r="C540" s="131"/>
      <c r="D540" s="131"/>
      <c r="E540" s="103"/>
      <c r="F540" s="103"/>
    </row>
    <row r="541">
      <c r="A541" s="131"/>
      <c r="B541" s="131"/>
      <c r="C541" s="131"/>
      <c r="D541" s="131"/>
      <c r="E541" s="103"/>
      <c r="F541" s="103"/>
    </row>
    <row r="542">
      <c r="A542" s="131"/>
      <c r="B542" s="131"/>
      <c r="C542" s="131"/>
      <c r="D542" s="131"/>
      <c r="E542" s="103"/>
      <c r="F542" s="103"/>
    </row>
    <row r="543">
      <c r="A543" s="131"/>
      <c r="B543" s="131"/>
      <c r="C543" s="131"/>
      <c r="D543" s="131"/>
      <c r="E543" s="103"/>
      <c r="F543" s="103"/>
    </row>
    <row r="544">
      <c r="A544" s="131"/>
      <c r="B544" s="131"/>
      <c r="C544" s="131"/>
      <c r="D544" s="131"/>
      <c r="E544" s="103"/>
      <c r="F544" s="103"/>
    </row>
    <row r="545">
      <c r="A545" s="131"/>
      <c r="B545" s="131"/>
      <c r="C545" s="131"/>
      <c r="D545" s="131"/>
      <c r="E545" s="103"/>
      <c r="F545" s="103"/>
    </row>
    <row r="546">
      <c r="A546" s="131"/>
      <c r="B546" s="131"/>
      <c r="C546" s="131"/>
      <c r="D546" s="131"/>
      <c r="E546" s="103"/>
      <c r="F546" s="103"/>
    </row>
    <row r="547">
      <c r="A547" s="131"/>
      <c r="B547" s="131"/>
      <c r="C547" s="131"/>
      <c r="D547" s="131"/>
      <c r="E547" s="103"/>
      <c r="F547" s="103"/>
    </row>
    <row r="548">
      <c r="A548" s="131"/>
      <c r="B548" s="131"/>
      <c r="C548" s="131"/>
      <c r="D548" s="131"/>
      <c r="E548" s="103"/>
      <c r="F548" s="103"/>
    </row>
    <row r="549">
      <c r="A549" s="131"/>
      <c r="B549" s="131"/>
      <c r="C549" s="131"/>
      <c r="D549" s="131"/>
      <c r="E549" s="103"/>
      <c r="F549" s="103"/>
    </row>
    <row r="550">
      <c r="A550" s="131"/>
      <c r="B550" s="131"/>
      <c r="C550" s="131"/>
      <c r="D550" s="131"/>
      <c r="E550" s="103"/>
      <c r="F550" s="103"/>
    </row>
    <row r="551">
      <c r="A551" s="131"/>
      <c r="B551" s="131"/>
      <c r="C551" s="131"/>
      <c r="D551" s="131"/>
      <c r="E551" s="103"/>
      <c r="F551" s="103"/>
    </row>
    <row r="552">
      <c r="A552" s="131"/>
      <c r="B552" s="131"/>
      <c r="C552" s="131"/>
      <c r="D552" s="131"/>
      <c r="E552" s="103"/>
      <c r="F552" s="103"/>
    </row>
    <row r="553">
      <c r="A553" s="131"/>
      <c r="B553" s="131"/>
      <c r="C553" s="131"/>
      <c r="D553" s="131"/>
      <c r="E553" s="99"/>
      <c r="F553" s="99"/>
    </row>
    <row r="554">
      <c r="A554" s="131"/>
      <c r="B554" s="131"/>
      <c r="C554" s="131"/>
      <c r="D554" s="131"/>
      <c r="E554" s="100"/>
      <c r="F554" s="100"/>
    </row>
    <row r="555">
      <c r="A555" s="131"/>
      <c r="B555" s="131"/>
      <c r="C555" s="131"/>
      <c r="D555" s="131"/>
      <c r="E555" s="100"/>
      <c r="F555" s="100"/>
    </row>
    <row r="556">
      <c r="A556" s="131"/>
      <c r="B556" s="131"/>
      <c r="C556" s="131"/>
      <c r="D556" s="131"/>
      <c r="E556" s="100"/>
      <c r="F556" s="100"/>
    </row>
    <row r="557">
      <c r="A557" s="131"/>
      <c r="B557" s="131"/>
      <c r="C557" s="131"/>
      <c r="D557" s="131"/>
      <c r="E557" s="100"/>
      <c r="F557" s="100"/>
    </row>
    <row r="558">
      <c r="A558" s="131"/>
      <c r="B558" s="131"/>
      <c r="C558" s="131"/>
      <c r="D558" s="131"/>
      <c r="E558" s="100"/>
      <c r="F558" s="100"/>
    </row>
    <row r="559">
      <c r="A559" s="131"/>
      <c r="B559" s="131"/>
      <c r="C559" s="131"/>
      <c r="D559" s="131"/>
      <c r="E559" s="100"/>
      <c r="F559" s="100"/>
    </row>
    <row r="560">
      <c r="A560" s="131"/>
      <c r="B560" s="131"/>
      <c r="C560" s="131"/>
      <c r="D560" s="131"/>
      <c r="E560" s="100"/>
      <c r="F560" s="100"/>
    </row>
    <row r="561">
      <c r="A561" s="131"/>
      <c r="B561" s="131"/>
      <c r="C561" s="131"/>
      <c r="D561" s="131"/>
      <c r="E561" s="100"/>
      <c r="F561" s="100"/>
    </row>
    <row r="562">
      <c r="A562" s="131"/>
      <c r="B562" s="131"/>
      <c r="C562" s="131"/>
      <c r="D562" s="131"/>
      <c r="E562" s="100"/>
      <c r="F562" s="100"/>
    </row>
    <row r="563">
      <c r="A563" s="131"/>
      <c r="B563" s="131"/>
      <c r="C563" s="131"/>
      <c r="D563" s="131"/>
      <c r="E563" s="100"/>
      <c r="F563" s="100"/>
    </row>
    <row r="564">
      <c r="A564" s="131"/>
      <c r="B564" s="131"/>
      <c r="C564" s="131"/>
      <c r="D564" s="131"/>
      <c r="E564" s="99"/>
      <c r="F564" s="99"/>
    </row>
    <row r="565">
      <c r="A565" s="131"/>
      <c r="B565" s="131"/>
      <c r="C565" s="131"/>
      <c r="D565" s="131"/>
      <c r="E565" s="100"/>
      <c r="F565" s="100"/>
    </row>
    <row r="566">
      <c r="A566" s="131"/>
      <c r="B566" s="131"/>
      <c r="C566" s="131"/>
      <c r="D566" s="131"/>
      <c r="E566" s="100"/>
      <c r="F566" s="100"/>
    </row>
    <row r="567">
      <c r="A567" s="131"/>
      <c r="B567" s="131"/>
      <c r="C567" s="131"/>
      <c r="D567" s="131"/>
      <c r="E567" s="100"/>
      <c r="F567" s="100"/>
    </row>
    <row r="568">
      <c r="A568" s="131"/>
      <c r="B568" s="131"/>
      <c r="C568" s="131"/>
      <c r="D568" s="131"/>
      <c r="E568" s="100"/>
      <c r="F568" s="100"/>
    </row>
    <row r="569">
      <c r="A569" s="131"/>
      <c r="B569" s="131"/>
      <c r="C569" s="131"/>
      <c r="D569" s="131"/>
      <c r="E569" s="100"/>
      <c r="F569" s="100"/>
    </row>
    <row r="570">
      <c r="A570" s="131"/>
      <c r="B570" s="131"/>
      <c r="C570" s="131"/>
      <c r="D570" s="131"/>
      <c r="E570" s="100"/>
      <c r="F570" s="100"/>
    </row>
    <row r="571">
      <c r="A571" s="131"/>
      <c r="B571" s="131"/>
      <c r="C571" s="131"/>
      <c r="D571" s="131"/>
      <c r="E571" s="101"/>
      <c r="F571" s="101"/>
    </row>
    <row r="572">
      <c r="A572" s="131"/>
      <c r="B572" s="131"/>
      <c r="C572" s="131"/>
      <c r="D572" s="131"/>
      <c r="E572" s="101"/>
      <c r="F572" s="101"/>
    </row>
    <row r="573">
      <c r="A573" s="131"/>
      <c r="B573" s="131"/>
      <c r="C573" s="131"/>
      <c r="D573" s="131"/>
      <c r="E573" s="101"/>
      <c r="F573" s="101"/>
    </row>
    <row r="574">
      <c r="A574" s="131"/>
      <c r="B574" s="131"/>
      <c r="C574" s="131"/>
      <c r="D574" s="131"/>
      <c r="E574" s="101"/>
      <c r="F574" s="101"/>
    </row>
    <row r="575">
      <c r="A575" s="131"/>
      <c r="B575" s="131"/>
      <c r="C575" s="131"/>
      <c r="D575" s="131"/>
      <c r="E575" s="101"/>
      <c r="F575" s="101"/>
    </row>
    <row r="576">
      <c r="A576" s="131"/>
      <c r="B576" s="131"/>
      <c r="C576" s="131"/>
      <c r="D576" s="131"/>
      <c r="E576" s="101"/>
      <c r="F576" s="101"/>
    </row>
    <row r="577">
      <c r="A577" s="131"/>
      <c r="B577" s="131"/>
      <c r="C577" s="131"/>
      <c r="D577" s="131"/>
      <c r="E577" s="105"/>
      <c r="F577" s="105"/>
    </row>
    <row r="578">
      <c r="A578" s="131"/>
      <c r="B578" s="131"/>
      <c r="C578" s="131"/>
      <c r="D578" s="131"/>
      <c r="E578" s="106"/>
      <c r="F578" s="106"/>
    </row>
    <row r="579">
      <c r="A579" s="131"/>
      <c r="B579" s="131"/>
      <c r="C579" s="131"/>
      <c r="D579" s="131"/>
      <c r="E579" s="107"/>
      <c r="F579" s="107"/>
    </row>
    <row r="580">
      <c r="A580" s="131"/>
      <c r="B580" s="131"/>
      <c r="C580" s="131"/>
      <c r="D580" s="131"/>
      <c r="E580" s="107"/>
      <c r="F580" s="107"/>
    </row>
    <row r="581">
      <c r="A581" s="131"/>
      <c r="B581" s="131"/>
      <c r="C581" s="131"/>
      <c r="D581" s="131"/>
      <c r="E581" s="108"/>
      <c r="F581" s="108"/>
    </row>
    <row r="582">
      <c r="A582" s="131"/>
      <c r="B582" s="131"/>
      <c r="C582" s="131"/>
      <c r="D582" s="131"/>
      <c r="E582" s="107"/>
      <c r="F582" s="107"/>
    </row>
    <row r="583">
      <c r="A583" s="131"/>
      <c r="B583" s="131"/>
      <c r="C583" s="131"/>
      <c r="D583" s="131"/>
      <c r="E583" s="106"/>
      <c r="F583" s="106"/>
    </row>
    <row r="584">
      <c r="A584" s="131"/>
      <c r="B584" s="131"/>
      <c r="C584" s="131"/>
      <c r="D584" s="131"/>
      <c r="E584" s="107"/>
      <c r="F584" s="107"/>
    </row>
    <row r="585">
      <c r="A585" s="131"/>
      <c r="B585" s="131"/>
      <c r="C585" s="131"/>
      <c r="D585" s="131"/>
      <c r="E585" s="107"/>
      <c r="F585" s="107"/>
    </row>
    <row r="586">
      <c r="A586" s="131"/>
      <c r="B586" s="131"/>
      <c r="C586" s="131"/>
      <c r="D586" s="131"/>
      <c r="E586" s="107"/>
      <c r="F586" s="107"/>
    </row>
    <row r="587">
      <c r="A587" s="131"/>
      <c r="B587" s="131"/>
      <c r="C587" s="131"/>
      <c r="D587" s="131"/>
      <c r="E587" s="107"/>
      <c r="F587" s="107"/>
    </row>
    <row r="588">
      <c r="A588" s="131"/>
      <c r="B588" s="131"/>
      <c r="C588" s="131"/>
      <c r="D588" s="131"/>
      <c r="E588" s="106"/>
      <c r="F588" s="106"/>
    </row>
    <row r="589">
      <c r="A589" s="131"/>
      <c r="B589" s="131"/>
      <c r="C589" s="131"/>
      <c r="D589" s="131"/>
      <c r="E589" s="107"/>
      <c r="F589" s="107"/>
    </row>
    <row r="590">
      <c r="A590" s="131"/>
      <c r="B590" s="131"/>
      <c r="C590" s="131"/>
      <c r="D590" s="131"/>
      <c r="E590" s="109"/>
      <c r="F590" s="109"/>
    </row>
    <row r="591">
      <c r="A591" s="131"/>
      <c r="B591" s="131"/>
      <c r="C591" s="131"/>
      <c r="D591" s="131"/>
      <c r="E591" s="110"/>
      <c r="F591" s="110"/>
    </row>
    <row r="592">
      <c r="A592" s="131"/>
      <c r="B592" s="131"/>
      <c r="C592" s="131"/>
      <c r="D592" s="131"/>
      <c r="E592" s="110"/>
      <c r="F592" s="110"/>
    </row>
    <row r="593">
      <c r="A593" s="131"/>
      <c r="B593" s="131"/>
      <c r="C593" s="131"/>
      <c r="D593" s="131"/>
      <c r="E593" s="111"/>
      <c r="F593" s="111"/>
    </row>
    <row r="594">
      <c r="A594" s="131"/>
      <c r="B594" s="131"/>
      <c r="C594" s="131"/>
      <c r="D594" s="131"/>
      <c r="E594" s="112"/>
      <c r="F594" s="112"/>
    </row>
    <row r="595">
      <c r="A595" s="131"/>
      <c r="B595" s="131"/>
      <c r="C595" s="131"/>
      <c r="D595" s="131"/>
      <c r="E595" s="112"/>
      <c r="F595" s="112"/>
    </row>
    <row r="596">
      <c r="A596" s="131"/>
      <c r="B596" s="131"/>
      <c r="C596" s="131"/>
      <c r="D596" s="131"/>
      <c r="E596" s="112"/>
      <c r="F596" s="112"/>
    </row>
    <row r="597">
      <c r="A597" s="131"/>
      <c r="B597" s="131"/>
      <c r="C597" s="131"/>
      <c r="D597" s="131"/>
      <c r="E597" s="112"/>
      <c r="F597" s="112"/>
    </row>
    <row r="598">
      <c r="A598" s="131"/>
      <c r="B598" s="131"/>
      <c r="C598" s="131"/>
      <c r="D598" s="131"/>
      <c r="E598" s="113"/>
      <c r="F598" s="110"/>
    </row>
    <row r="599">
      <c r="A599" s="131"/>
      <c r="B599" s="131"/>
      <c r="C599" s="131"/>
      <c r="D599" s="131"/>
      <c r="E599" s="114"/>
      <c r="F599" s="114"/>
    </row>
    <row r="600">
      <c r="A600" s="131"/>
      <c r="B600" s="131"/>
      <c r="C600" s="131"/>
      <c r="D600" s="131"/>
      <c r="E600" s="114"/>
      <c r="F600" s="114"/>
    </row>
    <row r="601">
      <c r="A601" s="131"/>
      <c r="B601" s="131"/>
      <c r="C601" s="131"/>
      <c r="D601" s="131"/>
      <c r="E601" s="114"/>
      <c r="F601" s="114"/>
    </row>
    <row r="602">
      <c r="A602" s="131"/>
      <c r="B602" s="131"/>
      <c r="C602" s="131"/>
      <c r="D602" s="131"/>
      <c r="E602" s="114"/>
      <c r="F602" s="114"/>
    </row>
    <row r="603">
      <c r="A603" s="131"/>
      <c r="B603" s="131"/>
      <c r="C603" s="131"/>
      <c r="D603" s="131"/>
      <c r="E603" s="114"/>
      <c r="F603" s="114"/>
    </row>
    <row r="604">
      <c r="A604" s="131"/>
      <c r="B604" s="131"/>
      <c r="C604" s="131"/>
      <c r="D604" s="131"/>
      <c r="E604" s="114"/>
      <c r="F604" s="114"/>
    </row>
    <row r="605">
      <c r="A605" s="131"/>
      <c r="B605" s="131"/>
      <c r="C605" s="131"/>
      <c r="D605" s="131"/>
      <c r="E605" s="114"/>
      <c r="F605" s="114"/>
    </row>
    <row r="606">
      <c r="A606" s="131"/>
      <c r="B606" s="131"/>
      <c r="C606" s="131"/>
      <c r="D606" s="131"/>
      <c r="E606" s="114"/>
      <c r="F606" s="114"/>
    </row>
    <row r="607">
      <c r="A607" s="131"/>
      <c r="B607" s="131"/>
      <c r="C607" s="131"/>
      <c r="D607" s="131"/>
      <c r="E607" s="114"/>
      <c r="F607" s="114"/>
    </row>
    <row r="608">
      <c r="A608" s="131"/>
      <c r="B608" s="131"/>
      <c r="C608" s="131"/>
      <c r="D608" s="131"/>
      <c r="E608" s="114"/>
      <c r="F608" s="114"/>
    </row>
    <row r="609">
      <c r="A609" s="131"/>
      <c r="B609" s="131"/>
      <c r="C609" s="131"/>
      <c r="D609" s="131"/>
      <c r="E609" s="114"/>
      <c r="F609" s="114"/>
    </row>
    <row r="610">
      <c r="A610" s="131"/>
      <c r="B610" s="131"/>
      <c r="C610" s="131"/>
      <c r="D610" s="131"/>
      <c r="E610" s="114"/>
      <c r="F610" s="114"/>
    </row>
    <row r="611">
      <c r="A611" s="131"/>
      <c r="B611" s="131"/>
      <c r="C611" s="131"/>
      <c r="D611" s="131"/>
      <c r="E611" s="114"/>
      <c r="F611" s="114"/>
    </row>
    <row r="612">
      <c r="A612" s="131"/>
      <c r="B612" s="131"/>
      <c r="C612" s="131"/>
      <c r="D612" s="131"/>
      <c r="E612" s="114"/>
      <c r="F612" s="114"/>
    </row>
    <row r="613">
      <c r="A613" s="131"/>
      <c r="B613" s="131"/>
      <c r="C613" s="131"/>
      <c r="D613" s="131"/>
      <c r="E613" s="114"/>
      <c r="F613" s="114"/>
    </row>
    <row r="614">
      <c r="A614" s="131"/>
      <c r="B614" s="131"/>
      <c r="C614" s="131"/>
      <c r="D614" s="131"/>
      <c r="E614" s="114"/>
      <c r="F614" s="114"/>
    </row>
    <row r="615">
      <c r="A615" s="131"/>
      <c r="B615" s="131"/>
      <c r="C615" s="131"/>
      <c r="D615" s="131"/>
      <c r="E615" s="114"/>
      <c r="F615" s="114"/>
    </row>
    <row r="616">
      <c r="A616" s="131"/>
      <c r="B616" s="131"/>
      <c r="C616" s="131"/>
      <c r="D616" s="131"/>
      <c r="E616" s="114"/>
      <c r="F616" s="114"/>
    </row>
    <row r="617">
      <c r="A617" s="131"/>
      <c r="B617" s="131"/>
      <c r="C617" s="131"/>
      <c r="D617" s="131"/>
      <c r="E617" s="114"/>
      <c r="F617" s="114"/>
    </row>
    <row r="618">
      <c r="A618" s="131"/>
      <c r="B618" s="131"/>
      <c r="C618" s="131"/>
      <c r="D618" s="131"/>
      <c r="E618" s="114"/>
      <c r="F618" s="114"/>
    </row>
    <row r="619">
      <c r="A619" s="131"/>
      <c r="B619" s="131"/>
      <c r="C619" s="131"/>
      <c r="D619" s="131"/>
      <c r="E619" s="131"/>
      <c r="F619" s="131"/>
    </row>
    <row r="620">
      <c r="A620" s="131"/>
      <c r="B620" s="131"/>
      <c r="C620" s="131"/>
      <c r="D620" s="131"/>
      <c r="E620" s="105"/>
      <c r="F620" s="105"/>
    </row>
    <row r="621">
      <c r="A621" s="131"/>
      <c r="B621" s="131"/>
      <c r="C621" s="131"/>
      <c r="D621" s="131"/>
      <c r="E621" s="115"/>
      <c r="F621" s="107"/>
    </row>
    <row r="622">
      <c r="A622" s="131"/>
      <c r="B622" s="131"/>
      <c r="C622" s="131"/>
      <c r="D622" s="131"/>
      <c r="E622" s="107"/>
      <c r="F622" s="107"/>
    </row>
    <row r="623">
      <c r="A623" s="131"/>
      <c r="B623" s="131"/>
      <c r="C623" s="131"/>
      <c r="D623" s="131"/>
      <c r="E623" s="116"/>
      <c r="F623" s="107"/>
    </row>
    <row r="624">
      <c r="A624" s="131"/>
      <c r="B624" s="131"/>
      <c r="C624" s="131"/>
      <c r="D624" s="131"/>
      <c r="E624" s="107"/>
      <c r="F624" s="107"/>
    </row>
    <row r="625">
      <c r="A625" s="131"/>
      <c r="B625" s="131"/>
      <c r="C625" s="131"/>
      <c r="D625" s="131"/>
      <c r="E625" s="107"/>
      <c r="F625" s="107"/>
    </row>
    <row r="626">
      <c r="A626" s="131"/>
      <c r="B626" s="131"/>
      <c r="C626" s="131"/>
      <c r="D626" s="131"/>
      <c r="E626" s="107"/>
      <c r="F626" s="107"/>
    </row>
    <row r="627">
      <c r="A627" s="131"/>
      <c r="B627" s="131"/>
      <c r="C627" s="131"/>
      <c r="D627" s="131"/>
      <c r="E627" s="107"/>
      <c r="F627" s="107"/>
    </row>
    <row r="628">
      <c r="A628" s="131"/>
      <c r="B628" s="131"/>
      <c r="C628" s="131"/>
      <c r="D628" s="131"/>
      <c r="E628" s="107"/>
      <c r="F628" s="107"/>
    </row>
    <row r="629">
      <c r="A629" s="131"/>
      <c r="B629" s="131"/>
      <c r="C629" s="131"/>
      <c r="D629" s="131"/>
      <c r="E629" s="107"/>
      <c r="F629" s="107"/>
    </row>
    <row r="630">
      <c r="A630" s="131"/>
      <c r="B630" s="131"/>
      <c r="C630" s="131"/>
      <c r="D630" s="131"/>
      <c r="E630" s="107"/>
      <c r="F630" s="107"/>
    </row>
    <row r="631">
      <c r="A631" s="131"/>
      <c r="B631" s="131"/>
      <c r="C631" s="131"/>
      <c r="D631" s="131"/>
      <c r="E631" s="107"/>
      <c r="F631" s="107"/>
    </row>
    <row r="632">
      <c r="A632" s="131"/>
      <c r="B632" s="131"/>
      <c r="C632" s="131"/>
      <c r="D632" s="131"/>
      <c r="E632" s="107"/>
      <c r="F632" s="107"/>
    </row>
    <row r="633">
      <c r="A633" s="131"/>
      <c r="B633" s="131"/>
      <c r="C633" s="131"/>
      <c r="D633" s="131"/>
      <c r="E633" s="107"/>
      <c r="F633" s="107"/>
    </row>
    <row r="634">
      <c r="A634" s="131"/>
      <c r="B634" s="131"/>
      <c r="C634" s="131"/>
      <c r="D634" s="131"/>
      <c r="E634" s="107"/>
      <c r="F634" s="107"/>
    </row>
    <row r="635">
      <c r="A635" s="131"/>
      <c r="B635" s="131"/>
      <c r="C635" s="131"/>
      <c r="D635" s="131"/>
      <c r="E635" s="107"/>
      <c r="F635" s="107"/>
    </row>
    <row r="636">
      <c r="A636" s="131"/>
      <c r="B636" s="131"/>
      <c r="C636" s="131"/>
      <c r="D636" s="131"/>
      <c r="E636" s="107"/>
      <c r="F636" s="107"/>
    </row>
    <row r="637">
      <c r="A637" s="131"/>
      <c r="B637" s="131"/>
      <c r="C637" s="131"/>
      <c r="D637" s="131"/>
      <c r="E637" s="107"/>
      <c r="F637" s="107"/>
    </row>
    <row r="638">
      <c r="A638" s="131"/>
      <c r="B638" s="131"/>
      <c r="C638" s="131"/>
      <c r="D638" s="131"/>
      <c r="E638" s="98"/>
      <c r="F638" s="107"/>
    </row>
    <row r="639">
      <c r="A639" s="131"/>
      <c r="B639" s="131"/>
      <c r="C639" s="131"/>
      <c r="D639" s="131"/>
      <c r="E639" s="131"/>
      <c r="F639" s="131"/>
    </row>
    <row r="640">
      <c r="A640" s="131"/>
      <c r="B640" s="131"/>
      <c r="C640" s="131"/>
      <c r="D640" s="131"/>
      <c r="E640" s="105"/>
      <c r="F640" s="105"/>
    </row>
    <row r="641">
      <c r="A641" s="131"/>
      <c r="B641" s="131"/>
      <c r="C641" s="131"/>
      <c r="D641" s="131"/>
      <c r="E641" s="109"/>
      <c r="F641" s="109"/>
    </row>
    <row r="642">
      <c r="A642" s="131"/>
      <c r="B642" s="131"/>
      <c r="C642" s="131"/>
      <c r="D642" s="131"/>
      <c r="E642" s="109"/>
      <c r="F642" s="109"/>
    </row>
    <row r="643">
      <c r="A643" s="131"/>
      <c r="B643" s="131"/>
      <c r="C643" s="131"/>
      <c r="D643" s="131"/>
      <c r="E643" s="109"/>
      <c r="F643" s="109"/>
    </row>
    <row r="644">
      <c r="A644" s="131"/>
      <c r="B644" s="131"/>
      <c r="C644" s="131"/>
      <c r="D644" s="131"/>
      <c r="E644" s="109"/>
      <c r="F644" s="109"/>
    </row>
    <row r="645">
      <c r="A645" s="131"/>
      <c r="B645" s="131"/>
      <c r="C645" s="131"/>
      <c r="D645" s="131"/>
      <c r="E645" s="109"/>
      <c r="F645" s="109"/>
    </row>
    <row r="646">
      <c r="A646" s="131"/>
      <c r="B646" s="131"/>
      <c r="C646" s="131"/>
      <c r="D646" s="131"/>
      <c r="E646" s="109"/>
      <c r="F646" s="109"/>
    </row>
    <row r="647">
      <c r="A647" s="131"/>
      <c r="B647" s="131"/>
      <c r="C647" s="131"/>
      <c r="D647" s="131"/>
      <c r="E647" s="109"/>
      <c r="F647" s="109"/>
    </row>
    <row r="648">
      <c r="A648" s="131"/>
      <c r="B648" s="131"/>
      <c r="C648" s="131"/>
      <c r="D648" s="131"/>
      <c r="E648" s="109"/>
      <c r="F648" s="109"/>
    </row>
    <row r="649">
      <c r="A649" s="131"/>
      <c r="B649" s="131"/>
      <c r="C649" s="131"/>
      <c r="D649" s="131"/>
      <c r="E649" s="109"/>
      <c r="F649" s="109"/>
    </row>
    <row r="650">
      <c r="A650" s="131"/>
      <c r="B650" s="131"/>
      <c r="C650" s="131"/>
      <c r="D650" s="131"/>
      <c r="E650" s="109"/>
      <c r="F650" s="109"/>
    </row>
    <row r="651">
      <c r="A651" s="131"/>
      <c r="B651" s="131"/>
      <c r="C651" s="131"/>
      <c r="D651" s="131"/>
      <c r="E651" s="109"/>
      <c r="F651" s="109"/>
    </row>
    <row r="652">
      <c r="A652" s="131"/>
      <c r="B652" s="131"/>
      <c r="C652" s="131"/>
      <c r="D652" s="131"/>
      <c r="E652" s="109"/>
      <c r="F652" s="109"/>
    </row>
    <row r="653">
      <c r="A653" s="131"/>
      <c r="B653" s="131"/>
      <c r="C653" s="131"/>
      <c r="D653" s="131"/>
      <c r="E653" s="109"/>
      <c r="F653" s="109"/>
    </row>
    <row r="654">
      <c r="A654" s="131"/>
      <c r="B654" s="131"/>
      <c r="C654" s="131"/>
      <c r="D654" s="131"/>
      <c r="E654" s="109"/>
      <c r="F654" s="109"/>
    </row>
    <row r="655">
      <c r="A655" s="131"/>
      <c r="B655" s="131"/>
      <c r="C655" s="131"/>
      <c r="D655" s="131"/>
      <c r="E655" s="109"/>
      <c r="F655" s="109"/>
    </row>
    <row r="656">
      <c r="A656" s="131"/>
      <c r="B656" s="131"/>
      <c r="C656" s="131"/>
      <c r="D656" s="131"/>
      <c r="E656" s="109"/>
      <c r="F656" s="109"/>
    </row>
    <row r="657">
      <c r="A657" s="131"/>
      <c r="B657" s="131"/>
      <c r="C657" s="131"/>
      <c r="D657" s="131"/>
      <c r="E657" s="109"/>
      <c r="F657" s="109"/>
    </row>
    <row r="658">
      <c r="A658" s="131"/>
      <c r="B658" s="131"/>
      <c r="C658" s="131"/>
      <c r="D658" s="131"/>
      <c r="E658" s="109"/>
      <c r="F658" s="109"/>
    </row>
    <row r="659">
      <c r="A659" s="131"/>
      <c r="B659" s="131"/>
      <c r="C659" s="131"/>
      <c r="D659" s="131"/>
      <c r="E659" s="109"/>
      <c r="F659" s="109"/>
    </row>
    <row r="660">
      <c r="A660" s="131"/>
      <c r="B660" s="131"/>
      <c r="C660" s="131"/>
      <c r="D660" s="131"/>
      <c r="E660" s="109"/>
      <c r="F660" s="109"/>
    </row>
    <row r="661">
      <c r="A661" s="131"/>
      <c r="B661" s="131"/>
      <c r="C661" s="131"/>
      <c r="D661" s="131"/>
      <c r="E661" s="109"/>
      <c r="F661" s="109"/>
    </row>
    <row r="662">
      <c r="A662" s="131"/>
      <c r="B662" s="131"/>
      <c r="C662" s="131"/>
      <c r="D662" s="131"/>
      <c r="E662" s="109"/>
      <c r="F662" s="109"/>
    </row>
    <row r="663">
      <c r="A663" s="131"/>
      <c r="B663" s="131"/>
      <c r="C663" s="131"/>
      <c r="D663" s="131"/>
      <c r="E663" s="109"/>
      <c r="F663" s="109"/>
    </row>
    <row r="664">
      <c r="A664" s="131"/>
      <c r="B664" s="131"/>
      <c r="C664" s="131"/>
      <c r="D664" s="131"/>
      <c r="E664" s="109"/>
      <c r="F664" s="109"/>
    </row>
    <row r="665">
      <c r="A665" s="131"/>
      <c r="B665" s="131"/>
      <c r="C665" s="131"/>
      <c r="D665" s="131"/>
      <c r="E665" s="109"/>
      <c r="F665" s="109"/>
    </row>
    <row r="666">
      <c r="A666" s="131"/>
      <c r="B666" s="131"/>
      <c r="C666" s="131"/>
      <c r="D666" s="131"/>
      <c r="E666" s="131"/>
      <c r="F666" s="131"/>
    </row>
    <row r="667">
      <c r="A667" s="131"/>
      <c r="B667" s="131"/>
      <c r="C667" s="131"/>
      <c r="D667" s="131"/>
      <c r="E667" s="105"/>
      <c r="F667" s="105"/>
    </row>
    <row r="668">
      <c r="A668" s="131"/>
      <c r="B668" s="131"/>
      <c r="C668" s="131"/>
      <c r="D668" s="131"/>
      <c r="E668" s="107"/>
      <c r="F668" s="107"/>
    </row>
    <row r="669">
      <c r="A669" s="131"/>
      <c r="B669" s="131"/>
      <c r="C669" s="131"/>
      <c r="D669" s="131"/>
      <c r="E669" s="107"/>
      <c r="F669" s="107"/>
    </row>
    <row r="670">
      <c r="A670" s="131"/>
      <c r="B670" s="131"/>
      <c r="C670" s="131"/>
      <c r="D670" s="131"/>
      <c r="E670" s="107"/>
      <c r="F670" s="107"/>
    </row>
    <row r="671">
      <c r="A671" s="131"/>
      <c r="B671" s="131"/>
      <c r="C671" s="131"/>
      <c r="D671" s="131"/>
      <c r="E671" s="107"/>
      <c r="F671" s="107"/>
    </row>
    <row r="672">
      <c r="A672" s="131"/>
      <c r="B672" s="131"/>
      <c r="C672" s="131"/>
      <c r="D672" s="131"/>
      <c r="E672" s="107"/>
      <c r="F672" s="107"/>
    </row>
    <row r="673">
      <c r="A673" s="131"/>
      <c r="B673" s="131"/>
      <c r="C673" s="131"/>
      <c r="D673" s="131"/>
      <c r="E673" s="107"/>
      <c r="F673" s="107"/>
    </row>
    <row r="674">
      <c r="A674" s="131"/>
      <c r="B674" s="131"/>
      <c r="C674" s="131"/>
      <c r="D674" s="131"/>
      <c r="E674" s="107"/>
      <c r="F674" s="107"/>
    </row>
    <row r="675">
      <c r="A675" s="131"/>
      <c r="B675" s="131"/>
      <c r="C675" s="131"/>
      <c r="D675" s="131"/>
      <c r="E675" s="107"/>
      <c r="F675" s="107"/>
    </row>
    <row r="676">
      <c r="A676" s="131"/>
      <c r="B676" s="131"/>
      <c r="C676" s="131"/>
      <c r="D676" s="131"/>
      <c r="E676" s="107"/>
      <c r="F676" s="107"/>
    </row>
    <row r="677">
      <c r="A677" s="131"/>
      <c r="B677" s="131"/>
      <c r="C677" s="131"/>
      <c r="D677" s="131"/>
      <c r="E677" s="107"/>
      <c r="F677" s="107"/>
    </row>
    <row r="678">
      <c r="A678" s="131"/>
      <c r="B678" s="131"/>
      <c r="C678" s="131"/>
      <c r="D678" s="131"/>
      <c r="E678" s="107"/>
      <c r="F678" s="107"/>
    </row>
    <row r="679">
      <c r="A679" s="131"/>
      <c r="B679" s="131"/>
      <c r="C679" s="131"/>
      <c r="D679" s="131"/>
      <c r="E679" s="107"/>
      <c r="F679" s="107"/>
    </row>
    <row r="680">
      <c r="A680" s="131"/>
      <c r="B680" s="131"/>
      <c r="C680" s="131"/>
      <c r="D680" s="131"/>
      <c r="E680" s="107"/>
      <c r="F680" s="107"/>
    </row>
    <row r="681">
      <c r="A681" s="131"/>
      <c r="B681" s="131"/>
      <c r="C681" s="131"/>
      <c r="D681" s="131"/>
      <c r="E681" s="107"/>
      <c r="F681" s="107"/>
    </row>
    <row r="682">
      <c r="A682" s="131"/>
      <c r="B682" s="131"/>
      <c r="C682" s="131"/>
      <c r="D682" s="131"/>
      <c r="E682" s="107"/>
      <c r="F682" s="107"/>
    </row>
    <row r="683">
      <c r="A683" s="131"/>
      <c r="B683" s="131"/>
      <c r="C683" s="131"/>
      <c r="D683" s="131"/>
      <c r="E683" s="107"/>
      <c r="F683" s="107"/>
    </row>
    <row r="684">
      <c r="A684" s="131"/>
      <c r="B684" s="131"/>
      <c r="C684" s="131"/>
      <c r="D684" s="131"/>
      <c r="E684" s="107"/>
      <c r="F684" s="107"/>
    </row>
    <row r="685">
      <c r="A685" s="131"/>
      <c r="B685" s="131"/>
      <c r="C685" s="131"/>
      <c r="D685" s="131"/>
      <c r="E685" s="107"/>
      <c r="F685" s="107"/>
    </row>
    <row r="686">
      <c r="A686" s="131"/>
      <c r="B686" s="131"/>
      <c r="C686" s="131"/>
      <c r="D686" s="131"/>
      <c r="E686" s="107"/>
      <c r="F686" s="107"/>
    </row>
    <row r="687">
      <c r="A687" s="131"/>
      <c r="B687" s="131"/>
      <c r="C687" s="131"/>
      <c r="D687" s="131"/>
      <c r="E687" s="107"/>
      <c r="F687" s="107"/>
    </row>
    <row r="688">
      <c r="A688" s="131"/>
      <c r="B688" s="131"/>
      <c r="C688" s="131"/>
      <c r="D688" s="131"/>
      <c r="E688" s="107"/>
      <c r="F688" s="107"/>
    </row>
    <row r="689">
      <c r="A689" s="131"/>
      <c r="B689" s="131"/>
      <c r="C689" s="131"/>
      <c r="D689" s="131"/>
      <c r="E689" s="107"/>
      <c r="F689" s="107"/>
    </row>
    <row r="690">
      <c r="A690" s="131"/>
      <c r="B690" s="131"/>
      <c r="C690" s="131"/>
      <c r="D690" s="131"/>
      <c r="E690" s="107"/>
      <c r="F690" s="107"/>
    </row>
    <row r="691">
      <c r="A691" s="131"/>
      <c r="B691" s="131"/>
      <c r="C691" s="131"/>
      <c r="D691" s="131"/>
      <c r="E691" s="107"/>
      <c r="F691" s="107"/>
    </row>
    <row r="692">
      <c r="A692" s="131"/>
      <c r="B692" s="131"/>
      <c r="C692" s="131"/>
      <c r="D692" s="131"/>
      <c r="E692" s="107"/>
      <c r="F692" s="107"/>
    </row>
    <row r="693">
      <c r="A693" s="131"/>
      <c r="B693" s="131"/>
      <c r="C693" s="131"/>
      <c r="D693" s="131"/>
      <c r="E693" s="107"/>
      <c r="F693" s="107"/>
    </row>
    <row r="694">
      <c r="A694" s="131"/>
      <c r="B694" s="131"/>
      <c r="C694" s="131"/>
      <c r="D694" s="131"/>
      <c r="E694" s="107"/>
      <c r="F694" s="107"/>
    </row>
    <row r="695">
      <c r="A695" s="131"/>
      <c r="B695" s="131"/>
      <c r="C695" s="131"/>
      <c r="D695" s="131"/>
      <c r="E695" s="107"/>
      <c r="F695" s="107"/>
    </row>
    <row r="696">
      <c r="A696" s="131"/>
      <c r="B696" s="131"/>
      <c r="C696" s="131"/>
      <c r="D696" s="131"/>
      <c r="E696" s="107"/>
      <c r="F696" s="107"/>
    </row>
    <row r="697">
      <c r="A697" s="131"/>
      <c r="B697" s="131"/>
      <c r="C697" s="131"/>
      <c r="D697" s="131"/>
      <c r="E697" s="107"/>
      <c r="F697" s="107"/>
    </row>
    <row r="698">
      <c r="A698" s="131"/>
      <c r="B698" s="131"/>
      <c r="C698" s="131"/>
      <c r="D698" s="131"/>
      <c r="E698" s="107"/>
      <c r="F698" s="107"/>
    </row>
    <row r="699">
      <c r="A699" s="131"/>
      <c r="B699" s="131"/>
      <c r="C699" s="131"/>
      <c r="D699" s="131"/>
      <c r="E699" s="107"/>
      <c r="F699" s="107"/>
    </row>
    <row r="700">
      <c r="A700" s="131"/>
      <c r="B700" s="131"/>
      <c r="C700" s="131"/>
      <c r="D700" s="131"/>
      <c r="E700" s="107"/>
      <c r="F700" s="107"/>
    </row>
    <row r="701">
      <c r="A701" s="131"/>
      <c r="B701" s="131"/>
      <c r="C701" s="131"/>
      <c r="D701" s="131"/>
      <c r="E701" s="107"/>
      <c r="F701" s="107"/>
    </row>
    <row r="702">
      <c r="A702" s="131"/>
      <c r="B702" s="131"/>
      <c r="C702" s="131"/>
      <c r="D702" s="131"/>
      <c r="E702" s="107"/>
      <c r="F702" s="107"/>
    </row>
    <row r="703">
      <c r="A703" s="131"/>
      <c r="B703" s="131"/>
      <c r="C703" s="131"/>
      <c r="D703" s="131"/>
      <c r="E703" s="107"/>
      <c r="F703" s="107"/>
    </row>
    <row r="704">
      <c r="A704" s="131"/>
      <c r="B704" s="131"/>
      <c r="C704" s="131"/>
      <c r="D704" s="131"/>
      <c r="E704" s="116"/>
      <c r="F704" s="107"/>
    </row>
    <row r="705">
      <c r="A705" s="131"/>
      <c r="B705" s="131"/>
      <c r="C705" s="131"/>
      <c r="D705" s="131"/>
      <c r="E705" s="107"/>
      <c r="F705" s="107"/>
    </row>
    <row r="706">
      <c r="A706" s="131"/>
      <c r="B706" s="131"/>
      <c r="C706" s="131"/>
      <c r="D706" s="131"/>
      <c r="E706" s="107"/>
      <c r="F706" s="107"/>
    </row>
    <row r="707">
      <c r="A707" s="131"/>
      <c r="B707" s="131"/>
      <c r="C707" s="131"/>
      <c r="D707" s="131"/>
      <c r="E707" s="107"/>
      <c r="F707" s="107"/>
    </row>
    <row r="708">
      <c r="A708" s="131"/>
      <c r="B708" s="131"/>
      <c r="C708" s="131"/>
      <c r="D708" s="131"/>
      <c r="E708" s="107"/>
      <c r="F708" s="107"/>
    </row>
    <row r="709">
      <c r="A709" s="131"/>
      <c r="B709" s="131"/>
      <c r="C709" s="131"/>
      <c r="D709" s="131"/>
      <c r="E709" s="118"/>
      <c r="F709" s="107"/>
    </row>
    <row r="710">
      <c r="A710" s="131"/>
      <c r="B710" s="131"/>
      <c r="C710" s="131"/>
      <c r="D710" s="131"/>
      <c r="E710" s="118"/>
      <c r="F710" s="107"/>
    </row>
    <row r="711">
      <c r="A711" s="131"/>
      <c r="B711" s="131"/>
      <c r="C711" s="131"/>
      <c r="D711" s="131"/>
      <c r="E711" s="118"/>
      <c r="F711" s="107"/>
    </row>
    <row r="712">
      <c r="A712" s="131"/>
      <c r="B712" s="131"/>
      <c r="C712" s="131"/>
      <c r="D712" s="131"/>
      <c r="E712" s="118"/>
      <c r="F712" s="107"/>
    </row>
    <row r="713">
      <c r="A713" s="131"/>
      <c r="B713" s="131"/>
      <c r="C713" s="131"/>
      <c r="D713" s="131"/>
      <c r="E713" s="119"/>
      <c r="F713" s="119"/>
    </row>
    <row r="714">
      <c r="A714" s="131"/>
      <c r="B714" s="131"/>
      <c r="C714" s="131"/>
      <c r="D714" s="131"/>
      <c r="E714" s="107"/>
      <c r="F714" s="107"/>
    </row>
    <row r="715">
      <c r="A715" s="131"/>
      <c r="B715" s="131"/>
      <c r="C715" s="131"/>
      <c r="D715" s="131"/>
      <c r="E715" s="107"/>
      <c r="F715" s="107"/>
    </row>
    <row r="716">
      <c r="A716" s="131"/>
      <c r="B716" s="131"/>
      <c r="C716" s="131"/>
      <c r="D716" s="131"/>
      <c r="E716" s="107"/>
      <c r="F716" s="107"/>
    </row>
    <row r="717">
      <c r="A717" s="131"/>
      <c r="B717" s="131"/>
      <c r="C717" s="131"/>
      <c r="D717" s="131"/>
      <c r="E717" s="107"/>
      <c r="F717" s="107"/>
    </row>
    <row r="718">
      <c r="A718" s="131"/>
      <c r="B718" s="131"/>
      <c r="C718" s="131"/>
      <c r="D718" s="131"/>
      <c r="E718" s="107"/>
      <c r="F718" s="107"/>
    </row>
    <row r="719">
      <c r="A719" s="131"/>
      <c r="B719" s="131"/>
      <c r="C719" s="131"/>
      <c r="D719" s="131"/>
      <c r="E719" s="107"/>
      <c r="F719" s="107"/>
    </row>
    <row r="720">
      <c r="A720" s="131"/>
      <c r="B720" s="131"/>
      <c r="C720" s="131"/>
      <c r="D720" s="131"/>
      <c r="E720" s="107"/>
      <c r="F720" s="107"/>
    </row>
    <row r="721">
      <c r="A721" s="131"/>
      <c r="B721" s="131"/>
      <c r="C721" s="131"/>
      <c r="D721" s="131"/>
      <c r="E721" s="107"/>
      <c r="F721" s="107"/>
    </row>
    <row r="722">
      <c r="A722" s="131"/>
      <c r="B722" s="131"/>
      <c r="C722" s="131"/>
      <c r="D722" s="131"/>
      <c r="E722" s="107"/>
      <c r="F722" s="107"/>
    </row>
    <row r="723">
      <c r="A723" s="131"/>
      <c r="B723" s="131"/>
      <c r="C723" s="131"/>
      <c r="D723" s="131"/>
      <c r="E723" s="107"/>
      <c r="F723" s="107"/>
    </row>
    <row r="724">
      <c r="A724" s="131"/>
      <c r="B724" s="131"/>
      <c r="C724" s="131"/>
      <c r="D724" s="131"/>
      <c r="E724" s="107"/>
      <c r="F724" s="107"/>
    </row>
    <row r="725">
      <c r="A725" s="131"/>
      <c r="B725" s="131"/>
      <c r="C725" s="131"/>
      <c r="D725" s="131"/>
      <c r="E725" s="107"/>
      <c r="F725" s="107"/>
    </row>
    <row r="726">
      <c r="A726" s="131"/>
      <c r="B726" s="131"/>
      <c r="C726" s="131"/>
      <c r="D726" s="131"/>
      <c r="E726" s="107"/>
      <c r="F726" s="107"/>
    </row>
    <row r="727">
      <c r="A727" s="131"/>
      <c r="B727" s="131"/>
      <c r="C727" s="131"/>
      <c r="D727" s="131"/>
      <c r="E727" s="107"/>
      <c r="F727" s="107"/>
    </row>
    <row r="728">
      <c r="A728" s="131"/>
      <c r="B728" s="131"/>
      <c r="C728" s="131"/>
      <c r="D728" s="131"/>
      <c r="E728" s="107"/>
      <c r="F728" s="115"/>
    </row>
    <row r="729">
      <c r="A729" s="131"/>
      <c r="B729" s="131"/>
      <c r="C729" s="131"/>
      <c r="D729" s="131"/>
      <c r="E729" s="107"/>
      <c r="F729" s="107"/>
    </row>
    <row r="730">
      <c r="A730" s="131"/>
      <c r="B730" s="131"/>
      <c r="C730" s="131"/>
      <c r="D730" s="131"/>
      <c r="E730" s="131"/>
      <c r="F730" s="131"/>
    </row>
    <row r="731">
      <c r="A731" s="131"/>
      <c r="B731" s="131"/>
      <c r="C731" s="131"/>
      <c r="D731" s="131"/>
      <c r="E731" s="131"/>
      <c r="F731" s="131"/>
    </row>
    <row r="732">
      <c r="A732" s="131"/>
      <c r="B732" s="131"/>
      <c r="C732" s="131"/>
      <c r="D732" s="131"/>
      <c r="E732" s="131"/>
      <c r="F732" s="131"/>
    </row>
    <row r="733">
      <c r="A733" s="131"/>
      <c r="B733" s="131"/>
      <c r="C733" s="131"/>
      <c r="D733" s="131"/>
      <c r="E733" s="131"/>
      <c r="F733" s="131"/>
    </row>
    <row r="734">
      <c r="A734" s="131"/>
      <c r="B734" s="131"/>
      <c r="C734" s="131"/>
      <c r="D734" s="131"/>
      <c r="E734" s="131"/>
      <c r="F734" s="131"/>
    </row>
    <row r="735">
      <c r="A735" s="131"/>
      <c r="B735" s="131"/>
      <c r="C735" s="131"/>
      <c r="D735" s="131"/>
      <c r="E735" s="131"/>
      <c r="F735" s="131"/>
    </row>
    <row r="736">
      <c r="A736" s="131"/>
      <c r="B736" s="131"/>
      <c r="C736" s="131"/>
      <c r="D736" s="131"/>
      <c r="E736" s="131"/>
      <c r="F736" s="131"/>
    </row>
    <row r="737">
      <c r="A737" s="131"/>
      <c r="B737" s="131"/>
      <c r="C737" s="131"/>
      <c r="D737" s="131"/>
      <c r="E737" s="131"/>
      <c r="F737" s="131"/>
    </row>
    <row r="738">
      <c r="A738" s="131"/>
      <c r="B738" s="131"/>
      <c r="C738" s="131"/>
      <c r="D738" s="131"/>
      <c r="E738" s="131"/>
      <c r="F738" s="131"/>
    </row>
    <row r="739">
      <c r="A739" s="131"/>
      <c r="B739" s="131"/>
      <c r="C739" s="131"/>
      <c r="D739" s="131"/>
      <c r="E739" s="131"/>
      <c r="F739" s="131"/>
    </row>
    <row r="740">
      <c r="A740" s="131"/>
      <c r="B740" s="131"/>
      <c r="C740" s="131"/>
      <c r="D740" s="131"/>
      <c r="E740" s="131"/>
      <c r="F740" s="131"/>
    </row>
    <row r="741">
      <c r="A741" s="131"/>
      <c r="B741" s="131"/>
      <c r="C741" s="131"/>
      <c r="D741" s="131"/>
      <c r="E741" s="131"/>
      <c r="F741" s="131"/>
    </row>
    <row r="742">
      <c r="A742" s="131"/>
      <c r="B742" s="131"/>
      <c r="C742" s="131"/>
      <c r="D742" s="131"/>
      <c r="E742" s="131"/>
      <c r="F742" s="131"/>
    </row>
    <row r="743">
      <c r="A743" s="131"/>
      <c r="B743" s="131"/>
      <c r="C743" s="131"/>
      <c r="D743" s="131"/>
      <c r="E743" s="131"/>
      <c r="F743" s="131"/>
    </row>
    <row r="744">
      <c r="A744" s="131"/>
      <c r="B744" s="131"/>
      <c r="C744" s="131"/>
      <c r="D744" s="131"/>
      <c r="E744" s="131"/>
      <c r="F744" s="131"/>
    </row>
    <row r="745">
      <c r="A745" s="131"/>
      <c r="B745" s="131"/>
      <c r="C745" s="131"/>
      <c r="D745" s="131"/>
      <c r="E745" s="131"/>
      <c r="F745" s="131"/>
    </row>
    <row r="746">
      <c r="A746" s="131"/>
      <c r="B746" s="131"/>
      <c r="C746" s="131"/>
      <c r="D746" s="131"/>
      <c r="E746" s="131"/>
      <c r="F746" s="131"/>
    </row>
    <row r="747">
      <c r="A747" s="131"/>
      <c r="B747" s="131"/>
      <c r="C747" s="131"/>
      <c r="D747" s="131"/>
      <c r="E747" s="131"/>
      <c r="F747" s="131"/>
    </row>
    <row r="748">
      <c r="A748" s="131"/>
      <c r="B748" s="131"/>
      <c r="C748" s="131"/>
      <c r="D748" s="131"/>
      <c r="E748" s="131"/>
      <c r="F748" s="131"/>
    </row>
    <row r="749">
      <c r="A749" s="131"/>
      <c r="B749" s="131"/>
      <c r="C749" s="131"/>
      <c r="D749" s="131"/>
      <c r="E749" s="131"/>
      <c r="F749" s="131"/>
    </row>
    <row r="750">
      <c r="A750" s="131"/>
      <c r="B750" s="131"/>
      <c r="C750" s="131"/>
      <c r="D750" s="131"/>
      <c r="E750" s="110"/>
      <c r="F750" s="110"/>
    </row>
    <row r="751">
      <c r="A751" s="131"/>
      <c r="B751" s="131"/>
      <c r="C751" s="131"/>
      <c r="D751" s="131"/>
      <c r="E751" s="111"/>
      <c r="F751" s="111"/>
    </row>
    <row r="752">
      <c r="A752" s="86"/>
      <c r="B752" s="87"/>
      <c r="C752" s="131"/>
      <c r="D752" s="131"/>
      <c r="E752" s="131"/>
      <c r="F752" s="131"/>
      <c r="G752" s="88"/>
      <c r="L752" s="88"/>
      <c r="Q752" s="89"/>
    </row>
    <row r="753">
      <c r="A753" s="131"/>
      <c r="B753" s="131"/>
      <c r="C753" s="131"/>
      <c r="D753" s="131"/>
      <c r="E753" s="131"/>
      <c r="F753" s="131"/>
      <c r="G753" s="91"/>
      <c r="H753" s="92"/>
      <c r="I753" s="92"/>
      <c r="J753" s="93"/>
      <c r="K753" s="93"/>
      <c r="L753" s="93"/>
      <c r="M753" s="93"/>
      <c r="N753" s="93"/>
      <c r="O753" s="93"/>
      <c r="P753" s="93"/>
      <c r="Q753" s="90"/>
      <c r="R753" s="90"/>
      <c r="S753" s="90"/>
      <c r="T753" s="90"/>
      <c r="U753" s="90"/>
      <c r="V753" s="90"/>
      <c r="W753" s="90"/>
    </row>
    <row r="754">
      <c r="A754" s="131"/>
      <c r="B754" s="131"/>
      <c r="C754" s="131"/>
      <c r="D754" s="131"/>
      <c r="E754" s="94"/>
      <c r="F754" s="94"/>
    </row>
    <row r="755">
      <c r="A755" s="131"/>
      <c r="B755" s="131"/>
      <c r="C755" s="131"/>
      <c r="D755" s="131"/>
      <c r="E755" s="95"/>
      <c r="F755" s="96"/>
    </row>
    <row r="756">
      <c r="A756" s="131"/>
      <c r="B756" s="131"/>
      <c r="C756" s="131"/>
      <c r="D756" s="131"/>
      <c r="E756" s="95"/>
      <c r="F756" s="96"/>
    </row>
    <row r="757">
      <c r="A757" s="131"/>
      <c r="B757" s="131"/>
      <c r="C757" s="131"/>
      <c r="D757" s="131"/>
      <c r="E757" s="96"/>
      <c r="F757" s="96"/>
    </row>
    <row r="758">
      <c r="A758" s="131"/>
      <c r="B758" s="131"/>
      <c r="C758" s="131"/>
      <c r="D758" s="131"/>
      <c r="E758" s="96"/>
      <c r="F758" s="96"/>
    </row>
    <row r="759">
      <c r="A759" s="131"/>
      <c r="B759" s="131"/>
      <c r="C759" s="131"/>
      <c r="D759" s="131"/>
      <c r="E759" s="96"/>
      <c r="F759" s="96"/>
    </row>
    <row r="760">
      <c r="A760" s="131"/>
      <c r="B760" s="131"/>
      <c r="C760" s="131"/>
      <c r="D760" s="131"/>
      <c r="E760" s="96"/>
      <c r="F760" s="96"/>
    </row>
    <row r="761">
      <c r="A761" s="131"/>
      <c r="B761" s="131"/>
      <c r="C761" s="131"/>
      <c r="D761" s="131"/>
      <c r="E761" s="96"/>
      <c r="F761" s="96"/>
    </row>
    <row r="762">
      <c r="A762" s="131"/>
      <c r="B762" s="131"/>
      <c r="C762" s="131"/>
      <c r="D762" s="131"/>
      <c r="E762" s="96"/>
      <c r="F762" s="96"/>
    </row>
    <row r="763">
      <c r="A763" s="131"/>
      <c r="B763" s="131"/>
      <c r="C763" s="131"/>
      <c r="D763" s="131"/>
      <c r="E763" s="96"/>
      <c r="F763" s="96"/>
    </row>
    <row r="764">
      <c r="A764" s="131"/>
      <c r="B764" s="131"/>
      <c r="C764" s="131"/>
      <c r="D764" s="131"/>
      <c r="E764" s="96"/>
      <c r="F764" s="96"/>
    </row>
    <row r="765">
      <c r="A765" s="131"/>
      <c r="B765" s="131"/>
      <c r="C765" s="131"/>
      <c r="D765" s="131"/>
      <c r="E765" s="96"/>
      <c r="F765" s="96"/>
    </row>
    <row r="766">
      <c r="A766" s="131"/>
      <c r="B766" s="131"/>
      <c r="C766" s="131"/>
      <c r="D766" s="131"/>
      <c r="E766" s="96"/>
      <c r="F766" s="96"/>
    </row>
    <row r="767">
      <c r="A767" s="131"/>
      <c r="B767" s="131"/>
      <c r="C767" s="131"/>
      <c r="D767" s="131"/>
      <c r="E767" s="96"/>
      <c r="F767" s="96"/>
    </row>
    <row r="768">
      <c r="A768" s="131"/>
      <c r="B768" s="131"/>
      <c r="C768" s="131"/>
      <c r="D768" s="131"/>
      <c r="E768" s="97"/>
      <c r="F768" s="97"/>
    </row>
    <row r="769">
      <c r="A769" s="131"/>
      <c r="B769" s="131"/>
      <c r="C769" s="131"/>
      <c r="D769" s="131"/>
      <c r="E769" s="96"/>
      <c r="F769" s="96"/>
    </row>
    <row r="770">
      <c r="A770" s="131"/>
      <c r="B770" s="131"/>
      <c r="C770" s="131"/>
      <c r="D770" s="131"/>
      <c r="E770" s="96"/>
      <c r="F770" s="96"/>
    </row>
    <row r="771">
      <c r="A771" s="131"/>
      <c r="B771" s="131"/>
      <c r="C771" s="131"/>
      <c r="D771" s="131"/>
      <c r="E771" s="96"/>
      <c r="F771" s="96"/>
    </row>
    <row r="772">
      <c r="A772" s="131"/>
      <c r="B772" s="131"/>
      <c r="C772" s="131"/>
      <c r="D772" s="131"/>
      <c r="E772" s="96"/>
      <c r="F772" s="96"/>
    </row>
    <row r="773">
      <c r="A773" s="131"/>
      <c r="B773" s="131"/>
      <c r="C773" s="131"/>
      <c r="D773" s="131"/>
      <c r="E773" s="96"/>
      <c r="F773" s="96"/>
    </row>
    <row r="774">
      <c r="A774" s="131"/>
      <c r="B774" s="131"/>
      <c r="C774" s="131"/>
      <c r="D774" s="131"/>
      <c r="E774" s="96"/>
      <c r="F774" s="96"/>
    </row>
    <row r="775">
      <c r="A775" s="131"/>
      <c r="B775" s="131"/>
      <c r="C775" s="131"/>
      <c r="D775" s="131"/>
      <c r="E775" s="98"/>
      <c r="F775" s="96"/>
    </row>
    <row r="776">
      <c r="A776" s="131"/>
      <c r="B776" s="131"/>
      <c r="C776" s="131"/>
      <c r="D776" s="131"/>
      <c r="E776" s="99"/>
      <c r="F776" s="99"/>
    </row>
    <row r="777">
      <c r="A777" s="131"/>
      <c r="B777" s="131"/>
      <c r="C777" s="131"/>
      <c r="D777" s="131"/>
      <c r="E777" s="100"/>
      <c r="F777" s="100"/>
    </row>
    <row r="778">
      <c r="A778" s="131"/>
      <c r="B778" s="131"/>
      <c r="C778" s="131"/>
      <c r="D778" s="131"/>
      <c r="E778" s="100"/>
      <c r="F778" s="100"/>
    </row>
    <row r="779">
      <c r="A779" s="131"/>
      <c r="B779" s="131"/>
      <c r="C779" s="131"/>
      <c r="D779" s="131"/>
      <c r="E779" s="100"/>
      <c r="F779" s="100"/>
    </row>
    <row r="780">
      <c r="A780" s="131"/>
      <c r="B780" s="131"/>
      <c r="C780" s="131"/>
      <c r="D780" s="131"/>
      <c r="E780" s="100"/>
      <c r="F780" s="100"/>
    </row>
    <row r="781">
      <c r="A781" s="131"/>
      <c r="B781" s="131"/>
      <c r="C781" s="131"/>
      <c r="D781" s="131"/>
      <c r="E781" s="100"/>
      <c r="F781" s="100"/>
    </row>
    <row r="782">
      <c r="A782" s="131"/>
      <c r="B782" s="131"/>
      <c r="C782" s="131"/>
      <c r="D782" s="131"/>
      <c r="E782" s="100"/>
      <c r="F782" s="100"/>
    </row>
    <row r="783">
      <c r="A783" s="131"/>
      <c r="B783" s="131"/>
      <c r="C783" s="131"/>
      <c r="D783" s="131"/>
      <c r="E783" s="100"/>
      <c r="F783" s="100"/>
    </row>
    <row r="784">
      <c r="A784" s="131"/>
      <c r="B784" s="131"/>
      <c r="C784" s="131"/>
      <c r="D784" s="131"/>
      <c r="E784" s="101"/>
      <c r="F784" s="101"/>
    </row>
    <row r="785">
      <c r="A785" s="131"/>
      <c r="B785" s="131"/>
      <c r="C785" s="131"/>
      <c r="D785" s="131"/>
      <c r="E785" s="100"/>
      <c r="F785" s="100"/>
    </row>
    <row r="786">
      <c r="A786" s="131"/>
      <c r="B786" s="131"/>
      <c r="C786" s="131"/>
      <c r="D786" s="131"/>
      <c r="E786" s="100"/>
      <c r="F786" s="100"/>
    </row>
    <row r="787">
      <c r="A787" s="131"/>
      <c r="B787" s="131"/>
      <c r="C787" s="131"/>
      <c r="D787" s="131"/>
      <c r="E787" s="102"/>
      <c r="F787" s="102"/>
    </row>
    <row r="788">
      <c r="A788" s="131"/>
      <c r="B788" s="131"/>
      <c r="C788" s="131"/>
      <c r="D788" s="131"/>
      <c r="E788" s="103"/>
      <c r="F788" s="103"/>
    </row>
    <row r="789">
      <c r="A789" s="131"/>
      <c r="B789" s="131"/>
      <c r="C789" s="131"/>
      <c r="D789" s="131"/>
      <c r="E789" s="103"/>
      <c r="F789" s="103"/>
    </row>
    <row r="790">
      <c r="A790" s="131"/>
      <c r="B790" s="131"/>
      <c r="C790" s="131"/>
      <c r="D790" s="131"/>
      <c r="E790" s="102"/>
      <c r="F790" s="103"/>
    </row>
    <row r="791">
      <c r="A791" s="131"/>
      <c r="B791" s="131"/>
      <c r="C791" s="131"/>
      <c r="D791" s="131"/>
      <c r="E791" s="103"/>
      <c r="F791" s="103"/>
    </row>
    <row r="792">
      <c r="A792" s="131"/>
      <c r="B792" s="131"/>
      <c r="C792" s="131"/>
      <c r="D792" s="131"/>
      <c r="E792" s="103"/>
      <c r="F792" s="103"/>
    </row>
    <row r="793">
      <c r="A793" s="131"/>
      <c r="B793" s="131"/>
      <c r="C793" s="131"/>
      <c r="D793" s="131"/>
      <c r="E793" s="103"/>
      <c r="F793" s="103"/>
    </row>
    <row r="794">
      <c r="A794" s="131"/>
      <c r="B794" s="131"/>
      <c r="C794" s="131"/>
      <c r="D794" s="131"/>
      <c r="E794" s="103"/>
      <c r="F794" s="103"/>
    </row>
    <row r="795">
      <c r="A795" s="131"/>
      <c r="B795" s="131"/>
      <c r="C795" s="131"/>
      <c r="D795" s="131"/>
      <c r="E795" s="103"/>
      <c r="F795" s="103"/>
    </row>
    <row r="796">
      <c r="A796" s="131"/>
      <c r="B796" s="131"/>
      <c r="C796" s="131"/>
      <c r="D796" s="131"/>
      <c r="E796" s="103"/>
      <c r="F796" s="103"/>
    </row>
    <row r="797">
      <c r="A797" s="131"/>
      <c r="B797" s="131"/>
      <c r="C797" s="131"/>
      <c r="D797" s="131"/>
      <c r="E797" s="103"/>
      <c r="F797" s="103"/>
    </row>
    <row r="798">
      <c r="A798" s="131"/>
      <c r="B798" s="131"/>
      <c r="C798" s="131"/>
      <c r="D798" s="131"/>
      <c r="E798" s="103"/>
      <c r="F798" s="103"/>
    </row>
    <row r="799">
      <c r="A799" s="131"/>
      <c r="B799" s="131"/>
      <c r="C799" s="131"/>
      <c r="D799" s="131"/>
      <c r="E799" s="103"/>
      <c r="F799" s="103"/>
    </row>
    <row r="800">
      <c r="A800" s="131"/>
      <c r="B800" s="131"/>
      <c r="C800" s="131"/>
      <c r="D800" s="131"/>
      <c r="E800" s="103"/>
      <c r="F800" s="103"/>
    </row>
    <row r="801">
      <c r="A801" s="131"/>
      <c r="B801" s="131"/>
      <c r="C801" s="131"/>
      <c r="D801" s="131"/>
      <c r="E801" s="103"/>
      <c r="F801" s="103"/>
    </row>
    <row r="802">
      <c r="A802" s="131"/>
      <c r="B802" s="131"/>
      <c r="C802" s="131"/>
      <c r="D802" s="131"/>
      <c r="E802" s="103"/>
      <c r="F802" s="103"/>
    </row>
    <row r="803">
      <c r="A803" s="131"/>
      <c r="B803" s="131"/>
      <c r="C803" s="131"/>
      <c r="D803" s="131"/>
      <c r="E803" s="103"/>
      <c r="F803" s="103"/>
    </row>
    <row r="804">
      <c r="A804" s="131"/>
      <c r="B804" s="131"/>
      <c r="C804" s="131"/>
      <c r="D804" s="131"/>
      <c r="E804" s="103"/>
      <c r="F804" s="103"/>
    </row>
    <row r="805">
      <c r="A805" s="131"/>
      <c r="B805" s="131"/>
      <c r="C805" s="131"/>
      <c r="D805" s="131"/>
      <c r="E805" s="99"/>
      <c r="F805" s="99"/>
    </row>
    <row r="806">
      <c r="A806" s="131"/>
      <c r="B806" s="131"/>
      <c r="C806" s="131"/>
      <c r="D806" s="131"/>
      <c r="E806" s="100"/>
      <c r="F806" s="100"/>
    </row>
    <row r="807">
      <c r="A807" s="131"/>
      <c r="B807" s="131"/>
      <c r="C807" s="131"/>
      <c r="D807" s="131"/>
      <c r="E807" s="100"/>
      <c r="F807" s="100"/>
    </row>
    <row r="808">
      <c r="A808" s="131"/>
      <c r="B808" s="131"/>
      <c r="C808" s="131"/>
      <c r="D808" s="131"/>
      <c r="E808" s="100"/>
      <c r="F808" s="100"/>
    </row>
    <row r="809">
      <c r="A809" s="131"/>
      <c r="B809" s="131"/>
      <c r="C809" s="131"/>
      <c r="D809" s="131"/>
      <c r="E809" s="100"/>
      <c r="F809" s="100"/>
    </row>
    <row r="810">
      <c r="A810" s="131"/>
      <c r="B810" s="131"/>
      <c r="C810" s="131"/>
      <c r="D810" s="131"/>
      <c r="E810" s="100"/>
      <c r="F810" s="100"/>
    </row>
    <row r="811">
      <c r="A811" s="131"/>
      <c r="B811" s="131"/>
      <c r="C811" s="131"/>
      <c r="D811" s="131"/>
      <c r="E811" s="100"/>
      <c r="F811" s="100"/>
    </row>
    <row r="812">
      <c r="A812" s="131"/>
      <c r="B812" s="131"/>
      <c r="C812" s="131"/>
      <c r="D812" s="131"/>
      <c r="E812" s="100"/>
      <c r="F812" s="100"/>
    </row>
    <row r="813">
      <c r="A813" s="131"/>
      <c r="B813" s="131"/>
      <c r="C813" s="131"/>
      <c r="D813" s="131"/>
      <c r="E813" s="100"/>
      <c r="F813" s="100"/>
    </row>
    <row r="814">
      <c r="A814" s="131"/>
      <c r="B814" s="131"/>
      <c r="C814" s="131"/>
      <c r="D814" s="131"/>
      <c r="E814" s="100"/>
      <c r="F814" s="100"/>
    </row>
    <row r="815">
      <c r="A815" s="131"/>
      <c r="B815" s="131"/>
      <c r="C815" s="131"/>
      <c r="D815" s="131"/>
      <c r="E815" s="100"/>
      <c r="F815" s="100"/>
    </row>
    <row r="816">
      <c r="A816" s="131"/>
      <c r="B816" s="131"/>
      <c r="C816" s="131"/>
      <c r="D816" s="131"/>
      <c r="E816" s="99"/>
      <c r="F816" s="99"/>
    </row>
    <row r="817">
      <c r="A817" s="131"/>
      <c r="B817" s="131"/>
      <c r="C817" s="131"/>
      <c r="D817" s="131"/>
      <c r="E817" s="100"/>
      <c r="F817" s="100"/>
    </row>
    <row r="818">
      <c r="A818" s="131"/>
      <c r="B818" s="131"/>
      <c r="C818" s="131"/>
      <c r="D818" s="131"/>
      <c r="E818" s="100"/>
      <c r="F818" s="100"/>
    </row>
    <row r="819">
      <c r="A819" s="131"/>
      <c r="B819" s="131"/>
      <c r="C819" s="131"/>
      <c r="D819" s="131"/>
      <c r="E819" s="100"/>
      <c r="F819" s="100"/>
    </row>
    <row r="820">
      <c r="A820" s="131"/>
      <c r="B820" s="131"/>
      <c r="C820" s="131"/>
      <c r="D820" s="131"/>
      <c r="E820" s="100"/>
      <c r="F820" s="100"/>
    </row>
    <row r="821">
      <c r="A821" s="131"/>
      <c r="B821" s="131"/>
      <c r="C821" s="131"/>
      <c r="D821" s="131"/>
      <c r="E821" s="100"/>
      <c r="F821" s="100"/>
    </row>
    <row r="822">
      <c r="A822" s="131"/>
      <c r="B822" s="131"/>
      <c r="C822" s="131"/>
      <c r="D822" s="131"/>
      <c r="E822" s="100"/>
      <c r="F822" s="100"/>
    </row>
    <row r="823">
      <c r="A823" s="131"/>
      <c r="B823" s="131"/>
      <c r="C823" s="131"/>
      <c r="D823" s="131"/>
      <c r="E823" s="101"/>
      <c r="F823" s="101"/>
    </row>
    <row r="824">
      <c r="A824" s="131"/>
      <c r="B824" s="131"/>
      <c r="C824" s="131"/>
      <c r="D824" s="131"/>
      <c r="E824" s="101"/>
      <c r="F824" s="101"/>
    </row>
    <row r="825">
      <c r="A825" s="131"/>
      <c r="B825" s="131"/>
      <c r="C825" s="131"/>
      <c r="D825" s="131"/>
      <c r="E825" s="101"/>
      <c r="F825" s="101"/>
    </row>
    <row r="826">
      <c r="A826" s="131"/>
      <c r="B826" s="131"/>
      <c r="C826" s="131"/>
      <c r="D826" s="131"/>
      <c r="E826" s="101"/>
      <c r="F826" s="101"/>
    </row>
    <row r="827">
      <c r="A827" s="131"/>
      <c r="B827" s="131"/>
      <c r="C827" s="131"/>
      <c r="D827" s="131"/>
      <c r="E827" s="101"/>
      <c r="F827" s="101"/>
    </row>
    <row r="828">
      <c r="A828" s="131"/>
      <c r="B828" s="131"/>
      <c r="C828" s="131"/>
      <c r="D828" s="131"/>
      <c r="E828" s="101"/>
      <c r="F828" s="101"/>
    </row>
    <row r="829">
      <c r="A829" s="131"/>
      <c r="B829" s="131"/>
      <c r="C829" s="131"/>
      <c r="D829" s="131"/>
      <c r="E829" s="105"/>
      <c r="F829" s="105"/>
    </row>
    <row r="830">
      <c r="A830" s="131"/>
      <c r="B830" s="131"/>
      <c r="C830" s="131"/>
      <c r="D830" s="131"/>
      <c r="E830" s="106"/>
      <c r="F830" s="106"/>
    </row>
    <row r="831">
      <c r="A831" s="131"/>
      <c r="B831" s="131"/>
      <c r="C831" s="131"/>
      <c r="D831" s="131"/>
      <c r="E831" s="107"/>
      <c r="F831" s="107"/>
    </row>
    <row r="832">
      <c r="A832" s="131"/>
      <c r="B832" s="131"/>
      <c r="C832" s="131"/>
      <c r="D832" s="131"/>
      <c r="E832" s="107"/>
      <c r="F832" s="107"/>
    </row>
    <row r="833">
      <c r="A833" s="131"/>
      <c r="B833" s="131"/>
      <c r="C833" s="131"/>
      <c r="D833" s="131"/>
      <c r="E833" s="108"/>
      <c r="F833" s="108"/>
    </row>
    <row r="834">
      <c r="A834" s="131"/>
      <c r="B834" s="131"/>
      <c r="C834" s="131"/>
      <c r="D834" s="131"/>
      <c r="E834" s="107"/>
      <c r="F834" s="107"/>
    </row>
    <row r="835">
      <c r="A835" s="131"/>
      <c r="B835" s="131"/>
      <c r="C835" s="131"/>
      <c r="D835" s="131"/>
      <c r="E835" s="106"/>
      <c r="F835" s="106"/>
    </row>
    <row r="836">
      <c r="A836" s="131"/>
      <c r="B836" s="131"/>
      <c r="C836" s="131"/>
      <c r="D836" s="131"/>
      <c r="E836" s="107"/>
      <c r="F836" s="107"/>
    </row>
    <row r="837">
      <c r="A837" s="131"/>
      <c r="B837" s="131"/>
      <c r="C837" s="131"/>
      <c r="D837" s="131"/>
      <c r="E837" s="107"/>
      <c r="F837" s="107"/>
    </row>
    <row r="838">
      <c r="A838" s="131"/>
      <c r="B838" s="131"/>
      <c r="C838" s="131"/>
      <c r="D838" s="131"/>
      <c r="E838" s="107"/>
      <c r="F838" s="107"/>
    </row>
    <row r="839">
      <c r="A839" s="131"/>
      <c r="B839" s="131"/>
      <c r="C839" s="131"/>
      <c r="D839" s="131"/>
      <c r="E839" s="107"/>
      <c r="F839" s="107"/>
    </row>
    <row r="840">
      <c r="A840" s="131"/>
      <c r="B840" s="131"/>
      <c r="C840" s="131"/>
      <c r="D840" s="131"/>
      <c r="E840" s="106"/>
      <c r="F840" s="106"/>
    </row>
    <row r="841">
      <c r="A841" s="131"/>
      <c r="B841" s="131"/>
      <c r="C841" s="131"/>
      <c r="D841" s="131"/>
      <c r="E841" s="107"/>
      <c r="F841" s="107"/>
    </row>
    <row r="842">
      <c r="A842" s="131"/>
      <c r="B842" s="131"/>
      <c r="C842" s="131"/>
      <c r="D842" s="131"/>
      <c r="E842" s="109"/>
      <c r="F842" s="109"/>
    </row>
    <row r="843">
      <c r="A843" s="131"/>
      <c r="B843" s="131"/>
      <c r="C843" s="131"/>
      <c r="D843" s="131"/>
      <c r="E843" s="110"/>
      <c r="F843" s="110"/>
    </row>
    <row r="844">
      <c r="A844" s="131"/>
      <c r="B844" s="131"/>
      <c r="C844" s="131"/>
      <c r="D844" s="131"/>
      <c r="E844" s="110"/>
      <c r="F844" s="110"/>
    </row>
    <row r="845">
      <c r="A845" s="131"/>
      <c r="B845" s="131"/>
      <c r="C845" s="131"/>
      <c r="D845" s="131"/>
      <c r="E845" s="111"/>
      <c r="F845" s="111"/>
    </row>
    <row r="846">
      <c r="A846" s="86"/>
      <c r="B846" s="87"/>
      <c r="C846" s="131"/>
      <c r="D846" s="131"/>
      <c r="E846" s="131"/>
      <c r="F846" s="131"/>
      <c r="G846" s="121"/>
      <c r="H846" s="13"/>
      <c r="I846" s="13"/>
      <c r="J846" s="13"/>
      <c r="K846" s="14"/>
      <c r="L846" s="121"/>
      <c r="M846" s="13"/>
      <c r="N846" s="13"/>
      <c r="O846" s="13"/>
      <c r="P846" s="14"/>
      <c r="Q846" s="122"/>
      <c r="R846" s="13"/>
      <c r="S846" s="13"/>
      <c r="T846" s="13"/>
      <c r="U846" s="13"/>
      <c r="V846" s="13"/>
      <c r="W846" s="14"/>
    </row>
    <row r="847">
      <c r="A847" s="131"/>
      <c r="B847" s="131"/>
      <c r="C847" s="131"/>
      <c r="D847" s="131"/>
      <c r="E847" s="131"/>
      <c r="F847" s="131"/>
      <c r="G847" s="123"/>
      <c r="H847" s="124"/>
      <c r="I847" s="124"/>
      <c r="J847" s="125"/>
      <c r="K847" s="125"/>
      <c r="L847" s="126"/>
      <c r="M847" s="125"/>
      <c r="N847" s="125"/>
      <c r="O847" s="125"/>
      <c r="P847" s="127"/>
      <c r="Q847" s="128"/>
      <c r="R847" s="129"/>
      <c r="S847" s="129"/>
      <c r="T847" s="129"/>
      <c r="U847" s="129"/>
      <c r="V847" s="129"/>
      <c r="W847" s="130"/>
    </row>
    <row r="848">
      <c r="A848" s="131"/>
      <c r="B848" s="131"/>
      <c r="C848" s="131"/>
      <c r="D848" s="131"/>
      <c r="E848" s="94"/>
      <c r="F848" s="94"/>
    </row>
    <row r="849">
      <c r="A849" s="131"/>
      <c r="B849" s="131"/>
      <c r="C849" s="131"/>
      <c r="D849" s="131"/>
      <c r="E849" s="95"/>
      <c r="F849" s="96"/>
    </row>
    <row r="850">
      <c r="A850" s="131"/>
      <c r="B850" s="131"/>
      <c r="C850" s="131"/>
      <c r="D850" s="131"/>
      <c r="E850" s="95"/>
      <c r="F850" s="96"/>
    </row>
    <row r="851">
      <c r="A851" s="131"/>
      <c r="B851" s="131"/>
      <c r="C851" s="131"/>
      <c r="D851" s="131"/>
      <c r="E851" s="96"/>
      <c r="F851" s="96"/>
    </row>
    <row r="852">
      <c r="A852" s="131"/>
      <c r="B852" s="131"/>
      <c r="C852" s="131"/>
      <c r="D852" s="131"/>
      <c r="E852" s="96"/>
      <c r="F852" s="96"/>
    </row>
    <row r="853">
      <c r="A853" s="131"/>
      <c r="B853" s="131"/>
      <c r="C853" s="131"/>
      <c r="D853" s="131"/>
      <c r="E853" s="96"/>
      <c r="F853" s="96"/>
    </row>
    <row r="854">
      <c r="A854" s="131"/>
      <c r="B854" s="131"/>
      <c r="C854" s="131"/>
      <c r="D854" s="131"/>
      <c r="E854" s="96"/>
      <c r="F854" s="96"/>
    </row>
    <row r="855">
      <c r="A855" s="131"/>
      <c r="B855" s="131"/>
      <c r="C855" s="131"/>
      <c r="D855" s="131"/>
      <c r="E855" s="96"/>
      <c r="F855" s="96"/>
    </row>
    <row r="856">
      <c r="A856" s="131"/>
      <c r="B856" s="131"/>
      <c r="C856" s="131"/>
      <c r="D856" s="131"/>
      <c r="E856" s="96"/>
      <c r="F856" s="96"/>
    </row>
    <row r="857">
      <c r="A857" s="131"/>
      <c r="B857" s="131"/>
      <c r="C857" s="131"/>
      <c r="D857" s="131"/>
      <c r="E857" s="96"/>
      <c r="F857" s="96"/>
    </row>
    <row r="858">
      <c r="A858" s="131"/>
      <c r="B858" s="131"/>
      <c r="C858" s="131"/>
      <c r="D858" s="131"/>
      <c r="E858" s="96"/>
      <c r="F858" s="96"/>
    </row>
    <row r="859">
      <c r="A859" s="131"/>
      <c r="B859" s="131"/>
      <c r="C859" s="131"/>
      <c r="D859" s="131"/>
      <c r="E859" s="96"/>
      <c r="F859" s="96"/>
    </row>
    <row r="860">
      <c r="A860" s="131"/>
      <c r="B860" s="131"/>
      <c r="C860" s="131"/>
      <c r="D860" s="131"/>
      <c r="E860" s="96"/>
      <c r="F860" s="96"/>
    </row>
    <row r="861">
      <c r="A861" s="131"/>
      <c r="B861" s="131"/>
      <c r="C861" s="131"/>
      <c r="D861" s="131"/>
      <c r="E861" s="96"/>
      <c r="F861" s="96"/>
    </row>
    <row r="862">
      <c r="A862" s="131"/>
      <c r="B862" s="131"/>
      <c r="C862" s="131"/>
      <c r="D862" s="131"/>
      <c r="E862" s="97"/>
      <c r="F862" s="97"/>
    </row>
    <row r="863">
      <c r="A863" s="131"/>
      <c r="B863" s="131"/>
      <c r="C863" s="131"/>
      <c r="D863" s="131"/>
      <c r="E863" s="96"/>
      <c r="F863" s="96"/>
    </row>
    <row r="864">
      <c r="A864" s="131"/>
      <c r="B864" s="131"/>
      <c r="C864" s="131"/>
      <c r="D864" s="131"/>
      <c r="E864" s="96"/>
      <c r="F864" s="96"/>
    </row>
    <row r="865">
      <c r="A865" s="131"/>
      <c r="B865" s="131"/>
      <c r="C865" s="131"/>
      <c r="D865" s="131"/>
      <c r="E865" s="96"/>
      <c r="F865" s="96"/>
    </row>
    <row r="866">
      <c r="A866" s="131"/>
      <c r="B866" s="131"/>
      <c r="C866" s="131"/>
      <c r="D866" s="131"/>
      <c r="E866" s="96"/>
      <c r="F866" s="96"/>
    </row>
    <row r="867">
      <c r="A867" s="131"/>
      <c r="B867" s="131"/>
      <c r="C867" s="131"/>
      <c r="D867" s="131"/>
      <c r="E867" s="96"/>
      <c r="F867" s="96"/>
    </row>
    <row r="868">
      <c r="A868" s="131"/>
      <c r="B868" s="131"/>
      <c r="C868" s="131"/>
      <c r="D868" s="131"/>
      <c r="E868" s="96"/>
      <c r="F868" s="96"/>
    </row>
    <row r="869">
      <c r="A869" s="131"/>
      <c r="B869" s="131"/>
      <c r="C869" s="131"/>
      <c r="D869" s="131"/>
      <c r="E869" s="98"/>
      <c r="F869" s="96"/>
    </row>
    <row r="870">
      <c r="A870" s="131"/>
      <c r="B870" s="131"/>
      <c r="C870" s="131"/>
      <c r="D870" s="131"/>
      <c r="E870" s="99"/>
      <c r="F870" s="99"/>
    </row>
    <row r="871">
      <c r="A871" s="131"/>
      <c r="B871" s="131"/>
      <c r="C871" s="131"/>
      <c r="D871" s="131"/>
      <c r="E871" s="100"/>
      <c r="F871" s="100"/>
    </row>
    <row r="872">
      <c r="A872" s="131"/>
      <c r="B872" s="131"/>
      <c r="C872" s="131"/>
      <c r="D872" s="131"/>
      <c r="E872" s="100"/>
      <c r="F872" s="100"/>
    </row>
    <row r="873">
      <c r="A873" s="131"/>
      <c r="B873" s="131"/>
      <c r="C873" s="131"/>
      <c r="D873" s="131"/>
      <c r="E873" s="100"/>
      <c r="F873" s="100"/>
    </row>
    <row r="874">
      <c r="A874" s="131"/>
      <c r="B874" s="131"/>
      <c r="C874" s="131"/>
      <c r="D874" s="131"/>
      <c r="E874" s="100"/>
      <c r="F874" s="100"/>
    </row>
    <row r="875">
      <c r="A875" s="131"/>
      <c r="B875" s="131"/>
      <c r="C875" s="131"/>
      <c r="D875" s="131"/>
      <c r="E875" s="100"/>
      <c r="F875" s="100"/>
    </row>
    <row r="876">
      <c r="A876" s="131"/>
      <c r="B876" s="131"/>
      <c r="C876" s="131"/>
      <c r="D876" s="131"/>
      <c r="E876" s="100"/>
      <c r="F876" s="100"/>
    </row>
    <row r="877">
      <c r="A877" s="131"/>
      <c r="B877" s="131"/>
      <c r="C877" s="131"/>
      <c r="D877" s="131"/>
      <c r="E877" s="100"/>
      <c r="F877" s="100"/>
    </row>
    <row r="878">
      <c r="A878" s="131"/>
      <c r="B878" s="131"/>
      <c r="C878" s="131"/>
      <c r="D878" s="131"/>
      <c r="E878" s="101"/>
      <c r="F878" s="101"/>
    </row>
    <row r="879">
      <c r="A879" s="131"/>
      <c r="B879" s="131"/>
      <c r="C879" s="131"/>
      <c r="D879" s="131"/>
      <c r="E879" s="100"/>
      <c r="F879" s="100"/>
    </row>
    <row r="880">
      <c r="A880" s="131"/>
      <c r="B880" s="131"/>
      <c r="C880" s="131"/>
      <c r="D880" s="131"/>
      <c r="E880" s="100"/>
      <c r="F880" s="100"/>
    </row>
    <row r="881">
      <c r="A881" s="131"/>
      <c r="B881" s="131"/>
      <c r="C881" s="131"/>
      <c r="D881" s="131"/>
      <c r="E881" s="102"/>
      <c r="F881" s="102"/>
    </row>
    <row r="882">
      <c r="A882" s="131"/>
      <c r="B882" s="131"/>
      <c r="C882" s="131"/>
      <c r="D882" s="131"/>
      <c r="E882" s="103"/>
      <c r="F882" s="103"/>
    </row>
    <row r="883">
      <c r="A883" s="131"/>
      <c r="B883" s="131"/>
      <c r="C883" s="131"/>
      <c r="D883" s="131"/>
      <c r="E883" s="103"/>
      <c r="F883" s="103"/>
    </row>
    <row r="884">
      <c r="A884" s="131"/>
      <c r="B884" s="131"/>
      <c r="C884" s="131"/>
      <c r="D884" s="131"/>
      <c r="E884" s="102"/>
      <c r="F884" s="103"/>
    </row>
    <row r="885">
      <c r="A885" s="131"/>
      <c r="B885" s="131"/>
      <c r="C885" s="131"/>
      <c r="D885" s="131"/>
      <c r="E885" s="103"/>
      <c r="F885" s="103"/>
    </row>
    <row r="886">
      <c r="A886" s="131"/>
      <c r="B886" s="131"/>
      <c r="C886" s="131"/>
      <c r="D886" s="131"/>
      <c r="E886" s="103"/>
      <c r="F886" s="103"/>
    </row>
    <row r="887">
      <c r="A887" s="131"/>
      <c r="B887" s="131"/>
      <c r="C887" s="131"/>
      <c r="D887" s="131"/>
      <c r="E887" s="103"/>
      <c r="F887" s="103"/>
    </row>
    <row r="888">
      <c r="A888" s="131"/>
      <c r="B888" s="131"/>
      <c r="C888" s="131"/>
      <c r="D888" s="131"/>
      <c r="E888" s="103"/>
      <c r="F888" s="103"/>
    </row>
    <row r="889">
      <c r="A889" s="131"/>
      <c r="B889" s="131"/>
      <c r="C889" s="131"/>
      <c r="D889" s="131"/>
      <c r="E889" s="103"/>
      <c r="F889" s="103"/>
    </row>
    <row r="890">
      <c r="A890" s="131"/>
      <c r="B890" s="131"/>
      <c r="C890" s="131"/>
      <c r="D890" s="131"/>
      <c r="E890" s="103"/>
      <c r="F890" s="103"/>
    </row>
    <row r="891">
      <c r="A891" s="131"/>
      <c r="B891" s="131"/>
      <c r="C891" s="131"/>
      <c r="D891" s="131"/>
      <c r="E891" s="103"/>
      <c r="F891" s="103"/>
    </row>
    <row r="892">
      <c r="A892" s="131"/>
      <c r="B892" s="131"/>
      <c r="C892" s="131"/>
      <c r="D892" s="131"/>
      <c r="E892" s="103"/>
      <c r="F892" s="103"/>
    </row>
    <row r="893">
      <c r="A893" s="131"/>
      <c r="B893" s="131"/>
      <c r="C893" s="131"/>
      <c r="D893" s="131"/>
      <c r="E893" s="103"/>
      <c r="F893" s="103"/>
    </row>
    <row r="894">
      <c r="A894" s="131"/>
      <c r="B894" s="131"/>
      <c r="C894" s="131"/>
      <c r="D894" s="131"/>
      <c r="E894" s="103"/>
      <c r="F894" s="103"/>
    </row>
    <row r="895">
      <c r="A895" s="131"/>
      <c r="B895" s="131"/>
      <c r="C895" s="131"/>
      <c r="D895" s="131"/>
      <c r="E895" s="103"/>
      <c r="F895" s="103"/>
    </row>
    <row r="896">
      <c r="A896" s="131"/>
      <c r="B896" s="131"/>
      <c r="C896" s="131"/>
      <c r="D896" s="131"/>
      <c r="E896" s="103"/>
      <c r="F896" s="103"/>
    </row>
    <row r="897">
      <c r="A897" s="131"/>
      <c r="B897" s="131"/>
      <c r="C897" s="131"/>
      <c r="D897" s="131"/>
      <c r="E897" s="103"/>
      <c r="F897" s="103"/>
    </row>
    <row r="898">
      <c r="A898" s="131"/>
      <c r="B898" s="131"/>
      <c r="C898" s="131"/>
      <c r="D898" s="131"/>
      <c r="E898" s="103"/>
      <c r="F898" s="103"/>
    </row>
    <row r="899">
      <c r="A899" s="131"/>
      <c r="B899" s="131"/>
      <c r="C899" s="131"/>
      <c r="D899" s="131"/>
      <c r="E899" s="99"/>
      <c r="F899" s="99"/>
    </row>
    <row r="900">
      <c r="A900" s="131"/>
      <c r="B900" s="131"/>
      <c r="C900" s="131"/>
      <c r="D900" s="131"/>
      <c r="E900" s="100"/>
      <c r="F900" s="100"/>
    </row>
    <row r="901">
      <c r="A901" s="131"/>
      <c r="B901" s="131"/>
      <c r="C901" s="131"/>
      <c r="D901" s="131"/>
      <c r="E901" s="100"/>
      <c r="F901" s="100"/>
    </row>
    <row r="902">
      <c r="A902" s="131"/>
      <c r="B902" s="131"/>
      <c r="C902" s="131"/>
      <c r="D902" s="131"/>
      <c r="E902" s="100"/>
      <c r="F902" s="100"/>
    </row>
    <row r="903">
      <c r="A903" s="131"/>
      <c r="B903" s="131"/>
      <c r="C903" s="131"/>
      <c r="D903" s="131"/>
      <c r="E903" s="100"/>
      <c r="F903" s="100"/>
    </row>
    <row r="904">
      <c r="A904" s="131"/>
      <c r="B904" s="131"/>
      <c r="C904" s="131"/>
      <c r="D904" s="131"/>
      <c r="E904" s="100"/>
      <c r="F904" s="100"/>
    </row>
    <row r="905">
      <c r="A905" s="131"/>
      <c r="B905" s="131"/>
      <c r="C905" s="131"/>
      <c r="D905" s="131"/>
      <c r="E905" s="100"/>
      <c r="F905" s="100"/>
    </row>
    <row r="906">
      <c r="A906" s="131"/>
      <c r="B906" s="131"/>
      <c r="C906" s="131"/>
      <c r="D906" s="131"/>
      <c r="E906" s="100"/>
      <c r="F906" s="100"/>
    </row>
    <row r="907">
      <c r="A907" s="131"/>
      <c r="B907" s="131"/>
      <c r="C907" s="131"/>
      <c r="D907" s="131"/>
      <c r="E907" s="100"/>
      <c r="F907" s="100"/>
    </row>
    <row r="908">
      <c r="A908" s="131"/>
      <c r="B908" s="131"/>
      <c r="C908" s="131"/>
      <c r="D908" s="131"/>
      <c r="E908" s="100"/>
      <c r="F908" s="100"/>
    </row>
    <row r="909">
      <c r="A909" s="131"/>
      <c r="B909" s="131"/>
      <c r="C909" s="131"/>
      <c r="D909" s="131"/>
      <c r="E909" s="100"/>
      <c r="F909" s="100"/>
    </row>
    <row r="910">
      <c r="A910" s="131"/>
      <c r="B910" s="131"/>
      <c r="C910" s="131"/>
      <c r="D910" s="131"/>
      <c r="E910" s="99"/>
      <c r="F910" s="99"/>
    </row>
    <row r="911">
      <c r="A911" s="131"/>
      <c r="B911" s="131"/>
      <c r="C911" s="131"/>
      <c r="D911" s="131"/>
      <c r="E911" s="100"/>
      <c r="F911" s="100"/>
    </row>
    <row r="912">
      <c r="A912" s="131"/>
      <c r="B912" s="131"/>
      <c r="C912" s="131"/>
      <c r="D912" s="131"/>
      <c r="E912" s="100"/>
      <c r="F912" s="100"/>
    </row>
    <row r="913">
      <c r="A913" s="131"/>
      <c r="B913" s="131"/>
      <c r="C913" s="131"/>
      <c r="D913" s="131"/>
      <c r="E913" s="100"/>
      <c r="F913" s="100"/>
    </row>
    <row r="914">
      <c r="A914" s="131"/>
      <c r="B914" s="131"/>
      <c r="C914" s="131"/>
      <c r="D914" s="131"/>
      <c r="E914" s="100"/>
      <c r="F914" s="100"/>
    </row>
    <row r="915">
      <c r="A915" s="131"/>
      <c r="B915" s="131"/>
      <c r="C915" s="131"/>
      <c r="D915" s="131"/>
      <c r="E915" s="100"/>
      <c r="F915" s="100"/>
    </row>
    <row r="916">
      <c r="A916" s="131"/>
      <c r="B916" s="131"/>
      <c r="C916" s="131"/>
      <c r="D916" s="131"/>
      <c r="E916" s="100"/>
      <c r="F916" s="100"/>
    </row>
    <row r="917">
      <c r="A917" s="131"/>
      <c r="B917" s="131"/>
      <c r="C917" s="131"/>
      <c r="D917" s="131"/>
      <c r="E917" s="101"/>
      <c r="F917" s="101"/>
    </row>
    <row r="918">
      <c r="A918" s="131"/>
      <c r="B918" s="131"/>
      <c r="C918" s="131"/>
      <c r="D918" s="131"/>
      <c r="E918" s="101"/>
      <c r="F918" s="101"/>
    </row>
    <row r="919">
      <c r="A919" s="131"/>
      <c r="B919" s="131"/>
      <c r="C919" s="131"/>
      <c r="D919" s="131"/>
      <c r="E919" s="101"/>
      <c r="F919" s="101"/>
    </row>
    <row r="920">
      <c r="A920" s="131"/>
      <c r="B920" s="131"/>
      <c r="C920" s="131"/>
      <c r="D920" s="131"/>
      <c r="E920" s="101"/>
      <c r="F920" s="101"/>
    </row>
    <row r="921">
      <c r="A921" s="131"/>
      <c r="B921" s="131"/>
      <c r="C921" s="131"/>
      <c r="D921" s="131"/>
      <c r="E921" s="101"/>
      <c r="F921" s="101"/>
    </row>
    <row r="922">
      <c r="A922" s="131"/>
      <c r="B922" s="131"/>
      <c r="C922" s="131"/>
      <c r="D922" s="131"/>
      <c r="E922" s="101"/>
      <c r="F922" s="101"/>
    </row>
    <row r="923">
      <c r="A923" s="131"/>
      <c r="B923" s="131"/>
      <c r="C923" s="131"/>
      <c r="D923" s="131"/>
      <c r="E923" s="105"/>
      <c r="F923" s="105"/>
    </row>
    <row r="924">
      <c r="A924" s="131"/>
      <c r="B924" s="131"/>
      <c r="C924" s="131"/>
      <c r="D924" s="131"/>
      <c r="E924" s="106"/>
      <c r="F924" s="106"/>
    </row>
    <row r="925">
      <c r="A925" s="131"/>
      <c r="B925" s="131"/>
      <c r="C925" s="131"/>
      <c r="D925" s="131"/>
      <c r="E925" s="107"/>
      <c r="F925" s="107"/>
    </row>
    <row r="926">
      <c r="A926" s="131"/>
      <c r="B926" s="131"/>
      <c r="C926" s="131"/>
      <c r="D926" s="131"/>
      <c r="E926" s="107"/>
      <c r="F926" s="107"/>
    </row>
    <row r="927">
      <c r="A927" s="131"/>
      <c r="B927" s="131"/>
      <c r="C927" s="131"/>
      <c r="D927" s="131"/>
      <c r="E927" s="108"/>
      <c r="F927" s="108"/>
    </row>
    <row r="928">
      <c r="A928" s="131"/>
      <c r="B928" s="131"/>
      <c r="C928" s="131"/>
      <c r="D928" s="131"/>
      <c r="E928" s="107"/>
      <c r="F928" s="107"/>
    </row>
    <row r="929">
      <c r="A929" s="131"/>
      <c r="B929" s="131"/>
      <c r="C929" s="131"/>
      <c r="D929" s="131"/>
      <c r="E929" s="106"/>
      <c r="F929" s="106"/>
    </row>
    <row r="930">
      <c r="A930" s="131"/>
      <c r="B930" s="131"/>
      <c r="C930" s="131"/>
      <c r="D930" s="131"/>
      <c r="E930" s="107"/>
      <c r="F930" s="107"/>
    </row>
    <row r="931">
      <c r="A931" s="131"/>
      <c r="B931" s="131"/>
      <c r="C931" s="131"/>
      <c r="D931" s="131"/>
      <c r="E931" s="107"/>
      <c r="F931" s="107"/>
    </row>
    <row r="932">
      <c r="A932" s="131"/>
      <c r="B932" s="131"/>
      <c r="C932" s="131"/>
      <c r="D932" s="131"/>
      <c r="E932" s="107"/>
      <c r="F932" s="107"/>
    </row>
    <row r="933">
      <c r="A933" s="131"/>
      <c r="B933" s="131"/>
      <c r="C933" s="131"/>
      <c r="D933" s="131"/>
      <c r="E933" s="107"/>
      <c r="F933" s="107"/>
    </row>
    <row r="934">
      <c r="A934" s="131"/>
      <c r="B934" s="131"/>
      <c r="C934" s="131"/>
      <c r="D934" s="131"/>
      <c r="E934" s="106"/>
      <c r="F934" s="106"/>
    </row>
    <row r="935">
      <c r="A935" s="131"/>
      <c r="B935" s="131"/>
      <c r="C935" s="131"/>
      <c r="D935" s="131"/>
      <c r="E935" s="107"/>
      <c r="F935" s="107"/>
    </row>
    <row r="936">
      <c r="A936" s="131"/>
      <c r="B936" s="131"/>
      <c r="C936" s="131"/>
      <c r="D936" s="131"/>
      <c r="E936" s="109"/>
      <c r="F936" s="109"/>
    </row>
    <row r="937">
      <c r="A937" s="131"/>
      <c r="B937" s="131"/>
      <c r="C937" s="131"/>
      <c r="D937" s="131"/>
      <c r="E937" s="110"/>
      <c r="F937" s="110"/>
    </row>
    <row r="938">
      <c r="A938" s="131"/>
      <c r="B938" s="131"/>
      <c r="C938" s="131"/>
      <c r="D938" s="131"/>
      <c r="E938" s="110"/>
      <c r="F938" s="110"/>
    </row>
    <row r="939">
      <c r="A939" s="131"/>
      <c r="B939" s="131"/>
      <c r="C939" s="131"/>
      <c r="D939" s="131"/>
      <c r="E939" s="111"/>
      <c r="F939" s="111"/>
    </row>
    <row r="940">
      <c r="A940" s="131"/>
      <c r="B940" s="131"/>
      <c r="C940" s="131"/>
      <c r="D940" s="131"/>
      <c r="E940" s="131"/>
      <c r="F940" s="131"/>
    </row>
    <row r="941">
      <c r="A941" s="131"/>
      <c r="B941" s="131"/>
      <c r="C941" s="131"/>
      <c r="D941" s="131"/>
      <c r="E941" s="131"/>
      <c r="F941" s="131"/>
    </row>
    <row r="942">
      <c r="A942" s="131"/>
      <c r="B942" s="131"/>
      <c r="C942" s="131"/>
      <c r="D942" s="131"/>
      <c r="E942" s="131"/>
      <c r="F942" s="131"/>
    </row>
    <row r="943">
      <c r="A943" s="131"/>
      <c r="B943" s="131"/>
      <c r="C943" s="131"/>
      <c r="D943" s="131"/>
      <c r="E943" s="131"/>
      <c r="F943" s="131"/>
    </row>
    <row r="944">
      <c r="A944" s="131"/>
      <c r="B944" s="131"/>
      <c r="C944" s="131"/>
      <c r="D944" s="131"/>
      <c r="E944" s="131"/>
      <c r="F944" s="131"/>
    </row>
    <row r="945">
      <c r="A945" s="131"/>
      <c r="B945" s="131"/>
      <c r="C945" s="131"/>
      <c r="D945" s="131"/>
      <c r="E945" s="131"/>
      <c r="F945" s="131"/>
    </row>
    <row r="946">
      <c r="A946" s="131"/>
      <c r="B946" s="131"/>
      <c r="C946" s="131"/>
      <c r="D946" s="131"/>
      <c r="E946" s="131"/>
      <c r="F946" s="131"/>
    </row>
    <row r="947">
      <c r="A947" s="131"/>
      <c r="B947" s="131"/>
      <c r="C947" s="131"/>
      <c r="D947" s="131"/>
      <c r="E947" s="131"/>
      <c r="F947" s="131"/>
    </row>
    <row r="948">
      <c r="A948" s="131"/>
      <c r="B948" s="131"/>
      <c r="C948" s="131"/>
      <c r="D948" s="131"/>
      <c r="E948" s="131"/>
      <c r="F948" s="131"/>
    </row>
    <row r="949">
      <c r="A949" s="131"/>
      <c r="B949" s="131"/>
      <c r="C949" s="131"/>
      <c r="D949" s="131"/>
      <c r="E949" s="131"/>
      <c r="F949" s="131"/>
    </row>
    <row r="950">
      <c r="A950" s="131"/>
      <c r="B950" s="131"/>
      <c r="C950" s="131"/>
      <c r="D950" s="131"/>
      <c r="E950" s="131"/>
      <c r="F950" s="131"/>
    </row>
    <row r="951">
      <c r="A951" s="131"/>
      <c r="B951" s="131"/>
      <c r="C951" s="131"/>
      <c r="D951" s="131"/>
      <c r="E951" s="131"/>
      <c r="F951" s="131"/>
    </row>
    <row r="952">
      <c r="A952" s="131"/>
      <c r="B952" s="131"/>
      <c r="C952" s="131"/>
      <c r="D952" s="131"/>
      <c r="E952" s="131"/>
      <c r="F952" s="131"/>
    </row>
    <row r="953">
      <c r="A953" s="131"/>
      <c r="B953" s="131"/>
      <c r="C953" s="131"/>
      <c r="D953" s="131"/>
      <c r="E953" s="131"/>
      <c r="F953" s="131"/>
    </row>
    <row r="954">
      <c r="A954" s="131"/>
      <c r="B954" s="131"/>
      <c r="C954" s="131"/>
      <c r="D954" s="131"/>
      <c r="E954" s="131"/>
      <c r="F954" s="131"/>
    </row>
    <row r="955">
      <c r="A955" s="131"/>
      <c r="B955" s="131"/>
      <c r="C955" s="131"/>
      <c r="D955" s="131"/>
      <c r="E955" s="131"/>
      <c r="F955" s="131"/>
    </row>
    <row r="956">
      <c r="A956" s="131"/>
      <c r="B956" s="131"/>
      <c r="C956" s="131"/>
      <c r="D956" s="131"/>
      <c r="E956" s="131"/>
      <c r="F956" s="131"/>
    </row>
    <row r="957">
      <c r="A957" s="131"/>
      <c r="B957" s="131"/>
      <c r="C957" s="131"/>
      <c r="D957" s="131"/>
      <c r="E957" s="131"/>
      <c r="F957" s="131"/>
    </row>
    <row r="958">
      <c r="A958" s="131"/>
      <c r="B958" s="131"/>
      <c r="C958" s="131"/>
      <c r="D958" s="131"/>
      <c r="E958" s="131"/>
      <c r="F958" s="131"/>
    </row>
    <row r="959">
      <c r="A959" s="131"/>
      <c r="B959" s="131"/>
      <c r="C959" s="131"/>
      <c r="D959" s="131"/>
      <c r="E959" s="131"/>
      <c r="F959" s="131"/>
    </row>
    <row r="960">
      <c r="A960" s="131"/>
      <c r="B960" s="131"/>
      <c r="C960" s="131"/>
      <c r="D960" s="131"/>
      <c r="E960" s="131"/>
      <c r="F960" s="131"/>
    </row>
    <row r="961">
      <c r="A961" s="131"/>
      <c r="B961" s="131"/>
      <c r="C961" s="131"/>
      <c r="D961" s="131"/>
      <c r="E961" s="131"/>
      <c r="F961" s="131"/>
    </row>
    <row r="962">
      <c r="A962" s="131"/>
      <c r="B962" s="131"/>
      <c r="C962" s="131"/>
      <c r="D962" s="131"/>
      <c r="E962" s="131"/>
      <c r="F962" s="131"/>
    </row>
    <row r="963">
      <c r="A963" s="131"/>
      <c r="B963" s="131"/>
      <c r="C963" s="131"/>
      <c r="D963" s="131"/>
      <c r="E963" s="131"/>
      <c r="F963" s="131"/>
    </row>
    <row r="964">
      <c r="A964" s="131"/>
      <c r="B964" s="131"/>
      <c r="C964" s="131"/>
      <c r="D964" s="131"/>
      <c r="E964" s="131"/>
      <c r="F964" s="131"/>
    </row>
    <row r="965">
      <c r="A965" s="131"/>
      <c r="B965" s="131"/>
      <c r="C965" s="131"/>
      <c r="D965" s="131"/>
      <c r="E965" s="131"/>
      <c r="F965" s="131"/>
    </row>
    <row r="966">
      <c r="A966" s="131"/>
      <c r="B966" s="131"/>
      <c r="C966" s="131"/>
      <c r="D966" s="131"/>
      <c r="E966" s="131"/>
      <c r="F966" s="131"/>
    </row>
    <row r="967">
      <c r="A967" s="131"/>
      <c r="B967" s="131"/>
      <c r="C967" s="131"/>
      <c r="D967" s="131"/>
      <c r="E967" s="131"/>
      <c r="F967" s="131"/>
    </row>
    <row r="968">
      <c r="A968" s="131"/>
      <c r="B968" s="131"/>
      <c r="C968" s="131"/>
      <c r="D968" s="131"/>
      <c r="E968" s="131"/>
      <c r="F968" s="131"/>
    </row>
    <row r="969">
      <c r="A969" s="131"/>
      <c r="B969" s="131"/>
      <c r="C969" s="131"/>
      <c r="D969" s="131"/>
      <c r="E969" s="131"/>
      <c r="F969" s="131"/>
    </row>
    <row r="970">
      <c r="A970" s="131"/>
      <c r="B970" s="131"/>
      <c r="C970" s="131"/>
      <c r="D970" s="131"/>
      <c r="E970" s="131"/>
      <c r="F970" s="131"/>
    </row>
    <row r="971">
      <c r="A971" s="131"/>
      <c r="B971" s="131"/>
      <c r="C971" s="131"/>
      <c r="D971" s="131"/>
      <c r="E971" s="131"/>
      <c r="F971" s="131"/>
    </row>
    <row r="972">
      <c r="A972" s="131"/>
      <c r="B972" s="131"/>
      <c r="C972" s="131"/>
      <c r="D972" s="131"/>
      <c r="E972" s="131"/>
      <c r="F972" s="131"/>
    </row>
    <row r="973">
      <c r="A973" s="131"/>
      <c r="B973" s="131"/>
      <c r="C973" s="131"/>
      <c r="D973" s="131"/>
      <c r="E973" s="131"/>
      <c r="F973" s="131"/>
    </row>
    <row r="974">
      <c r="A974" s="131"/>
      <c r="B974" s="131"/>
      <c r="C974" s="131"/>
      <c r="D974" s="131"/>
      <c r="E974" s="131"/>
      <c r="F974" s="131"/>
    </row>
    <row r="975">
      <c r="A975" s="131"/>
      <c r="B975" s="131"/>
      <c r="C975" s="131"/>
      <c r="D975" s="131"/>
      <c r="E975" s="131"/>
      <c r="F975" s="131"/>
    </row>
    <row r="976">
      <c r="A976" s="131"/>
      <c r="B976" s="131"/>
      <c r="C976" s="131"/>
      <c r="D976" s="131"/>
      <c r="E976" s="131"/>
      <c r="F976" s="131"/>
    </row>
    <row r="977">
      <c r="A977" s="131"/>
      <c r="B977" s="131"/>
      <c r="C977" s="131"/>
      <c r="D977" s="131"/>
      <c r="E977" s="131"/>
      <c r="F977" s="131"/>
    </row>
    <row r="978">
      <c r="A978" s="131"/>
      <c r="B978" s="131"/>
      <c r="C978" s="131"/>
      <c r="D978" s="131"/>
      <c r="E978" s="131"/>
      <c r="F978" s="131"/>
    </row>
    <row r="979">
      <c r="A979" s="131"/>
      <c r="B979" s="131"/>
      <c r="C979" s="131"/>
      <c r="D979" s="131"/>
      <c r="E979" s="131"/>
      <c r="F979" s="131"/>
    </row>
    <row r="980">
      <c r="A980" s="131"/>
      <c r="B980" s="131"/>
      <c r="C980" s="131"/>
      <c r="D980" s="131"/>
      <c r="E980" s="131"/>
      <c r="F980" s="131"/>
    </row>
    <row r="981">
      <c r="A981" s="131"/>
      <c r="B981" s="131"/>
      <c r="C981" s="131"/>
      <c r="D981" s="131"/>
      <c r="E981" s="131"/>
      <c r="F981" s="131"/>
    </row>
    <row r="982">
      <c r="A982" s="131"/>
      <c r="B982" s="131"/>
      <c r="C982" s="131"/>
      <c r="D982" s="131"/>
      <c r="E982" s="131"/>
      <c r="F982" s="131"/>
    </row>
    <row r="983">
      <c r="A983" s="131"/>
      <c r="B983" s="131"/>
      <c r="C983" s="131"/>
      <c r="D983" s="131"/>
      <c r="E983" s="131"/>
      <c r="F983" s="131"/>
    </row>
    <row r="984">
      <c r="A984" s="131"/>
      <c r="B984" s="131"/>
      <c r="C984" s="131"/>
      <c r="D984" s="131"/>
      <c r="E984" s="131"/>
      <c r="F984" s="131"/>
    </row>
    <row r="985">
      <c r="A985" s="131"/>
      <c r="B985" s="131"/>
      <c r="C985" s="131"/>
      <c r="D985" s="131"/>
      <c r="E985" s="131"/>
      <c r="F985" s="131"/>
    </row>
    <row r="986">
      <c r="A986" s="131"/>
      <c r="B986" s="131"/>
      <c r="C986" s="131"/>
      <c r="D986" s="131"/>
      <c r="E986" s="131"/>
      <c r="F986" s="131"/>
    </row>
    <row r="987">
      <c r="A987" s="131"/>
      <c r="B987" s="131"/>
      <c r="C987" s="131"/>
      <c r="D987" s="131"/>
      <c r="E987" s="131"/>
      <c r="F987" s="131"/>
    </row>
    <row r="988">
      <c r="A988" s="131"/>
      <c r="B988" s="131"/>
      <c r="C988" s="131"/>
      <c r="D988" s="131"/>
      <c r="E988" s="131"/>
      <c r="F988" s="131"/>
    </row>
    <row r="989">
      <c r="A989" s="131"/>
      <c r="B989" s="131"/>
      <c r="C989" s="131"/>
      <c r="D989" s="131"/>
      <c r="E989" s="131"/>
      <c r="F989" s="131"/>
    </row>
    <row r="990">
      <c r="A990" s="131"/>
      <c r="B990" s="131"/>
      <c r="C990" s="131"/>
      <c r="D990" s="131"/>
      <c r="E990" s="131"/>
      <c r="F990" s="131"/>
    </row>
    <row r="991">
      <c r="A991" s="131"/>
      <c r="B991" s="131"/>
      <c r="C991" s="131"/>
      <c r="D991" s="131"/>
      <c r="E991" s="131"/>
      <c r="F991" s="131"/>
    </row>
    <row r="992">
      <c r="A992" s="131"/>
      <c r="B992" s="131"/>
      <c r="C992" s="131"/>
      <c r="D992" s="131"/>
      <c r="E992" s="131"/>
      <c r="F992" s="131"/>
    </row>
    <row r="993">
      <c r="A993" s="131"/>
      <c r="B993" s="131"/>
      <c r="C993" s="131"/>
      <c r="D993" s="131"/>
      <c r="E993" s="131"/>
      <c r="F993" s="131"/>
    </row>
    <row r="994">
      <c r="A994" s="131"/>
      <c r="B994" s="131"/>
      <c r="C994" s="131"/>
      <c r="D994" s="131"/>
      <c r="E994" s="131"/>
      <c r="F994" s="131"/>
    </row>
  </sheetData>
  <mergeCells count="12">
    <mergeCell ref="L752:P752"/>
    <mergeCell ref="Q752:W752"/>
    <mergeCell ref="G846:K846"/>
    <mergeCell ref="L846:P846"/>
    <mergeCell ref="Q846:W846"/>
    <mergeCell ref="G1:K1"/>
    <mergeCell ref="L1:P1"/>
    <mergeCell ref="Q1:W1"/>
    <mergeCell ref="G500:K500"/>
    <mergeCell ref="L500:P500"/>
    <mergeCell ref="Q500:W500"/>
    <mergeCell ref="G752:K75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2" max="22" width="16.29"/>
    <col customWidth="1" min="23" max="23" width="16.14"/>
  </cols>
  <sheetData>
    <row r="1">
      <c r="A1" s="86" t="s">
        <v>554</v>
      </c>
      <c r="B1" s="87" t="s">
        <v>27</v>
      </c>
      <c r="G1" s="121" t="s">
        <v>555</v>
      </c>
      <c r="H1" s="13"/>
      <c r="I1" s="13"/>
      <c r="J1" s="13"/>
      <c r="K1" s="14"/>
      <c r="L1" s="121" t="s">
        <v>556</v>
      </c>
      <c r="M1" s="13"/>
      <c r="N1" s="13"/>
      <c r="O1" s="13"/>
      <c r="P1" s="14"/>
      <c r="Q1" s="122" t="s">
        <v>33</v>
      </c>
      <c r="R1" s="13"/>
      <c r="S1" s="13"/>
      <c r="T1" s="13"/>
      <c r="U1" s="13"/>
      <c r="V1" s="13"/>
      <c r="W1" s="14"/>
    </row>
    <row r="2">
      <c r="A2" s="90" t="s">
        <v>41</v>
      </c>
      <c r="B2" s="90" t="s">
        <v>42</v>
      </c>
      <c r="C2" s="90" t="s">
        <v>43</v>
      </c>
      <c r="D2" s="90" t="s">
        <v>44</v>
      </c>
      <c r="E2" s="90" t="s">
        <v>45</v>
      </c>
      <c r="F2" s="90" t="s">
        <v>46</v>
      </c>
      <c r="G2" s="123" t="s">
        <v>557</v>
      </c>
      <c r="H2" s="124" t="s">
        <v>558</v>
      </c>
      <c r="I2" s="124" t="s">
        <v>559</v>
      </c>
      <c r="J2" s="125" t="s">
        <v>560</v>
      </c>
      <c r="K2" s="125" t="s">
        <v>561</v>
      </c>
      <c r="L2" s="126" t="s">
        <v>562</v>
      </c>
      <c r="M2" s="125" t="s">
        <v>563</v>
      </c>
      <c r="N2" s="125" t="s">
        <v>564</v>
      </c>
      <c r="O2" s="125" t="s">
        <v>565</v>
      </c>
      <c r="P2" s="127" t="s">
        <v>566</v>
      </c>
      <c r="Q2" s="128" t="s">
        <v>567</v>
      </c>
      <c r="R2" s="129" t="s">
        <v>568</v>
      </c>
      <c r="S2" s="129" t="s">
        <v>569</v>
      </c>
      <c r="T2" s="129" t="s">
        <v>570</v>
      </c>
      <c r="U2" s="129" t="s">
        <v>571</v>
      </c>
      <c r="V2" s="129" t="s">
        <v>572</v>
      </c>
      <c r="W2" s="130" t="s">
        <v>573</v>
      </c>
    </row>
    <row r="3">
      <c r="A3" s="131">
        <f>IFERROR(__xludf.DUMMYFUNCTION("QUERY(MASTERLIST!A3:F997, ""SELECT *"", 0)"),1.0)</f>
        <v>1</v>
      </c>
      <c r="B3" s="131"/>
      <c r="C3" s="131">
        <f>IFERROR(__xludf.DUMMYFUNCTION("""COMPUTED_VALUE"""),1.0)</f>
        <v>1</v>
      </c>
      <c r="D3" s="131" t="b">
        <f>IFERROR(__xludf.DUMMYFUNCTION("""COMPUTED_VALUE"""),TRUE)</f>
        <v>1</v>
      </c>
      <c r="E3" s="94" t="str">
        <f>IFERROR(__xludf.DUMMYFUNCTION("""COMPUTED_VALUE"""),"ARANDA")</f>
        <v>ARANDA</v>
      </c>
      <c r="F3" s="94" t="str">
        <f>IFERROR(__xludf.DUMMYFUNCTION("""COMPUTED_VALUE"""),"KAI")</f>
        <v>KAI</v>
      </c>
    </row>
    <row r="4">
      <c r="A4" s="131">
        <f>IFERROR(__xludf.DUMMYFUNCTION("""COMPUTED_VALUE"""),2.0)</f>
        <v>2</v>
      </c>
      <c r="B4" s="131"/>
      <c r="C4" s="131">
        <f>IFERROR(__xludf.DUMMYFUNCTION("""COMPUTED_VALUE"""),1.0)</f>
        <v>1</v>
      </c>
      <c r="D4" s="131" t="b">
        <f>IFERROR(__xludf.DUMMYFUNCTION("""COMPUTED_VALUE"""),FALSE)</f>
        <v>0</v>
      </c>
      <c r="E4" s="95" t="str">
        <f>IFERROR(__xludf.DUMMYFUNCTION("""COMPUTED_VALUE"""),"ARCILLA")</f>
        <v>ARCILLA</v>
      </c>
      <c r="F4" s="96" t="str">
        <f>IFERROR(__xludf.DUMMYFUNCTION("""COMPUTED_VALUE"""),"DANIELA")</f>
        <v>DANIELA</v>
      </c>
    </row>
    <row r="5">
      <c r="A5" s="131">
        <f>IFERROR(__xludf.DUMMYFUNCTION("""COMPUTED_VALUE"""),3.0)</f>
        <v>3</v>
      </c>
      <c r="B5" s="131"/>
      <c r="C5" s="131">
        <f>IFERROR(__xludf.DUMMYFUNCTION("""COMPUTED_VALUE"""),1.0)</f>
        <v>1</v>
      </c>
      <c r="D5" s="131" t="b">
        <f>IFERROR(__xludf.DUMMYFUNCTION("""COMPUTED_VALUE"""),FALSE)</f>
        <v>0</v>
      </c>
      <c r="E5" s="95" t="str">
        <f>IFERROR(__xludf.DUMMYFUNCTION("""COMPUTED_VALUE"""),"ANDRE")</f>
        <v>ANDRE</v>
      </c>
      <c r="F5" s="96" t="str">
        <f>IFERROR(__xludf.DUMMYFUNCTION("""COMPUTED_VALUE"""),"CARLA")</f>
        <v>CARLA</v>
      </c>
    </row>
    <row r="6">
      <c r="A6" s="131">
        <f>IFERROR(__xludf.DUMMYFUNCTION("""COMPUTED_VALUE"""),4.0)</f>
        <v>4</v>
      </c>
      <c r="B6" s="131"/>
      <c r="C6" s="131">
        <f>IFERROR(__xludf.DUMMYFUNCTION("""COMPUTED_VALUE"""),1.0)</f>
        <v>1</v>
      </c>
      <c r="D6" s="131" t="b">
        <f>IFERROR(__xludf.DUMMYFUNCTION("""COMPUTED_VALUE"""),FALSE)</f>
        <v>0</v>
      </c>
      <c r="E6" s="96" t="str">
        <f>IFERROR(__xludf.DUMMYFUNCTION("""COMPUTED_VALUE"""),"BALDELOVAR")</f>
        <v>BALDELOVAR</v>
      </c>
      <c r="F6" s="96" t="str">
        <f>IFERROR(__xludf.DUMMYFUNCTION("""COMPUTED_VALUE"""),"LEANNE")</f>
        <v>LEANNE</v>
      </c>
    </row>
    <row r="7">
      <c r="A7" s="131">
        <f>IFERROR(__xludf.DUMMYFUNCTION("""COMPUTED_VALUE"""),5.0)</f>
        <v>5</v>
      </c>
      <c r="B7" s="131"/>
      <c r="C7" s="131">
        <f>IFERROR(__xludf.DUMMYFUNCTION("""COMPUTED_VALUE"""),1.0)</f>
        <v>1</v>
      </c>
      <c r="D7" s="131" t="b">
        <f>IFERROR(__xludf.DUMMYFUNCTION("""COMPUTED_VALUE"""),FALSE)</f>
        <v>0</v>
      </c>
      <c r="E7" s="96" t="str">
        <f>IFERROR(__xludf.DUMMYFUNCTION("""COMPUTED_VALUE"""),"BANTAYAN")</f>
        <v>BANTAYAN</v>
      </c>
      <c r="F7" s="96" t="str">
        <f>IFERROR(__xludf.DUMMYFUNCTION("""COMPUTED_VALUE"""),"EURASIA")</f>
        <v>EURASIA</v>
      </c>
    </row>
    <row r="8">
      <c r="A8" s="131">
        <f>IFERROR(__xludf.DUMMYFUNCTION("""COMPUTED_VALUE"""),6.0)</f>
        <v>6</v>
      </c>
      <c r="B8" s="131"/>
      <c r="C8" s="131">
        <f>IFERROR(__xludf.DUMMYFUNCTION("""COMPUTED_VALUE"""),1.0)</f>
        <v>1</v>
      </c>
      <c r="D8" s="131" t="b">
        <f>IFERROR(__xludf.DUMMYFUNCTION("""COMPUTED_VALUE"""),FALSE)</f>
        <v>0</v>
      </c>
      <c r="E8" s="96" t="str">
        <f>IFERROR(__xludf.DUMMYFUNCTION("""COMPUTED_VALUE"""),"BUCTOT")</f>
        <v>BUCTOT</v>
      </c>
      <c r="F8" s="96" t="str">
        <f>IFERROR(__xludf.DUMMYFUNCTION("""COMPUTED_VALUE"""),"JEZEBEL")</f>
        <v>JEZEBEL</v>
      </c>
    </row>
    <row r="9">
      <c r="A9" s="131">
        <f>IFERROR(__xludf.DUMMYFUNCTION("""COMPUTED_VALUE"""),7.0)</f>
        <v>7</v>
      </c>
      <c r="B9" s="131"/>
      <c r="C9" s="131">
        <f>IFERROR(__xludf.DUMMYFUNCTION("""COMPUTED_VALUE"""),1.0)</f>
        <v>1</v>
      </c>
      <c r="D9" s="131" t="b">
        <f>IFERROR(__xludf.DUMMYFUNCTION("""COMPUTED_VALUE"""),FALSE)</f>
        <v>0</v>
      </c>
      <c r="E9" s="96" t="str">
        <f>IFERROR(__xludf.DUMMYFUNCTION("""COMPUTED_VALUE"""),"ENCARNACION")</f>
        <v>ENCARNACION</v>
      </c>
      <c r="F9" s="96" t="str">
        <f>IFERROR(__xludf.DUMMYFUNCTION("""COMPUTED_VALUE"""),"KRISTEL")</f>
        <v>KRISTEL</v>
      </c>
    </row>
    <row r="10">
      <c r="A10" s="131">
        <f>IFERROR(__xludf.DUMMYFUNCTION("""COMPUTED_VALUE"""),8.0)</f>
        <v>8</v>
      </c>
      <c r="B10" s="131"/>
      <c r="C10" s="131">
        <f>IFERROR(__xludf.DUMMYFUNCTION("""COMPUTED_VALUE"""),1.0)</f>
        <v>1</v>
      </c>
      <c r="D10" s="131" t="b">
        <f>IFERROR(__xludf.DUMMYFUNCTION("""COMPUTED_VALUE"""),FALSE)</f>
        <v>0</v>
      </c>
      <c r="E10" s="96" t="str">
        <f>IFERROR(__xludf.DUMMYFUNCTION("""COMPUTED_VALUE"""),"GUTIERREZ")</f>
        <v>GUTIERREZ</v>
      </c>
      <c r="F10" s="96" t="str">
        <f>IFERROR(__xludf.DUMMYFUNCTION("""COMPUTED_VALUE"""),"PAOLA")</f>
        <v>PAOLA</v>
      </c>
    </row>
    <row r="11">
      <c r="A11" s="131">
        <f>IFERROR(__xludf.DUMMYFUNCTION("""COMPUTED_VALUE"""),9.0)</f>
        <v>9</v>
      </c>
      <c r="B11" s="131"/>
      <c r="C11" s="131">
        <f>IFERROR(__xludf.DUMMYFUNCTION("""COMPUTED_VALUE"""),1.0)</f>
        <v>1</v>
      </c>
      <c r="D11" s="131" t="b">
        <f>IFERROR(__xludf.DUMMYFUNCTION("""COMPUTED_VALUE"""),FALSE)</f>
        <v>0</v>
      </c>
      <c r="E11" s="96" t="str">
        <f>IFERROR(__xludf.DUMMYFUNCTION("""COMPUTED_VALUE"""),"HISPANO")</f>
        <v>HISPANO</v>
      </c>
      <c r="F11" s="96" t="str">
        <f>IFERROR(__xludf.DUMMYFUNCTION("""COMPUTED_VALUE"""),"HANNA")</f>
        <v>HANNA</v>
      </c>
    </row>
    <row r="12">
      <c r="A12" s="131">
        <f>IFERROR(__xludf.DUMMYFUNCTION("""COMPUTED_VALUE"""),10.0)</f>
        <v>10</v>
      </c>
      <c r="B12" s="131"/>
      <c r="C12" s="131">
        <f>IFERROR(__xludf.DUMMYFUNCTION("""COMPUTED_VALUE"""),1.0)</f>
        <v>1</v>
      </c>
      <c r="D12" s="131" t="b">
        <f>IFERROR(__xludf.DUMMYFUNCTION("""COMPUTED_VALUE"""),FALSE)</f>
        <v>0</v>
      </c>
      <c r="E12" s="96" t="str">
        <f>IFERROR(__xludf.DUMMYFUNCTION("""COMPUTED_VALUE"""),"MALOLOY-ON")</f>
        <v>MALOLOY-ON</v>
      </c>
      <c r="F12" s="96" t="str">
        <f>IFERROR(__xludf.DUMMYFUNCTION("""COMPUTED_VALUE"""),"MARIANA")</f>
        <v>MARIANA</v>
      </c>
    </row>
    <row r="13">
      <c r="A13" s="131">
        <f>IFERROR(__xludf.DUMMYFUNCTION("""COMPUTED_VALUE"""),11.0)</f>
        <v>11</v>
      </c>
      <c r="B13" s="131"/>
      <c r="C13" s="131">
        <f>IFERROR(__xludf.DUMMYFUNCTION("""COMPUTED_VALUE"""),1.0)</f>
        <v>1</v>
      </c>
      <c r="D13" s="131" t="b">
        <f>IFERROR(__xludf.DUMMYFUNCTION("""COMPUTED_VALUE"""),FALSE)</f>
        <v>0</v>
      </c>
      <c r="E13" s="96" t="str">
        <f>IFERROR(__xludf.DUMMYFUNCTION("""COMPUTED_VALUE"""),"MALOLOY-ON")</f>
        <v>MALOLOY-ON</v>
      </c>
      <c r="F13" s="96" t="str">
        <f>IFERROR(__xludf.DUMMYFUNCTION("""COMPUTED_VALUE"""),"JOISEALAY")</f>
        <v>JOISEALAY</v>
      </c>
    </row>
    <row r="14">
      <c r="A14" s="131">
        <f>IFERROR(__xludf.DUMMYFUNCTION("""COMPUTED_VALUE"""),12.0)</f>
        <v>12</v>
      </c>
      <c r="B14" s="131"/>
      <c r="C14" s="131">
        <f>IFERROR(__xludf.DUMMYFUNCTION("""COMPUTED_VALUE"""),1.0)</f>
        <v>1</v>
      </c>
      <c r="D14" s="131" t="b">
        <f>IFERROR(__xludf.DUMMYFUNCTION("""COMPUTED_VALUE"""),FALSE)</f>
        <v>0</v>
      </c>
      <c r="E14" s="96" t="str">
        <f>IFERROR(__xludf.DUMMYFUNCTION("""COMPUTED_VALUE"""),"ORQUIA")</f>
        <v>ORQUIA</v>
      </c>
      <c r="F14" s="96" t="str">
        <f>IFERROR(__xludf.DUMMYFUNCTION("""COMPUTED_VALUE"""),"KAYLA")</f>
        <v>KAYLA</v>
      </c>
    </row>
    <row r="15">
      <c r="A15" s="131">
        <f>IFERROR(__xludf.DUMMYFUNCTION("""COMPUTED_VALUE"""),13.0)</f>
        <v>13</v>
      </c>
      <c r="B15" s="131"/>
      <c r="C15" s="131">
        <f>IFERROR(__xludf.DUMMYFUNCTION("""COMPUTED_VALUE"""),1.0)</f>
        <v>1</v>
      </c>
      <c r="D15" s="131" t="b">
        <f>IFERROR(__xludf.DUMMYFUNCTION("""COMPUTED_VALUE"""),FALSE)</f>
        <v>0</v>
      </c>
      <c r="E15" s="96" t="str">
        <f>IFERROR(__xludf.DUMMYFUNCTION("""COMPUTED_VALUE"""),"PIGAO")</f>
        <v>PIGAO</v>
      </c>
      <c r="F15" s="96" t="str">
        <f>IFERROR(__xludf.DUMMYFUNCTION("""COMPUTED_VALUE"""),"HANNAH")</f>
        <v>HANNAH</v>
      </c>
    </row>
    <row r="16">
      <c r="A16" s="131">
        <f>IFERROR(__xludf.DUMMYFUNCTION("""COMPUTED_VALUE"""),14.0)</f>
        <v>14</v>
      </c>
      <c r="B16" s="131"/>
      <c r="C16" s="131">
        <f>IFERROR(__xludf.DUMMYFUNCTION("""COMPUTED_VALUE"""),1.0)</f>
        <v>1</v>
      </c>
      <c r="D16" s="131" t="b">
        <f>IFERROR(__xludf.DUMMYFUNCTION("""COMPUTED_VALUE"""),FALSE)</f>
        <v>0</v>
      </c>
      <c r="E16" s="96" t="str">
        <f>IFERROR(__xludf.DUMMYFUNCTION("""COMPUTED_VALUE"""),"RELEVO")</f>
        <v>RELEVO</v>
      </c>
      <c r="F16" s="96" t="str">
        <f>IFERROR(__xludf.DUMMYFUNCTION("""COMPUTED_VALUE"""),"RICA")</f>
        <v>RICA</v>
      </c>
    </row>
    <row r="17">
      <c r="A17" s="131">
        <f>IFERROR(__xludf.DUMMYFUNCTION("""COMPUTED_VALUE"""),15.0)</f>
        <v>15</v>
      </c>
      <c r="B17" s="131"/>
      <c r="C17" s="131">
        <f>IFERROR(__xludf.DUMMYFUNCTION("""COMPUTED_VALUE"""),1.0)</f>
        <v>1</v>
      </c>
      <c r="D17" s="131" t="b">
        <f>IFERROR(__xludf.DUMMYFUNCTION("""COMPUTED_VALUE"""),FALSE)</f>
        <v>0</v>
      </c>
      <c r="E17" s="97" t="str">
        <f>IFERROR(__xludf.DUMMYFUNCTION("""COMPUTED_VALUE"""),"REYES")</f>
        <v>REYES</v>
      </c>
      <c r="F17" s="97" t="str">
        <f>IFERROR(__xludf.DUMMYFUNCTION("""COMPUTED_VALUE"""),"ARIANNE")</f>
        <v>ARIANNE</v>
      </c>
    </row>
    <row r="18">
      <c r="A18" s="131">
        <f>IFERROR(__xludf.DUMMYFUNCTION("""COMPUTED_VALUE"""),16.0)</f>
        <v>16</v>
      </c>
      <c r="B18" s="131"/>
      <c r="C18" s="131">
        <f>IFERROR(__xludf.DUMMYFUNCTION("""COMPUTED_VALUE"""),1.0)</f>
        <v>1</v>
      </c>
      <c r="D18" s="131" t="b">
        <f>IFERROR(__xludf.DUMMYFUNCTION("""COMPUTED_VALUE"""),FALSE)</f>
        <v>0</v>
      </c>
      <c r="E18" s="96" t="str">
        <f>IFERROR(__xludf.DUMMYFUNCTION("""COMPUTED_VALUE"""),"ROMANO")</f>
        <v>ROMANO</v>
      </c>
      <c r="F18" s="96" t="str">
        <f>IFERROR(__xludf.DUMMYFUNCTION("""COMPUTED_VALUE"""),"ROZANE")</f>
        <v>ROZANE</v>
      </c>
    </row>
    <row r="19">
      <c r="A19" s="131">
        <f>IFERROR(__xludf.DUMMYFUNCTION("""COMPUTED_VALUE"""),17.0)</f>
        <v>17</v>
      </c>
      <c r="B19" s="131"/>
      <c r="C19" s="131">
        <f>IFERROR(__xludf.DUMMYFUNCTION("""COMPUTED_VALUE"""),1.0)</f>
        <v>1</v>
      </c>
      <c r="D19" s="131" t="b">
        <f>IFERROR(__xludf.DUMMYFUNCTION("""COMPUTED_VALUE"""),FALSE)</f>
        <v>0</v>
      </c>
      <c r="E19" s="96" t="str">
        <f>IFERROR(__xludf.DUMMYFUNCTION("""COMPUTED_VALUE"""),"SEBASTIAN")</f>
        <v>SEBASTIAN</v>
      </c>
      <c r="F19" s="96" t="str">
        <f>IFERROR(__xludf.DUMMYFUNCTION("""COMPUTED_VALUE"""),"JENNIFER")</f>
        <v>JENNIFER</v>
      </c>
    </row>
    <row r="20">
      <c r="A20" s="131">
        <f>IFERROR(__xludf.DUMMYFUNCTION("""COMPUTED_VALUE"""),18.0)</f>
        <v>18</v>
      </c>
      <c r="B20" s="131"/>
      <c r="C20" s="131">
        <f>IFERROR(__xludf.DUMMYFUNCTION("""COMPUTED_VALUE"""),1.0)</f>
        <v>1</v>
      </c>
      <c r="D20" s="131" t="b">
        <f>IFERROR(__xludf.DUMMYFUNCTION("""COMPUTED_VALUE"""),FALSE)</f>
        <v>0</v>
      </c>
      <c r="E20" s="96" t="str">
        <f>IFERROR(__xludf.DUMMYFUNCTION("""COMPUTED_VALUE"""),"SIMON")</f>
        <v>SIMON</v>
      </c>
      <c r="F20" s="96" t="str">
        <f>IFERROR(__xludf.DUMMYFUNCTION("""COMPUTED_VALUE"""),"SHERRIE")</f>
        <v>SHERRIE</v>
      </c>
    </row>
    <row r="21">
      <c r="A21" s="131">
        <f>IFERROR(__xludf.DUMMYFUNCTION("""COMPUTED_VALUE"""),19.0)</f>
        <v>19</v>
      </c>
      <c r="B21" s="131">
        <f>IFERROR(__xludf.DUMMYFUNCTION("""COMPUTED_VALUE"""),15.0)</f>
        <v>15</v>
      </c>
      <c r="C21" s="131">
        <f>IFERROR(__xludf.DUMMYFUNCTION("""COMPUTED_VALUE"""),1.0)</f>
        <v>1</v>
      </c>
      <c r="D21" s="131" t="b">
        <f>IFERROR(__xludf.DUMMYFUNCTION("""COMPUTED_VALUE"""),FALSE)</f>
        <v>0</v>
      </c>
      <c r="E21" s="96" t="str">
        <f>IFERROR(__xludf.DUMMYFUNCTION("""COMPUTED_VALUE"""),"TAMIDLES")</f>
        <v>TAMIDLES</v>
      </c>
      <c r="F21" s="96" t="str">
        <f>IFERROR(__xludf.DUMMYFUNCTION("""COMPUTED_VALUE"""),"CZARINA")</f>
        <v>CZARINA</v>
      </c>
    </row>
    <row r="22">
      <c r="A22" s="131">
        <f>IFERROR(__xludf.DUMMYFUNCTION("""COMPUTED_VALUE"""),20.0)</f>
        <v>20</v>
      </c>
      <c r="B22" s="131">
        <f>IFERROR(__xludf.DUMMYFUNCTION("""COMPUTED_VALUE"""),15.0)</f>
        <v>15</v>
      </c>
      <c r="C22" s="131">
        <f>IFERROR(__xludf.DUMMYFUNCTION("""COMPUTED_VALUE"""),1.0)</f>
        <v>1</v>
      </c>
      <c r="D22" s="131" t="b">
        <f>IFERROR(__xludf.DUMMYFUNCTION("""COMPUTED_VALUE"""),FALSE)</f>
        <v>0</v>
      </c>
      <c r="E22" s="96" t="str">
        <f>IFERROR(__xludf.DUMMYFUNCTION("""COMPUTED_VALUE"""),"ULAN")</f>
        <v>ULAN</v>
      </c>
      <c r="F22" s="96" t="str">
        <f>IFERROR(__xludf.DUMMYFUNCTION("""COMPUTED_VALUE"""),"MCWAYNE")</f>
        <v>MCWAYNE</v>
      </c>
    </row>
    <row r="23">
      <c r="A23" s="131">
        <f>IFERROR(__xludf.DUMMYFUNCTION("""COMPUTED_VALUE"""),21.0)</f>
        <v>21</v>
      </c>
      <c r="B23" s="131"/>
      <c r="C23" s="131">
        <f>IFERROR(__xludf.DUMMYFUNCTION("""COMPUTED_VALUE"""),1.0)</f>
        <v>1</v>
      </c>
      <c r="D23" s="131" t="b">
        <f>IFERROR(__xludf.DUMMYFUNCTION("""COMPUTED_VALUE"""),FALSE)</f>
        <v>0</v>
      </c>
      <c r="E23" s="96" t="str">
        <f>IFERROR(__xludf.DUMMYFUNCTION("""COMPUTED_VALUE"""),"VILLARTA")</f>
        <v>VILLARTA</v>
      </c>
      <c r="F23" s="96" t="str">
        <f>IFERROR(__xludf.DUMMYFUNCTION("""COMPUTED_VALUE"""),"JERICKA")</f>
        <v>JERICKA</v>
      </c>
    </row>
    <row r="24">
      <c r="A24" s="131">
        <f>IFERROR(__xludf.DUMMYFUNCTION("""COMPUTED_VALUE"""),22.0)</f>
        <v>22</v>
      </c>
      <c r="B24" s="131"/>
      <c r="C24" s="131"/>
      <c r="D24" s="131" t="b">
        <f>IFERROR(__xludf.DUMMYFUNCTION("""COMPUTED_VALUE"""),FALSE)</f>
        <v>0</v>
      </c>
      <c r="E24" s="98"/>
      <c r="F24" s="96" t="str">
        <f>IFERROR(__xludf.DUMMYFUNCTION("""COMPUTED_VALUE"""),"ANGEL")</f>
        <v>ANGEL</v>
      </c>
    </row>
    <row r="25">
      <c r="A25" s="131">
        <f>IFERROR(__xludf.DUMMYFUNCTION("""COMPUTED_VALUE"""),23.0)</f>
        <v>23</v>
      </c>
      <c r="B25" s="131"/>
      <c r="C25" s="131">
        <f>IFERROR(__xludf.DUMMYFUNCTION("""COMPUTED_VALUE"""),23.0)</f>
        <v>23</v>
      </c>
      <c r="D25" s="131" t="b">
        <f>IFERROR(__xludf.DUMMYFUNCTION("""COMPUTED_VALUE"""),TRUE)</f>
        <v>1</v>
      </c>
      <c r="E25" s="99" t="str">
        <f>IFERROR(__xludf.DUMMYFUNCTION("""COMPUTED_VALUE"""),"AVANCENA")</f>
        <v>AVANCENA</v>
      </c>
      <c r="F25" s="99" t="str">
        <f>IFERROR(__xludf.DUMMYFUNCTION("""COMPUTED_VALUE"""),"AIMEE")</f>
        <v>AIMEE</v>
      </c>
    </row>
    <row r="26">
      <c r="A26" s="131">
        <f>IFERROR(__xludf.DUMMYFUNCTION("""COMPUTED_VALUE"""),24.0)</f>
        <v>24</v>
      </c>
      <c r="B26" s="131"/>
      <c r="C26" s="131">
        <f>IFERROR(__xludf.DUMMYFUNCTION("""COMPUTED_VALUE"""),23.0)</f>
        <v>23</v>
      </c>
      <c r="D26" s="131" t="b">
        <f>IFERROR(__xludf.DUMMYFUNCTION("""COMPUTED_VALUE"""),FALSE)</f>
        <v>0</v>
      </c>
      <c r="E26" s="100" t="str">
        <f>IFERROR(__xludf.DUMMYFUNCTION("""COMPUTED_VALUE"""),"CABO")</f>
        <v>CABO</v>
      </c>
      <c r="F26" s="100" t="str">
        <f>IFERROR(__xludf.DUMMYFUNCTION("""COMPUTED_VALUE"""),"MELANIE")</f>
        <v>MELANIE</v>
      </c>
    </row>
    <row r="27">
      <c r="A27" s="131">
        <f>IFERROR(__xludf.DUMMYFUNCTION("""COMPUTED_VALUE"""),25.0)</f>
        <v>25</v>
      </c>
      <c r="B27" s="131">
        <f>IFERROR(__xludf.DUMMYFUNCTION("""COMPUTED_VALUE"""),24.0)</f>
        <v>24</v>
      </c>
      <c r="C27" s="131">
        <f>IFERROR(__xludf.DUMMYFUNCTION("""COMPUTED_VALUE"""),23.0)</f>
        <v>23</v>
      </c>
      <c r="D27" s="131" t="b">
        <f>IFERROR(__xludf.DUMMYFUNCTION("""COMPUTED_VALUE"""),FALSE)</f>
        <v>0</v>
      </c>
      <c r="E27" s="100" t="str">
        <f>IFERROR(__xludf.DUMMYFUNCTION("""COMPUTED_VALUE"""),"CARLOS")</f>
        <v>CARLOS</v>
      </c>
      <c r="F27" s="100" t="str">
        <f>IFERROR(__xludf.DUMMYFUNCTION("""COMPUTED_VALUE"""),"FRANCINE")</f>
        <v>FRANCINE</v>
      </c>
    </row>
    <row r="28">
      <c r="A28" s="131">
        <f>IFERROR(__xludf.DUMMYFUNCTION("""COMPUTED_VALUE"""),26.0)</f>
        <v>26</v>
      </c>
      <c r="B28" s="131"/>
      <c r="C28" s="131">
        <f>IFERROR(__xludf.DUMMYFUNCTION("""COMPUTED_VALUE"""),23.0)</f>
        <v>23</v>
      </c>
      <c r="D28" s="131" t="b">
        <f>IFERROR(__xludf.DUMMYFUNCTION("""COMPUTED_VALUE"""),FALSE)</f>
        <v>0</v>
      </c>
      <c r="E28" s="100" t="str">
        <f>IFERROR(__xludf.DUMMYFUNCTION("""COMPUTED_VALUE"""),"DALIOAN")</f>
        <v>DALIOAN</v>
      </c>
      <c r="F28" s="100" t="str">
        <f>IFERROR(__xludf.DUMMYFUNCTION("""COMPUTED_VALUE"""),"MONIQUE")</f>
        <v>MONIQUE</v>
      </c>
    </row>
    <row r="29">
      <c r="A29" s="131">
        <f>IFERROR(__xludf.DUMMYFUNCTION("""COMPUTED_VALUE"""),27.0)</f>
        <v>27</v>
      </c>
      <c r="B29" s="131"/>
      <c r="C29" s="131">
        <f>IFERROR(__xludf.DUMMYFUNCTION("""COMPUTED_VALUE"""),23.0)</f>
        <v>23</v>
      </c>
      <c r="D29" s="131" t="b">
        <f>IFERROR(__xludf.DUMMYFUNCTION("""COMPUTED_VALUE"""),FALSE)</f>
        <v>0</v>
      </c>
      <c r="E29" s="100" t="str">
        <f>IFERROR(__xludf.DUMMYFUNCTION("""COMPUTED_VALUE"""),"GELICAME")</f>
        <v>GELICAME</v>
      </c>
      <c r="F29" s="100" t="str">
        <f>IFERROR(__xludf.DUMMYFUNCTION("""COMPUTED_VALUE"""),"ARYHANA")</f>
        <v>ARYHANA</v>
      </c>
    </row>
    <row r="30">
      <c r="A30" s="131">
        <f>IFERROR(__xludf.DUMMYFUNCTION("""COMPUTED_VALUE"""),28.0)</f>
        <v>28</v>
      </c>
      <c r="B30" s="131"/>
      <c r="C30" s="131">
        <f>IFERROR(__xludf.DUMMYFUNCTION("""COMPUTED_VALUE"""),23.0)</f>
        <v>23</v>
      </c>
      <c r="D30" s="131" t="b">
        <f>IFERROR(__xludf.DUMMYFUNCTION("""COMPUTED_VALUE"""),FALSE)</f>
        <v>0</v>
      </c>
      <c r="E30" s="100" t="str">
        <f>IFERROR(__xludf.DUMMYFUNCTION("""COMPUTED_VALUE"""),"GUIMONG")</f>
        <v>GUIMONG</v>
      </c>
      <c r="F30" s="100" t="str">
        <f>IFERROR(__xludf.DUMMYFUNCTION("""COMPUTED_VALUE"""),"FAITH")</f>
        <v>FAITH</v>
      </c>
    </row>
    <row r="31">
      <c r="A31" s="131">
        <f>IFERROR(__xludf.DUMMYFUNCTION("""COMPUTED_VALUE"""),29.0)</f>
        <v>29</v>
      </c>
      <c r="B31" s="131"/>
      <c r="C31" s="131">
        <f>IFERROR(__xludf.DUMMYFUNCTION("""COMPUTED_VALUE"""),23.0)</f>
        <v>23</v>
      </c>
      <c r="D31" s="131" t="b">
        <f>IFERROR(__xludf.DUMMYFUNCTION("""COMPUTED_VALUE"""),FALSE)</f>
        <v>0</v>
      </c>
      <c r="E31" s="100" t="str">
        <f>IFERROR(__xludf.DUMMYFUNCTION("""COMPUTED_VALUE"""),"MANALOTO")</f>
        <v>MANALOTO</v>
      </c>
      <c r="F31" s="100" t="str">
        <f>IFERROR(__xludf.DUMMYFUNCTION("""COMPUTED_VALUE"""),"YOSHA")</f>
        <v>YOSHA</v>
      </c>
    </row>
    <row r="32">
      <c r="A32" s="131">
        <f>IFERROR(__xludf.DUMMYFUNCTION("""COMPUTED_VALUE"""),30.0)</f>
        <v>30</v>
      </c>
      <c r="B32" s="131"/>
      <c r="C32" s="131">
        <f>IFERROR(__xludf.DUMMYFUNCTION("""COMPUTED_VALUE"""),23.0)</f>
        <v>23</v>
      </c>
      <c r="D32" s="131" t="b">
        <f>IFERROR(__xludf.DUMMYFUNCTION("""COMPUTED_VALUE"""),FALSE)</f>
        <v>0</v>
      </c>
      <c r="E32" s="100" t="str">
        <f>IFERROR(__xludf.DUMMYFUNCTION("""COMPUTED_VALUE"""),"MARINAS")</f>
        <v>MARINAS</v>
      </c>
      <c r="F32" s="100" t="str">
        <f>IFERROR(__xludf.DUMMYFUNCTION("""COMPUTED_VALUE"""),"CHERRY")</f>
        <v>CHERRY</v>
      </c>
    </row>
    <row r="33">
      <c r="A33" s="131">
        <f>IFERROR(__xludf.DUMMYFUNCTION("""COMPUTED_VALUE"""),31.0)</f>
        <v>31</v>
      </c>
      <c r="B33" s="131"/>
      <c r="C33" s="131">
        <f>IFERROR(__xludf.DUMMYFUNCTION("""COMPUTED_VALUE"""),23.0)</f>
        <v>23</v>
      </c>
      <c r="D33" s="131" t="b">
        <f>IFERROR(__xludf.DUMMYFUNCTION("""COMPUTED_VALUE"""),FALSE)</f>
        <v>0</v>
      </c>
      <c r="E33" s="101" t="str">
        <f>IFERROR(__xludf.DUMMYFUNCTION("""COMPUTED_VALUE"""),"JIMENEZ")</f>
        <v>JIMENEZ</v>
      </c>
      <c r="F33" s="101" t="str">
        <f>IFERROR(__xludf.DUMMYFUNCTION("""COMPUTED_VALUE"""),"RUTH JHAMELA")</f>
        <v>RUTH JHAMELA</v>
      </c>
    </row>
    <row r="34">
      <c r="A34" s="131">
        <f>IFERROR(__xludf.DUMMYFUNCTION("""COMPUTED_VALUE"""),32.0)</f>
        <v>32</v>
      </c>
      <c r="B34" s="131"/>
      <c r="C34" s="131">
        <f>IFERROR(__xludf.DUMMYFUNCTION("""COMPUTED_VALUE"""),23.0)</f>
        <v>23</v>
      </c>
      <c r="D34" s="131" t="b">
        <f>IFERROR(__xludf.DUMMYFUNCTION("""COMPUTED_VALUE"""),FALSE)</f>
        <v>0</v>
      </c>
      <c r="E34" s="100" t="str">
        <f>IFERROR(__xludf.DUMMYFUNCTION("""COMPUTED_VALUE"""),"GUILLERMO")</f>
        <v>GUILLERMO</v>
      </c>
      <c r="F34" s="100" t="str">
        <f>IFERROR(__xludf.DUMMYFUNCTION("""COMPUTED_VALUE"""),"STAR")</f>
        <v>STAR</v>
      </c>
    </row>
    <row r="35">
      <c r="A35" s="131">
        <f>IFERROR(__xludf.DUMMYFUNCTION("""COMPUTED_VALUE"""),33.0)</f>
        <v>33</v>
      </c>
      <c r="B35" s="131"/>
      <c r="C35" s="131">
        <f>IFERROR(__xludf.DUMMYFUNCTION("""COMPUTED_VALUE"""),23.0)</f>
        <v>23</v>
      </c>
      <c r="D35" s="131" t="b">
        <f>IFERROR(__xludf.DUMMYFUNCTION("""COMPUTED_VALUE"""),FALSE)</f>
        <v>0</v>
      </c>
      <c r="E35" s="100" t="str">
        <f>IFERROR(__xludf.DUMMYFUNCTION("""COMPUTED_VALUE"""),"CATENZA")</f>
        <v>CATENZA</v>
      </c>
      <c r="F35" s="100" t="str">
        <f>IFERROR(__xludf.DUMMYFUNCTION("""COMPUTED_VALUE"""),"PRINCESS")</f>
        <v>PRINCESS</v>
      </c>
    </row>
    <row r="36">
      <c r="A36" s="131">
        <f>IFERROR(__xludf.DUMMYFUNCTION("""COMPUTED_VALUE"""),34.0)</f>
        <v>34</v>
      </c>
      <c r="B36" s="131"/>
      <c r="C36" s="131">
        <f>IFERROR(__xludf.DUMMYFUNCTION("""COMPUTED_VALUE"""),23.0)</f>
        <v>23</v>
      </c>
      <c r="D36" s="131" t="b">
        <f>IFERROR(__xludf.DUMMYFUNCTION("""COMPUTED_VALUE"""),FALSE)</f>
        <v>0</v>
      </c>
      <c r="E36" s="102" t="str">
        <f>IFERROR(__xludf.DUMMYFUNCTION("""COMPUTED_VALUE"""),"GORDON")</f>
        <v>GORDON</v>
      </c>
      <c r="F36" s="102" t="str">
        <f>IFERROR(__xludf.DUMMYFUNCTION("""COMPUTED_VALUE"""),"HARRY")</f>
        <v>HARRY</v>
      </c>
    </row>
    <row r="37">
      <c r="A37" s="131">
        <f>IFERROR(__xludf.DUMMYFUNCTION("""COMPUTED_VALUE"""),35.0)</f>
        <v>35</v>
      </c>
      <c r="B37" s="131"/>
      <c r="C37" s="131">
        <f>IFERROR(__xludf.DUMMYFUNCTION("""COMPUTED_VALUE"""),23.0)</f>
        <v>23</v>
      </c>
      <c r="D37" s="131" t="b">
        <f>IFERROR(__xludf.DUMMYFUNCTION("""COMPUTED_VALUE"""),FALSE)</f>
        <v>0</v>
      </c>
      <c r="E37" s="103" t="str">
        <f>IFERROR(__xludf.DUMMYFUNCTION("""COMPUTED_VALUE"""),"AVILLANO")</f>
        <v>AVILLANO</v>
      </c>
      <c r="F37" s="103" t="str">
        <f>IFERROR(__xludf.DUMMYFUNCTION("""COMPUTED_VALUE"""),"ANGEL DIANNE")</f>
        <v>ANGEL DIANNE</v>
      </c>
    </row>
    <row r="38">
      <c r="A38" s="131">
        <f>IFERROR(__xludf.DUMMYFUNCTION("""COMPUTED_VALUE"""),36.0)</f>
        <v>36</v>
      </c>
      <c r="B38" s="131"/>
      <c r="C38" s="131">
        <f>IFERROR(__xludf.DUMMYFUNCTION("""COMPUTED_VALUE"""),23.0)</f>
        <v>23</v>
      </c>
      <c r="D38" s="131" t="b">
        <f>IFERROR(__xludf.DUMMYFUNCTION("""COMPUTED_VALUE"""),FALSE)</f>
        <v>0</v>
      </c>
      <c r="E38" s="103" t="str">
        <f>IFERROR(__xludf.DUMMYFUNCTION("""COMPUTED_VALUE"""),"BALTAZAR")</f>
        <v>BALTAZAR</v>
      </c>
      <c r="F38" s="103" t="str">
        <f>IFERROR(__xludf.DUMMYFUNCTION("""COMPUTED_VALUE"""),"ARSTON")</f>
        <v>ARSTON</v>
      </c>
    </row>
    <row r="39">
      <c r="A39" s="131">
        <f>IFERROR(__xludf.DUMMYFUNCTION("""COMPUTED_VALUE"""),37.0)</f>
        <v>37</v>
      </c>
      <c r="B39" s="131"/>
      <c r="C39" s="131">
        <f>IFERROR(__xludf.DUMMYFUNCTION("""COMPUTED_VALUE"""),23.0)</f>
        <v>23</v>
      </c>
      <c r="D39" s="131" t="b">
        <f>IFERROR(__xludf.DUMMYFUNCTION("""COMPUTED_VALUE"""),FALSE)</f>
        <v>0</v>
      </c>
      <c r="E39" s="102" t="str">
        <f>IFERROR(__xludf.DUMMYFUNCTION("""COMPUTED_VALUE"""),"SISON")</f>
        <v>SISON</v>
      </c>
      <c r="F39" s="103" t="str">
        <f>IFERROR(__xludf.DUMMYFUNCTION("""COMPUTED_VALUE"""),"KRISTA MAE")</f>
        <v>KRISTA MAE</v>
      </c>
    </row>
    <row r="40">
      <c r="A40" s="131">
        <f>IFERROR(__xludf.DUMMYFUNCTION("""COMPUTED_VALUE"""),38.0)</f>
        <v>38</v>
      </c>
      <c r="B40" s="131"/>
      <c r="C40" s="131">
        <f>IFERROR(__xludf.DUMMYFUNCTION("""COMPUTED_VALUE"""),23.0)</f>
        <v>23</v>
      </c>
      <c r="D40" s="131" t="b">
        <f>IFERROR(__xludf.DUMMYFUNCTION("""COMPUTED_VALUE"""),FALSE)</f>
        <v>0</v>
      </c>
      <c r="E40" s="103" t="str">
        <f>IFERROR(__xludf.DUMMYFUNCTION("""COMPUTED_VALUE"""),"GARCIA")</f>
        <v>GARCIA</v>
      </c>
      <c r="F40" s="103" t="str">
        <f>IFERROR(__xludf.DUMMYFUNCTION("""COMPUTED_VALUE"""),"SELTHIEL")</f>
        <v>SELTHIEL</v>
      </c>
    </row>
    <row r="41">
      <c r="A41" s="131">
        <f>IFERROR(__xludf.DUMMYFUNCTION("""COMPUTED_VALUE"""),39.0)</f>
        <v>39</v>
      </c>
      <c r="B41" s="131"/>
      <c r="C41" s="131">
        <f>IFERROR(__xludf.DUMMYFUNCTION("""COMPUTED_VALUE"""),23.0)</f>
        <v>23</v>
      </c>
      <c r="D41" s="131" t="b">
        <f>IFERROR(__xludf.DUMMYFUNCTION("""COMPUTED_VALUE"""),FALSE)</f>
        <v>0</v>
      </c>
      <c r="E41" s="103" t="str">
        <f>IFERROR(__xludf.DUMMYFUNCTION("""COMPUTED_VALUE"""),"HIJARA")</f>
        <v>HIJARA</v>
      </c>
      <c r="F41" s="103" t="str">
        <f>IFERROR(__xludf.DUMMYFUNCTION("""COMPUTED_VALUE"""),"JAIHMIER VIELLE")</f>
        <v>JAIHMIER VIELLE</v>
      </c>
    </row>
    <row r="42">
      <c r="A42" s="131">
        <f>IFERROR(__xludf.DUMMYFUNCTION("""COMPUTED_VALUE"""),40.0)</f>
        <v>40</v>
      </c>
      <c r="B42" s="131"/>
      <c r="C42" s="131">
        <f>IFERROR(__xludf.DUMMYFUNCTION("""COMPUTED_VALUE"""),23.0)</f>
        <v>23</v>
      </c>
      <c r="D42" s="131" t="b">
        <f>IFERROR(__xludf.DUMMYFUNCTION("""COMPUTED_VALUE"""),FALSE)</f>
        <v>0</v>
      </c>
      <c r="E42" s="103" t="str">
        <f>IFERROR(__xludf.DUMMYFUNCTION("""COMPUTED_VALUE"""),"MAGBANUA")</f>
        <v>MAGBANUA</v>
      </c>
      <c r="F42" s="103" t="str">
        <f>IFERROR(__xludf.DUMMYFUNCTION("""COMPUTED_VALUE"""),"MANUEL HARVEY")</f>
        <v>MANUEL HARVEY</v>
      </c>
    </row>
    <row r="43">
      <c r="A43" s="131">
        <f>IFERROR(__xludf.DUMMYFUNCTION("""COMPUTED_VALUE"""),41.0)</f>
        <v>41</v>
      </c>
      <c r="B43" s="131"/>
      <c r="C43" s="131">
        <f>IFERROR(__xludf.DUMMYFUNCTION("""COMPUTED_VALUE"""),23.0)</f>
        <v>23</v>
      </c>
      <c r="D43" s="131" t="b">
        <f>IFERROR(__xludf.DUMMYFUNCTION("""COMPUTED_VALUE"""),FALSE)</f>
        <v>0</v>
      </c>
      <c r="E43" s="103" t="str">
        <f>IFERROR(__xludf.DUMMYFUNCTION("""COMPUTED_VALUE"""),"TABOY")</f>
        <v>TABOY</v>
      </c>
      <c r="F43" s="103" t="str">
        <f>IFERROR(__xludf.DUMMYFUNCTION("""COMPUTED_VALUE"""),"PRIMO KLYDE")</f>
        <v>PRIMO KLYDE</v>
      </c>
    </row>
    <row r="44">
      <c r="A44" s="131">
        <f>IFERROR(__xludf.DUMMYFUNCTION("""COMPUTED_VALUE"""),42.0)</f>
        <v>42</v>
      </c>
      <c r="B44" s="131"/>
      <c r="C44" s="131"/>
      <c r="D44" s="131" t="b">
        <f>IFERROR(__xludf.DUMMYFUNCTION("""COMPUTED_VALUE"""),FALSE)</f>
        <v>0</v>
      </c>
      <c r="E44" s="103"/>
      <c r="F44" s="103"/>
    </row>
    <row r="45">
      <c r="A45" s="131">
        <f>IFERROR(__xludf.DUMMYFUNCTION("""COMPUTED_VALUE"""),43.0)</f>
        <v>43</v>
      </c>
      <c r="B45" s="131"/>
      <c r="C45" s="131">
        <f>IFERROR(__xludf.DUMMYFUNCTION("""COMPUTED_VALUE"""),23.0)</f>
        <v>23</v>
      </c>
      <c r="D45" s="131" t="b">
        <f>IFERROR(__xludf.DUMMYFUNCTION("""COMPUTED_VALUE"""),FALSE)</f>
        <v>0</v>
      </c>
      <c r="E45" s="103" t="str">
        <f>IFERROR(__xludf.DUMMYFUNCTION("""COMPUTED_VALUE"""),"SABEJON")</f>
        <v>SABEJON</v>
      </c>
      <c r="F45" s="103" t="str">
        <f>IFERROR(__xludf.DUMMYFUNCTION("""COMPUTED_VALUE"""),"KENNETH")</f>
        <v>KENNETH</v>
      </c>
    </row>
    <row r="46">
      <c r="A46" s="131">
        <f>IFERROR(__xludf.DUMMYFUNCTION("""COMPUTED_VALUE"""),44.0)</f>
        <v>44</v>
      </c>
      <c r="B46" s="131"/>
      <c r="C46" s="131">
        <f>IFERROR(__xludf.DUMMYFUNCTION("""COMPUTED_VALUE"""),23.0)</f>
        <v>23</v>
      </c>
      <c r="D46" s="131" t="b">
        <f>IFERROR(__xludf.DUMMYFUNCTION("""COMPUTED_VALUE"""),FALSE)</f>
        <v>0</v>
      </c>
      <c r="E46" s="103" t="str">
        <f>IFERROR(__xludf.DUMMYFUNCTION("""COMPUTED_VALUE"""),"LIRRAG")</f>
        <v>LIRRAG</v>
      </c>
      <c r="F46" s="103" t="str">
        <f>IFERROR(__xludf.DUMMYFUNCTION("""COMPUTED_VALUE"""),"DAN EDRIK")</f>
        <v>DAN EDRIK</v>
      </c>
    </row>
    <row r="47">
      <c r="A47" s="131">
        <f>IFERROR(__xludf.DUMMYFUNCTION("""COMPUTED_VALUE"""),45.0)</f>
        <v>45</v>
      </c>
      <c r="B47" s="131"/>
      <c r="C47" s="131">
        <f>IFERROR(__xludf.DUMMYFUNCTION("""COMPUTED_VALUE"""),23.0)</f>
        <v>23</v>
      </c>
      <c r="D47" s="131" t="b">
        <f>IFERROR(__xludf.DUMMYFUNCTION("""COMPUTED_VALUE"""),FALSE)</f>
        <v>0</v>
      </c>
      <c r="E47" s="103" t="str">
        <f>IFERROR(__xludf.DUMMYFUNCTION("""COMPUTED_VALUE"""),"DELA ROSA")</f>
        <v>DELA ROSA</v>
      </c>
      <c r="F47" s="103" t="str">
        <f>IFERROR(__xludf.DUMMYFUNCTION("""COMPUTED_VALUE"""),"JOREVE")</f>
        <v>JOREVE</v>
      </c>
    </row>
    <row r="48">
      <c r="A48" s="131">
        <f>IFERROR(__xludf.DUMMYFUNCTION("""COMPUTED_VALUE"""),46.0)</f>
        <v>46</v>
      </c>
      <c r="B48" s="131"/>
      <c r="C48" s="131">
        <f>IFERROR(__xludf.DUMMYFUNCTION("""COMPUTED_VALUE"""),23.0)</f>
        <v>23</v>
      </c>
      <c r="D48" s="131" t="b">
        <f>IFERROR(__xludf.DUMMYFUNCTION("""COMPUTED_VALUE"""),FALSE)</f>
        <v>0</v>
      </c>
      <c r="E48" s="103" t="str">
        <f>IFERROR(__xludf.DUMMYFUNCTION("""COMPUTED_VALUE"""),"KOI")</f>
        <v>KOI</v>
      </c>
      <c r="F48" s="103" t="str">
        <f>IFERROR(__xludf.DUMMYFUNCTION("""COMPUTED_VALUE"""),"HERMYLYN")</f>
        <v>HERMYLYN</v>
      </c>
    </row>
    <row r="49">
      <c r="A49" s="131">
        <f>IFERROR(__xludf.DUMMYFUNCTION("""COMPUTED_VALUE"""),47.0)</f>
        <v>47</v>
      </c>
      <c r="B49" s="131"/>
      <c r="C49" s="131">
        <f>IFERROR(__xludf.DUMMYFUNCTION("""COMPUTED_VALUE"""),23.0)</f>
        <v>23</v>
      </c>
      <c r="D49" s="131" t="b">
        <f>IFERROR(__xludf.DUMMYFUNCTION("""COMPUTED_VALUE"""),FALSE)</f>
        <v>0</v>
      </c>
      <c r="E49" s="103" t="str">
        <f>IFERROR(__xludf.DUMMYFUNCTION("""COMPUTED_VALUE"""),"SILVANO")</f>
        <v>SILVANO</v>
      </c>
      <c r="F49" s="103" t="str">
        <f>IFERROR(__xludf.DUMMYFUNCTION("""COMPUTED_VALUE"""),"CRISJARED")</f>
        <v>CRISJARED</v>
      </c>
    </row>
    <row r="50">
      <c r="A50" s="131">
        <f>IFERROR(__xludf.DUMMYFUNCTION("""COMPUTED_VALUE"""),48.0)</f>
        <v>48</v>
      </c>
      <c r="B50" s="131"/>
      <c r="C50" s="131">
        <f>IFERROR(__xludf.DUMMYFUNCTION("""COMPUTED_VALUE"""),23.0)</f>
        <v>23</v>
      </c>
      <c r="D50" s="131" t="b">
        <f>IFERROR(__xludf.DUMMYFUNCTION("""COMPUTED_VALUE"""),FALSE)</f>
        <v>0</v>
      </c>
      <c r="E50" s="103" t="str">
        <f>IFERROR(__xludf.DUMMYFUNCTION("""COMPUTED_VALUE"""),"CORONEL")</f>
        <v>CORONEL</v>
      </c>
      <c r="F50" s="103" t="str">
        <f>IFERROR(__xludf.DUMMYFUNCTION("""COMPUTED_VALUE"""),"CARL CEDRICK")</f>
        <v>CARL CEDRICK</v>
      </c>
    </row>
    <row r="51">
      <c r="A51" s="131">
        <f>IFERROR(__xludf.DUMMYFUNCTION("""COMPUTED_VALUE"""),49.0)</f>
        <v>49</v>
      </c>
      <c r="B51" s="131"/>
      <c r="C51" s="131">
        <f>IFERROR(__xludf.DUMMYFUNCTION("""COMPUTED_VALUE"""),23.0)</f>
        <v>23</v>
      </c>
      <c r="D51" s="131" t="b">
        <f>IFERROR(__xludf.DUMMYFUNCTION("""COMPUTED_VALUE"""),FALSE)</f>
        <v>0</v>
      </c>
      <c r="E51" s="103" t="str">
        <f>IFERROR(__xludf.DUMMYFUNCTION("""COMPUTED_VALUE"""),"ORTALEZA")</f>
        <v>ORTALEZA</v>
      </c>
      <c r="F51" s="103" t="str">
        <f>IFERROR(__xludf.DUMMYFUNCTION("""COMPUTED_VALUE"""),"FROI FANCIS")</f>
        <v>FROI FANCIS</v>
      </c>
    </row>
    <row r="52">
      <c r="A52" s="131">
        <f>IFERROR(__xludf.DUMMYFUNCTION("""COMPUTED_VALUE"""),50.0)</f>
        <v>50</v>
      </c>
      <c r="B52" s="131"/>
      <c r="C52" s="131">
        <f>IFERROR(__xludf.DUMMYFUNCTION("""COMPUTED_VALUE"""),23.0)</f>
        <v>23</v>
      </c>
      <c r="D52" s="131" t="b">
        <f>IFERROR(__xludf.DUMMYFUNCTION("""COMPUTED_VALUE"""),FALSE)</f>
        <v>0</v>
      </c>
      <c r="E52" s="103" t="str">
        <f>IFERROR(__xludf.DUMMYFUNCTION("""COMPUTED_VALUE"""),"ESPOZO")</f>
        <v>ESPOZO</v>
      </c>
      <c r="F52" s="103" t="str">
        <f>IFERROR(__xludf.DUMMYFUNCTION("""COMPUTED_VALUE"""),"MAICA ELLA")</f>
        <v>MAICA ELLA</v>
      </c>
    </row>
    <row r="53">
      <c r="A53" s="131">
        <f>IFERROR(__xludf.DUMMYFUNCTION("""COMPUTED_VALUE"""),51.0)</f>
        <v>51</v>
      </c>
      <c r="B53" s="131"/>
      <c r="C53" s="131">
        <f>IFERROR(__xludf.DUMMYFUNCTION("""COMPUTED_VALUE"""),23.0)</f>
        <v>23</v>
      </c>
      <c r="D53" s="131" t="b">
        <f>IFERROR(__xludf.DUMMYFUNCTION("""COMPUTED_VALUE"""),FALSE)</f>
        <v>0</v>
      </c>
      <c r="E53" s="103" t="str">
        <f>IFERROR(__xludf.DUMMYFUNCTION("""COMPUTED_VALUE"""),"SOBERANO")</f>
        <v>SOBERANO</v>
      </c>
      <c r="F53" s="103" t="str">
        <f>IFERROR(__xludf.DUMMYFUNCTION("""COMPUTED_VALUE"""),"ZAIRUS")</f>
        <v>ZAIRUS</v>
      </c>
    </row>
    <row r="54">
      <c r="A54" s="131">
        <f>IFERROR(__xludf.DUMMYFUNCTION("""COMPUTED_VALUE"""),52.0)</f>
        <v>52</v>
      </c>
      <c r="B54" s="131"/>
      <c r="C54" s="131">
        <f>IFERROR(__xludf.DUMMYFUNCTION("""COMPUTED_VALUE"""),23.0)</f>
        <v>23</v>
      </c>
      <c r="D54" s="131" t="b">
        <f>IFERROR(__xludf.DUMMYFUNCTION("""COMPUTED_VALUE"""),FALSE)</f>
        <v>0</v>
      </c>
      <c r="E54" s="99" t="str">
        <f>IFERROR(__xludf.DUMMYFUNCTION("""COMPUTED_VALUE"""),"ERA")</f>
        <v>ERA</v>
      </c>
      <c r="F54" s="99" t="str">
        <f>IFERROR(__xludf.DUMMYFUNCTION("""COMPUTED_VALUE"""),"ANALEZA")</f>
        <v>ANALEZA</v>
      </c>
    </row>
    <row r="55">
      <c r="A55" s="131">
        <f>IFERROR(__xludf.DUMMYFUNCTION("""COMPUTED_VALUE"""),53.0)</f>
        <v>53</v>
      </c>
      <c r="B55" s="131"/>
      <c r="C55" s="131">
        <f>IFERROR(__xludf.DUMMYFUNCTION("""COMPUTED_VALUE"""),23.0)</f>
        <v>23</v>
      </c>
      <c r="D55" s="131" t="b">
        <f>IFERROR(__xludf.DUMMYFUNCTION("""COMPUTED_VALUE"""),FALSE)</f>
        <v>0</v>
      </c>
      <c r="E55" s="100" t="str">
        <f>IFERROR(__xludf.DUMMYFUNCTION("""COMPUTED_VALUE"""),"ARANA")</f>
        <v>ARANA</v>
      </c>
      <c r="F55" s="100" t="str">
        <f>IFERROR(__xludf.DUMMYFUNCTION("""COMPUTED_VALUE"""),"RHEANA")</f>
        <v>RHEANA</v>
      </c>
    </row>
    <row r="56">
      <c r="A56" s="131">
        <f>IFERROR(__xludf.DUMMYFUNCTION("""COMPUTED_VALUE"""),54.0)</f>
        <v>54</v>
      </c>
      <c r="B56" s="131"/>
      <c r="C56" s="131">
        <f>IFERROR(__xludf.DUMMYFUNCTION("""COMPUTED_VALUE"""),23.0)</f>
        <v>23</v>
      </c>
      <c r="D56" s="131" t="b">
        <f>IFERROR(__xludf.DUMMYFUNCTION("""COMPUTED_VALUE"""),FALSE)</f>
        <v>0</v>
      </c>
      <c r="E56" s="100" t="str">
        <f>IFERROR(__xludf.DUMMYFUNCTION("""COMPUTED_VALUE"""),"BANDE")</f>
        <v>BANDE</v>
      </c>
      <c r="F56" s="100" t="str">
        <f>IFERROR(__xludf.DUMMYFUNCTION("""COMPUTED_VALUE"""),"ERICA")</f>
        <v>ERICA</v>
      </c>
    </row>
    <row r="57">
      <c r="A57" s="131">
        <f>IFERROR(__xludf.DUMMYFUNCTION("""COMPUTED_VALUE"""),55.0)</f>
        <v>55</v>
      </c>
      <c r="B57" s="131"/>
      <c r="C57" s="131">
        <f>IFERROR(__xludf.DUMMYFUNCTION("""COMPUTED_VALUE"""),23.0)</f>
        <v>23</v>
      </c>
      <c r="D57" s="131" t="b">
        <f>IFERROR(__xludf.DUMMYFUNCTION("""COMPUTED_VALUE"""),FALSE)</f>
        <v>0</v>
      </c>
      <c r="E57" s="100" t="str">
        <f>IFERROR(__xludf.DUMMYFUNCTION("""COMPUTED_VALUE"""),"DEL ROSARIO")</f>
        <v>DEL ROSARIO</v>
      </c>
      <c r="F57" s="100" t="str">
        <f>IFERROR(__xludf.DUMMYFUNCTION("""COMPUTED_VALUE"""),"JOY")</f>
        <v>JOY</v>
      </c>
    </row>
    <row r="58">
      <c r="A58" s="131">
        <f>IFERROR(__xludf.DUMMYFUNCTION("""COMPUTED_VALUE"""),56.0)</f>
        <v>56</v>
      </c>
      <c r="B58" s="131"/>
      <c r="C58" s="131">
        <f>IFERROR(__xludf.DUMMYFUNCTION("""COMPUTED_VALUE"""),23.0)</f>
        <v>23</v>
      </c>
      <c r="D58" s="131" t="b">
        <f>IFERROR(__xludf.DUMMYFUNCTION("""COMPUTED_VALUE"""),FALSE)</f>
        <v>0</v>
      </c>
      <c r="E58" s="100" t="str">
        <f>IFERROR(__xludf.DUMMYFUNCTION("""COMPUTED_VALUE"""),"GUETA")</f>
        <v>GUETA</v>
      </c>
      <c r="F58" s="100" t="str">
        <f>IFERROR(__xludf.DUMMYFUNCTION("""COMPUTED_VALUE"""),"SEYVEL")</f>
        <v>SEYVEL</v>
      </c>
    </row>
    <row r="59">
      <c r="A59" s="131">
        <f>IFERROR(__xludf.DUMMYFUNCTION("""COMPUTED_VALUE"""),57.0)</f>
        <v>57</v>
      </c>
      <c r="B59" s="131"/>
      <c r="C59" s="131">
        <f>IFERROR(__xludf.DUMMYFUNCTION("""COMPUTED_VALUE"""),23.0)</f>
        <v>23</v>
      </c>
      <c r="D59" s="131" t="b">
        <f>IFERROR(__xludf.DUMMYFUNCTION("""COMPUTED_VALUE"""),FALSE)</f>
        <v>0</v>
      </c>
      <c r="E59" s="100" t="str">
        <f>IFERROR(__xludf.DUMMYFUNCTION("""COMPUTED_VALUE"""),"MALIPOT")</f>
        <v>MALIPOT</v>
      </c>
      <c r="F59" s="100" t="str">
        <f>IFERROR(__xludf.DUMMYFUNCTION("""COMPUTED_VALUE"""),"JUSTINE")</f>
        <v>JUSTINE</v>
      </c>
    </row>
    <row r="60">
      <c r="A60" s="131">
        <f>IFERROR(__xludf.DUMMYFUNCTION("""COMPUTED_VALUE"""),58.0)</f>
        <v>58</v>
      </c>
      <c r="B60" s="131"/>
      <c r="C60" s="131">
        <f>IFERROR(__xludf.DUMMYFUNCTION("""COMPUTED_VALUE"""),23.0)</f>
        <v>23</v>
      </c>
      <c r="D60" s="131" t="b">
        <f>IFERROR(__xludf.DUMMYFUNCTION("""COMPUTED_VALUE"""),FALSE)</f>
        <v>0</v>
      </c>
      <c r="E60" s="100" t="str">
        <f>IFERROR(__xludf.DUMMYFUNCTION("""COMPUTED_VALUE"""),"PATRICIO")</f>
        <v>PATRICIO</v>
      </c>
      <c r="F60" s="100" t="str">
        <f>IFERROR(__xludf.DUMMYFUNCTION("""COMPUTED_VALUE"""),"VANESSA")</f>
        <v>VANESSA</v>
      </c>
    </row>
    <row r="61">
      <c r="A61" s="131">
        <f>IFERROR(__xludf.DUMMYFUNCTION("""COMPUTED_VALUE"""),59.0)</f>
        <v>59</v>
      </c>
      <c r="B61" s="131"/>
      <c r="C61" s="131">
        <f>IFERROR(__xludf.DUMMYFUNCTION("""COMPUTED_VALUE"""),23.0)</f>
        <v>23</v>
      </c>
      <c r="D61" s="131" t="b">
        <f>IFERROR(__xludf.DUMMYFUNCTION("""COMPUTED_VALUE"""),FALSE)</f>
        <v>0</v>
      </c>
      <c r="E61" s="100" t="str">
        <f>IFERROR(__xludf.DUMMYFUNCTION("""COMPUTED_VALUE"""),"PONCE")</f>
        <v>PONCE</v>
      </c>
      <c r="F61" s="100" t="str">
        <f>IFERROR(__xludf.DUMMYFUNCTION("""COMPUTED_VALUE"""),"SHEENA")</f>
        <v>SHEENA</v>
      </c>
    </row>
    <row r="62">
      <c r="A62" s="131">
        <f>IFERROR(__xludf.DUMMYFUNCTION("""COMPUTED_VALUE"""),60.0)</f>
        <v>60</v>
      </c>
      <c r="B62" s="131"/>
      <c r="C62" s="131">
        <f>IFERROR(__xludf.DUMMYFUNCTION("""COMPUTED_VALUE"""),23.0)</f>
        <v>23</v>
      </c>
      <c r="D62" s="131" t="b">
        <f>IFERROR(__xludf.DUMMYFUNCTION("""COMPUTED_VALUE"""),FALSE)</f>
        <v>0</v>
      </c>
      <c r="E62" s="100" t="str">
        <f>IFERROR(__xludf.DUMMYFUNCTION("""COMPUTED_VALUE"""),"RAMOS")</f>
        <v>RAMOS</v>
      </c>
      <c r="F62" s="100" t="str">
        <f>IFERROR(__xludf.DUMMYFUNCTION("""COMPUTED_VALUE"""),"AA")</f>
        <v>AA</v>
      </c>
    </row>
    <row r="63">
      <c r="A63" s="131">
        <f>IFERROR(__xludf.DUMMYFUNCTION("""COMPUTED_VALUE"""),61.0)</f>
        <v>61</v>
      </c>
      <c r="B63" s="131"/>
      <c r="C63" s="131">
        <f>IFERROR(__xludf.DUMMYFUNCTION("""COMPUTED_VALUE"""),23.0)</f>
        <v>23</v>
      </c>
      <c r="D63" s="131" t="b">
        <f>IFERROR(__xludf.DUMMYFUNCTION("""COMPUTED_VALUE"""),FALSE)</f>
        <v>0</v>
      </c>
      <c r="E63" s="100" t="str">
        <f>IFERROR(__xludf.DUMMYFUNCTION("""COMPUTED_VALUE"""),"REPUBLO")</f>
        <v>REPUBLO</v>
      </c>
      <c r="F63" s="100" t="str">
        <f>IFERROR(__xludf.DUMMYFUNCTION("""COMPUTED_VALUE"""),"CLARISSA")</f>
        <v>CLARISSA</v>
      </c>
    </row>
    <row r="64">
      <c r="A64" s="131">
        <f>IFERROR(__xludf.DUMMYFUNCTION("""COMPUTED_VALUE"""),62.0)</f>
        <v>62</v>
      </c>
      <c r="B64" s="131"/>
      <c r="C64" s="131">
        <f>IFERROR(__xludf.DUMMYFUNCTION("""COMPUTED_VALUE"""),23.0)</f>
        <v>23</v>
      </c>
      <c r="D64" s="131" t="b">
        <f>IFERROR(__xludf.DUMMYFUNCTION("""COMPUTED_VALUE"""),FALSE)</f>
        <v>0</v>
      </c>
      <c r="E64" s="100"/>
      <c r="F64" s="100" t="str">
        <f>IFERROR(__xludf.DUMMYFUNCTION("""COMPUTED_VALUE"""),"JENNY")</f>
        <v>JENNY</v>
      </c>
    </row>
    <row r="65">
      <c r="A65" s="131">
        <f>IFERROR(__xludf.DUMMYFUNCTION("""COMPUTED_VALUE"""),63.0)</f>
        <v>63</v>
      </c>
      <c r="B65" s="131"/>
      <c r="C65" s="131">
        <f>IFERROR(__xludf.DUMMYFUNCTION("""COMPUTED_VALUE"""),23.0)</f>
        <v>23</v>
      </c>
      <c r="D65" s="131" t="b">
        <f>IFERROR(__xludf.DUMMYFUNCTION("""COMPUTED_VALUE"""),FALSE)</f>
        <v>0</v>
      </c>
      <c r="E65" s="99" t="str">
        <f>IFERROR(__xludf.DUMMYFUNCTION("""COMPUTED_VALUE"""),"MAGISTRADO")</f>
        <v>MAGISTRADO</v>
      </c>
      <c r="F65" s="99" t="str">
        <f>IFERROR(__xludf.DUMMYFUNCTION("""COMPUTED_VALUE"""),"ERICA")</f>
        <v>ERICA</v>
      </c>
    </row>
    <row r="66">
      <c r="A66" s="131">
        <f>IFERROR(__xludf.DUMMYFUNCTION("""COMPUTED_VALUE"""),64.0)</f>
        <v>64</v>
      </c>
      <c r="B66" s="131"/>
      <c r="C66" s="131">
        <f>IFERROR(__xludf.DUMMYFUNCTION("""COMPUTED_VALUE"""),23.0)</f>
        <v>23</v>
      </c>
      <c r="D66" s="131" t="b">
        <f>IFERROR(__xludf.DUMMYFUNCTION("""COMPUTED_VALUE"""),FALSE)</f>
        <v>0</v>
      </c>
      <c r="E66" s="100" t="str">
        <f>IFERROR(__xludf.DUMMYFUNCTION("""COMPUTED_VALUE"""),"CARANGUIAN")</f>
        <v>CARANGUIAN</v>
      </c>
      <c r="F66" s="100" t="str">
        <f>IFERROR(__xludf.DUMMYFUNCTION("""COMPUTED_VALUE"""),"DIVINA GRACE")</f>
        <v>DIVINA GRACE</v>
      </c>
    </row>
    <row r="67">
      <c r="A67" s="131">
        <f>IFERROR(__xludf.DUMMYFUNCTION("""COMPUTED_VALUE"""),65.0)</f>
        <v>65</v>
      </c>
      <c r="B67" s="131"/>
      <c r="C67" s="131">
        <f>IFERROR(__xludf.DUMMYFUNCTION("""COMPUTED_VALUE"""),23.0)</f>
        <v>23</v>
      </c>
      <c r="D67" s="131" t="b">
        <f>IFERROR(__xludf.DUMMYFUNCTION("""COMPUTED_VALUE"""),FALSE)</f>
        <v>0</v>
      </c>
      <c r="E67" s="100" t="str">
        <f>IFERROR(__xludf.DUMMYFUNCTION("""COMPUTED_VALUE"""),"ERA")</f>
        <v>ERA</v>
      </c>
      <c r="F67" s="100" t="str">
        <f>IFERROR(__xludf.DUMMYFUNCTION("""COMPUTED_VALUE"""),"CHRISTINA")</f>
        <v>CHRISTINA</v>
      </c>
    </row>
    <row r="68">
      <c r="A68" s="131">
        <f>IFERROR(__xludf.DUMMYFUNCTION("""COMPUTED_VALUE"""),66.0)</f>
        <v>66</v>
      </c>
      <c r="B68" s="131"/>
      <c r="C68" s="131">
        <f>IFERROR(__xludf.DUMMYFUNCTION("""COMPUTED_VALUE"""),23.0)</f>
        <v>23</v>
      </c>
      <c r="D68" s="131" t="b">
        <f>IFERROR(__xludf.DUMMYFUNCTION("""COMPUTED_VALUE"""),FALSE)</f>
        <v>0</v>
      </c>
      <c r="E68" s="100" t="str">
        <f>IFERROR(__xludf.DUMMYFUNCTION("""COMPUTED_VALUE"""),"MAGISTRADO")</f>
        <v>MAGISTRADO</v>
      </c>
      <c r="F68" s="100" t="str">
        <f>IFERROR(__xludf.DUMMYFUNCTION("""COMPUTED_VALUE"""),"LOVELY")</f>
        <v>LOVELY</v>
      </c>
    </row>
    <row r="69">
      <c r="A69" s="131">
        <f>IFERROR(__xludf.DUMMYFUNCTION("""COMPUTED_VALUE"""),67.0)</f>
        <v>67</v>
      </c>
      <c r="B69" s="131"/>
      <c r="C69" s="131">
        <f>IFERROR(__xludf.DUMMYFUNCTION("""COMPUTED_VALUE"""),23.0)</f>
        <v>23</v>
      </c>
      <c r="D69" s="131" t="b">
        <f>IFERROR(__xludf.DUMMYFUNCTION("""COMPUTED_VALUE"""),FALSE)</f>
        <v>0</v>
      </c>
      <c r="E69" s="100" t="str">
        <f>IFERROR(__xludf.DUMMYFUNCTION("""COMPUTED_VALUE"""),"PACLITA")</f>
        <v>PACLITA</v>
      </c>
      <c r="F69" s="100" t="str">
        <f>IFERROR(__xludf.DUMMYFUNCTION("""COMPUTED_VALUE"""),"CHERRY ANN")</f>
        <v>CHERRY ANN</v>
      </c>
    </row>
    <row r="70">
      <c r="A70" s="131">
        <f>IFERROR(__xludf.DUMMYFUNCTION("""COMPUTED_VALUE"""),68.0)</f>
        <v>68</v>
      </c>
      <c r="B70" s="131"/>
      <c r="C70" s="131">
        <f>IFERROR(__xludf.DUMMYFUNCTION("""COMPUTED_VALUE"""),23.0)</f>
        <v>23</v>
      </c>
      <c r="D70" s="131" t="b">
        <f>IFERROR(__xludf.DUMMYFUNCTION("""COMPUTED_VALUE"""),FALSE)</f>
        <v>0</v>
      </c>
      <c r="E70" s="100" t="str">
        <f>IFERROR(__xludf.DUMMYFUNCTION("""COMPUTED_VALUE"""),"PALOMA")</f>
        <v>PALOMA</v>
      </c>
      <c r="F70" s="100" t="str">
        <f>IFERROR(__xludf.DUMMYFUNCTION("""COMPUTED_VALUE"""),"ALEAH")</f>
        <v>ALEAH</v>
      </c>
    </row>
    <row r="71">
      <c r="A71" s="131">
        <f>IFERROR(__xludf.DUMMYFUNCTION("""COMPUTED_VALUE"""),69.0)</f>
        <v>69</v>
      </c>
      <c r="B71" s="131"/>
      <c r="C71" s="131">
        <f>IFERROR(__xludf.DUMMYFUNCTION("""COMPUTED_VALUE"""),23.0)</f>
        <v>23</v>
      </c>
      <c r="D71" s="131" t="b">
        <f>IFERROR(__xludf.DUMMYFUNCTION("""COMPUTED_VALUE"""),FALSE)</f>
        <v>0</v>
      </c>
      <c r="E71" s="100" t="str">
        <f>IFERROR(__xludf.DUMMYFUNCTION("""COMPUTED_VALUE"""),"SATURINAS")</f>
        <v>SATURINAS</v>
      </c>
      <c r="F71" s="100" t="str">
        <f>IFERROR(__xludf.DUMMYFUNCTION("""COMPUTED_VALUE"""),"ALEXANDRA GRACE")</f>
        <v>ALEXANDRA GRACE</v>
      </c>
    </row>
    <row r="72">
      <c r="A72" s="131">
        <f>IFERROR(__xludf.DUMMYFUNCTION("""COMPUTED_VALUE"""),70.0)</f>
        <v>70</v>
      </c>
      <c r="B72" s="131"/>
      <c r="C72" s="131">
        <f>IFERROR(__xludf.DUMMYFUNCTION("""COMPUTED_VALUE"""),23.0)</f>
        <v>23</v>
      </c>
      <c r="D72" s="131" t="b">
        <f>IFERROR(__xludf.DUMMYFUNCTION("""COMPUTED_VALUE"""),FALSE)</f>
        <v>0</v>
      </c>
      <c r="E72" s="101" t="str">
        <f>IFERROR(__xludf.DUMMYFUNCTION("""COMPUTED_VALUE"""),"RONQUILLO")</f>
        <v>RONQUILLO</v>
      </c>
      <c r="F72" s="101" t="str">
        <f>IFERROR(__xludf.DUMMYFUNCTION("""COMPUTED_VALUE"""),"SHANE")</f>
        <v>SHANE</v>
      </c>
    </row>
    <row r="73">
      <c r="A73" s="131">
        <f>IFERROR(__xludf.DUMMYFUNCTION("""COMPUTED_VALUE"""),71.0)</f>
        <v>71</v>
      </c>
      <c r="B73" s="131"/>
      <c r="C73" s="131">
        <f>IFERROR(__xludf.DUMMYFUNCTION("""COMPUTED_VALUE"""),23.0)</f>
        <v>23</v>
      </c>
      <c r="D73" s="131" t="b">
        <f>IFERROR(__xludf.DUMMYFUNCTION("""COMPUTED_VALUE"""),FALSE)</f>
        <v>0</v>
      </c>
      <c r="E73" s="101" t="str">
        <f>IFERROR(__xludf.DUMMYFUNCTION("""COMPUTED_VALUE"""),"MARFIL")</f>
        <v>MARFIL</v>
      </c>
      <c r="F73" s="104" t="str">
        <f>IFERROR(__xludf.DUMMYFUNCTION("""COMPUTED_VALUE"""),"ADELAIZA")</f>
        <v>ADELAIZA</v>
      </c>
    </row>
    <row r="74">
      <c r="A74" s="131">
        <f>IFERROR(__xludf.DUMMYFUNCTION("""COMPUTED_VALUE"""),72.0)</f>
        <v>72</v>
      </c>
      <c r="B74" s="131"/>
      <c r="C74" s="131">
        <f>IFERROR(__xludf.DUMMYFUNCTION("""COMPUTED_VALUE"""),23.0)</f>
        <v>23</v>
      </c>
      <c r="D74" s="131" t="b">
        <f>IFERROR(__xludf.DUMMYFUNCTION("""COMPUTED_VALUE"""),FALSE)</f>
        <v>0</v>
      </c>
      <c r="E74" s="101" t="str">
        <f>IFERROR(__xludf.DUMMYFUNCTION("""COMPUTED_VALUE"""),"PERALTA")</f>
        <v>PERALTA</v>
      </c>
      <c r="F74" s="101" t="str">
        <f>IFERROR(__xludf.DUMMYFUNCTION("""COMPUTED_VALUE"""),"ALAICA")</f>
        <v>ALAICA</v>
      </c>
    </row>
    <row r="75">
      <c r="A75" s="131">
        <f>IFERROR(__xludf.DUMMYFUNCTION("""COMPUTED_VALUE"""),73.0)</f>
        <v>73</v>
      </c>
      <c r="B75" s="131"/>
      <c r="C75" s="131">
        <f>IFERROR(__xludf.DUMMYFUNCTION("""COMPUTED_VALUE"""),23.0)</f>
        <v>23</v>
      </c>
      <c r="D75" s="131" t="b">
        <f>IFERROR(__xludf.DUMMYFUNCTION("""COMPUTED_VALUE"""),FALSE)</f>
        <v>0</v>
      </c>
      <c r="E75" s="101"/>
      <c r="F75" s="101" t="str">
        <f>IFERROR(__xludf.DUMMYFUNCTION("""COMPUTED_VALUE"""),"ALISA")</f>
        <v>ALISA</v>
      </c>
    </row>
    <row r="76">
      <c r="A76" s="131">
        <f>IFERROR(__xludf.DUMMYFUNCTION("""COMPUTED_VALUE"""),74.0)</f>
        <v>74</v>
      </c>
      <c r="B76" s="131"/>
      <c r="C76" s="131">
        <f>IFERROR(__xludf.DUMMYFUNCTION("""COMPUTED_VALUE"""),23.0)</f>
        <v>23</v>
      </c>
      <c r="D76" s="131" t="b">
        <f>IFERROR(__xludf.DUMMYFUNCTION("""COMPUTED_VALUE"""),FALSE)</f>
        <v>0</v>
      </c>
      <c r="E76" s="101" t="str">
        <f>IFERROR(__xludf.DUMMYFUNCTION("""COMPUTED_VALUE"""),"VILLANUEVA")</f>
        <v>VILLANUEVA</v>
      </c>
      <c r="F76" s="101" t="str">
        <f>IFERROR(__xludf.DUMMYFUNCTION("""COMPUTED_VALUE"""),"SOFIA")</f>
        <v>SOFIA</v>
      </c>
    </row>
    <row r="77">
      <c r="A77" s="131">
        <f>IFERROR(__xludf.DUMMYFUNCTION("""COMPUTED_VALUE"""),75.0)</f>
        <v>75</v>
      </c>
      <c r="B77" s="131"/>
      <c r="C77" s="131">
        <f>IFERROR(__xludf.DUMMYFUNCTION("""COMPUTED_VALUE"""),23.0)</f>
        <v>23</v>
      </c>
      <c r="D77" s="131" t="b">
        <f>IFERROR(__xludf.DUMMYFUNCTION("""COMPUTED_VALUE"""),FALSE)</f>
        <v>0</v>
      </c>
      <c r="E77" s="101" t="str">
        <f>IFERROR(__xludf.DUMMYFUNCTION("""COMPUTED_VALUE"""),"TAKEYAMA")</f>
        <v>TAKEYAMA</v>
      </c>
      <c r="F77" s="101" t="str">
        <f>IFERROR(__xludf.DUMMYFUNCTION("""COMPUTED_VALUE"""),"YUKA")</f>
        <v>YUKA</v>
      </c>
    </row>
    <row r="78">
      <c r="A78" s="131">
        <f>IFERROR(__xludf.DUMMYFUNCTION("""COMPUTED_VALUE"""),76.0)</f>
        <v>76</v>
      </c>
      <c r="B78" s="131"/>
      <c r="C78" s="131">
        <f>IFERROR(__xludf.DUMMYFUNCTION("""COMPUTED_VALUE"""),76.0)</f>
        <v>76</v>
      </c>
      <c r="D78" s="131" t="b">
        <f>IFERROR(__xludf.DUMMYFUNCTION("""COMPUTED_VALUE"""),TRUE)</f>
        <v>1</v>
      </c>
      <c r="E78" s="105" t="str">
        <f>IFERROR(__xludf.DUMMYFUNCTION("""COMPUTED_VALUE"""),"ANTONIO")</f>
        <v>ANTONIO</v>
      </c>
      <c r="F78" s="105" t="str">
        <f>IFERROR(__xludf.DUMMYFUNCTION("""COMPUTED_VALUE"""),"CHOLO MIGUEL")</f>
        <v>CHOLO MIGUEL</v>
      </c>
    </row>
    <row r="79">
      <c r="A79" s="131">
        <f>IFERROR(__xludf.DUMMYFUNCTION("""COMPUTED_VALUE"""),77.0)</f>
        <v>77</v>
      </c>
      <c r="B79" s="131"/>
      <c r="C79" s="131">
        <f>IFERROR(__xludf.DUMMYFUNCTION("""COMPUTED_VALUE"""),76.0)</f>
        <v>76</v>
      </c>
      <c r="D79" s="131" t="b">
        <f>IFERROR(__xludf.DUMMYFUNCTION("""COMPUTED_VALUE"""),FALSE)</f>
        <v>0</v>
      </c>
      <c r="E79" s="106" t="str">
        <f>IFERROR(__xludf.DUMMYFUNCTION("""COMPUTED_VALUE"""),"ELCANA")</f>
        <v>ELCANA</v>
      </c>
      <c r="F79" s="106" t="str">
        <f>IFERROR(__xludf.DUMMYFUNCTION("""COMPUTED_VALUE"""),"JOAQUIN")</f>
        <v>JOAQUIN</v>
      </c>
    </row>
    <row r="80">
      <c r="A80" s="131">
        <f>IFERROR(__xludf.DUMMYFUNCTION("""COMPUTED_VALUE"""),78.0)</f>
        <v>78</v>
      </c>
      <c r="B80" s="131"/>
      <c r="C80" s="131">
        <f>IFERROR(__xludf.DUMMYFUNCTION("""COMPUTED_VALUE"""),76.0)</f>
        <v>76</v>
      </c>
      <c r="D80" s="131" t="b">
        <f>IFERROR(__xludf.DUMMYFUNCTION("""COMPUTED_VALUE"""),FALSE)</f>
        <v>0</v>
      </c>
      <c r="E80" s="107" t="str">
        <f>IFERROR(__xludf.DUMMYFUNCTION("""COMPUTED_VALUE"""),"VILLARTA")</f>
        <v>VILLARTA</v>
      </c>
      <c r="F80" s="107" t="str">
        <f>IFERROR(__xludf.DUMMYFUNCTION("""COMPUTED_VALUE"""),"JEXTER")</f>
        <v>JEXTER</v>
      </c>
    </row>
    <row r="81">
      <c r="A81" s="131">
        <f>IFERROR(__xludf.DUMMYFUNCTION("""COMPUTED_VALUE"""),79.0)</f>
        <v>79</v>
      </c>
      <c r="B81" s="131"/>
      <c r="C81" s="131">
        <f>IFERROR(__xludf.DUMMYFUNCTION("""COMPUTED_VALUE"""),76.0)</f>
        <v>76</v>
      </c>
      <c r="D81" s="131" t="b">
        <f>IFERROR(__xludf.DUMMYFUNCTION("""COMPUTED_VALUE"""),FALSE)</f>
        <v>0</v>
      </c>
      <c r="E81" s="107" t="str">
        <f>IFERROR(__xludf.DUMMYFUNCTION("""COMPUTED_VALUE"""),"MANUYAG")</f>
        <v>MANUYAG</v>
      </c>
      <c r="F81" s="107" t="str">
        <f>IFERROR(__xludf.DUMMYFUNCTION("""COMPUTED_VALUE"""),"RAYVER")</f>
        <v>RAYVER</v>
      </c>
    </row>
    <row r="82">
      <c r="A82" s="131">
        <f>IFERROR(__xludf.DUMMYFUNCTION("""COMPUTED_VALUE"""),80.0)</f>
        <v>80</v>
      </c>
      <c r="B82" s="131"/>
      <c r="C82" s="131">
        <f>IFERROR(__xludf.DUMMYFUNCTION("""COMPUTED_VALUE"""),76.0)</f>
        <v>76</v>
      </c>
      <c r="D82" s="131" t="b">
        <f>IFERROR(__xludf.DUMMYFUNCTION("""COMPUTED_VALUE"""),FALSE)</f>
        <v>0</v>
      </c>
      <c r="E82" s="108" t="str">
        <f>IFERROR(__xludf.DUMMYFUNCTION("""COMPUTED_VALUE"""),"RAAGAS")</f>
        <v>RAAGAS</v>
      </c>
      <c r="F82" s="108" t="str">
        <f>IFERROR(__xludf.DUMMYFUNCTION("""COMPUTED_VALUE"""),"PRINCE JHAMIR (YOHAN)")</f>
        <v>PRINCE JHAMIR (YOHAN)</v>
      </c>
    </row>
    <row r="83">
      <c r="A83" s="131">
        <f>IFERROR(__xludf.DUMMYFUNCTION("""COMPUTED_VALUE"""),81.0)</f>
        <v>81</v>
      </c>
      <c r="B83" s="131"/>
      <c r="C83" s="131">
        <f>IFERROR(__xludf.DUMMYFUNCTION("""COMPUTED_VALUE"""),76.0)</f>
        <v>76</v>
      </c>
      <c r="D83" s="131" t="b">
        <f>IFERROR(__xludf.DUMMYFUNCTION("""COMPUTED_VALUE"""),FALSE)</f>
        <v>0</v>
      </c>
      <c r="E83" s="107" t="str">
        <f>IFERROR(__xludf.DUMMYFUNCTION("""COMPUTED_VALUE"""),"MALOLOY-ON")</f>
        <v>MALOLOY-ON</v>
      </c>
      <c r="F83" s="107" t="str">
        <f>IFERROR(__xludf.DUMMYFUNCTION("""COMPUTED_VALUE"""),"HARLEY")</f>
        <v>HARLEY</v>
      </c>
    </row>
    <row r="84">
      <c r="A84" s="131">
        <f>IFERROR(__xludf.DUMMYFUNCTION("""COMPUTED_VALUE"""),82.0)</f>
        <v>82</v>
      </c>
      <c r="B84" s="131"/>
      <c r="C84" s="131">
        <f>IFERROR(__xludf.DUMMYFUNCTION("""COMPUTED_VALUE"""),76.0)</f>
        <v>76</v>
      </c>
      <c r="D84" s="131" t="b">
        <f>IFERROR(__xludf.DUMMYFUNCTION("""COMPUTED_VALUE"""),FALSE)</f>
        <v>0</v>
      </c>
      <c r="E84" s="106" t="str">
        <f>IFERROR(__xludf.DUMMYFUNCTION("""COMPUTED_VALUE"""),"MEDINA")</f>
        <v>MEDINA</v>
      </c>
      <c r="F84" s="106" t="str">
        <f>IFERROR(__xludf.DUMMYFUNCTION("""COMPUTED_VALUE"""),"JOHN PAUL")</f>
        <v>JOHN PAUL</v>
      </c>
    </row>
    <row r="85">
      <c r="A85" s="131">
        <f>IFERROR(__xludf.DUMMYFUNCTION("""COMPUTED_VALUE"""),83.0)</f>
        <v>83</v>
      </c>
      <c r="B85" s="131"/>
      <c r="C85" s="131">
        <f>IFERROR(__xludf.DUMMYFUNCTION("""COMPUTED_VALUE"""),76.0)</f>
        <v>76</v>
      </c>
      <c r="D85" s="131" t="b">
        <f>IFERROR(__xludf.DUMMYFUNCTION("""COMPUTED_VALUE"""),FALSE)</f>
        <v>0</v>
      </c>
      <c r="E85" s="107" t="str">
        <f>IFERROR(__xludf.DUMMYFUNCTION("""COMPUTED_VALUE"""),"SALTA")</f>
        <v>SALTA</v>
      </c>
      <c r="F85" s="107" t="str">
        <f>IFERROR(__xludf.DUMMYFUNCTION("""COMPUTED_VALUE"""),"KARL")</f>
        <v>KARL</v>
      </c>
    </row>
    <row r="86">
      <c r="A86" s="131">
        <f>IFERROR(__xludf.DUMMYFUNCTION("""COMPUTED_VALUE"""),84.0)</f>
        <v>84</v>
      </c>
      <c r="B86" s="131"/>
      <c r="C86" s="131">
        <f>IFERROR(__xludf.DUMMYFUNCTION("""COMPUTED_VALUE"""),76.0)</f>
        <v>76</v>
      </c>
      <c r="D86" s="131" t="b">
        <f>IFERROR(__xludf.DUMMYFUNCTION("""COMPUTED_VALUE"""),FALSE)</f>
        <v>0</v>
      </c>
      <c r="E86" s="107" t="str">
        <f>IFERROR(__xludf.DUMMYFUNCTION("""COMPUTED_VALUE"""),"ROBLOS")</f>
        <v>ROBLOS</v>
      </c>
      <c r="F86" s="107" t="str">
        <f>IFERROR(__xludf.DUMMYFUNCTION("""COMPUTED_VALUE"""),"CEDRIC")</f>
        <v>CEDRIC</v>
      </c>
    </row>
    <row r="87">
      <c r="A87" s="131">
        <f>IFERROR(__xludf.DUMMYFUNCTION("""COMPUTED_VALUE"""),85.0)</f>
        <v>85</v>
      </c>
      <c r="B87" s="131"/>
      <c r="C87" s="131">
        <f>IFERROR(__xludf.DUMMYFUNCTION("""COMPUTED_VALUE"""),76.0)</f>
        <v>76</v>
      </c>
      <c r="D87" s="131" t="b">
        <f>IFERROR(__xludf.DUMMYFUNCTION("""COMPUTED_VALUE"""),FALSE)</f>
        <v>0</v>
      </c>
      <c r="E87" s="107" t="str">
        <f>IFERROR(__xludf.DUMMYFUNCTION("""COMPUTED_VALUE"""),"RIVAS")</f>
        <v>RIVAS</v>
      </c>
      <c r="F87" s="107" t="str">
        <f>IFERROR(__xludf.DUMMYFUNCTION("""COMPUTED_VALUE"""),"RAY ALLEN")</f>
        <v>RAY ALLEN</v>
      </c>
    </row>
    <row r="88">
      <c r="A88" s="131">
        <f>IFERROR(__xludf.DUMMYFUNCTION("""COMPUTED_VALUE"""),86.0)</f>
        <v>86</v>
      </c>
      <c r="B88" s="131"/>
      <c r="C88" s="131">
        <f>IFERROR(__xludf.DUMMYFUNCTION("""COMPUTED_VALUE"""),76.0)</f>
        <v>76</v>
      </c>
      <c r="D88" s="131" t="b">
        <f>IFERROR(__xludf.DUMMYFUNCTION("""COMPUTED_VALUE"""),FALSE)</f>
        <v>0</v>
      </c>
      <c r="E88" s="107" t="str">
        <f>IFERROR(__xludf.DUMMYFUNCTION("""COMPUTED_VALUE"""),"MAGDANGAN")</f>
        <v>MAGDANGAN</v>
      </c>
      <c r="F88" s="107" t="str">
        <f>IFERROR(__xludf.DUMMYFUNCTION("""COMPUTED_VALUE"""),"DENMARK")</f>
        <v>DENMARK</v>
      </c>
    </row>
    <row r="89">
      <c r="A89" s="131">
        <f>IFERROR(__xludf.DUMMYFUNCTION("""COMPUTED_VALUE"""),87.0)</f>
        <v>87</v>
      </c>
      <c r="B89" s="131"/>
      <c r="C89" s="131">
        <f>IFERROR(__xludf.DUMMYFUNCTION("""COMPUTED_VALUE"""),76.0)</f>
        <v>76</v>
      </c>
      <c r="D89" s="131" t="b">
        <f>IFERROR(__xludf.DUMMYFUNCTION("""COMPUTED_VALUE"""),FALSE)</f>
        <v>0</v>
      </c>
      <c r="E89" s="106" t="str">
        <f>IFERROR(__xludf.DUMMYFUNCTION("""COMPUTED_VALUE"""),"SABONG")</f>
        <v>SABONG</v>
      </c>
      <c r="F89" s="106" t="str">
        <f>IFERROR(__xludf.DUMMYFUNCTION("""COMPUTED_VALUE"""),"VINCE")</f>
        <v>VINCE</v>
      </c>
    </row>
    <row r="90">
      <c r="A90" s="131">
        <f>IFERROR(__xludf.DUMMYFUNCTION("""COMPUTED_VALUE"""),88.0)</f>
        <v>88</v>
      </c>
      <c r="B90" s="131"/>
      <c r="C90" s="131">
        <f>IFERROR(__xludf.DUMMYFUNCTION("""COMPUTED_VALUE"""),76.0)</f>
        <v>76</v>
      </c>
      <c r="D90" s="131" t="b">
        <f>IFERROR(__xludf.DUMMYFUNCTION("""COMPUTED_VALUE"""),FALSE)</f>
        <v>0</v>
      </c>
      <c r="E90" s="107" t="str">
        <f>IFERROR(__xludf.DUMMYFUNCTION("""COMPUTED_VALUE"""),"AQUINO")</f>
        <v>AQUINO</v>
      </c>
      <c r="F90" s="107" t="str">
        <f>IFERROR(__xludf.DUMMYFUNCTION("""COMPUTED_VALUE"""),"MARVIN")</f>
        <v>MARVIN</v>
      </c>
    </row>
    <row r="91">
      <c r="A91" s="131">
        <f>IFERROR(__xludf.DUMMYFUNCTION("""COMPUTED_VALUE"""),89.0)</f>
        <v>89</v>
      </c>
      <c r="B91" s="131"/>
      <c r="C91" s="131">
        <f>IFERROR(__xludf.DUMMYFUNCTION("""COMPUTED_VALUE"""),76.0)</f>
        <v>76</v>
      </c>
      <c r="D91" s="131" t="b">
        <f>IFERROR(__xludf.DUMMYFUNCTION("""COMPUTED_VALUE"""),FALSE)</f>
        <v>0</v>
      </c>
      <c r="E91" s="109" t="str">
        <f>IFERROR(__xludf.DUMMYFUNCTION("""COMPUTED_VALUE"""),"LANOZO")</f>
        <v>LANOZO</v>
      </c>
      <c r="F91" s="109" t="str">
        <f>IFERROR(__xludf.DUMMYFUNCTION("""COMPUTED_VALUE"""),"REGGIENALD")</f>
        <v>REGGIENALD</v>
      </c>
    </row>
    <row r="92">
      <c r="A92" s="131">
        <f>IFERROR(__xludf.DUMMYFUNCTION("""COMPUTED_VALUE"""),90.0)</f>
        <v>90</v>
      </c>
      <c r="B92" s="131"/>
      <c r="C92" s="131">
        <f>IFERROR(__xludf.DUMMYFUNCTION("""COMPUTED_VALUE"""),76.0)</f>
        <v>76</v>
      </c>
      <c r="D92" s="131" t="b">
        <f>IFERROR(__xludf.DUMMYFUNCTION("""COMPUTED_VALUE"""),FALSE)</f>
        <v>0</v>
      </c>
      <c r="E92" s="110" t="str">
        <f>IFERROR(__xludf.DUMMYFUNCTION("""COMPUTED_VALUE"""),"QUIRONA")</f>
        <v>QUIRONA</v>
      </c>
      <c r="F92" s="110" t="str">
        <f>IFERROR(__xludf.DUMMYFUNCTION("""COMPUTED_VALUE"""),"IAN CHRISTOPHER")</f>
        <v>IAN CHRISTOPHER</v>
      </c>
    </row>
    <row r="93">
      <c r="A93" s="131">
        <f>IFERROR(__xludf.DUMMYFUNCTION("""COMPUTED_VALUE"""),91.0)</f>
        <v>91</v>
      </c>
      <c r="B93" s="131"/>
      <c r="C93" s="131">
        <f>IFERROR(__xludf.DUMMYFUNCTION("""COMPUTED_VALUE"""),76.0)</f>
        <v>76</v>
      </c>
      <c r="D93" s="131" t="b">
        <f>IFERROR(__xludf.DUMMYFUNCTION("""COMPUTED_VALUE"""),FALSE)</f>
        <v>0</v>
      </c>
      <c r="E93" s="110" t="str">
        <f>IFERROR(__xludf.DUMMYFUNCTION("""COMPUTED_VALUE"""),"BAUYON")</f>
        <v>BAUYON</v>
      </c>
      <c r="F93" s="110" t="str">
        <f>IFERROR(__xludf.DUMMYFUNCTION("""COMPUTED_VALUE"""),"JOHN CARLO")</f>
        <v>JOHN CARLO</v>
      </c>
    </row>
    <row r="94">
      <c r="A94" s="131">
        <f>IFERROR(__xludf.DUMMYFUNCTION("""COMPUTED_VALUE"""),92.0)</f>
        <v>92</v>
      </c>
      <c r="B94" s="131"/>
      <c r="C94" s="131">
        <f>IFERROR(__xludf.DUMMYFUNCTION("""COMPUTED_VALUE"""),76.0)</f>
        <v>76</v>
      </c>
      <c r="D94" s="131" t="b">
        <f>IFERROR(__xludf.DUMMYFUNCTION("""COMPUTED_VALUE"""),FALSE)</f>
        <v>0</v>
      </c>
      <c r="E94" s="111" t="str">
        <f>IFERROR(__xludf.DUMMYFUNCTION("""COMPUTED_VALUE"""),"FIGUEROA")</f>
        <v>FIGUEROA</v>
      </c>
      <c r="F94" s="111" t="str">
        <f>IFERROR(__xludf.DUMMYFUNCTION("""COMPUTED_VALUE"""),"RONALD")</f>
        <v>RONALD</v>
      </c>
    </row>
    <row r="95">
      <c r="A95" s="131"/>
      <c r="B95" s="131"/>
      <c r="C95" s="131"/>
      <c r="D95" s="131"/>
      <c r="E95" s="112"/>
      <c r="F95" s="112"/>
    </row>
    <row r="96">
      <c r="A96" s="131"/>
      <c r="B96" s="131"/>
      <c r="C96" s="131"/>
      <c r="D96" s="131"/>
      <c r="E96" s="112"/>
      <c r="F96" s="112"/>
    </row>
    <row r="97">
      <c r="A97" s="131"/>
      <c r="B97" s="131"/>
      <c r="C97" s="131"/>
      <c r="D97" s="131"/>
      <c r="E97" s="112"/>
      <c r="F97" s="112"/>
    </row>
    <row r="98">
      <c r="A98" s="131"/>
      <c r="B98" s="131"/>
      <c r="C98" s="131"/>
      <c r="D98" s="131"/>
      <c r="E98" s="112"/>
      <c r="F98" s="112"/>
    </row>
    <row r="99">
      <c r="A99" s="131"/>
      <c r="B99" s="131"/>
      <c r="C99" s="131">
        <f>IFERROR(__xludf.DUMMYFUNCTION("""COMPUTED_VALUE"""),76.0)</f>
        <v>76</v>
      </c>
      <c r="D99" s="131" t="b">
        <f>IFERROR(__xludf.DUMMYFUNCTION("""COMPUTED_VALUE"""),FALSE)</f>
        <v>0</v>
      </c>
      <c r="E99" s="113" t="str">
        <f>IFERROR(__xludf.DUMMYFUNCTION("""COMPUTED_VALUE"""),"INACTIVE")</f>
        <v>INACTIVE</v>
      </c>
      <c r="F99" s="110"/>
    </row>
    <row r="100">
      <c r="A100" s="131">
        <f>IFERROR(__xludf.DUMMYFUNCTION("""COMPUTED_VALUE"""),99.0)</f>
        <v>99</v>
      </c>
      <c r="B100" s="131"/>
      <c r="C100" s="131">
        <f>IFERROR(__xludf.DUMMYFUNCTION("""COMPUTED_VALUE"""),76.0)</f>
        <v>76</v>
      </c>
      <c r="D100" s="131" t="b">
        <f>IFERROR(__xludf.DUMMYFUNCTION("""COMPUTED_VALUE"""),FALSE)</f>
        <v>0</v>
      </c>
      <c r="E100" s="114" t="str">
        <f>IFERROR(__xludf.DUMMYFUNCTION("""COMPUTED_VALUE"""),"BONIFACIO")</f>
        <v>BONIFACIO</v>
      </c>
      <c r="F100" s="114" t="str">
        <f>IFERROR(__xludf.DUMMYFUNCTION("""COMPUTED_VALUE"""),"JUNIOR")</f>
        <v>JUNIOR</v>
      </c>
    </row>
    <row r="101">
      <c r="A101" s="131">
        <f>IFERROR(__xludf.DUMMYFUNCTION("""COMPUTED_VALUE"""),100.0)</f>
        <v>100</v>
      </c>
      <c r="B101" s="131"/>
      <c r="C101" s="131">
        <f>IFERROR(__xludf.DUMMYFUNCTION("""COMPUTED_VALUE"""),76.0)</f>
        <v>76</v>
      </c>
      <c r="D101" s="131" t="b">
        <f>IFERROR(__xludf.DUMMYFUNCTION("""COMPUTED_VALUE"""),FALSE)</f>
        <v>0</v>
      </c>
      <c r="E101" s="114" t="str">
        <f>IFERROR(__xludf.DUMMYFUNCTION("""COMPUTED_VALUE"""),"CASTILLO")</f>
        <v>CASTILLO</v>
      </c>
      <c r="F101" s="114" t="str">
        <f>IFERROR(__xludf.DUMMYFUNCTION("""COMPUTED_VALUE"""),"JOHNREY")</f>
        <v>JOHNREY</v>
      </c>
    </row>
    <row r="102">
      <c r="A102" s="131">
        <f>IFERROR(__xludf.DUMMYFUNCTION("""COMPUTED_VALUE"""),101.0)</f>
        <v>101</v>
      </c>
      <c r="B102" s="131"/>
      <c r="C102" s="131">
        <f>IFERROR(__xludf.DUMMYFUNCTION("""COMPUTED_VALUE"""),76.0)</f>
        <v>76</v>
      </c>
      <c r="D102" s="131" t="b">
        <f>IFERROR(__xludf.DUMMYFUNCTION("""COMPUTED_VALUE"""),FALSE)</f>
        <v>0</v>
      </c>
      <c r="E102" s="114" t="str">
        <f>IFERROR(__xludf.DUMMYFUNCTION("""COMPUTED_VALUE"""),"MENDOZA")</f>
        <v>MENDOZA</v>
      </c>
      <c r="F102" s="114" t="str">
        <f>IFERROR(__xludf.DUMMYFUNCTION("""COMPUTED_VALUE"""),"JUSTINE IAN")</f>
        <v>JUSTINE IAN</v>
      </c>
    </row>
    <row r="103">
      <c r="A103" s="131">
        <f>IFERROR(__xludf.DUMMYFUNCTION("""COMPUTED_VALUE"""),102.0)</f>
        <v>102</v>
      </c>
      <c r="B103" s="131"/>
      <c r="C103" s="131">
        <f>IFERROR(__xludf.DUMMYFUNCTION("""COMPUTED_VALUE"""),76.0)</f>
        <v>76</v>
      </c>
      <c r="D103" s="131" t="b">
        <f>IFERROR(__xludf.DUMMYFUNCTION("""COMPUTED_VALUE"""),FALSE)</f>
        <v>0</v>
      </c>
      <c r="E103" s="114" t="str">
        <f>IFERROR(__xludf.DUMMYFUNCTION("""COMPUTED_VALUE"""),"FERMIN")</f>
        <v>FERMIN</v>
      </c>
      <c r="F103" s="114" t="str">
        <f>IFERROR(__xludf.DUMMYFUNCTION("""COMPUTED_VALUE"""),"HARIMAR")</f>
        <v>HARIMAR</v>
      </c>
    </row>
    <row r="104">
      <c r="A104" s="131">
        <f>IFERROR(__xludf.DUMMYFUNCTION("""COMPUTED_VALUE"""),103.0)</f>
        <v>103</v>
      </c>
      <c r="B104" s="131"/>
      <c r="C104" s="131">
        <f>IFERROR(__xludf.DUMMYFUNCTION("""COMPUTED_VALUE"""),76.0)</f>
        <v>76</v>
      </c>
      <c r="D104" s="131" t="b">
        <f>IFERROR(__xludf.DUMMYFUNCTION("""COMPUTED_VALUE"""),FALSE)</f>
        <v>0</v>
      </c>
      <c r="E104" s="114" t="str">
        <f>IFERROR(__xludf.DUMMYFUNCTION("""COMPUTED_VALUE"""),"ADEME")</f>
        <v>ADEME</v>
      </c>
      <c r="F104" s="114" t="str">
        <f>IFERROR(__xludf.DUMMYFUNCTION("""COMPUTED_VALUE"""),"JOHN EVO")</f>
        <v>JOHN EVO</v>
      </c>
    </row>
    <row r="105">
      <c r="A105" s="131">
        <f>IFERROR(__xludf.DUMMYFUNCTION("""COMPUTED_VALUE"""),104.0)</f>
        <v>104</v>
      </c>
      <c r="B105" s="131"/>
      <c r="C105" s="131">
        <f>IFERROR(__xludf.DUMMYFUNCTION("""COMPUTED_VALUE"""),76.0)</f>
        <v>76</v>
      </c>
      <c r="D105" s="131" t="b">
        <f>IFERROR(__xludf.DUMMYFUNCTION("""COMPUTED_VALUE"""),FALSE)</f>
        <v>0</v>
      </c>
      <c r="E105" s="114" t="str">
        <f>IFERROR(__xludf.DUMMYFUNCTION("""COMPUTED_VALUE"""),"FLAGNE")</f>
        <v>FLAGNE</v>
      </c>
      <c r="F105" s="114" t="str">
        <f>IFERROR(__xludf.DUMMYFUNCTION("""COMPUTED_VALUE"""),"JHANDY")</f>
        <v>JHANDY</v>
      </c>
    </row>
    <row r="106">
      <c r="A106" s="131">
        <f>IFERROR(__xludf.DUMMYFUNCTION("""COMPUTED_VALUE"""),105.0)</f>
        <v>105</v>
      </c>
      <c r="B106" s="131"/>
      <c r="C106" s="131">
        <f>IFERROR(__xludf.DUMMYFUNCTION("""COMPUTED_VALUE"""),76.0)</f>
        <v>76</v>
      </c>
      <c r="D106" s="131" t="b">
        <f>IFERROR(__xludf.DUMMYFUNCTION("""COMPUTED_VALUE"""),FALSE)</f>
        <v>0</v>
      </c>
      <c r="E106" s="114" t="str">
        <f>IFERROR(__xludf.DUMMYFUNCTION("""COMPUTED_VALUE"""),"GURION")</f>
        <v>GURION</v>
      </c>
      <c r="F106" s="114" t="str">
        <f>IFERROR(__xludf.DUMMYFUNCTION("""COMPUTED_VALUE"""),"ARJIE")</f>
        <v>ARJIE</v>
      </c>
    </row>
    <row r="107">
      <c r="A107" s="131">
        <f>IFERROR(__xludf.DUMMYFUNCTION("""COMPUTED_VALUE"""),106.0)</f>
        <v>106</v>
      </c>
      <c r="B107" s="131"/>
      <c r="C107" s="131">
        <f>IFERROR(__xludf.DUMMYFUNCTION("""COMPUTED_VALUE"""),76.0)</f>
        <v>76</v>
      </c>
      <c r="D107" s="131" t="b">
        <f>IFERROR(__xludf.DUMMYFUNCTION("""COMPUTED_VALUE"""),FALSE)</f>
        <v>0</v>
      </c>
      <c r="E107" s="114" t="str">
        <f>IFERROR(__xludf.DUMMYFUNCTION("""COMPUTED_VALUE"""),"INAJE")</f>
        <v>INAJE</v>
      </c>
      <c r="F107" s="114" t="str">
        <f>IFERROR(__xludf.DUMMYFUNCTION("""COMPUTED_VALUE"""),"JAYSON")</f>
        <v>JAYSON</v>
      </c>
    </row>
    <row r="108">
      <c r="A108" s="131">
        <f>IFERROR(__xludf.DUMMYFUNCTION("""COMPUTED_VALUE"""),107.0)</f>
        <v>107</v>
      </c>
      <c r="B108" s="131"/>
      <c r="C108" s="131">
        <f>IFERROR(__xludf.DUMMYFUNCTION("""COMPUTED_VALUE"""),76.0)</f>
        <v>76</v>
      </c>
      <c r="D108" s="131" t="b">
        <f>IFERROR(__xludf.DUMMYFUNCTION("""COMPUTED_VALUE"""),FALSE)</f>
        <v>0</v>
      </c>
      <c r="E108" s="114" t="str">
        <f>IFERROR(__xludf.DUMMYFUNCTION("""COMPUTED_VALUE"""),"LUANGCO")</f>
        <v>LUANGCO</v>
      </c>
      <c r="F108" s="114" t="str">
        <f>IFERROR(__xludf.DUMMYFUNCTION("""COMPUTED_VALUE"""),"MARKHIEL")</f>
        <v>MARKHIEL</v>
      </c>
    </row>
    <row r="109">
      <c r="A109" s="131">
        <f>IFERROR(__xludf.DUMMYFUNCTION("""COMPUTED_VALUE"""),108.0)</f>
        <v>108</v>
      </c>
      <c r="B109" s="131"/>
      <c r="C109" s="131">
        <f>IFERROR(__xludf.DUMMYFUNCTION("""COMPUTED_VALUE"""),76.0)</f>
        <v>76</v>
      </c>
      <c r="D109" s="131" t="b">
        <f>IFERROR(__xludf.DUMMYFUNCTION("""COMPUTED_VALUE"""),FALSE)</f>
        <v>0</v>
      </c>
      <c r="E109" s="114" t="str">
        <f>IFERROR(__xludf.DUMMYFUNCTION("""COMPUTED_VALUE"""),"NAPARATO")</f>
        <v>NAPARATO</v>
      </c>
      <c r="F109" s="114" t="str">
        <f>IFERROR(__xludf.DUMMYFUNCTION("""COMPUTED_VALUE"""),"JONEL")</f>
        <v>JONEL</v>
      </c>
    </row>
    <row r="110">
      <c r="A110" s="131">
        <f>IFERROR(__xludf.DUMMYFUNCTION("""COMPUTED_VALUE"""),109.0)</f>
        <v>109</v>
      </c>
      <c r="B110" s="131"/>
      <c r="C110" s="131">
        <f>IFERROR(__xludf.DUMMYFUNCTION("""COMPUTED_VALUE"""),76.0)</f>
        <v>76</v>
      </c>
      <c r="D110" s="131" t="b">
        <f>IFERROR(__xludf.DUMMYFUNCTION("""COMPUTED_VALUE"""),FALSE)</f>
        <v>0</v>
      </c>
      <c r="E110" s="114" t="str">
        <f>IFERROR(__xludf.DUMMYFUNCTION("""COMPUTED_VALUE"""),"NAPARATO")</f>
        <v>NAPARATO</v>
      </c>
      <c r="F110" s="114" t="str">
        <f>IFERROR(__xludf.DUMMYFUNCTION("""COMPUTED_VALUE"""),"JEFF")</f>
        <v>JEFF</v>
      </c>
    </row>
    <row r="111">
      <c r="A111" s="131">
        <f>IFERROR(__xludf.DUMMYFUNCTION("""COMPUTED_VALUE"""),110.0)</f>
        <v>110</v>
      </c>
      <c r="B111" s="131"/>
      <c r="C111" s="131">
        <f>IFERROR(__xludf.DUMMYFUNCTION("""COMPUTED_VALUE"""),76.0)</f>
        <v>76</v>
      </c>
      <c r="D111" s="131" t="b">
        <f>IFERROR(__xludf.DUMMYFUNCTION("""COMPUTED_VALUE"""),FALSE)</f>
        <v>0</v>
      </c>
      <c r="E111" s="114" t="str">
        <f>IFERROR(__xludf.DUMMYFUNCTION("""COMPUTED_VALUE"""),"PABILLO")</f>
        <v>PABILLO</v>
      </c>
      <c r="F111" s="114" t="str">
        <f>IFERROR(__xludf.DUMMYFUNCTION("""COMPUTED_VALUE"""),"PRINCE ALECK")</f>
        <v>PRINCE ALECK</v>
      </c>
    </row>
    <row r="112">
      <c r="A112" s="131">
        <f>IFERROR(__xludf.DUMMYFUNCTION("""COMPUTED_VALUE"""),111.0)</f>
        <v>111</v>
      </c>
      <c r="B112" s="131"/>
      <c r="C112" s="131">
        <f>IFERROR(__xludf.DUMMYFUNCTION("""COMPUTED_VALUE"""),76.0)</f>
        <v>76</v>
      </c>
      <c r="D112" s="131" t="b">
        <f>IFERROR(__xludf.DUMMYFUNCTION("""COMPUTED_VALUE"""),FALSE)</f>
        <v>0</v>
      </c>
      <c r="E112" s="114" t="str">
        <f>IFERROR(__xludf.DUMMYFUNCTION("""COMPUTED_VALUE"""),"PRINCESA")</f>
        <v>PRINCESA</v>
      </c>
      <c r="F112" s="114" t="str">
        <f>IFERROR(__xludf.DUMMYFUNCTION("""COMPUTED_VALUE"""),"ADRIAN CARL")</f>
        <v>ADRIAN CARL</v>
      </c>
    </row>
    <row r="113">
      <c r="A113" s="131">
        <f>IFERROR(__xludf.DUMMYFUNCTION("""COMPUTED_VALUE"""),112.0)</f>
        <v>112</v>
      </c>
      <c r="B113" s="131"/>
      <c r="C113" s="131">
        <f>IFERROR(__xludf.DUMMYFUNCTION("""COMPUTED_VALUE"""),76.0)</f>
        <v>76</v>
      </c>
      <c r="D113" s="131" t="b">
        <f>IFERROR(__xludf.DUMMYFUNCTION("""COMPUTED_VALUE"""),FALSE)</f>
        <v>0</v>
      </c>
      <c r="E113" s="114" t="str">
        <f>IFERROR(__xludf.DUMMYFUNCTION("""COMPUTED_VALUE"""),"RAMOS")</f>
        <v>RAMOS</v>
      </c>
      <c r="F113" s="114" t="str">
        <f>IFERROR(__xludf.DUMMYFUNCTION("""COMPUTED_VALUE"""),"JEREMIAH")</f>
        <v>JEREMIAH</v>
      </c>
    </row>
    <row r="114">
      <c r="A114" s="131">
        <f>IFERROR(__xludf.DUMMYFUNCTION("""COMPUTED_VALUE"""),113.0)</f>
        <v>113</v>
      </c>
      <c r="B114" s="131"/>
      <c r="C114" s="131">
        <f>IFERROR(__xludf.DUMMYFUNCTION("""COMPUTED_VALUE"""),76.0)</f>
        <v>76</v>
      </c>
      <c r="D114" s="131" t="b">
        <f>IFERROR(__xludf.DUMMYFUNCTION("""COMPUTED_VALUE"""),FALSE)</f>
        <v>0</v>
      </c>
      <c r="E114" s="114" t="str">
        <f>IFERROR(__xludf.DUMMYFUNCTION("""COMPUTED_VALUE"""),"RAMOS")</f>
        <v>RAMOS</v>
      </c>
      <c r="F114" s="114" t="str">
        <f>IFERROR(__xludf.DUMMYFUNCTION("""COMPUTED_VALUE"""),"MATTHEW")</f>
        <v>MATTHEW</v>
      </c>
    </row>
    <row r="115">
      <c r="A115" s="131">
        <f>IFERROR(__xludf.DUMMYFUNCTION("""COMPUTED_VALUE"""),114.0)</f>
        <v>114</v>
      </c>
      <c r="B115" s="131"/>
      <c r="C115" s="131">
        <f>IFERROR(__xludf.DUMMYFUNCTION("""COMPUTED_VALUE"""),76.0)</f>
        <v>76</v>
      </c>
      <c r="D115" s="131" t="b">
        <f>IFERROR(__xludf.DUMMYFUNCTION("""COMPUTED_VALUE"""),FALSE)</f>
        <v>0</v>
      </c>
      <c r="E115" s="114" t="str">
        <f>IFERROR(__xludf.DUMMYFUNCTION("""COMPUTED_VALUE"""),"RAMOS")</f>
        <v>RAMOS</v>
      </c>
      <c r="F115" s="114" t="str">
        <f>IFERROR(__xludf.DUMMYFUNCTION("""COMPUTED_VALUE"""),"JONAS")</f>
        <v>JONAS</v>
      </c>
    </row>
    <row r="116">
      <c r="A116" s="131">
        <f>IFERROR(__xludf.DUMMYFUNCTION("""COMPUTED_VALUE"""),115.0)</f>
        <v>115</v>
      </c>
      <c r="B116" s="131"/>
      <c r="C116" s="131">
        <f>IFERROR(__xludf.DUMMYFUNCTION("""COMPUTED_VALUE"""),76.0)</f>
        <v>76</v>
      </c>
      <c r="D116" s="131" t="b">
        <f>IFERROR(__xludf.DUMMYFUNCTION("""COMPUTED_VALUE"""),FALSE)</f>
        <v>0</v>
      </c>
      <c r="E116" s="114" t="str">
        <f>IFERROR(__xludf.DUMMYFUNCTION("""COMPUTED_VALUE"""),"ROMANO")</f>
        <v>ROMANO</v>
      </c>
      <c r="F116" s="114" t="str">
        <f>IFERROR(__xludf.DUMMYFUNCTION("""COMPUTED_VALUE"""),"XIANREY")</f>
        <v>XIANREY</v>
      </c>
    </row>
    <row r="117">
      <c r="A117" s="131">
        <f>IFERROR(__xludf.DUMMYFUNCTION("""COMPUTED_VALUE"""),116.0)</f>
        <v>116</v>
      </c>
      <c r="B117" s="131"/>
      <c r="C117" s="131">
        <f>IFERROR(__xludf.DUMMYFUNCTION("""COMPUTED_VALUE"""),76.0)</f>
        <v>76</v>
      </c>
      <c r="D117" s="131" t="b">
        <f>IFERROR(__xludf.DUMMYFUNCTION("""COMPUTED_VALUE"""),FALSE)</f>
        <v>0</v>
      </c>
      <c r="E117" s="114" t="str">
        <f>IFERROR(__xludf.DUMMYFUNCTION("""COMPUTED_VALUE"""),"AMBROCIO")</f>
        <v>AMBROCIO</v>
      </c>
      <c r="F117" s="114" t="str">
        <f>IFERROR(__xludf.DUMMYFUNCTION("""COMPUTED_VALUE"""),"JAMES")</f>
        <v>JAMES</v>
      </c>
    </row>
    <row r="118">
      <c r="A118" s="131">
        <f>IFERROR(__xludf.DUMMYFUNCTION("""COMPUTED_VALUE"""),117.0)</f>
        <v>117</v>
      </c>
      <c r="B118" s="131"/>
      <c r="C118" s="131">
        <f>IFERROR(__xludf.DUMMYFUNCTION("""COMPUTED_VALUE"""),76.0)</f>
        <v>76</v>
      </c>
      <c r="D118" s="131" t="b">
        <f>IFERROR(__xludf.DUMMYFUNCTION("""COMPUTED_VALUE"""),FALSE)</f>
        <v>0</v>
      </c>
      <c r="E118" s="114" t="str">
        <f>IFERROR(__xludf.DUMMYFUNCTION("""COMPUTED_VALUE"""),"PANADO")</f>
        <v>PANADO</v>
      </c>
      <c r="F118" s="114" t="str">
        <f>IFERROR(__xludf.DUMMYFUNCTION("""COMPUTED_VALUE"""),"JAMES")</f>
        <v>JAMES</v>
      </c>
    </row>
    <row r="119">
      <c r="A119" s="131">
        <f>IFERROR(__xludf.DUMMYFUNCTION("""COMPUTED_VALUE"""),118.0)</f>
        <v>118</v>
      </c>
      <c r="B119" s="131"/>
      <c r="C119" s="131">
        <f>IFERROR(__xludf.DUMMYFUNCTION("""COMPUTED_VALUE"""),76.0)</f>
        <v>76</v>
      </c>
      <c r="D119" s="131" t="b">
        <f>IFERROR(__xludf.DUMMYFUNCTION("""COMPUTED_VALUE"""),FALSE)</f>
        <v>0</v>
      </c>
      <c r="E119" s="114" t="str">
        <f>IFERROR(__xludf.DUMMYFUNCTION("""COMPUTED_VALUE"""),"MALLARI")</f>
        <v>MALLARI</v>
      </c>
      <c r="F119" s="114" t="str">
        <f>IFERROR(__xludf.DUMMYFUNCTION("""COMPUTED_VALUE"""),"JAY IAN")</f>
        <v>JAY IAN</v>
      </c>
    </row>
    <row r="120">
      <c r="A120" s="131"/>
      <c r="B120" s="131"/>
      <c r="C120" s="131"/>
      <c r="D120" s="131"/>
      <c r="E120" s="131"/>
      <c r="F120" s="131"/>
    </row>
    <row r="121">
      <c r="A121" s="131">
        <f>IFERROR(__xludf.DUMMYFUNCTION("""COMPUTED_VALUE"""),120.0)</f>
        <v>120</v>
      </c>
      <c r="B121" s="131"/>
      <c r="C121" s="131">
        <f>IFERROR(__xludf.DUMMYFUNCTION("""COMPUTED_VALUE"""),120.0)</f>
        <v>120</v>
      </c>
      <c r="D121" s="131" t="b">
        <f>IFERROR(__xludf.DUMMYFUNCTION("""COMPUTED_VALUE"""),TRUE)</f>
        <v>1</v>
      </c>
      <c r="E121" s="105" t="str">
        <f>IFERROR(__xludf.DUMMYFUNCTION("""COMPUTED_VALUE"""),"MACASA")</f>
        <v>MACASA</v>
      </c>
      <c r="F121" s="105" t="str">
        <f>IFERROR(__xludf.DUMMYFUNCTION("""COMPUTED_VALUE"""),"POLO")</f>
        <v>POLO</v>
      </c>
    </row>
    <row r="122">
      <c r="A122" s="131">
        <f>IFERROR(__xludf.DUMMYFUNCTION("""COMPUTED_VALUE"""),121.0)</f>
        <v>121</v>
      </c>
      <c r="B122" s="131"/>
      <c r="C122" s="131">
        <f>IFERROR(__xludf.DUMMYFUNCTION("""COMPUTED_VALUE"""),120.0)</f>
        <v>120</v>
      </c>
      <c r="D122" s="131" t="b">
        <f>IFERROR(__xludf.DUMMYFUNCTION("""COMPUTED_VALUE"""),FALSE)</f>
        <v>0</v>
      </c>
      <c r="E122" s="115" t="str">
        <f>IFERROR(__xludf.DUMMYFUNCTION("""COMPUTED_VALUE"""),"ALCANTARA")</f>
        <v>ALCANTARA</v>
      </c>
      <c r="F122" s="107" t="str">
        <f>IFERROR(__xludf.DUMMYFUNCTION("""COMPUTED_VALUE"""),"GERALD")</f>
        <v>GERALD</v>
      </c>
    </row>
    <row r="123">
      <c r="A123" s="131">
        <f>IFERROR(__xludf.DUMMYFUNCTION("""COMPUTED_VALUE"""),122.0)</f>
        <v>122</v>
      </c>
      <c r="B123" s="131"/>
      <c r="C123" s="131">
        <f>IFERROR(__xludf.DUMMYFUNCTION("""COMPUTED_VALUE"""),120.0)</f>
        <v>120</v>
      </c>
      <c r="D123" s="131" t="b">
        <f>IFERROR(__xludf.DUMMYFUNCTION("""COMPUTED_VALUE"""),FALSE)</f>
        <v>0</v>
      </c>
      <c r="E123" s="107" t="str">
        <f>IFERROR(__xludf.DUMMYFUNCTION("""COMPUTED_VALUE"""),"ALVIAR")</f>
        <v>ALVIAR</v>
      </c>
      <c r="F123" s="107" t="str">
        <f>IFERROR(__xludf.DUMMYFUNCTION("""COMPUTED_VALUE"""),"PETER")</f>
        <v>PETER</v>
      </c>
    </row>
    <row r="124">
      <c r="A124" s="131">
        <f>IFERROR(__xludf.DUMMYFUNCTION("""COMPUTED_VALUE"""),123.0)</f>
        <v>123</v>
      </c>
      <c r="B124" s="131"/>
      <c r="C124" s="131">
        <f>IFERROR(__xludf.DUMMYFUNCTION("""COMPUTED_VALUE"""),120.0)</f>
        <v>120</v>
      </c>
      <c r="D124" s="131" t="b">
        <f>IFERROR(__xludf.DUMMYFUNCTION("""COMPUTED_VALUE"""),FALSE)</f>
        <v>0</v>
      </c>
      <c r="E124" s="116" t="str">
        <f>IFERROR(__xludf.DUMMYFUNCTION("""COMPUTED_VALUE"""),"BUCTOT")</f>
        <v>BUCTOT</v>
      </c>
      <c r="F124" s="107" t="str">
        <f>IFERROR(__xludf.DUMMYFUNCTION("""COMPUTED_VALUE"""),"JEFFREY")</f>
        <v>JEFFREY</v>
      </c>
    </row>
    <row r="125">
      <c r="A125" s="131">
        <f>IFERROR(__xludf.DUMMYFUNCTION("""COMPUTED_VALUE"""),124.0)</f>
        <v>124</v>
      </c>
      <c r="B125" s="131"/>
      <c r="C125" s="131">
        <f>IFERROR(__xludf.DUMMYFUNCTION("""COMPUTED_VALUE"""),120.0)</f>
        <v>120</v>
      </c>
      <c r="D125" s="131" t="b">
        <f>IFERROR(__xludf.DUMMYFUNCTION("""COMPUTED_VALUE"""),FALSE)</f>
        <v>0</v>
      </c>
      <c r="E125" s="107" t="str">
        <f>IFERROR(__xludf.DUMMYFUNCTION("""COMPUTED_VALUE"""),"CABRERA")</f>
        <v>CABRERA</v>
      </c>
      <c r="F125" s="107" t="str">
        <f>IFERROR(__xludf.DUMMYFUNCTION("""COMPUTED_VALUE"""),"LANCE")</f>
        <v>LANCE</v>
      </c>
    </row>
    <row r="126">
      <c r="A126" s="131">
        <f>IFERROR(__xludf.DUMMYFUNCTION("""COMPUTED_VALUE"""),125.0)</f>
        <v>125</v>
      </c>
      <c r="B126" s="131"/>
      <c r="C126" s="131">
        <f>IFERROR(__xludf.DUMMYFUNCTION("""COMPUTED_VALUE"""),120.0)</f>
        <v>120</v>
      </c>
      <c r="D126" s="131" t="b">
        <f>IFERROR(__xludf.DUMMYFUNCTION("""COMPUTED_VALUE"""),FALSE)</f>
        <v>0</v>
      </c>
      <c r="E126" s="107" t="str">
        <f>IFERROR(__xludf.DUMMYFUNCTION("""COMPUTED_VALUE"""),"CANDIDO")</f>
        <v>CANDIDO</v>
      </c>
      <c r="F126" s="107" t="str">
        <f>IFERROR(__xludf.DUMMYFUNCTION("""COMPUTED_VALUE"""),"PRINCE")</f>
        <v>PRINCE</v>
      </c>
    </row>
    <row r="127">
      <c r="A127" s="131">
        <f>IFERROR(__xludf.DUMMYFUNCTION("""COMPUTED_VALUE"""),126.0)</f>
        <v>126</v>
      </c>
      <c r="B127" s="131"/>
      <c r="C127" s="131">
        <f>IFERROR(__xludf.DUMMYFUNCTION("""COMPUTED_VALUE"""),120.0)</f>
        <v>120</v>
      </c>
      <c r="D127" s="131" t="b">
        <f>IFERROR(__xludf.DUMMYFUNCTION("""COMPUTED_VALUE"""),FALSE)</f>
        <v>0</v>
      </c>
      <c r="E127" s="107" t="str">
        <f>IFERROR(__xludf.DUMMYFUNCTION("""COMPUTED_VALUE"""),"LOUIE")</f>
        <v>LOUIE</v>
      </c>
      <c r="F127" s="107" t="str">
        <f>IFERROR(__xludf.DUMMYFUNCTION("""COMPUTED_VALUE"""),"JAMES")</f>
        <v>JAMES</v>
      </c>
    </row>
    <row r="128">
      <c r="A128" s="131">
        <f>IFERROR(__xludf.DUMMYFUNCTION("""COMPUTED_VALUE"""),127.0)</f>
        <v>127</v>
      </c>
      <c r="B128" s="131"/>
      <c r="C128" s="131">
        <f>IFERROR(__xludf.DUMMYFUNCTION("""COMPUTED_VALUE"""),120.0)</f>
        <v>120</v>
      </c>
      <c r="D128" s="131" t="b">
        <f>IFERROR(__xludf.DUMMYFUNCTION("""COMPUTED_VALUE"""),FALSE)</f>
        <v>0</v>
      </c>
      <c r="E128" s="107" t="str">
        <f>IFERROR(__xludf.DUMMYFUNCTION("""COMPUTED_VALUE"""),"MALIGTAS")</f>
        <v>MALIGTAS</v>
      </c>
      <c r="F128" s="107" t="str">
        <f>IFERROR(__xludf.DUMMYFUNCTION("""COMPUTED_VALUE"""),"SKYE")</f>
        <v>SKYE</v>
      </c>
    </row>
    <row r="129">
      <c r="A129" s="131">
        <f>IFERROR(__xludf.DUMMYFUNCTION("""COMPUTED_VALUE"""),128.0)</f>
        <v>128</v>
      </c>
      <c r="B129" s="131"/>
      <c r="C129" s="131">
        <f>IFERROR(__xludf.DUMMYFUNCTION("""COMPUTED_VALUE"""),120.0)</f>
        <v>120</v>
      </c>
      <c r="D129" s="131" t="b">
        <f>IFERROR(__xludf.DUMMYFUNCTION("""COMPUTED_VALUE"""),FALSE)</f>
        <v>0</v>
      </c>
      <c r="E129" s="107" t="str">
        <f>IFERROR(__xludf.DUMMYFUNCTION("""COMPUTED_VALUE"""),"NEHEMIAH")</f>
        <v>NEHEMIAH</v>
      </c>
      <c r="F129" s="107" t="str">
        <f>IFERROR(__xludf.DUMMYFUNCTION("""COMPUTED_VALUE"""),"ARKHEL")</f>
        <v>ARKHEL</v>
      </c>
    </row>
    <row r="130">
      <c r="A130" s="131">
        <f>IFERROR(__xludf.DUMMYFUNCTION("""COMPUTED_VALUE"""),129.0)</f>
        <v>129</v>
      </c>
      <c r="B130" s="131"/>
      <c r="C130" s="131">
        <f>IFERROR(__xludf.DUMMYFUNCTION("""COMPUTED_VALUE"""),120.0)</f>
        <v>120</v>
      </c>
      <c r="D130" s="131" t="b">
        <f>IFERROR(__xludf.DUMMYFUNCTION("""COMPUTED_VALUE"""),FALSE)</f>
        <v>0</v>
      </c>
      <c r="E130" s="107" t="str">
        <f>IFERROR(__xludf.DUMMYFUNCTION("""COMPUTED_VALUE"""),"OLASO")</f>
        <v>OLASO</v>
      </c>
      <c r="F130" s="107" t="str">
        <f>IFERROR(__xludf.DUMMYFUNCTION("""COMPUTED_VALUE"""),"CHARLES")</f>
        <v>CHARLES</v>
      </c>
    </row>
    <row r="131">
      <c r="A131" s="131">
        <f>IFERROR(__xludf.DUMMYFUNCTION("""COMPUTED_VALUE"""),130.0)</f>
        <v>130</v>
      </c>
      <c r="B131" s="131"/>
      <c r="C131" s="131">
        <f>IFERROR(__xludf.DUMMYFUNCTION("""COMPUTED_VALUE"""),120.0)</f>
        <v>120</v>
      </c>
      <c r="D131" s="131" t="b">
        <f>IFERROR(__xludf.DUMMYFUNCTION("""COMPUTED_VALUE"""),FALSE)</f>
        <v>0</v>
      </c>
      <c r="E131" s="107" t="str">
        <f>IFERROR(__xludf.DUMMYFUNCTION("""COMPUTED_VALUE"""),"PASCUA")</f>
        <v>PASCUA</v>
      </c>
      <c r="F131" s="107" t="str">
        <f>IFERROR(__xludf.DUMMYFUNCTION("""COMPUTED_VALUE"""),"JOHN MICHAEL")</f>
        <v>JOHN MICHAEL</v>
      </c>
    </row>
    <row r="132">
      <c r="A132" s="131">
        <f>IFERROR(__xludf.DUMMYFUNCTION("""COMPUTED_VALUE"""),131.0)</f>
        <v>131</v>
      </c>
      <c r="B132" s="131"/>
      <c r="C132" s="131">
        <f>IFERROR(__xludf.DUMMYFUNCTION("""COMPUTED_VALUE"""),120.0)</f>
        <v>120</v>
      </c>
      <c r="D132" s="131" t="b">
        <f>IFERROR(__xludf.DUMMYFUNCTION("""COMPUTED_VALUE"""),FALSE)</f>
        <v>0</v>
      </c>
      <c r="E132" s="107" t="str">
        <f>IFERROR(__xludf.DUMMYFUNCTION("""COMPUTED_VALUE"""),"PERALTA")</f>
        <v>PERALTA</v>
      </c>
      <c r="F132" s="107" t="str">
        <f>IFERROR(__xludf.DUMMYFUNCTION("""COMPUTED_VALUE"""),"MARLON")</f>
        <v>MARLON</v>
      </c>
    </row>
    <row r="133">
      <c r="A133" s="131">
        <f>IFERROR(__xludf.DUMMYFUNCTION("""COMPUTED_VALUE"""),132.0)</f>
        <v>132</v>
      </c>
      <c r="B133" s="131"/>
      <c r="C133" s="131">
        <f>IFERROR(__xludf.DUMMYFUNCTION("""COMPUTED_VALUE"""),120.0)</f>
        <v>120</v>
      </c>
      <c r="D133" s="131" t="b">
        <f>IFERROR(__xludf.DUMMYFUNCTION("""COMPUTED_VALUE"""),FALSE)</f>
        <v>0</v>
      </c>
      <c r="E133" s="107" t="str">
        <f>IFERROR(__xludf.DUMMYFUNCTION("""COMPUTED_VALUE"""),"PESAYCO")</f>
        <v>PESAYCO</v>
      </c>
      <c r="F133" s="107" t="str">
        <f>IFERROR(__xludf.DUMMYFUNCTION("""COMPUTED_VALUE"""),"KEITH")</f>
        <v>KEITH</v>
      </c>
    </row>
    <row r="134">
      <c r="A134" s="131">
        <f>IFERROR(__xludf.DUMMYFUNCTION("""COMPUTED_VALUE"""),133.0)</f>
        <v>133</v>
      </c>
      <c r="B134" s="131"/>
      <c r="C134" s="131">
        <f>IFERROR(__xludf.DUMMYFUNCTION("""COMPUTED_VALUE"""),120.0)</f>
        <v>120</v>
      </c>
      <c r="D134" s="131" t="b">
        <f>IFERROR(__xludf.DUMMYFUNCTION("""COMPUTED_VALUE"""),FALSE)</f>
        <v>0</v>
      </c>
      <c r="E134" s="107" t="str">
        <f>IFERROR(__xludf.DUMMYFUNCTION("""COMPUTED_VALUE"""),"RAZON")</f>
        <v>RAZON</v>
      </c>
      <c r="F134" s="107" t="str">
        <f>IFERROR(__xludf.DUMMYFUNCTION("""COMPUTED_VALUE"""),"JOSHUA")</f>
        <v>JOSHUA</v>
      </c>
    </row>
    <row r="135">
      <c r="A135" s="131">
        <f>IFERROR(__xludf.DUMMYFUNCTION("""COMPUTED_VALUE"""),134.0)</f>
        <v>134</v>
      </c>
      <c r="B135" s="131"/>
      <c r="C135" s="131">
        <f>IFERROR(__xludf.DUMMYFUNCTION("""COMPUTED_VALUE"""),120.0)</f>
        <v>120</v>
      </c>
      <c r="D135" s="131" t="b">
        <f>IFERROR(__xludf.DUMMYFUNCTION("""COMPUTED_VALUE"""),FALSE)</f>
        <v>0</v>
      </c>
      <c r="E135" s="107" t="str">
        <f>IFERROR(__xludf.DUMMYFUNCTION("""COMPUTED_VALUE"""),"ROCCO")</f>
        <v>ROCCO</v>
      </c>
      <c r="F135" s="107" t="str">
        <f>IFERROR(__xludf.DUMMYFUNCTION("""COMPUTED_VALUE"""),"MARK")</f>
        <v>MARK</v>
      </c>
    </row>
    <row r="136">
      <c r="A136" s="131">
        <f>IFERROR(__xludf.DUMMYFUNCTION("""COMPUTED_VALUE"""),135.0)</f>
        <v>135</v>
      </c>
      <c r="B136" s="131"/>
      <c r="C136" s="131">
        <f>IFERROR(__xludf.DUMMYFUNCTION("""COMPUTED_VALUE"""),120.0)</f>
        <v>120</v>
      </c>
      <c r="D136" s="131" t="b">
        <f>IFERROR(__xludf.DUMMYFUNCTION("""COMPUTED_VALUE"""),FALSE)</f>
        <v>0</v>
      </c>
      <c r="E136" s="107" t="str">
        <f>IFERROR(__xludf.DUMMYFUNCTION("""COMPUTED_VALUE"""),"ROME")</f>
        <v>ROME</v>
      </c>
      <c r="F136" s="107" t="str">
        <f>IFERROR(__xludf.DUMMYFUNCTION("""COMPUTED_VALUE"""),"ZAYIN")</f>
        <v>ZAYIN</v>
      </c>
    </row>
    <row r="137">
      <c r="A137" s="131">
        <f>IFERROR(__xludf.DUMMYFUNCTION("""COMPUTED_VALUE"""),136.0)</f>
        <v>136</v>
      </c>
      <c r="B137" s="131"/>
      <c r="C137" s="131">
        <f>IFERROR(__xludf.DUMMYFUNCTION("""COMPUTED_VALUE"""),120.0)</f>
        <v>120</v>
      </c>
      <c r="D137" s="131" t="b">
        <f>IFERROR(__xludf.DUMMYFUNCTION("""COMPUTED_VALUE"""),FALSE)</f>
        <v>0</v>
      </c>
      <c r="E137" s="107" t="str">
        <f>IFERROR(__xludf.DUMMYFUNCTION("""COMPUTED_VALUE"""),"ROME")</f>
        <v>ROME</v>
      </c>
      <c r="F137" s="107" t="str">
        <f>IFERROR(__xludf.DUMMYFUNCTION("""COMPUTED_VALUE"""),"ZACH")</f>
        <v>ZACH</v>
      </c>
    </row>
    <row r="138">
      <c r="A138" s="131">
        <f>IFERROR(__xludf.DUMMYFUNCTION("""COMPUTED_VALUE"""),137.0)</f>
        <v>137</v>
      </c>
      <c r="B138" s="131"/>
      <c r="C138" s="131">
        <f>IFERROR(__xludf.DUMMYFUNCTION("""COMPUTED_VALUE"""),120.0)</f>
        <v>120</v>
      </c>
      <c r="D138" s="131" t="b">
        <f>IFERROR(__xludf.DUMMYFUNCTION("""COMPUTED_VALUE"""),FALSE)</f>
        <v>0</v>
      </c>
      <c r="E138" s="107" t="str">
        <f>IFERROR(__xludf.DUMMYFUNCTION("""COMPUTED_VALUE"""),"SERRANO")</f>
        <v>SERRANO</v>
      </c>
      <c r="F138" s="107" t="str">
        <f>IFERROR(__xludf.DUMMYFUNCTION("""COMPUTED_VALUE"""),"MICO")</f>
        <v>MICO</v>
      </c>
    </row>
    <row r="139">
      <c r="A139" s="131">
        <f>IFERROR(__xludf.DUMMYFUNCTION("""COMPUTED_VALUE"""),138.0)</f>
        <v>138</v>
      </c>
      <c r="B139" s="131"/>
      <c r="C139" s="131">
        <f>IFERROR(__xludf.DUMMYFUNCTION("""COMPUTED_VALUE"""),120.0)</f>
        <v>120</v>
      </c>
      <c r="D139" s="131" t="b">
        <f>IFERROR(__xludf.DUMMYFUNCTION("""COMPUTED_VALUE"""),FALSE)</f>
        <v>0</v>
      </c>
      <c r="E139" s="98"/>
      <c r="F139" s="107" t="str">
        <f>IFERROR(__xludf.DUMMYFUNCTION("""COMPUTED_VALUE"""),"PAUL")</f>
        <v>PAUL</v>
      </c>
    </row>
    <row r="140">
      <c r="A140" s="131"/>
      <c r="B140" s="131"/>
      <c r="C140" s="131"/>
      <c r="D140" s="131"/>
      <c r="E140" s="131"/>
      <c r="F140" s="131"/>
    </row>
    <row r="141">
      <c r="A141" s="131">
        <f>IFERROR(__xludf.DUMMYFUNCTION("""COMPUTED_VALUE"""),140.0)</f>
        <v>140</v>
      </c>
      <c r="B141" s="131"/>
      <c r="C141" s="131">
        <f>IFERROR(__xludf.DUMMYFUNCTION("""COMPUTED_VALUE"""),140.0)</f>
        <v>140</v>
      </c>
      <c r="D141" s="131" t="b">
        <f>IFERROR(__xludf.DUMMYFUNCTION("""COMPUTED_VALUE"""),TRUE)</f>
        <v>1</v>
      </c>
      <c r="E141" s="105" t="str">
        <f>IFERROR(__xludf.DUMMYFUNCTION("""COMPUTED_VALUE"""),"ARANDA")</f>
        <v>ARANDA</v>
      </c>
      <c r="F141" s="105" t="str">
        <f>IFERROR(__xludf.DUMMYFUNCTION("""COMPUTED_VALUE"""),"IYA")</f>
        <v>IYA</v>
      </c>
    </row>
    <row r="142">
      <c r="A142" s="131">
        <f>IFERROR(__xludf.DUMMYFUNCTION("""COMPUTED_VALUE"""),141.0)</f>
        <v>141</v>
      </c>
      <c r="B142" s="131"/>
      <c r="C142" s="131">
        <f>IFERROR(__xludf.DUMMYFUNCTION("""COMPUTED_VALUE"""),140.0)</f>
        <v>140</v>
      </c>
      <c r="D142" s="131" t="b">
        <f>IFERROR(__xludf.DUMMYFUNCTION("""COMPUTED_VALUE"""),FALSE)</f>
        <v>0</v>
      </c>
      <c r="E142" s="109" t="str">
        <f>IFERROR(__xludf.DUMMYFUNCTION("""COMPUTED_VALUE"""),"ALIANZA")</f>
        <v>ALIANZA</v>
      </c>
      <c r="F142" s="109" t="str">
        <f>IFERROR(__xludf.DUMMYFUNCTION("""COMPUTED_VALUE"""),"JESEMIL")</f>
        <v>JESEMIL</v>
      </c>
    </row>
    <row r="143">
      <c r="A143" s="131">
        <f>IFERROR(__xludf.DUMMYFUNCTION("""COMPUTED_VALUE"""),142.0)</f>
        <v>142</v>
      </c>
      <c r="B143" s="131"/>
      <c r="C143" s="131">
        <f>IFERROR(__xludf.DUMMYFUNCTION("""COMPUTED_VALUE"""),140.0)</f>
        <v>140</v>
      </c>
      <c r="D143" s="131" t="b">
        <f>IFERROR(__xludf.DUMMYFUNCTION("""COMPUTED_VALUE"""),FALSE)</f>
        <v>0</v>
      </c>
      <c r="E143" s="109" t="str">
        <f>IFERROR(__xludf.DUMMYFUNCTION("""COMPUTED_VALUE"""),"ANTONIO")</f>
        <v>ANTONIO</v>
      </c>
      <c r="F143" s="109" t="str">
        <f>IFERROR(__xludf.DUMMYFUNCTION("""COMPUTED_VALUE"""),"CHAM")</f>
        <v>CHAM</v>
      </c>
    </row>
    <row r="144">
      <c r="A144" s="131">
        <f>IFERROR(__xludf.DUMMYFUNCTION("""COMPUTED_VALUE"""),143.0)</f>
        <v>143</v>
      </c>
      <c r="B144" s="131"/>
      <c r="C144" s="131">
        <f>IFERROR(__xludf.DUMMYFUNCTION("""COMPUTED_VALUE"""),140.0)</f>
        <v>140</v>
      </c>
      <c r="D144" s="131" t="b">
        <f>IFERROR(__xludf.DUMMYFUNCTION("""COMPUTED_VALUE"""),FALSE)</f>
        <v>0</v>
      </c>
      <c r="E144" s="109" t="str">
        <f>IFERROR(__xludf.DUMMYFUNCTION("""COMPUTED_VALUE"""),"AQUINO")</f>
        <v>AQUINO</v>
      </c>
      <c r="F144" s="109" t="str">
        <f>IFERROR(__xludf.DUMMYFUNCTION("""COMPUTED_VALUE"""),"JOANNA")</f>
        <v>JOANNA</v>
      </c>
    </row>
    <row r="145">
      <c r="A145" s="131">
        <f>IFERROR(__xludf.DUMMYFUNCTION("""COMPUTED_VALUE"""),144.0)</f>
        <v>144</v>
      </c>
      <c r="B145" s="131"/>
      <c r="C145" s="131">
        <f>IFERROR(__xludf.DUMMYFUNCTION("""COMPUTED_VALUE"""),140.0)</f>
        <v>140</v>
      </c>
      <c r="D145" s="131" t="b">
        <f>IFERROR(__xludf.DUMMYFUNCTION("""COMPUTED_VALUE"""),FALSE)</f>
        <v>0</v>
      </c>
      <c r="E145" s="109" t="str">
        <f>IFERROR(__xludf.DUMMYFUNCTION("""COMPUTED_VALUE"""),"ARANDA")</f>
        <v>ARANDA</v>
      </c>
      <c r="F145" s="109" t="str">
        <f>IFERROR(__xludf.DUMMYFUNCTION("""COMPUTED_VALUE"""),"ALEXANDRA")</f>
        <v>ALEXANDRA</v>
      </c>
    </row>
    <row r="146">
      <c r="A146" s="131">
        <f>IFERROR(__xludf.DUMMYFUNCTION("""COMPUTED_VALUE"""),145.0)</f>
        <v>145</v>
      </c>
      <c r="B146" s="131"/>
      <c r="C146" s="131">
        <f>IFERROR(__xludf.DUMMYFUNCTION("""COMPUTED_VALUE"""),140.0)</f>
        <v>140</v>
      </c>
      <c r="D146" s="131" t="b">
        <f>IFERROR(__xludf.DUMMYFUNCTION("""COMPUTED_VALUE"""),FALSE)</f>
        <v>0</v>
      </c>
      <c r="E146" s="109" t="str">
        <f>IFERROR(__xludf.DUMMYFUNCTION("""COMPUTED_VALUE"""),"CARAAN")</f>
        <v>CARAAN</v>
      </c>
      <c r="F146" s="109" t="str">
        <f>IFERROR(__xludf.DUMMYFUNCTION("""COMPUTED_VALUE"""),"CATHLINE")</f>
        <v>CATHLINE</v>
      </c>
    </row>
    <row r="147">
      <c r="A147" s="131">
        <f>IFERROR(__xludf.DUMMYFUNCTION("""COMPUTED_VALUE"""),146.0)</f>
        <v>146</v>
      </c>
      <c r="B147" s="131"/>
      <c r="C147" s="131">
        <f>IFERROR(__xludf.DUMMYFUNCTION("""COMPUTED_VALUE"""),140.0)</f>
        <v>140</v>
      </c>
      <c r="D147" s="131" t="b">
        <f>IFERROR(__xludf.DUMMYFUNCTION("""COMPUTED_VALUE"""),FALSE)</f>
        <v>0</v>
      </c>
      <c r="E147" s="109" t="str">
        <f>IFERROR(__xludf.DUMMYFUNCTION("""COMPUTED_VALUE"""),"CASTILLO")</f>
        <v>CASTILLO</v>
      </c>
      <c r="F147" s="109" t="str">
        <f>IFERROR(__xludf.DUMMYFUNCTION("""COMPUTED_VALUE"""),"JASIEL")</f>
        <v>JASIEL</v>
      </c>
    </row>
    <row r="148">
      <c r="A148" s="131">
        <f>IFERROR(__xludf.DUMMYFUNCTION("""COMPUTED_VALUE"""),147.0)</f>
        <v>147</v>
      </c>
      <c r="B148" s="131"/>
      <c r="C148" s="131">
        <f>IFERROR(__xludf.DUMMYFUNCTION("""COMPUTED_VALUE"""),140.0)</f>
        <v>140</v>
      </c>
      <c r="D148" s="131" t="b">
        <f>IFERROR(__xludf.DUMMYFUNCTION("""COMPUTED_VALUE"""),FALSE)</f>
        <v>0</v>
      </c>
      <c r="E148" s="109" t="str">
        <f>IFERROR(__xludf.DUMMYFUNCTION("""COMPUTED_VALUE"""),"CEA")</f>
        <v>CEA</v>
      </c>
      <c r="F148" s="109" t="str">
        <f>IFERROR(__xludf.DUMMYFUNCTION("""COMPUTED_VALUE"""),"DIANA")</f>
        <v>DIANA</v>
      </c>
    </row>
    <row r="149">
      <c r="A149" s="131">
        <f>IFERROR(__xludf.DUMMYFUNCTION("""COMPUTED_VALUE"""),148.0)</f>
        <v>148</v>
      </c>
      <c r="B149" s="131"/>
      <c r="C149" s="131">
        <f>IFERROR(__xludf.DUMMYFUNCTION("""COMPUTED_VALUE"""),140.0)</f>
        <v>140</v>
      </c>
      <c r="D149" s="131" t="b">
        <f>IFERROR(__xludf.DUMMYFUNCTION("""COMPUTED_VALUE"""),FALSE)</f>
        <v>0</v>
      </c>
      <c r="E149" s="109" t="str">
        <f>IFERROR(__xludf.DUMMYFUNCTION("""COMPUTED_VALUE"""),"CHUA")</f>
        <v>CHUA</v>
      </c>
      <c r="F149" s="109" t="str">
        <f>IFERROR(__xludf.DUMMYFUNCTION("""COMPUTED_VALUE"""),"PJ")</f>
        <v>PJ</v>
      </c>
    </row>
    <row r="150">
      <c r="A150" s="131">
        <f>IFERROR(__xludf.DUMMYFUNCTION("""COMPUTED_VALUE"""),149.0)</f>
        <v>149</v>
      </c>
      <c r="B150" s="131"/>
      <c r="C150" s="131">
        <f>IFERROR(__xludf.DUMMYFUNCTION("""COMPUTED_VALUE"""),140.0)</f>
        <v>140</v>
      </c>
      <c r="D150" s="131" t="b">
        <f>IFERROR(__xludf.DUMMYFUNCTION("""COMPUTED_VALUE"""),FALSE)</f>
        <v>0</v>
      </c>
      <c r="E150" s="109" t="str">
        <f>IFERROR(__xludf.DUMMYFUNCTION("""COMPUTED_VALUE"""),"DIZON")</f>
        <v>DIZON</v>
      </c>
      <c r="F150" s="109" t="str">
        <f>IFERROR(__xludf.DUMMYFUNCTION("""COMPUTED_VALUE"""),"ARRA")</f>
        <v>ARRA</v>
      </c>
    </row>
    <row r="151">
      <c r="A151" s="131">
        <f>IFERROR(__xludf.DUMMYFUNCTION("""COMPUTED_VALUE"""),150.0)</f>
        <v>150</v>
      </c>
      <c r="B151" s="131"/>
      <c r="C151" s="131">
        <f>IFERROR(__xludf.DUMMYFUNCTION("""COMPUTED_VALUE"""),140.0)</f>
        <v>140</v>
      </c>
      <c r="D151" s="131" t="b">
        <f>IFERROR(__xludf.DUMMYFUNCTION("""COMPUTED_VALUE"""),FALSE)</f>
        <v>0</v>
      </c>
      <c r="E151" s="109" t="str">
        <f>IFERROR(__xludf.DUMMYFUNCTION("""COMPUTED_VALUE"""),"ECLEVIA")</f>
        <v>ECLEVIA</v>
      </c>
      <c r="F151" s="109" t="str">
        <f>IFERROR(__xludf.DUMMYFUNCTION("""COMPUTED_VALUE"""),"ANGELICA")</f>
        <v>ANGELICA</v>
      </c>
    </row>
    <row r="152">
      <c r="A152" s="131">
        <f>IFERROR(__xludf.DUMMYFUNCTION("""COMPUTED_VALUE"""),151.0)</f>
        <v>151</v>
      </c>
      <c r="B152" s="131"/>
      <c r="C152" s="131">
        <f>IFERROR(__xludf.DUMMYFUNCTION("""COMPUTED_VALUE"""),140.0)</f>
        <v>140</v>
      </c>
      <c r="D152" s="131" t="b">
        <f>IFERROR(__xludf.DUMMYFUNCTION("""COMPUTED_VALUE"""),FALSE)</f>
        <v>0</v>
      </c>
      <c r="E152" s="109" t="str">
        <f>IFERROR(__xludf.DUMMYFUNCTION("""COMPUTED_VALUE"""),"FELIPE")</f>
        <v>FELIPE</v>
      </c>
      <c r="F152" s="109" t="str">
        <f>IFERROR(__xludf.DUMMYFUNCTION("""COMPUTED_VALUE"""),"JAIMIE")</f>
        <v>JAIMIE</v>
      </c>
    </row>
    <row r="153">
      <c r="A153" s="131">
        <f>IFERROR(__xludf.DUMMYFUNCTION("""COMPUTED_VALUE"""),152.0)</f>
        <v>152</v>
      </c>
      <c r="B153" s="131"/>
      <c r="C153" s="131">
        <f>IFERROR(__xludf.DUMMYFUNCTION("""COMPUTED_VALUE"""),140.0)</f>
        <v>140</v>
      </c>
      <c r="D153" s="131" t="b">
        <f>IFERROR(__xludf.DUMMYFUNCTION("""COMPUTED_VALUE"""),FALSE)</f>
        <v>0</v>
      </c>
      <c r="E153" s="109" t="str">
        <f>IFERROR(__xludf.DUMMYFUNCTION("""COMPUTED_VALUE"""),"FERNANDEZ")</f>
        <v>FERNANDEZ</v>
      </c>
      <c r="F153" s="109" t="str">
        <f>IFERROR(__xludf.DUMMYFUNCTION("""COMPUTED_VALUE"""),"SHARMAINE")</f>
        <v>SHARMAINE</v>
      </c>
    </row>
    <row r="154">
      <c r="A154" s="131">
        <f>IFERROR(__xludf.DUMMYFUNCTION("""COMPUTED_VALUE"""),153.0)</f>
        <v>153</v>
      </c>
      <c r="B154" s="131"/>
      <c r="C154" s="131">
        <f>IFERROR(__xludf.DUMMYFUNCTION("""COMPUTED_VALUE"""),140.0)</f>
        <v>140</v>
      </c>
      <c r="D154" s="131" t="b">
        <f>IFERROR(__xludf.DUMMYFUNCTION("""COMPUTED_VALUE"""),FALSE)</f>
        <v>0</v>
      </c>
      <c r="E154" s="109" t="str">
        <f>IFERROR(__xludf.DUMMYFUNCTION("""COMPUTED_VALUE"""),"FILIO")</f>
        <v>FILIO</v>
      </c>
      <c r="F154" s="109" t="str">
        <f>IFERROR(__xludf.DUMMYFUNCTION("""COMPUTED_VALUE"""),"DAISY")</f>
        <v>DAISY</v>
      </c>
    </row>
    <row r="155">
      <c r="A155" s="131">
        <f>IFERROR(__xludf.DUMMYFUNCTION("""COMPUTED_VALUE"""),154.0)</f>
        <v>154</v>
      </c>
      <c r="B155" s="131"/>
      <c r="C155" s="131">
        <f>IFERROR(__xludf.DUMMYFUNCTION("""COMPUTED_VALUE"""),140.0)</f>
        <v>140</v>
      </c>
      <c r="D155" s="131" t="b">
        <f>IFERROR(__xludf.DUMMYFUNCTION("""COMPUTED_VALUE"""),FALSE)</f>
        <v>0</v>
      </c>
      <c r="E155" s="109" t="str">
        <f>IFERROR(__xludf.DUMMYFUNCTION("""COMPUTED_VALUE"""),"FILIO")</f>
        <v>FILIO</v>
      </c>
      <c r="F155" s="109" t="str">
        <f>IFERROR(__xludf.DUMMYFUNCTION("""COMPUTED_VALUE"""),"JENNY")</f>
        <v>JENNY</v>
      </c>
    </row>
    <row r="156">
      <c r="A156" s="131">
        <f>IFERROR(__xludf.DUMMYFUNCTION("""COMPUTED_VALUE"""),155.0)</f>
        <v>155</v>
      </c>
      <c r="B156" s="131"/>
      <c r="C156" s="131">
        <f>IFERROR(__xludf.DUMMYFUNCTION("""COMPUTED_VALUE"""),140.0)</f>
        <v>140</v>
      </c>
      <c r="D156" s="131" t="b">
        <f>IFERROR(__xludf.DUMMYFUNCTION("""COMPUTED_VALUE"""),FALSE)</f>
        <v>0</v>
      </c>
      <c r="E156" s="109" t="str">
        <f>IFERROR(__xludf.DUMMYFUNCTION("""COMPUTED_VALUE"""),"FLORO")</f>
        <v>FLORO</v>
      </c>
      <c r="F156" s="109" t="str">
        <f>IFERROR(__xludf.DUMMYFUNCTION("""COMPUTED_VALUE"""),"JUSTINE")</f>
        <v>JUSTINE</v>
      </c>
    </row>
    <row r="157">
      <c r="A157" s="131">
        <f>IFERROR(__xludf.DUMMYFUNCTION("""COMPUTED_VALUE"""),156.0)</f>
        <v>156</v>
      </c>
      <c r="B157" s="131"/>
      <c r="C157" s="131">
        <f>IFERROR(__xludf.DUMMYFUNCTION("""COMPUTED_VALUE"""),140.0)</f>
        <v>140</v>
      </c>
      <c r="D157" s="131" t="b">
        <f>IFERROR(__xludf.DUMMYFUNCTION("""COMPUTED_VALUE"""),FALSE)</f>
        <v>0</v>
      </c>
      <c r="E157" s="109" t="str">
        <f>IFERROR(__xludf.DUMMYFUNCTION("""COMPUTED_VALUE"""),"FLORO")</f>
        <v>FLORO</v>
      </c>
      <c r="F157" s="109" t="str">
        <f>IFERROR(__xludf.DUMMYFUNCTION("""COMPUTED_VALUE"""),"MICA")</f>
        <v>MICA</v>
      </c>
    </row>
    <row r="158">
      <c r="A158" s="131">
        <f>IFERROR(__xludf.DUMMYFUNCTION("""COMPUTED_VALUE"""),157.0)</f>
        <v>157</v>
      </c>
      <c r="B158" s="131"/>
      <c r="C158" s="131">
        <f>IFERROR(__xludf.DUMMYFUNCTION("""COMPUTED_VALUE"""),140.0)</f>
        <v>140</v>
      </c>
      <c r="D158" s="131" t="b">
        <f>IFERROR(__xludf.DUMMYFUNCTION("""COMPUTED_VALUE"""),FALSE)</f>
        <v>0</v>
      </c>
      <c r="E158" s="109" t="str">
        <f>IFERROR(__xludf.DUMMYFUNCTION("""COMPUTED_VALUE"""),"FRANCISCO")</f>
        <v>FRANCISCO</v>
      </c>
      <c r="F158" s="109" t="str">
        <f>IFERROR(__xludf.DUMMYFUNCTION("""COMPUTED_VALUE"""),"RAMILYN")</f>
        <v>RAMILYN</v>
      </c>
    </row>
    <row r="159">
      <c r="A159" s="131">
        <f>IFERROR(__xludf.DUMMYFUNCTION("""COMPUTED_VALUE"""),158.0)</f>
        <v>158</v>
      </c>
      <c r="B159" s="131"/>
      <c r="C159" s="131">
        <f>IFERROR(__xludf.DUMMYFUNCTION("""COMPUTED_VALUE"""),140.0)</f>
        <v>140</v>
      </c>
      <c r="D159" s="131" t="b">
        <f>IFERROR(__xludf.DUMMYFUNCTION("""COMPUTED_VALUE"""),FALSE)</f>
        <v>0</v>
      </c>
      <c r="E159" s="109" t="str">
        <f>IFERROR(__xludf.DUMMYFUNCTION("""COMPUTED_VALUE"""),"GEMOTO")</f>
        <v>GEMOTO</v>
      </c>
      <c r="F159" s="109" t="str">
        <f>IFERROR(__xludf.DUMMYFUNCTION("""COMPUTED_VALUE"""),"JASMINE")</f>
        <v>JASMINE</v>
      </c>
    </row>
    <row r="160">
      <c r="A160" s="131">
        <f>IFERROR(__xludf.DUMMYFUNCTION("""COMPUTED_VALUE"""),159.0)</f>
        <v>159</v>
      </c>
      <c r="B160" s="131"/>
      <c r="C160" s="131">
        <f>IFERROR(__xludf.DUMMYFUNCTION("""COMPUTED_VALUE"""),140.0)</f>
        <v>140</v>
      </c>
      <c r="D160" s="131" t="b">
        <f>IFERROR(__xludf.DUMMYFUNCTION("""COMPUTED_VALUE"""),FALSE)</f>
        <v>0</v>
      </c>
      <c r="E160" s="109" t="str">
        <f>IFERROR(__xludf.DUMMYFUNCTION("""COMPUTED_VALUE"""),"LABAYNE")</f>
        <v>LABAYNE</v>
      </c>
      <c r="F160" s="109" t="str">
        <f>IFERROR(__xludf.DUMMYFUNCTION("""COMPUTED_VALUE"""),"GRACE")</f>
        <v>GRACE</v>
      </c>
    </row>
    <row r="161">
      <c r="A161" s="131">
        <f>IFERROR(__xludf.DUMMYFUNCTION("""COMPUTED_VALUE"""),160.0)</f>
        <v>160</v>
      </c>
      <c r="B161" s="131"/>
      <c r="C161" s="131">
        <f>IFERROR(__xludf.DUMMYFUNCTION("""COMPUTED_VALUE"""),140.0)</f>
        <v>140</v>
      </c>
      <c r="D161" s="131" t="b">
        <f>IFERROR(__xludf.DUMMYFUNCTION("""COMPUTED_VALUE"""),FALSE)</f>
        <v>0</v>
      </c>
      <c r="E161" s="109" t="str">
        <f>IFERROR(__xludf.DUMMYFUNCTION("""COMPUTED_VALUE"""),"OCEMAN")</f>
        <v>OCEMAN</v>
      </c>
      <c r="F161" s="109" t="str">
        <f>IFERROR(__xludf.DUMMYFUNCTION("""COMPUTED_VALUE"""),"RAI-RAI")</f>
        <v>RAI-RAI</v>
      </c>
    </row>
    <row r="162">
      <c r="A162" s="131">
        <f>IFERROR(__xludf.DUMMYFUNCTION("""COMPUTED_VALUE"""),161.0)</f>
        <v>161</v>
      </c>
      <c r="B162" s="131"/>
      <c r="C162" s="131">
        <f>IFERROR(__xludf.DUMMYFUNCTION("""COMPUTED_VALUE"""),140.0)</f>
        <v>140</v>
      </c>
      <c r="D162" s="131" t="b">
        <f>IFERROR(__xludf.DUMMYFUNCTION("""COMPUTED_VALUE"""),FALSE)</f>
        <v>0</v>
      </c>
      <c r="E162" s="109" t="str">
        <f>IFERROR(__xludf.DUMMYFUNCTION("""COMPUTED_VALUE"""),"ORQUIA")</f>
        <v>ORQUIA</v>
      </c>
      <c r="F162" s="109" t="str">
        <f>IFERROR(__xludf.DUMMYFUNCTION("""COMPUTED_VALUE"""),"KEZA")</f>
        <v>KEZA</v>
      </c>
    </row>
    <row r="163">
      <c r="A163" s="131">
        <f>IFERROR(__xludf.DUMMYFUNCTION("""COMPUTED_VALUE"""),162.0)</f>
        <v>162</v>
      </c>
      <c r="B163" s="131"/>
      <c r="C163" s="131">
        <f>IFERROR(__xludf.DUMMYFUNCTION("""COMPUTED_VALUE"""),140.0)</f>
        <v>140</v>
      </c>
      <c r="D163" s="131" t="b">
        <f>IFERROR(__xludf.DUMMYFUNCTION("""COMPUTED_VALUE"""),FALSE)</f>
        <v>0</v>
      </c>
      <c r="E163" s="109" t="str">
        <f>IFERROR(__xludf.DUMMYFUNCTION("""COMPUTED_VALUE"""),"PERALTA")</f>
        <v>PERALTA</v>
      </c>
      <c r="F163" s="109" t="str">
        <f>IFERROR(__xludf.DUMMYFUNCTION("""COMPUTED_VALUE"""),"YEN")</f>
        <v>YEN</v>
      </c>
    </row>
    <row r="164">
      <c r="A164" s="131">
        <f>IFERROR(__xludf.DUMMYFUNCTION("""COMPUTED_VALUE"""),163.0)</f>
        <v>163</v>
      </c>
      <c r="B164" s="131"/>
      <c r="C164" s="131">
        <f>IFERROR(__xludf.DUMMYFUNCTION("""COMPUTED_VALUE"""),140.0)</f>
        <v>140</v>
      </c>
      <c r="D164" s="131" t="b">
        <f>IFERROR(__xludf.DUMMYFUNCTION("""COMPUTED_VALUE"""),FALSE)</f>
        <v>0</v>
      </c>
      <c r="E164" s="109" t="str">
        <f>IFERROR(__xludf.DUMMYFUNCTION("""COMPUTED_VALUE"""),"TAN SANCHEZ")</f>
        <v>TAN SANCHEZ</v>
      </c>
      <c r="F164" s="109" t="str">
        <f>IFERROR(__xludf.DUMMYFUNCTION("""COMPUTED_VALUE"""),"MARY KHAYE")</f>
        <v>MARY KHAYE</v>
      </c>
    </row>
    <row r="165">
      <c r="A165" s="131">
        <f>IFERROR(__xludf.DUMMYFUNCTION("""COMPUTED_VALUE"""),164.0)</f>
        <v>164</v>
      </c>
      <c r="B165" s="131"/>
      <c r="C165" s="131">
        <f>IFERROR(__xludf.DUMMYFUNCTION("""COMPUTED_VALUE"""),140.0)</f>
        <v>140</v>
      </c>
      <c r="D165" s="131" t="b">
        <f>IFERROR(__xludf.DUMMYFUNCTION("""COMPUTED_VALUE"""),FALSE)</f>
        <v>0</v>
      </c>
      <c r="E165" s="109" t="str">
        <f>IFERROR(__xludf.DUMMYFUNCTION("""COMPUTED_VALUE"""),"TANDUL")</f>
        <v>TANDUL</v>
      </c>
      <c r="F165" s="109" t="str">
        <f>IFERROR(__xludf.DUMMYFUNCTION("""COMPUTED_VALUE"""),"ELAIJAH")</f>
        <v>ELAIJAH</v>
      </c>
    </row>
    <row r="166">
      <c r="A166" s="131">
        <f>IFERROR(__xludf.DUMMYFUNCTION("""COMPUTED_VALUE"""),165.0)</f>
        <v>165</v>
      </c>
      <c r="B166" s="131"/>
      <c r="C166" s="131">
        <f>IFERROR(__xludf.DUMMYFUNCTION("""COMPUTED_VALUE"""),140.0)</f>
        <v>140</v>
      </c>
      <c r="D166" s="131" t="b">
        <f>IFERROR(__xludf.DUMMYFUNCTION("""COMPUTED_VALUE"""),FALSE)</f>
        <v>0</v>
      </c>
      <c r="E166" s="109" t="str">
        <f>IFERROR(__xludf.DUMMYFUNCTION("""COMPUTED_VALUE"""),"VILLONES")</f>
        <v>VILLONES</v>
      </c>
      <c r="F166" s="109" t="str">
        <f>IFERROR(__xludf.DUMMYFUNCTION("""COMPUTED_VALUE"""),"RHEA")</f>
        <v>RHEA</v>
      </c>
    </row>
    <row r="167">
      <c r="A167" s="131">
        <f>IFERROR(__xludf.DUMMYFUNCTION("""COMPUTED_VALUE"""),166.0)</f>
        <v>166</v>
      </c>
      <c r="B167" s="131"/>
      <c r="C167" s="131"/>
      <c r="D167" s="131" t="b">
        <f>IFERROR(__xludf.DUMMYFUNCTION("""COMPUTED_VALUE"""),FALSE)</f>
        <v>0</v>
      </c>
      <c r="E167" s="131"/>
      <c r="F167" s="131"/>
    </row>
    <row r="168">
      <c r="A168" s="131">
        <f>IFERROR(__xludf.DUMMYFUNCTION("""COMPUTED_VALUE"""),167.0)</f>
        <v>167</v>
      </c>
      <c r="B168" s="131"/>
      <c r="C168" s="131">
        <f>IFERROR(__xludf.DUMMYFUNCTION("""COMPUTED_VALUE"""),167.0)</f>
        <v>167</v>
      </c>
      <c r="D168" s="131" t="b">
        <f>IFERROR(__xludf.DUMMYFUNCTION("""COMPUTED_VALUE"""),TRUE)</f>
        <v>1</v>
      </c>
      <c r="E168" s="105" t="str">
        <f>IFERROR(__xludf.DUMMYFUNCTION("""COMPUTED_VALUE"""),"DE-DIOS")</f>
        <v>DE-DIOS</v>
      </c>
      <c r="F168" s="105" t="str">
        <f>IFERROR(__xludf.DUMMYFUNCTION("""COMPUTED_VALUE"""),"JAY-EL")</f>
        <v>JAY-EL</v>
      </c>
    </row>
    <row r="169">
      <c r="A169" s="131">
        <f>IFERROR(__xludf.DUMMYFUNCTION("""COMPUTED_VALUE"""),168.0)</f>
        <v>168</v>
      </c>
      <c r="B169" s="131"/>
      <c r="C169" s="131">
        <f>IFERROR(__xludf.DUMMYFUNCTION("""COMPUTED_VALUE"""),167.0)</f>
        <v>167</v>
      </c>
      <c r="D169" s="131" t="b">
        <f>IFERROR(__xludf.DUMMYFUNCTION("""COMPUTED_VALUE"""),FALSE)</f>
        <v>0</v>
      </c>
      <c r="E169" s="107" t="str">
        <f>IFERROR(__xludf.DUMMYFUNCTION("""COMPUTED_VALUE"""),"BARONGGO")</f>
        <v>BARONGGO</v>
      </c>
      <c r="F169" s="107" t="str">
        <f>IFERROR(__xludf.DUMMYFUNCTION("""COMPUTED_VALUE"""),"FRANK")</f>
        <v>FRANK</v>
      </c>
    </row>
    <row r="170">
      <c r="A170" s="131">
        <f>IFERROR(__xludf.DUMMYFUNCTION("""COMPUTED_VALUE"""),169.0)</f>
        <v>169</v>
      </c>
      <c r="B170" s="131"/>
      <c r="C170" s="131">
        <f>IFERROR(__xludf.DUMMYFUNCTION("""COMPUTED_VALUE"""),167.0)</f>
        <v>167</v>
      </c>
      <c r="D170" s="131" t="b">
        <f>IFERROR(__xludf.DUMMYFUNCTION("""COMPUTED_VALUE"""),FALSE)</f>
        <v>0</v>
      </c>
      <c r="E170" s="107" t="str">
        <f>IFERROR(__xludf.DUMMYFUNCTION("""COMPUTED_VALUE"""),"ABENOJAR")</f>
        <v>ABENOJAR</v>
      </c>
      <c r="F170" s="107" t="str">
        <f>IFERROR(__xludf.DUMMYFUNCTION("""COMPUTED_VALUE"""),"CLIFFORD")</f>
        <v>CLIFFORD</v>
      </c>
    </row>
    <row r="171">
      <c r="A171" s="131">
        <f>IFERROR(__xludf.DUMMYFUNCTION("""COMPUTED_VALUE"""),170.0)</f>
        <v>170</v>
      </c>
      <c r="B171" s="131"/>
      <c r="C171" s="131">
        <f>IFERROR(__xludf.DUMMYFUNCTION("""COMPUTED_VALUE"""),167.0)</f>
        <v>167</v>
      </c>
      <c r="D171" s="131" t="b">
        <f>IFERROR(__xludf.DUMMYFUNCTION("""COMPUTED_VALUE"""),FALSE)</f>
        <v>0</v>
      </c>
      <c r="E171" s="107" t="str">
        <f>IFERROR(__xludf.DUMMYFUNCTION("""COMPUTED_VALUE"""),"ABUS")</f>
        <v>ABUS</v>
      </c>
      <c r="F171" s="107" t="str">
        <f>IFERROR(__xludf.DUMMYFUNCTION("""COMPUTED_VALUE"""),"RV PETER")</f>
        <v>RV PETER</v>
      </c>
    </row>
    <row r="172">
      <c r="A172" s="131">
        <f>IFERROR(__xludf.DUMMYFUNCTION("""COMPUTED_VALUE"""),171.0)</f>
        <v>171</v>
      </c>
      <c r="B172" s="131"/>
      <c r="C172" s="131">
        <f>IFERROR(__xludf.DUMMYFUNCTION("""COMPUTED_VALUE"""),167.0)</f>
        <v>167</v>
      </c>
      <c r="D172" s="131" t="b">
        <f>IFERROR(__xludf.DUMMYFUNCTION("""COMPUTED_VALUE"""),FALSE)</f>
        <v>0</v>
      </c>
      <c r="E172" s="107" t="str">
        <f>IFERROR(__xludf.DUMMYFUNCTION("""COMPUTED_VALUE"""),"ANTONIO")</f>
        <v>ANTONIO</v>
      </c>
      <c r="F172" s="107" t="str">
        <f>IFERROR(__xludf.DUMMYFUNCTION("""COMPUTED_VALUE"""),"DON")</f>
        <v>DON</v>
      </c>
    </row>
    <row r="173">
      <c r="A173" s="131">
        <f>IFERROR(__xludf.DUMMYFUNCTION("""COMPUTED_VALUE"""),172.0)</f>
        <v>172</v>
      </c>
      <c r="B173" s="131"/>
      <c r="C173" s="131">
        <f>IFERROR(__xludf.DUMMYFUNCTION("""COMPUTED_VALUE"""),167.0)</f>
        <v>167</v>
      </c>
      <c r="D173" s="131" t="b">
        <f>IFERROR(__xludf.DUMMYFUNCTION("""COMPUTED_VALUE"""),FALSE)</f>
        <v>0</v>
      </c>
      <c r="E173" s="107" t="str">
        <f>IFERROR(__xludf.DUMMYFUNCTION("""COMPUTED_VALUE"""),"BERDIN")</f>
        <v>BERDIN</v>
      </c>
      <c r="F173" s="107" t="str">
        <f>IFERROR(__xludf.DUMMYFUNCTION("""COMPUTED_VALUE"""),"KURT")</f>
        <v>KURT</v>
      </c>
    </row>
    <row r="174">
      <c r="A174" s="131">
        <f>IFERROR(__xludf.DUMMYFUNCTION("""COMPUTED_VALUE"""),173.0)</f>
        <v>173</v>
      </c>
      <c r="B174" s="131"/>
      <c r="C174" s="131">
        <f>IFERROR(__xludf.DUMMYFUNCTION("""COMPUTED_VALUE"""),167.0)</f>
        <v>167</v>
      </c>
      <c r="D174" s="131" t="b">
        <f>IFERROR(__xludf.DUMMYFUNCTION("""COMPUTED_VALUE"""),FALSE)</f>
        <v>0</v>
      </c>
      <c r="E174" s="107" t="str">
        <f>IFERROR(__xludf.DUMMYFUNCTION("""COMPUTED_VALUE"""),"CALUBIRAN")</f>
        <v>CALUBIRAN</v>
      </c>
      <c r="F174" s="107" t="str">
        <f>IFERROR(__xludf.DUMMYFUNCTION("""COMPUTED_VALUE"""),"JOEL")</f>
        <v>JOEL</v>
      </c>
    </row>
    <row r="175">
      <c r="A175" s="131">
        <f>IFERROR(__xludf.DUMMYFUNCTION("""COMPUTED_VALUE"""),174.0)</f>
        <v>174</v>
      </c>
      <c r="B175" s="131"/>
      <c r="C175" s="131">
        <f>IFERROR(__xludf.DUMMYFUNCTION("""COMPUTED_VALUE"""),167.0)</f>
        <v>167</v>
      </c>
      <c r="D175" s="131" t="b">
        <f>IFERROR(__xludf.DUMMYFUNCTION("""COMPUTED_VALUE"""),FALSE)</f>
        <v>0</v>
      </c>
      <c r="E175" s="107" t="str">
        <f>IFERROR(__xludf.DUMMYFUNCTION("""COMPUTED_VALUE"""),"CARANGAN")</f>
        <v>CARANGAN</v>
      </c>
      <c r="F175" s="107" t="str">
        <f>IFERROR(__xludf.DUMMYFUNCTION("""COMPUTED_VALUE"""),"LANCE")</f>
        <v>LANCE</v>
      </c>
    </row>
    <row r="176">
      <c r="A176" s="131">
        <f>IFERROR(__xludf.DUMMYFUNCTION("""COMPUTED_VALUE"""),175.0)</f>
        <v>175</v>
      </c>
      <c r="B176" s="131"/>
      <c r="C176" s="131">
        <f>IFERROR(__xludf.DUMMYFUNCTION("""COMPUTED_VALUE"""),167.0)</f>
        <v>167</v>
      </c>
      <c r="D176" s="131" t="b">
        <f>IFERROR(__xludf.DUMMYFUNCTION("""COMPUTED_VALUE"""),FALSE)</f>
        <v>0</v>
      </c>
      <c r="E176" s="107" t="str">
        <f>IFERROR(__xludf.DUMMYFUNCTION("""COMPUTED_VALUE"""),"CASINUSIMAN")</f>
        <v>CASINUSIMAN</v>
      </c>
      <c r="F176" s="107" t="str">
        <f>IFERROR(__xludf.DUMMYFUNCTION("""COMPUTED_VALUE"""),"RAINER")</f>
        <v>RAINER</v>
      </c>
    </row>
    <row r="177">
      <c r="A177" s="131">
        <f>IFERROR(__xludf.DUMMYFUNCTION("""COMPUTED_VALUE"""),176.0)</f>
        <v>176</v>
      </c>
      <c r="B177" s="131"/>
      <c r="C177" s="131">
        <f>IFERROR(__xludf.DUMMYFUNCTION("""COMPUTED_VALUE"""),167.0)</f>
        <v>167</v>
      </c>
      <c r="D177" s="131" t="b">
        <f>IFERROR(__xludf.DUMMYFUNCTION("""COMPUTED_VALUE"""),FALSE)</f>
        <v>0</v>
      </c>
      <c r="E177" s="107" t="str">
        <f>IFERROR(__xludf.DUMMYFUNCTION("""COMPUTED_VALUE"""),"CORVERA")</f>
        <v>CORVERA</v>
      </c>
      <c r="F177" s="107" t="str">
        <f>IFERROR(__xludf.DUMMYFUNCTION("""COMPUTED_VALUE"""),"FLORENCE")</f>
        <v>FLORENCE</v>
      </c>
    </row>
    <row r="178">
      <c r="A178" s="131">
        <f>IFERROR(__xludf.DUMMYFUNCTION("""COMPUTED_VALUE"""),177.0)</f>
        <v>177</v>
      </c>
      <c r="B178" s="131"/>
      <c r="C178" s="131">
        <f>IFERROR(__xludf.DUMMYFUNCTION("""COMPUTED_VALUE"""),167.0)</f>
        <v>167</v>
      </c>
      <c r="D178" s="131" t="b">
        <f>IFERROR(__xludf.DUMMYFUNCTION("""COMPUTED_VALUE"""),FALSE)</f>
        <v>0</v>
      </c>
      <c r="E178" s="107" t="str">
        <f>IFERROR(__xludf.DUMMYFUNCTION("""COMPUTED_VALUE"""),"DABALOS")</f>
        <v>DABALOS</v>
      </c>
      <c r="F178" s="107" t="str">
        <f>IFERROR(__xludf.DUMMYFUNCTION("""COMPUTED_VALUE"""),"MERVIN")</f>
        <v>MERVIN</v>
      </c>
    </row>
    <row r="179">
      <c r="A179" s="131">
        <f>IFERROR(__xludf.DUMMYFUNCTION("""COMPUTED_VALUE"""),178.0)</f>
        <v>178</v>
      </c>
      <c r="B179" s="131"/>
      <c r="C179" s="131">
        <f>IFERROR(__xludf.DUMMYFUNCTION("""COMPUTED_VALUE"""),167.0)</f>
        <v>167</v>
      </c>
      <c r="D179" s="131" t="b">
        <f>IFERROR(__xludf.DUMMYFUNCTION("""COMPUTED_VALUE"""),FALSE)</f>
        <v>0</v>
      </c>
      <c r="E179" s="107" t="str">
        <f>IFERROR(__xludf.DUMMYFUNCTION("""COMPUTED_VALUE"""),"DATO")</f>
        <v>DATO</v>
      </c>
      <c r="F179" s="107" t="str">
        <f>IFERROR(__xludf.DUMMYFUNCTION("""COMPUTED_VALUE"""),"JOHN AL")</f>
        <v>JOHN AL</v>
      </c>
    </row>
    <row r="180">
      <c r="A180" s="131">
        <f>IFERROR(__xludf.DUMMYFUNCTION("""COMPUTED_VALUE"""),179.0)</f>
        <v>179</v>
      </c>
      <c r="B180" s="131"/>
      <c r="C180" s="131">
        <f>IFERROR(__xludf.DUMMYFUNCTION("""COMPUTED_VALUE"""),167.0)</f>
        <v>167</v>
      </c>
      <c r="D180" s="131" t="b">
        <f>IFERROR(__xludf.DUMMYFUNCTION("""COMPUTED_VALUE"""),FALSE)</f>
        <v>0</v>
      </c>
      <c r="E180" s="107" t="str">
        <f>IFERROR(__xludf.DUMMYFUNCTION("""COMPUTED_VALUE"""),"DELA CRUZ")</f>
        <v>DELA CRUZ</v>
      </c>
      <c r="F180" s="107" t="str">
        <f>IFERROR(__xludf.DUMMYFUNCTION("""COMPUTED_VALUE"""),"DYLAN")</f>
        <v>DYLAN</v>
      </c>
    </row>
    <row r="181">
      <c r="A181" s="131">
        <f>IFERROR(__xludf.DUMMYFUNCTION("""COMPUTED_VALUE"""),180.0)</f>
        <v>180</v>
      </c>
      <c r="B181" s="131"/>
      <c r="C181" s="131">
        <f>IFERROR(__xludf.DUMMYFUNCTION("""COMPUTED_VALUE"""),167.0)</f>
        <v>167</v>
      </c>
      <c r="D181" s="131" t="b">
        <f>IFERROR(__xludf.DUMMYFUNCTION("""COMPUTED_VALUE"""),FALSE)</f>
        <v>0</v>
      </c>
      <c r="E181" s="107" t="str">
        <f>IFERROR(__xludf.DUMMYFUNCTION("""COMPUTED_VALUE"""),"DELA PEÑA")</f>
        <v>DELA PEÑA</v>
      </c>
      <c r="F181" s="107" t="str">
        <f>IFERROR(__xludf.DUMMYFUNCTION("""COMPUTED_VALUE"""),"ACEL")</f>
        <v>ACEL</v>
      </c>
    </row>
    <row r="182">
      <c r="A182" s="131">
        <f>IFERROR(__xludf.DUMMYFUNCTION("""COMPUTED_VALUE"""),181.0)</f>
        <v>181</v>
      </c>
      <c r="B182" s="131"/>
      <c r="C182" s="131">
        <f>IFERROR(__xludf.DUMMYFUNCTION("""COMPUTED_VALUE"""),167.0)</f>
        <v>167</v>
      </c>
      <c r="D182" s="131" t="b">
        <f>IFERROR(__xludf.DUMMYFUNCTION("""COMPUTED_VALUE"""),FALSE)</f>
        <v>0</v>
      </c>
      <c r="E182" s="107" t="str">
        <f>IFERROR(__xludf.DUMMYFUNCTION("""COMPUTED_VALUE"""),"DELECTOR")</f>
        <v>DELECTOR</v>
      </c>
      <c r="F182" s="107" t="str">
        <f>IFERROR(__xludf.DUMMYFUNCTION("""COMPUTED_VALUE"""),"FRANCIS CRISTEL")</f>
        <v>FRANCIS CRISTEL</v>
      </c>
    </row>
    <row r="183">
      <c r="A183" s="131">
        <f>IFERROR(__xludf.DUMMYFUNCTION("""COMPUTED_VALUE"""),182.0)</f>
        <v>182</v>
      </c>
      <c r="B183" s="131"/>
      <c r="C183" s="131">
        <f>IFERROR(__xludf.DUMMYFUNCTION("""COMPUTED_VALUE"""),167.0)</f>
        <v>167</v>
      </c>
      <c r="D183" s="131" t="b">
        <f>IFERROR(__xludf.DUMMYFUNCTION("""COMPUTED_VALUE"""),FALSE)</f>
        <v>0</v>
      </c>
      <c r="E183" s="107" t="str">
        <f>IFERROR(__xludf.DUMMYFUNCTION("""COMPUTED_VALUE"""),"DELECTOR")</f>
        <v>DELECTOR</v>
      </c>
      <c r="F183" s="107" t="str">
        <f>IFERROR(__xludf.DUMMYFUNCTION("""COMPUTED_VALUE"""),"FRANZINE CARLO")</f>
        <v>FRANZINE CARLO</v>
      </c>
    </row>
    <row r="184">
      <c r="A184" s="131">
        <f>IFERROR(__xludf.DUMMYFUNCTION("""COMPUTED_VALUE"""),183.0)</f>
        <v>183</v>
      </c>
      <c r="B184" s="131"/>
      <c r="C184" s="131">
        <f>IFERROR(__xludf.DUMMYFUNCTION("""COMPUTED_VALUE"""),167.0)</f>
        <v>167</v>
      </c>
      <c r="D184" s="131" t="b">
        <f>IFERROR(__xludf.DUMMYFUNCTION("""COMPUTED_VALUE"""),FALSE)</f>
        <v>0</v>
      </c>
      <c r="E184" s="107" t="str">
        <f>IFERROR(__xludf.DUMMYFUNCTION("""COMPUTED_VALUE"""),"FRONDA")</f>
        <v>FRONDA</v>
      </c>
      <c r="F184" s="107" t="str">
        <f>IFERROR(__xludf.DUMMYFUNCTION("""COMPUTED_VALUE"""),"ED")</f>
        <v>ED</v>
      </c>
    </row>
    <row r="185">
      <c r="A185" s="131">
        <f>IFERROR(__xludf.DUMMYFUNCTION("""COMPUTED_VALUE"""),184.0)</f>
        <v>184</v>
      </c>
      <c r="B185" s="131"/>
      <c r="C185" s="131">
        <f>IFERROR(__xludf.DUMMYFUNCTION("""COMPUTED_VALUE"""),167.0)</f>
        <v>167</v>
      </c>
      <c r="D185" s="131" t="b">
        <f>IFERROR(__xludf.DUMMYFUNCTION("""COMPUTED_VALUE"""),FALSE)</f>
        <v>0</v>
      </c>
      <c r="E185" s="107" t="str">
        <f>IFERROR(__xludf.DUMMYFUNCTION("""COMPUTED_VALUE"""),"GELICAME")</f>
        <v>GELICAME</v>
      </c>
      <c r="F185" s="107" t="str">
        <f>IFERROR(__xludf.DUMMYFUNCTION("""COMPUTED_VALUE"""),"ALJHUN")</f>
        <v>ALJHUN</v>
      </c>
    </row>
    <row r="186">
      <c r="A186" s="131">
        <f>IFERROR(__xludf.DUMMYFUNCTION("""COMPUTED_VALUE"""),185.0)</f>
        <v>185</v>
      </c>
      <c r="B186" s="131"/>
      <c r="C186" s="131">
        <f>IFERROR(__xludf.DUMMYFUNCTION("""COMPUTED_VALUE"""),167.0)</f>
        <v>167</v>
      </c>
      <c r="D186" s="131" t="b">
        <f>IFERROR(__xludf.DUMMYFUNCTION("""COMPUTED_VALUE"""),FALSE)</f>
        <v>0</v>
      </c>
      <c r="E186" s="107" t="str">
        <f>IFERROR(__xludf.DUMMYFUNCTION("""COMPUTED_VALUE"""),"LABAYNE")</f>
        <v>LABAYNE</v>
      </c>
      <c r="F186" s="107" t="str">
        <f>IFERROR(__xludf.DUMMYFUNCTION("""COMPUTED_VALUE"""),"JOSHUA")</f>
        <v>JOSHUA</v>
      </c>
    </row>
    <row r="187">
      <c r="A187" s="131">
        <f>IFERROR(__xludf.DUMMYFUNCTION("""COMPUTED_VALUE"""),186.0)</f>
        <v>186</v>
      </c>
      <c r="B187" s="131"/>
      <c r="C187" s="131">
        <f>IFERROR(__xludf.DUMMYFUNCTION("""COMPUTED_VALUE"""),167.0)</f>
        <v>167</v>
      </c>
      <c r="D187" s="131" t="b">
        <f>IFERROR(__xludf.DUMMYFUNCTION("""COMPUTED_VALUE"""),FALSE)</f>
        <v>0</v>
      </c>
      <c r="E187" s="107" t="str">
        <f>IFERROR(__xludf.DUMMYFUNCTION("""COMPUTED_VALUE"""),"LABAYNE")</f>
        <v>LABAYNE</v>
      </c>
      <c r="F187" s="107" t="str">
        <f>IFERROR(__xludf.DUMMYFUNCTION("""COMPUTED_VALUE"""),"MARK")</f>
        <v>MARK</v>
      </c>
    </row>
    <row r="188">
      <c r="A188" s="131">
        <f>IFERROR(__xludf.DUMMYFUNCTION("""COMPUTED_VALUE"""),187.0)</f>
        <v>187</v>
      </c>
      <c r="B188" s="131"/>
      <c r="C188" s="131">
        <f>IFERROR(__xludf.DUMMYFUNCTION("""COMPUTED_VALUE"""),167.0)</f>
        <v>167</v>
      </c>
      <c r="D188" s="131" t="b">
        <f>IFERROR(__xludf.DUMMYFUNCTION("""COMPUTED_VALUE"""),FALSE)</f>
        <v>0</v>
      </c>
      <c r="E188" s="107" t="str">
        <f>IFERROR(__xludf.DUMMYFUNCTION("""COMPUTED_VALUE"""),"LABAYNE")</f>
        <v>LABAYNE</v>
      </c>
      <c r="F188" s="107" t="str">
        <f>IFERROR(__xludf.DUMMYFUNCTION("""COMPUTED_VALUE"""),"JAMES")</f>
        <v>JAMES</v>
      </c>
    </row>
    <row r="189">
      <c r="A189" s="131">
        <f>IFERROR(__xludf.DUMMYFUNCTION("""COMPUTED_VALUE"""),188.0)</f>
        <v>188</v>
      </c>
      <c r="B189" s="131"/>
      <c r="C189" s="131">
        <f>IFERROR(__xludf.DUMMYFUNCTION("""COMPUTED_VALUE"""),167.0)</f>
        <v>167</v>
      </c>
      <c r="D189" s="131" t="b">
        <f>IFERROR(__xludf.DUMMYFUNCTION("""COMPUTED_VALUE"""),FALSE)</f>
        <v>0</v>
      </c>
      <c r="E189" s="107" t="str">
        <f>IFERROR(__xludf.DUMMYFUNCTION("""COMPUTED_VALUE"""),"LLORENTE")</f>
        <v>LLORENTE</v>
      </c>
      <c r="F189" s="107" t="str">
        <f>IFERROR(__xludf.DUMMYFUNCTION("""COMPUTED_VALUE"""),"MILLS")</f>
        <v>MILLS</v>
      </c>
    </row>
    <row r="190">
      <c r="A190" s="131">
        <f>IFERROR(__xludf.DUMMYFUNCTION("""COMPUTED_VALUE"""),189.0)</f>
        <v>189</v>
      </c>
      <c r="B190" s="131"/>
      <c r="C190" s="131">
        <f>IFERROR(__xludf.DUMMYFUNCTION("""COMPUTED_VALUE"""),167.0)</f>
        <v>167</v>
      </c>
      <c r="D190" s="131" t="b">
        <f>IFERROR(__xludf.DUMMYFUNCTION("""COMPUTED_VALUE"""),FALSE)</f>
        <v>0</v>
      </c>
      <c r="E190" s="107" t="str">
        <f>IFERROR(__xludf.DUMMYFUNCTION("""COMPUTED_VALUE"""),"MANUEL")</f>
        <v>MANUEL</v>
      </c>
      <c r="F190" s="107" t="str">
        <f>IFERROR(__xludf.DUMMYFUNCTION("""COMPUTED_VALUE"""),"JOHN MARK")</f>
        <v>JOHN MARK</v>
      </c>
    </row>
    <row r="191">
      <c r="A191" s="131">
        <f>IFERROR(__xludf.DUMMYFUNCTION("""COMPUTED_VALUE"""),190.0)</f>
        <v>190</v>
      </c>
      <c r="B191" s="131"/>
      <c r="C191" s="131">
        <f>IFERROR(__xludf.DUMMYFUNCTION("""COMPUTED_VALUE"""),167.0)</f>
        <v>167</v>
      </c>
      <c r="D191" s="131" t="b">
        <f>IFERROR(__xludf.DUMMYFUNCTION("""COMPUTED_VALUE"""),FALSE)</f>
        <v>0</v>
      </c>
      <c r="E191" s="107" t="str">
        <f>IFERROR(__xludf.DUMMYFUNCTION("""COMPUTED_VALUE"""),"MENDOZA")</f>
        <v>MENDOZA</v>
      </c>
      <c r="F191" s="107" t="str">
        <f>IFERROR(__xludf.DUMMYFUNCTION("""COMPUTED_VALUE"""),"JM")</f>
        <v>JM</v>
      </c>
    </row>
    <row r="192">
      <c r="A192" s="131">
        <f>IFERROR(__xludf.DUMMYFUNCTION("""COMPUTED_VALUE"""),191.0)</f>
        <v>191</v>
      </c>
      <c r="B192" s="131"/>
      <c r="C192" s="131">
        <f>IFERROR(__xludf.DUMMYFUNCTION("""COMPUTED_VALUE"""),167.0)</f>
        <v>167</v>
      </c>
      <c r="D192" s="131" t="b">
        <f>IFERROR(__xludf.DUMMYFUNCTION("""COMPUTED_VALUE"""),FALSE)</f>
        <v>0</v>
      </c>
      <c r="E192" s="107" t="str">
        <f>IFERROR(__xludf.DUMMYFUNCTION("""COMPUTED_VALUE"""),"MOLINA")</f>
        <v>MOLINA</v>
      </c>
      <c r="F192" s="107" t="str">
        <f>IFERROR(__xludf.DUMMYFUNCTION("""COMPUTED_VALUE"""),"ADRIAN")</f>
        <v>ADRIAN</v>
      </c>
    </row>
    <row r="193">
      <c r="A193" s="131">
        <f>IFERROR(__xludf.DUMMYFUNCTION("""COMPUTED_VALUE"""),192.0)</f>
        <v>192</v>
      </c>
      <c r="B193" s="131"/>
      <c r="C193" s="131">
        <f>IFERROR(__xludf.DUMMYFUNCTION("""COMPUTED_VALUE"""),167.0)</f>
        <v>167</v>
      </c>
      <c r="D193" s="131" t="b">
        <f>IFERROR(__xludf.DUMMYFUNCTION("""COMPUTED_VALUE"""),FALSE)</f>
        <v>0</v>
      </c>
      <c r="E193" s="107" t="str">
        <f>IFERROR(__xludf.DUMMYFUNCTION("""COMPUTED_VALUE"""),"MONTECER")</f>
        <v>MONTECER</v>
      </c>
      <c r="F193" s="107" t="str">
        <f>IFERROR(__xludf.DUMMYFUNCTION("""COMPUTED_VALUE"""),"RYAN")</f>
        <v>RYAN</v>
      </c>
    </row>
    <row r="194">
      <c r="A194" s="131">
        <f>IFERROR(__xludf.DUMMYFUNCTION("""COMPUTED_VALUE"""),193.0)</f>
        <v>193</v>
      </c>
      <c r="B194" s="131"/>
      <c r="C194" s="131">
        <f>IFERROR(__xludf.DUMMYFUNCTION("""COMPUTED_VALUE"""),167.0)</f>
        <v>167</v>
      </c>
      <c r="D194" s="131" t="b">
        <f>IFERROR(__xludf.DUMMYFUNCTION("""COMPUTED_VALUE"""),FALSE)</f>
        <v>0</v>
      </c>
      <c r="E194" s="107" t="str">
        <f>IFERROR(__xludf.DUMMYFUNCTION("""COMPUTED_VALUE"""),"MOSQUITO")</f>
        <v>MOSQUITO</v>
      </c>
      <c r="F194" s="107" t="str">
        <f>IFERROR(__xludf.DUMMYFUNCTION("""COMPUTED_VALUE"""),"JOHN MARK")</f>
        <v>JOHN MARK</v>
      </c>
    </row>
    <row r="195">
      <c r="A195" s="131">
        <f>IFERROR(__xludf.DUMMYFUNCTION("""COMPUTED_VALUE"""),194.0)</f>
        <v>194</v>
      </c>
      <c r="B195" s="131"/>
      <c r="C195" s="131">
        <f>IFERROR(__xludf.DUMMYFUNCTION("""COMPUTED_VALUE"""),167.0)</f>
        <v>167</v>
      </c>
      <c r="D195" s="131" t="b">
        <f>IFERROR(__xludf.DUMMYFUNCTION("""COMPUTED_VALUE"""),FALSE)</f>
        <v>0</v>
      </c>
      <c r="E195" s="107" t="str">
        <f>IFERROR(__xludf.DUMMYFUNCTION("""COMPUTED_VALUE"""),"PASCUAL")</f>
        <v>PASCUAL</v>
      </c>
      <c r="F195" s="107" t="str">
        <f>IFERROR(__xludf.DUMMYFUNCTION("""COMPUTED_VALUE"""),"KIOSKE")</f>
        <v>KIOSKE</v>
      </c>
    </row>
    <row r="196">
      <c r="A196" s="131">
        <f>IFERROR(__xludf.DUMMYFUNCTION("""COMPUTED_VALUE"""),195.0)</f>
        <v>195</v>
      </c>
      <c r="B196" s="131"/>
      <c r="C196" s="131">
        <f>IFERROR(__xludf.DUMMYFUNCTION("""COMPUTED_VALUE"""),167.0)</f>
        <v>167</v>
      </c>
      <c r="D196" s="131" t="b">
        <f>IFERROR(__xludf.DUMMYFUNCTION("""COMPUTED_VALUE"""),FALSE)</f>
        <v>0</v>
      </c>
      <c r="E196" s="107" t="str">
        <f>IFERROR(__xludf.DUMMYFUNCTION("""COMPUTED_VALUE"""),"PERALTA")</f>
        <v>PERALTA</v>
      </c>
      <c r="F196" s="107" t="str">
        <f>IFERROR(__xludf.DUMMYFUNCTION("""COMPUTED_VALUE"""),"MARION")</f>
        <v>MARION</v>
      </c>
    </row>
    <row r="197">
      <c r="A197" s="131">
        <f>IFERROR(__xludf.DUMMYFUNCTION("""COMPUTED_VALUE"""),196.0)</f>
        <v>196</v>
      </c>
      <c r="B197" s="131"/>
      <c r="C197" s="131">
        <f>IFERROR(__xludf.DUMMYFUNCTION("""COMPUTED_VALUE"""),167.0)</f>
        <v>167</v>
      </c>
      <c r="D197" s="131" t="b">
        <f>IFERROR(__xludf.DUMMYFUNCTION("""COMPUTED_VALUE"""),FALSE)</f>
        <v>0</v>
      </c>
      <c r="E197" s="107" t="str">
        <f>IFERROR(__xludf.DUMMYFUNCTION("""COMPUTED_VALUE"""),"RANOLA")</f>
        <v>RANOLA</v>
      </c>
      <c r="F197" s="107" t="str">
        <f>IFERROR(__xludf.DUMMYFUNCTION("""COMPUTED_VALUE"""),"JOHN GABRIELLE P.")</f>
        <v>JOHN GABRIELLE P.</v>
      </c>
    </row>
    <row r="198">
      <c r="A198" s="131">
        <f>IFERROR(__xludf.DUMMYFUNCTION("""COMPUTED_VALUE"""),197.0)</f>
        <v>197</v>
      </c>
      <c r="B198" s="131"/>
      <c r="C198" s="131">
        <f>IFERROR(__xludf.DUMMYFUNCTION("""COMPUTED_VALUE"""),167.0)</f>
        <v>167</v>
      </c>
      <c r="D198" s="131" t="b">
        <f>IFERROR(__xludf.DUMMYFUNCTION("""COMPUTED_VALUE"""),FALSE)</f>
        <v>0</v>
      </c>
      <c r="E198" s="107" t="str">
        <f>IFERROR(__xludf.DUMMYFUNCTION("""COMPUTED_VALUE"""),"REMOPALOS")</f>
        <v>REMOPALOS</v>
      </c>
      <c r="F198" s="107" t="str">
        <f>IFERROR(__xludf.DUMMYFUNCTION("""COMPUTED_VALUE"""),"ZION")</f>
        <v>ZION</v>
      </c>
    </row>
    <row r="199">
      <c r="A199" s="131">
        <f>IFERROR(__xludf.DUMMYFUNCTION("""COMPUTED_VALUE"""),198.0)</f>
        <v>198</v>
      </c>
      <c r="B199" s="131"/>
      <c r="C199" s="131">
        <f>IFERROR(__xludf.DUMMYFUNCTION("""COMPUTED_VALUE"""),167.0)</f>
        <v>167</v>
      </c>
      <c r="D199" s="131" t="b">
        <f>IFERROR(__xludf.DUMMYFUNCTION("""COMPUTED_VALUE"""),FALSE)</f>
        <v>0</v>
      </c>
      <c r="E199" s="107" t="str">
        <f>IFERROR(__xludf.DUMMYFUNCTION("""COMPUTED_VALUE"""),"ROSAL")</f>
        <v>ROSAL</v>
      </c>
      <c r="F199" s="107" t="str">
        <f>IFERROR(__xludf.DUMMYFUNCTION("""COMPUTED_VALUE"""),"CYRUS JOSEPH")</f>
        <v>CYRUS JOSEPH</v>
      </c>
    </row>
    <row r="200">
      <c r="A200" s="131">
        <f>IFERROR(__xludf.DUMMYFUNCTION("""COMPUTED_VALUE"""),199.0)</f>
        <v>199</v>
      </c>
      <c r="B200" s="131"/>
      <c r="C200" s="131">
        <f>IFERROR(__xludf.DUMMYFUNCTION("""COMPUTED_VALUE"""),167.0)</f>
        <v>167</v>
      </c>
      <c r="D200" s="131" t="b">
        <f>IFERROR(__xludf.DUMMYFUNCTION("""COMPUTED_VALUE"""),FALSE)</f>
        <v>0</v>
      </c>
      <c r="E200" s="107" t="str">
        <f>IFERROR(__xludf.DUMMYFUNCTION("""COMPUTED_VALUE"""),"SAMONTANES")</f>
        <v>SAMONTANES</v>
      </c>
      <c r="F200" s="107" t="str">
        <f>IFERROR(__xludf.DUMMYFUNCTION("""COMPUTED_VALUE"""),"DAVID")</f>
        <v>DAVID</v>
      </c>
    </row>
    <row r="201">
      <c r="A201" s="131">
        <f>IFERROR(__xludf.DUMMYFUNCTION("""COMPUTED_VALUE"""),200.0)</f>
        <v>200</v>
      </c>
      <c r="B201" s="131"/>
      <c r="C201" s="131">
        <f>IFERROR(__xludf.DUMMYFUNCTION("""COMPUTED_VALUE"""),167.0)</f>
        <v>167</v>
      </c>
      <c r="D201" s="131" t="b">
        <f>IFERROR(__xludf.DUMMYFUNCTION("""COMPUTED_VALUE"""),FALSE)</f>
        <v>0</v>
      </c>
      <c r="E201" s="107" t="str">
        <f>IFERROR(__xludf.DUMMYFUNCTION("""COMPUTED_VALUE"""),"SISON")</f>
        <v>SISON</v>
      </c>
      <c r="F201" s="107" t="str">
        <f>IFERROR(__xludf.DUMMYFUNCTION("""COMPUTED_VALUE"""),"RAVEN JAZZ")</f>
        <v>RAVEN JAZZ</v>
      </c>
    </row>
    <row r="202">
      <c r="A202" s="131">
        <f>IFERROR(__xludf.DUMMYFUNCTION("""COMPUTED_VALUE"""),201.0)</f>
        <v>201</v>
      </c>
      <c r="B202" s="131"/>
      <c r="C202" s="131">
        <f>IFERROR(__xludf.DUMMYFUNCTION("""COMPUTED_VALUE"""),167.0)</f>
        <v>167</v>
      </c>
      <c r="D202" s="131" t="b">
        <f>IFERROR(__xludf.DUMMYFUNCTION("""COMPUTED_VALUE"""),FALSE)</f>
        <v>0</v>
      </c>
      <c r="E202" s="107" t="str">
        <f>IFERROR(__xludf.DUMMYFUNCTION("""COMPUTED_VALUE"""),"SOMERA")</f>
        <v>SOMERA</v>
      </c>
      <c r="F202" s="107" t="str">
        <f>IFERROR(__xludf.DUMMYFUNCTION("""COMPUTED_VALUE"""),"MICHAEL")</f>
        <v>MICHAEL</v>
      </c>
    </row>
    <row r="203">
      <c r="A203" s="131">
        <f>IFERROR(__xludf.DUMMYFUNCTION("""COMPUTED_VALUE"""),202.0)</f>
        <v>202</v>
      </c>
      <c r="B203" s="131"/>
      <c r="C203" s="131">
        <f>IFERROR(__xludf.DUMMYFUNCTION("""COMPUTED_VALUE"""),167.0)</f>
        <v>167</v>
      </c>
      <c r="D203" s="131" t="b">
        <f>IFERROR(__xludf.DUMMYFUNCTION("""COMPUTED_VALUE"""),FALSE)</f>
        <v>0</v>
      </c>
      <c r="E203" s="107" t="str">
        <f>IFERROR(__xludf.DUMMYFUNCTION("""COMPUTED_VALUE"""),"TAMIDLES")</f>
        <v>TAMIDLES</v>
      </c>
      <c r="F203" s="107" t="str">
        <f>IFERROR(__xludf.DUMMYFUNCTION("""COMPUTED_VALUE"""),"KARL")</f>
        <v>KARL</v>
      </c>
    </row>
    <row r="204">
      <c r="A204" s="131">
        <f>IFERROR(__xludf.DUMMYFUNCTION("""COMPUTED_VALUE"""),203.0)</f>
        <v>203</v>
      </c>
      <c r="B204" s="131"/>
      <c r="C204" s="131">
        <f>IFERROR(__xludf.DUMMYFUNCTION("""COMPUTED_VALUE"""),167.0)</f>
        <v>167</v>
      </c>
      <c r="D204" s="131" t="b">
        <f>IFERROR(__xludf.DUMMYFUNCTION("""COMPUTED_VALUE"""),FALSE)</f>
        <v>0</v>
      </c>
      <c r="E204" s="107" t="str">
        <f>IFERROR(__xludf.DUMMYFUNCTION("""COMPUTED_VALUE"""),"TAN")</f>
        <v>TAN</v>
      </c>
      <c r="F204" s="107" t="str">
        <f>IFERROR(__xludf.DUMMYFUNCTION("""COMPUTED_VALUE"""),"RAMON")</f>
        <v>RAMON</v>
      </c>
    </row>
    <row r="205">
      <c r="A205" s="131">
        <f>IFERROR(__xludf.DUMMYFUNCTION("""COMPUTED_VALUE"""),204.0)</f>
        <v>204</v>
      </c>
      <c r="B205" s="131"/>
      <c r="C205" s="131">
        <f>IFERROR(__xludf.DUMMYFUNCTION("""COMPUTED_VALUE"""),167.0)</f>
        <v>167</v>
      </c>
      <c r="D205" s="131" t="b">
        <f>IFERROR(__xludf.DUMMYFUNCTION("""COMPUTED_VALUE"""),FALSE)</f>
        <v>0</v>
      </c>
      <c r="E205" s="116" t="str">
        <f>IFERROR(__xludf.DUMMYFUNCTION("""COMPUTED_VALUE"""),"TOLEDO")</f>
        <v>TOLEDO</v>
      </c>
      <c r="F205" s="115" t="str">
        <f>IFERROR(__xludf.DUMMYFUNCTION("""COMPUTED_VALUE"""),"ASZHER")</f>
        <v>ASZHER</v>
      </c>
    </row>
    <row r="206">
      <c r="A206" s="131">
        <f>IFERROR(__xludf.DUMMYFUNCTION("""COMPUTED_VALUE"""),205.0)</f>
        <v>205</v>
      </c>
      <c r="B206" s="131"/>
      <c r="C206" s="131">
        <f>IFERROR(__xludf.DUMMYFUNCTION("""COMPUTED_VALUE"""),167.0)</f>
        <v>167</v>
      </c>
      <c r="D206" s="131" t="b">
        <f>IFERROR(__xludf.DUMMYFUNCTION("""COMPUTED_VALUE"""),FALSE)</f>
        <v>0</v>
      </c>
      <c r="E206" s="115" t="str">
        <f>IFERROR(__xludf.DUMMYFUNCTION("""COMPUTED_VALUE"""),"TAMIDLES")</f>
        <v>TAMIDLES</v>
      </c>
      <c r="F206" s="107" t="str">
        <f>IFERROR(__xludf.DUMMYFUNCTION("""COMPUTED_VALUE"""),"ZHAIRON")</f>
        <v>ZHAIRON</v>
      </c>
    </row>
    <row r="207">
      <c r="A207" s="131">
        <f>IFERROR(__xludf.DUMMYFUNCTION("""COMPUTED_VALUE"""),206.0)</f>
        <v>206</v>
      </c>
      <c r="B207" s="131"/>
      <c r="C207" s="131">
        <f>IFERROR(__xludf.DUMMYFUNCTION("""COMPUTED_VALUE"""),167.0)</f>
        <v>167</v>
      </c>
      <c r="D207" s="131" t="b">
        <f>IFERROR(__xludf.DUMMYFUNCTION("""COMPUTED_VALUE"""),FALSE)</f>
        <v>0</v>
      </c>
      <c r="E207" s="107" t="str">
        <f>IFERROR(__xludf.DUMMYFUNCTION("""COMPUTED_VALUE"""),"VERTUDAZO")</f>
        <v>VERTUDAZO</v>
      </c>
      <c r="F207" s="107" t="str">
        <f>IFERROR(__xludf.DUMMYFUNCTION("""COMPUTED_VALUE"""),"KENNETH")</f>
        <v>KENNETH</v>
      </c>
    </row>
    <row r="208">
      <c r="A208" s="131">
        <f>IFERROR(__xludf.DUMMYFUNCTION("""COMPUTED_VALUE"""),207.0)</f>
        <v>207</v>
      </c>
      <c r="B208" s="131"/>
      <c r="C208" s="131">
        <f>IFERROR(__xludf.DUMMYFUNCTION("""COMPUTED_VALUE"""),167.0)</f>
        <v>167</v>
      </c>
      <c r="D208" s="131" t="b">
        <f>IFERROR(__xludf.DUMMYFUNCTION("""COMPUTED_VALUE"""),FALSE)</f>
        <v>0</v>
      </c>
      <c r="E208" s="107" t="str">
        <f>IFERROR(__xludf.DUMMYFUNCTION("""COMPUTED_VALUE"""),"VILLARUEL")</f>
        <v>VILLARUEL</v>
      </c>
      <c r="F208" s="107" t="str">
        <f>IFERROR(__xludf.DUMMYFUNCTION("""COMPUTED_VALUE"""),"KIAN")</f>
        <v>KIAN</v>
      </c>
    </row>
    <row r="209">
      <c r="A209" s="131">
        <f>IFERROR(__xludf.DUMMYFUNCTION("""COMPUTED_VALUE"""),208.0)</f>
        <v>208</v>
      </c>
      <c r="B209" s="131"/>
      <c r="C209" s="131">
        <f>IFERROR(__xludf.DUMMYFUNCTION("""COMPUTED_VALUE"""),167.0)</f>
        <v>167</v>
      </c>
      <c r="D209" s="131" t="b">
        <f>IFERROR(__xludf.DUMMYFUNCTION("""COMPUTED_VALUE"""),FALSE)</f>
        <v>0</v>
      </c>
      <c r="E209" s="107" t="str">
        <f>IFERROR(__xludf.DUMMYFUNCTION("""COMPUTED_VALUE"""),"VILLARUEL")</f>
        <v>VILLARUEL</v>
      </c>
      <c r="F209" s="107" t="str">
        <f>IFERROR(__xludf.DUMMYFUNCTION("""COMPUTED_VALUE"""),"KYLE")</f>
        <v>KYLE</v>
      </c>
    </row>
    <row r="210">
      <c r="A210" s="131">
        <f>IFERROR(__xludf.DUMMYFUNCTION("""COMPUTED_VALUE"""),209.0)</f>
        <v>209</v>
      </c>
      <c r="B210" s="131"/>
      <c r="C210" s="131">
        <f>IFERROR(__xludf.DUMMYFUNCTION("""COMPUTED_VALUE"""),167.0)</f>
        <v>167</v>
      </c>
      <c r="D210" s="131" t="b">
        <f>IFERROR(__xludf.DUMMYFUNCTION("""COMPUTED_VALUE"""),FALSE)</f>
        <v>0</v>
      </c>
      <c r="E210" s="117" t="str">
        <f>IFERROR(__xludf.DUMMYFUNCTION("""COMPUTED_VALUE"""),"PADLAN")</f>
        <v>PADLAN</v>
      </c>
      <c r="F210" s="107" t="str">
        <f>IFERROR(__xludf.DUMMYFUNCTION("""COMPUTED_VALUE"""),"STEPHEN")</f>
        <v>STEPHEN</v>
      </c>
    </row>
    <row r="211">
      <c r="A211" s="131">
        <f>IFERROR(__xludf.DUMMYFUNCTION("""COMPUTED_VALUE"""),210.0)</f>
        <v>210</v>
      </c>
      <c r="B211" s="131"/>
      <c r="C211" s="131">
        <f>IFERROR(__xludf.DUMMYFUNCTION("""COMPUTED_VALUE"""),167.0)</f>
        <v>167</v>
      </c>
      <c r="D211" s="131" t="b">
        <f>IFERROR(__xludf.DUMMYFUNCTION("""COMPUTED_VALUE"""),FALSE)</f>
        <v>0</v>
      </c>
      <c r="E211" s="118"/>
      <c r="F211" s="107" t="str">
        <f>IFERROR(__xludf.DUMMYFUNCTION("""COMPUTED_VALUE"""),"SIMON")</f>
        <v>SIMON</v>
      </c>
    </row>
    <row r="212">
      <c r="A212" s="131">
        <f>IFERROR(__xludf.DUMMYFUNCTION("""COMPUTED_VALUE"""),211.0)</f>
        <v>211</v>
      </c>
      <c r="B212" s="131"/>
      <c r="C212" s="131">
        <f>IFERROR(__xludf.DUMMYFUNCTION("""COMPUTED_VALUE"""),167.0)</f>
        <v>167</v>
      </c>
      <c r="D212" s="131" t="b">
        <f>IFERROR(__xludf.DUMMYFUNCTION("""COMPUTED_VALUE"""),FALSE)</f>
        <v>0</v>
      </c>
      <c r="E212" s="118"/>
      <c r="F212" s="107" t="str">
        <f>IFERROR(__xludf.DUMMYFUNCTION("""COMPUTED_VALUE"""),"NICO")</f>
        <v>NICO</v>
      </c>
    </row>
    <row r="213">
      <c r="A213" s="131">
        <f>IFERROR(__xludf.DUMMYFUNCTION("""COMPUTED_VALUE"""),212.0)</f>
        <v>212</v>
      </c>
      <c r="B213" s="131"/>
      <c r="C213" s="131">
        <f>IFERROR(__xludf.DUMMYFUNCTION("""COMPUTED_VALUE"""),167.0)</f>
        <v>167</v>
      </c>
      <c r="D213" s="131" t="b">
        <f>IFERROR(__xludf.DUMMYFUNCTION("""COMPUTED_VALUE"""),FALSE)</f>
        <v>0</v>
      </c>
      <c r="E213" s="118"/>
      <c r="F213" s="107" t="str">
        <f>IFERROR(__xludf.DUMMYFUNCTION("""COMPUTED_VALUE"""),"JERVISH")</f>
        <v>JERVISH</v>
      </c>
    </row>
    <row r="214">
      <c r="A214" s="131">
        <f>IFERROR(__xludf.DUMMYFUNCTION("""COMPUTED_VALUE"""),213.0)</f>
        <v>213</v>
      </c>
      <c r="B214" s="131"/>
      <c r="C214" s="131">
        <f>IFERROR(__xludf.DUMMYFUNCTION("""COMPUTED_VALUE"""),23.0)</f>
        <v>23</v>
      </c>
      <c r="D214" s="131" t="b">
        <f>IFERROR(__xludf.DUMMYFUNCTION("""COMPUTED_VALUE"""),TRUE)</f>
        <v>1</v>
      </c>
      <c r="E214" s="119" t="str">
        <f>IFERROR(__xludf.DUMMYFUNCTION("""COMPUTED_VALUE"""),"UDAUNDO")</f>
        <v>UDAUNDO</v>
      </c>
      <c r="F214" s="119" t="str">
        <f>IFERROR(__xludf.DUMMYFUNCTION("""COMPUTED_VALUE"""),"RINOA MAE")</f>
        <v>RINOA MAE</v>
      </c>
    </row>
    <row r="215">
      <c r="A215" s="131">
        <f>IFERROR(__xludf.DUMMYFUNCTION("""COMPUTED_VALUE"""),214.0)</f>
        <v>214</v>
      </c>
      <c r="B215" s="131"/>
      <c r="C215" s="131">
        <f>IFERROR(__xludf.DUMMYFUNCTION("""COMPUTED_VALUE"""),23.0)</f>
        <v>23</v>
      </c>
      <c r="D215" s="131" t="b">
        <f>IFERROR(__xludf.DUMMYFUNCTION("""COMPUTED_VALUE"""),FALSE)</f>
        <v>0</v>
      </c>
      <c r="E215" s="107" t="str">
        <f>IFERROR(__xludf.DUMMYFUNCTION("""COMPUTED_VALUE"""),"CASERO")</f>
        <v>CASERO</v>
      </c>
      <c r="F215" s="107" t="str">
        <f>IFERROR(__xludf.DUMMYFUNCTION("""COMPUTED_VALUE"""),"AALIYAH")</f>
        <v>AALIYAH</v>
      </c>
    </row>
    <row r="216">
      <c r="A216" s="131">
        <f>IFERROR(__xludf.DUMMYFUNCTION("""COMPUTED_VALUE"""),215.0)</f>
        <v>215</v>
      </c>
      <c r="B216" s="131"/>
      <c r="C216" s="131">
        <f>IFERROR(__xludf.DUMMYFUNCTION("""COMPUTED_VALUE"""),23.0)</f>
        <v>23</v>
      </c>
      <c r="D216" s="131" t="b">
        <f>IFERROR(__xludf.DUMMYFUNCTION("""COMPUTED_VALUE"""),FALSE)</f>
        <v>0</v>
      </c>
      <c r="E216" s="107" t="str">
        <f>IFERROR(__xludf.DUMMYFUNCTION("""COMPUTED_VALUE"""),"CELASES")</f>
        <v>CELASES</v>
      </c>
      <c r="F216" s="107" t="str">
        <f>IFERROR(__xludf.DUMMYFUNCTION("""COMPUTED_VALUE"""),"SOFIA")</f>
        <v>SOFIA</v>
      </c>
    </row>
    <row r="217">
      <c r="A217" s="131">
        <f>IFERROR(__xludf.DUMMYFUNCTION("""COMPUTED_VALUE"""),216.0)</f>
        <v>216</v>
      </c>
      <c r="B217" s="131"/>
      <c r="C217" s="131">
        <f>IFERROR(__xludf.DUMMYFUNCTION("""COMPUTED_VALUE"""),23.0)</f>
        <v>23</v>
      </c>
      <c r="D217" s="131" t="b">
        <f>IFERROR(__xludf.DUMMYFUNCTION("""COMPUTED_VALUE"""),FALSE)</f>
        <v>0</v>
      </c>
      <c r="E217" s="107" t="str">
        <f>IFERROR(__xludf.DUMMYFUNCTION("""COMPUTED_VALUE"""),"LACONSAY")</f>
        <v>LACONSAY</v>
      </c>
      <c r="F217" s="107" t="str">
        <f>IFERROR(__xludf.DUMMYFUNCTION("""COMPUTED_VALUE"""),"MAIYA")</f>
        <v>MAIYA</v>
      </c>
    </row>
    <row r="218">
      <c r="A218" s="131">
        <f>IFERROR(__xludf.DUMMYFUNCTION("""COMPUTED_VALUE"""),217.0)</f>
        <v>217</v>
      </c>
      <c r="B218" s="131"/>
      <c r="C218" s="131">
        <f>IFERROR(__xludf.DUMMYFUNCTION("""COMPUTED_VALUE"""),23.0)</f>
        <v>23</v>
      </c>
      <c r="D218" s="131" t="b">
        <f>IFERROR(__xludf.DUMMYFUNCTION("""COMPUTED_VALUE"""),FALSE)</f>
        <v>0</v>
      </c>
      <c r="E218" s="107" t="str">
        <f>IFERROR(__xludf.DUMMYFUNCTION("""COMPUTED_VALUE"""),"MADLANGAWA")</f>
        <v>MADLANGAWA</v>
      </c>
      <c r="F218" s="107" t="str">
        <f>IFERROR(__xludf.DUMMYFUNCTION("""COMPUTED_VALUE"""),"INGRID")</f>
        <v>INGRID</v>
      </c>
    </row>
    <row r="219">
      <c r="A219" s="131">
        <f>IFERROR(__xludf.DUMMYFUNCTION("""COMPUTED_VALUE"""),218.0)</f>
        <v>218</v>
      </c>
      <c r="B219" s="131"/>
      <c r="C219" s="131">
        <f>IFERROR(__xludf.DUMMYFUNCTION("""COMPUTED_VALUE"""),23.0)</f>
        <v>23</v>
      </c>
      <c r="D219" s="131" t="b">
        <f>IFERROR(__xludf.DUMMYFUNCTION("""COMPUTED_VALUE"""),FALSE)</f>
        <v>0</v>
      </c>
      <c r="E219" s="107" t="str">
        <f>IFERROR(__xludf.DUMMYFUNCTION("""COMPUTED_VALUE"""),"MALAGOTNOT")</f>
        <v>MALAGOTNOT</v>
      </c>
      <c r="F219" s="107" t="str">
        <f>IFERROR(__xludf.DUMMYFUNCTION("""COMPUTED_VALUE"""),"PHOEBE")</f>
        <v>PHOEBE</v>
      </c>
    </row>
    <row r="220">
      <c r="A220" s="131">
        <f>IFERROR(__xludf.DUMMYFUNCTION("""COMPUTED_VALUE"""),219.0)</f>
        <v>219</v>
      </c>
      <c r="B220" s="131"/>
      <c r="C220" s="131">
        <f>IFERROR(__xludf.DUMMYFUNCTION("""COMPUTED_VALUE"""),23.0)</f>
        <v>23</v>
      </c>
      <c r="D220" s="131" t="b">
        <f>IFERROR(__xludf.DUMMYFUNCTION("""COMPUTED_VALUE"""),FALSE)</f>
        <v>0</v>
      </c>
      <c r="E220" s="107" t="str">
        <f>IFERROR(__xludf.DUMMYFUNCTION("""COMPUTED_VALUE"""),"MALOLOY-ON")</f>
        <v>MALOLOY-ON</v>
      </c>
      <c r="F220" s="107" t="str">
        <f>IFERROR(__xludf.DUMMYFUNCTION("""COMPUTED_VALUE"""),"EUNICE")</f>
        <v>EUNICE</v>
      </c>
    </row>
    <row r="221">
      <c r="A221" s="131">
        <f>IFERROR(__xludf.DUMMYFUNCTION("""COMPUTED_VALUE"""),220.0)</f>
        <v>220</v>
      </c>
      <c r="B221" s="131"/>
      <c r="C221" s="131">
        <f>IFERROR(__xludf.DUMMYFUNCTION("""COMPUTED_VALUE"""),23.0)</f>
        <v>23</v>
      </c>
      <c r="D221" s="131" t="b">
        <f>IFERROR(__xludf.DUMMYFUNCTION("""COMPUTED_VALUE"""),FALSE)</f>
        <v>0</v>
      </c>
      <c r="E221" s="107" t="str">
        <f>IFERROR(__xludf.DUMMYFUNCTION("""COMPUTED_VALUE"""),"OBASAN")</f>
        <v>OBASAN</v>
      </c>
      <c r="F221" s="107" t="str">
        <f>IFERROR(__xludf.DUMMYFUNCTION("""COMPUTED_VALUE"""),"AUDREY")</f>
        <v>AUDREY</v>
      </c>
    </row>
    <row r="222">
      <c r="A222" s="131">
        <f>IFERROR(__xludf.DUMMYFUNCTION("""COMPUTED_VALUE"""),221.0)</f>
        <v>221</v>
      </c>
      <c r="B222" s="131"/>
      <c r="C222" s="131">
        <f>IFERROR(__xludf.DUMMYFUNCTION("""COMPUTED_VALUE"""),23.0)</f>
        <v>23</v>
      </c>
      <c r="D222" s="131" t="b">
        <f>IFERROR(__xludf.DUMMYFUNCTION("""COMPUTED_VALUE"""),FALSE)</f>
        <v>0</v>
      </c>
      <c r="E222" s="107" t="str">
        <f>IFERROR(__xludf.DUMMYFUNCTION("""COMPUTED_VALUE"""),"OBASAN")</f>
        <v>OBASAN</v>
      </c>
      <c r="F222" s="107" t="str">
        <f>IFERROR(__xludf.DUMMYFUNCTION("""COMPUTED_VALUE"""),"ACEZZY")</f>
        <v>ACEZZY</v>
      </c>
    </row>
    <row r="223">
      <c r="A223" s="131">
        <f>IFERROR(__xludf.DUMMYFUNCTION("""COMPUTED_VALUE"""),222.0)</f>
        <v>222</v>
      </c>
      <c r="B223" s="131"/>
      <c r="C223" s="131">
        <f>IFERROR(__xludf.DUMMYFUNCTION("""COMPUTED_VALUE"""),23.0)</f>
        <v>23</v>
      </c>
      <c r="D223" s="131" t="b">
        <f>IFERROR(__xludf.DUMMYFUNCTION("""COMPUTED_VALUE"""),FALSE)</f>
        <v>0</v>
      </c>
      <c r="E223" s="107" t="str">
        <f>IFERROR(__xludf.DUMMYFUNCTION("""COMPUTED_VALUE"""),"OBASAN")</f>
        <v>OBASAN</v>
      </c>
      <c r="F223" s="107" t="str">
        <f>IFERROR(__xludf.DUMMYFUNCTION("""COMPUTED_VALUE"""),"AYESHA")</f>
        <v>AYESHA</v>
      </c>
    </row>
    <row r="224">
      <c r="A224" s="131">
        <f>IFERROR(__xludf.DUMMYFUNCTION("""COMPUTED_VALUE"""),223.0)</f>
        <v>223</v>
      </c>
      <c r="B224" s="131"/>
      <c r="C224" s="131">
        <f>IFERROR(__xludf.DUMMYFUNCTION("""COMPUTED_VALUE"""),23.0)</f>
        <v>23</v>
      </c>
      <c r="D224" s="131" t="b">
        <f>IFERROR(__xludf.DUMMYFUNCTION("""COMPUTED_VALUE"""),FALSE)</f>
        <v>0</v>
      </c>
      <c r="E224" s="107" t="str">
        <f>IFERROR(__xludf.DUMMYFUNCTION("""COMPUTED_VALUE"""),"PACSON")</f>
        <v>PACSON</v>
      </c>
      <c r="F224" s="107" t="str">
        <f>IFERROR(__xludf.DUMMYFUNCTION("""COMPUTED_VALUE"""),"KAYTE")</f>
        <v>KAYTE</v>
      </c>
    </row>
    <row r="225">
      <c r="A225" s="131">
        <f>IFERROR(__xludf.DUMMYFUNCTION("""COMPUTED_VALUE"""),224.0)</f>
        <v>224</v>
      </c>
      <c r="B225" s="131"/>
      <c r="C225" s="131">
        <f>IFERROR(__xludf.DUMMYFUNCTION("""COMPUTED_VALUE"""),23.0)</f>
        <v>23</v>
      </c>
      <c r="D225" s="131" t="b">
        <f>IFERROR(__xludf.DUMMYFUNCTION("""COMPUTED_VALUE"""),FALSE)</f>
        <v>0</v>
      </c>
      <c r="E225" s="107" t="str">
        <f>IFERROR(__xludf.DUMMYFUNCTION("""COMPUTED_VALUE"""),"PACSON")</f>
        <v>PACSON</v>
      </c>
      <c r="F225" s="107" t="str">
        <f>IFERROR(__xludf.DUMMYFUNCTION("""COMPUTED_VALUE"""),"MICAELLA")</f>
        <v>MICAELLA</v>
      </c>
    </row>
    <row r="226">
      <c r="A226" s="131">
        <f>IFERROR(__xludf.DUMMYFUNCTION("""COMPUTED_VALUE"""),225.0)</f>
        <v>225</v>
      </c>
      <c r="B226" s="131"/>
      <c r="C226" s="131">
        <f>IFERROR(__xludf.DUMMYFUNCTION("""COMPUTED_VALUE"""),23.0)</f>
        <v>23</v>
      </c>
      <c r="D226" s="131" t="b">
        <f>IFERROR(__xludf.DUMMYFUNCTION("""COMPUTED_VALUE"""),FALSE)</f>
        <v>0</v>
      </c>
      <c r="E226" s="107" t="str">
        <f>IFERROR(__xludf.DUMMYFUNCTION("""COMPUTED_VALUE"""),"RETAMAR")</f>
        <v>RETAMAR</v>
      </c>
      <c r="F226" s="107" t="str">
        <f>IFERROR(__xludf.DUMMYFUNCTION("""COMPUTED_VALUE"""),"JASMINE")</f>
        <v>JASMINE</v>
      </c>
    </row>
    <row r="227">
      <c r="A227" s="131">
        <f>IFERROR(__xludf.DUMMYFUNCTION("""COMPUTED_VALUE"""),226.0)</f>
        <v>226</v>
      </c>
      <c r="B227" s="131"/>
      <c r="C227" s="131">
        <f>IFERROR(__xludf.DUMMYFUNCTION("""COMPUTED_VALUE"""),23.0)</f>
        <v>23</v>
      </c>
      <c r="D227" s="131" t="b">
        <f>IFERROR(__xludf.DUMMYFUNCTION("""COMPUTED_VALUE"""),FALSE)</f>
        <v>0</v>
      </c>
      <c r="E227" s="107" t="str">
        <f>IFERROR(__xludf.DUMMYFUNCTION("""COMPUTED_VALUE"""),"ROGACION")</f>
        <v>ROGACION</v>
      </c>
      <c r="F227" s="107" t="str">
        <f>IFERROR(__xludf.DUMMYFUNCTION("""COMPUTED_VALUE"""),"LYKA")</f>
        <v>LYKA</v>
      </c>
    </row>
    <row r="228">
      <c r="A228" s="131">
        <f>IFERROR(__xludf.DUMMYFUNCTION("""COMPUTED_VALUE"""),227.0)</f>
        <v>227</v>
      </c>
      <c r="B228" s="131"/>
      <c r="C228" s="131">
        <f>IFERROR(__xludf.DUMMYFUNCTION("""COMPUTED_VALUE"""),23.0)</f>
        <v>23</v>
      </c>
      <c r="D228" s="131" t="b">
        <f>IFERROR(__xludf.DUMMYFUNCTION("""COMPUTED_VALUE"""),FALSE)</f>
        <v>0</v>
      </c>
      <c r="E228" s="107" t="str">
        <f>IFERROR(__xludf.DUMMYFUNCTION("""COMPUTED_VALUE"""),"TINGSON")</f>
        <v>TINGSON</v>
      </c>
      <c r="F228" s="107" t="str">
        <f>IFERROR(__xludf.DUMMYFUNCTION("""COMPUTED_VALUE"""),"JANELLE")</f>
        <v>JANELLE</v>
      </c>
    </row>
    <row r="229">
      <c r="A229" s="131">
        <f>IFERROR(__xludf.DUMMYFUNCTION("""COMPUTED_VALUE"""),228.0)</f>
        <v>228</v>
      </c>
      <c r="B229" s="131"/>
      <c r="C229" s="131">
        <f>IFERROR(__xludf.DUMMYFUNCTION("""COMPUTED_VALUE"""),23.0)</f>
        <v>23</v>
      </c>
      <c r="D229" s="131" t="b">
        <f>IFERROR(__xludf.DUMMYFUNCTION("""COMPUTED_VALUE"""),FALSE)</f>
        <v>0</v>
      </c>
      <c r="E229" s="107" t="str">
        <f>IFERROR(__xludf.DUMMYFUNCTION("""COMPUTED_VALUE"""),"TOLEDO")</f>
        <v>TOLEDO</v>
      </c>
      <c r="F229" s="115" t="str">
        <f>IFERROR(__xludf.DUMMYFUNCTION("""COMPUTED_VALUE"""),"AKIZSAH")</f>
        <v>AKIZSAH</v>
      </c>
    </row>
    <row r="230">
      <c r="A230" s="131">
        <f>IFERROR(__xludf.DUMMYFUNCTION("""COMPUTED_VALUE"""),229.0)</f>
        <v>229</v>
      </c>
      <c r="B230" s="131"/>
      <c r="C230" s="131">
        <f>IFERROR(__xludf.DUMMYFUNCTION("""COMPUTED_VALUE"""),23.0)</f>
        <v>23</v>
      </c>
      <c r="D230" s="131" t="b">
        <f>IFERROR(__xludf.DUMMYFUNCTION("""COMPUTED_VALUE"""),FALSE)</f>
        <v>0</v>
      </c>
      <c r="E230" s="107" t="str">
        <f>IFERROR(__xludf.DUMMYFUNCTION("""COMPUTED_VALUE"""),"UDAUNDO")</f>
        <v>UDAUNDO</v>
      </c>
      <c r="F230" s="107" t="str">
        <f>IFERROR(__xludf.DUMMYFUNCTION("""COMPUTED_VALUE"""),"ELLA")</f>
        <v>ELLA</v>
      </c>
    </row>
    <row r="231">
      <c r="A231" s="131">
        <f>IFERROR(__xludf.DUMMYFUNCTION("""COMPUTED_VALUE"""),230.0)</f>
        <v>230</v>
      </c>
      <c r="B231" s="131"/>
      <c r="C231" s="131">
        <f>IFERROR(__xludf.DUMMYFUNCTION("""COMPUTED_VALUE"""),1.0)</f>
        <v>1</v>
      </c>
      <c r="D231" s="131" t="b">
        <f>IFERROR(__xludf.DUMMYFUNCTION("""COMPUTED_VALUE"""),FALSE)</f>
        <v>0</v>
      </c>
      <c r="E231" s="131" t="str">
        <f>IFERROR(__xludf.DUMMYFUNCTION("""COMPUTED_VALUE"""),"ROMUALDO")</f>
        <v>ROMUALDO</v>
      </c>
      <c r="F231" s="131" t="str">
        <f>IFERROR(__xludf.DUMMYFUNCTION("""COMPUTED_VALUE"""),"AC")</f>
        <v>AC</v>
      </c>
    </row>
    <row r="232">
      <c r="A232" s="131">
        <f>IFERROR(__xludf.DUMMYFUNCTION("""COMPUTED_VALUE"""),231.0)</f>
        <v>231</v>
      </c>
      <c r="B232" s="131"/>
      <c r="C232" s="131">
        <f>IFERROR(__xludf.DUMMYFUNCTION("""COMPUTED_VALUE"""),1.0)</f>
        <v>1</v>
      </c>
      <c r="D232" s="131" t="b">
        <f>IFERROR(__xludf.DUMMYFUNCTION("""COMPUTED_VALUE"""),FALSE)</f>
        <v>0</v>
      </c>
      <c r="E232" s="131" t="str">
        <f>IFERROR(__xludf.DUMMYFUNCTION("""COMPUTED_VALUE"""),"SEBASTIAN")</f>
        <v>SEBASTIAN</v>
      </c>
      <c r="F232" s="131" t="str">
        <f>IFERROR(__xludf.DUMMYFUNCTION("""COMPUTED_VALUE"""),"NEHEMIAH")</f>
        <v>NEHEMIAH</v>
      </c>
    </row>
    <row r="233">
      <c r="A233" s="131">
        <f>IFERROR(__xludf.DUMMYFUNCTION("""COMPUTED_VALUE"""),232.0)</f>
        <v>232</v>
      </c>
      <c r="B233" s="131"/>
      <c r="C233" s="131">
        <f>IFERROR(__xludf.DUMMYFUNCTION("""COMPUTED_VALUE"""),1.0)</f>
        <v>1</v>
      </c>
      <c r="D233" s="131" t="b">
        <f>IFERROR(__xludf.DUMMYFUNCTION("""COMPUTED_VALUE"""),FALSE)</f>
        <v>0</v>
      </c>
      <c r="E233" s="131" t="str">
        <f>IFERROR(__xludf.DUMMYFUNCTION("""COMPUTED_VALUE"""),"GINONGALA")</f>
        <v>GINONGALA</v>
      </c>
      <c r="F233" s="131" t="str">
        <f>IFERROR(__xludf.DUMMYFUNCTION("""COMPUTED_VALUE"""),"HANNAH MAE")</f>
        <v>HANNAH MAE</v>
      </c>
    </row>
    <row r="234">
      <c r="A234" s="131">
        <f>IFERROR(__xludf.DUMMYFUNCTION("""COMPUTED_VALUE"""),233.0)</f>
        <v>233</v>
      </c>
      <c r="B234" s="131"/>
      <c r="C234" s="131">
        <f>IFERROR(__xludf.DUMMYFUNCTION("""COMPUTED_VALUE"""),76.0)</f>
        <v>76</v>
      </c>
      <c r="D234" s="131" t="b">
        <f>IFERROR(__xludf.DUMMYFUNCTION("""COMPUTED_VALUE"""),FALSE)</f>
        <v>0</v>
      </c>
      <c r="E234" s="131" t="str">
        <f>IFERROR(__xludf.DUMMYFUNCTION("""COMPUTED_VALUE"""),"NIONES")</f>
        <v>NIONES</v>
      </c>
      <c r="F234" s="131" t="str">
        <f>IFERROR(__xludf.DUMMYFUNCTION("""COMPUTED_VALUE"""),"LOUIS")</f>
        <v>LOUIS</v>
      </c>
    </row>
    <row r="235">
      <c r="A235" s="131">
        <f>IFERROR(__xludf.DUMMYFUNCTION("""COMPUTED_VALUE"""),234.0)</f>
        <v>234</v>
      </c>
      <c r="B235" s="131"/>
      <c r="C235" s="131">
        <f>IFERROR(__xludf.DUMMYFUNCTION("""COMPUTED_VALUE"""),76.0)</f>
        <v>76</v>
      </c>
      <c r="D235" s="131" t="b">
        <f>IFERROR(__xludf.DUMMYFUNCTION("""COMPUTED_VALUE"""),FALSE)</f>
        <v>0</v>
      </c>
      <c r="E235" s="131" t="str">
        <f>IFERROR(__xludf.DUMMYFUNCTION("""COMPUTED_VALUE"""),"ACA")</f>
        <v>ACA</v>
      </c>
      <c r="F235" s="131" t="str">
        <f>IFERROR(__xludf.DUMMYFUNCTION("""COMPUTED_VALUE"""),"ELIJAH")</f>
        <v>ELIJAH</v>
      </c>
    </row>
    <row r="236">
      <c r="A236" s="131">
        <f>IFERROR(__xludf.DUMMYFUNCTION("""COMPUTED_VALUE"""),235.0)</f>
        <v>235</v>
      </c>
      <c r="B236" s="131"/>
      <c r="C236" s="131">
        <f>IFERROR(__xludf.DUMMYFUNCTION("""COMPUTED_VALUE"""),120.0)</f>
        <v>120</v>
      </c>
      <c r="D236" s="131" t="b">
        <f>IFERROR(__xludf.DUMMYFUNCTION("""COMPUTED_VALUE"""),FALSE)</f>
        <v>0</v>
      </c>
      <c r="E236" s="131" t="str">
        <f>IFERROR(__xludf.DUMMYFUNCTION("""COMPUTED_VALUE"""),"CERBETO")</f>
        <v>CERBETO</v>
      </c>
      <c r="F236" s="131" t="str">
        <f>IFERROR(__xludf.DUMMYFUNCTION("""COMPUTED_VALUE"""),"AIVANNE")</f>
        <v>AIVANNE</v>
      </c>
    </row>
    <row r="237">
      <c r="A237" s="131">
        <f>IFERROR(__xludf.DUMMYFUNCTION("""COMPUTED_VALUE"""),236.0)</f>
        <v>236</v>
      </c>
      <c r="B237" s="131"/>
      <c r="C237" s="131">
        <f>IFERROR(__xludf.DUMMYFUNCTION("""COMPUTED_VALUE"""),120.0)</f>
        <v>120</v>
      </c>
      <c r="D237" s="131" t="b">
        <f>IFERROR(__xludf.DUMMYFUNCTION("""COMPUTED_VALUE"""),FALSE)</f>
        <v>0</v>
      </c>
      <c r="E237" s="131" t="str">
        <f>IFERROR(__xludf.DUMMYFUNCTION("""COMPUTED_VALUE"""),"PARAZO")</f>
        <v>PARAZO</v>
      </c>
      <c r="F237" s="131" t="str">
        <f>IFERROR(__xludf.DUMMYFUNCTION("""COMPUTED_VALUE"""),"CJ")</f>
        <v>CJ</v>
      </c>
    </row>
    <row r="238">
      <c r="A238" s="131">
        <f>IFERROR(__xludf.DUMMYFUNCTION("""COMPUTED_VALUE"""),237.0)</f>
        <v>237</v>
      </c>
      <c r="B238" s="131"/>
      <c r="C238" s="131">
        <f>IFERROR(__xludf.DUMMYFUNCTION("""COMPUTED_VALUE"""),120.0)</f>
        <v>120</v>
      </c>
      <c r="D238" s="131" t="b">
        <f>IFERROR(__xludf.DUMMYFUNCTION("""COMPUTED_VALUE"""),FALSE)</f>
        <v>0</v>
      </c>
      <c r="E238" s="131" t="str">
        <f>IFERROR(__xludf.DUMMYFUNCTION("""COMPUTED_VALUE"""),"AWA-AW")</f>
        <v>AWA-AW</v>
      </c>
      <c r="F238" s="131" t="str">
        <f>IFERROR(__xludf.DUMMYFUNCTION("""COMPUTED_VALUE"""),"CARL")</f>
        <v>CARL</v>
      </c>
    </row>
    <row r="239">
      <c r="A239" s="131">
        <f>IFERROR(__xludf.DUMMYFUNCTION("""COMPUTED_VALUE"""),238.0)</f>
        <v>238</v>
      </c>
      <c r="B239" s="131"/>
      <c r="C239" s="131">
        <f>IFERROR(__xludf.DUMMYFUNCTION("""COMPUTED_VALUE"""),23.0)</f>
        <v>23</v>
      </c>
      <c r="D239" s="131" t="b">
        <f>IFERROR(__xludf.DUMMYFUNCTION("""COMPUTED_VALUE"""),FALSE)</f>
        <v>0</v>
      </c>
      <c r="E239" s="131" t="str">
        <f>IFERROR(__xludf.DUMMYFUNCTION("""COMPUTED_VALUE"""),"ALAYON")</f>
        <v>ALAYON</v>
      </c>
      <c r="F239" s="131" t="str">
        <f>IFERROR(__xludf.DUMMYFUNCTION("""COMPUTED_VALUE"""),"PATRICIA")</f>
        <v>PATRICIA</v>
      </c>
    </row>
    <row r="240">
      <c r="A240" s="131">
        <f>IFERROR(__xludf.DUMMYFUNCTION("""COMPUTED_VALUE"""),239.0)</f>
        <v>239</v>
      </c>
      <c r="B240" s="131"/>
      <c r="C240" s="131">
        <f>IFERROR(__xludf.DUMMYFUNCTION("""COMPUTED_VALUE"""),23.0)</f>
        <v>23</v>
      </c>
      <c r="D240" s="131" t="b">
        <f>IFERROR(__xludf.DUMMYFUNCTION("""COMPUTED_VALUE"""),FALSE)</f>
        <v>0</v>
      </c>
      <c r="E240" s="131" t="str">
        <f>IFERROR(__xludf.DUMMYFUNCTION("""COMPUTED_VALUE"""),"UDAUNDO")</f>
        <v>UDAUNDO</v>
      </c>
      <c r="F240" s="131" t="str">
        <f>IFERROR(__xludf.DUMMYFUNCTION("""COMPUTED_VALUE"""),"MICA ELLA")</f>
        <v>MICA ELLA</v>
      </c>
    </row>
    <row r="241">
      <c r="A241" s="131">
        <f>IFERROR(__xludf.DUMMYFUNCTION("""COMPUTED_VALUE"""),240.0)</f>
        <v>240</v>
      </c>
      <c r="B241" s="131"/>
      <c r="C241" s="131">
        <f>IFERROR(__xludf.DUMMYFUNCTION("""COMPUTED_VALUE"""),23.0)</f>
        <v>23</v>
      </c>
      <c r="D241" s="131" t="b">
        <f>IFERROR(__xludf.DUMMYFUNCTION("""COMPUTED_VALUE"""),FALSE)</f>
        <v>0</v>
      </c>
      <c r="E241" s="131" t="str">
        <f>IFERROR(__xludf.DUMMYFUNCTION("""COMPUTED_VALUE"""),"CALUBIRAN")</f>
        <v>CALUBIRAN</v>
      </c>
      <c r="F241" s="131" t="str">
        <f>IFERROR(__xludf.DUMMYFUNCTION("""COMPUTED_VALUE"""),"JACKIELYN")</f>
        <v>JACKIELYN</v>
      </c>
    </row>
    <row r="242">
      <c r="A242" s="131">
        <f>IFERROR(__xludf.DUMMYFUNCTION("""COMPUTED_VALUE"""),241.0)</f>
        <v>241</v>
      </c>
      <c r="B242" s="131"/>
      <c r="C242" s="131">
        <f>IFERROR(__xludf.DUMMYFUNCTION("""COMPUTED_VALUE"""),23.0)</f>
        <v>23</v>
      </c>
      <c r="D242" s="131" t="b">
        <f>IFERROR(__xludf.DUMMYFUNCTION("""COMPUTED_VALUE"""),FALSE)</f>
        <v>0</v>
      </c>
      <c r="E242" s="131" t="str">
        <f>IFERROR(__xludf.DUMMYFUNCTION("""COMPUTED_VALUE"""),"MATAMIS")</f>
        <v>MATAMIS</v>
      </c>
      <c r="F242" s="131" t="str">
        <f>IFERROR(__xludf.DUMMYFUNCTION("""COMPUTED_VALUE"""),"JEAH G.")</f>
        <v>JEAH G.</v>
      </c>
    </row>
    <row r="243">
      <c r="A243" s="131">
        <f>IFERROR(__xludf.DUMMYFUNCTION("""COMPUTED_VALUE"""),242.0)</f>
        <v>242</v>
      </c>
      <c r="B243" s="131"/>
      <c r="C243" s="131">
        <f>IFERROR(__xludf.DUMMYFUNCTION("""COMPUTED_VALUE"""),23.0)</f>
        <v>23</v>
      </c>
      <c r="D243" s="131" t="b">
        <f>IFERROR(__xludf.DUMMYFUNCTION("""COMPUTED_VALUE"""),FALSE)</f>
        <v>0</v>
      </c>
      <c r="E243" s="131" t="str">
        <f>IFERROR(__xludf.DUMMYFUNCTION("""COMPUTED_VALUE"""),"MATAMIS")</f>
        <v>MATAMIS</v>
      </c>
      <c r="F243" s="131" t="str">
        <f>IFERROR(__xludf.DUMMYFUNCTION("""COMPUTED_VALUE"""),"JANELA")</f>
        <v>JANELA</v>
      </c>
    </row>
    <row r="244">
      <c r="A244" s="131">
        <f>IFERROR(__xludf.DUMMYFUNCTION("""COMPUTED_VALUE"""),243.0)</f>
        <v>243</v>
      </c>
      <c r="B244" s="131"/>
      <c r="C244" s="131">
        <f>IFERROR(__xludf.DUMMYFUNCTION("""COMPUTED_VALUE"""),23.0)</f>
        <v>23</v>
      </c>
      <c r="D244" s="131" t="b">
        <f>IFERROR(__xludf.DUMMYFUNCTION("""COMPUTED_VALUE"""),FALSE)</f>
        <v>0</v>
      </c>
      <c r="E244" s="131" t="str">
        <f>IFERROR(__xludf.DUMMYFUNCTION("""COMPUTED_VALUE"""),"GALANG")</f>
        <v>GALANG</v>
      </c>
      <c r="F244" s="131" t="str">
        <f>IFERROR(__xludf.DUMMYFUNCTION("""COMPUTED_VALUE"""),"MAGGA")</f>
        <v>MAGGA</v>
      </c>
    </row>
    <row r="245">
      <c r="A245" s="131">
        <f>IFERROR(__xludf.DUMMYFUNCTION("""COMPUTED_VALUE"""),244.0)</f>
        <v>244</v>
      </c>
      <c r="B245" s="131"/>
      <c r="C245" s="131">
        <f>IFERROR(__xludf.DUMMYFUNCTION("""COMPUTED_VALUE"""),244.0)</f>
        <v>244</v>
      </c>
      <c r="D245" s="131" t="b">
        <f>IFERROR(__xludf.DUMMYFUNCTION("""COMPUTED_VALUE"""),TRUE)</f>
        <v>1</v>
      </c>
      <c r="E245" s="131" t="str">
        <f>IFERROR(__xludf.DUMMYFUNCTION("""COMPUTED_VALUE"""),"ORQUIA")</f>
        <v>ORQUIA</v>
      </c>
      <c r="F245" s="131" t="str">
        <f>IFERROR(__xludf.DUMMYFUNCTION("""COMPUTED_VALUE"""),"HANNA ")</f>
        <v>HANNA </v>
      </c>
    </row>
    <row r="246">
      <c r="A246" s="131">
        <f>IFERROR(__xludf.DUMMYFUNCTION("""COMPUTED_VALUE"""),245.0)</f>
        <v>245</v>
      </c>
      <c r="B246" s="131"/>
      <c r="C246" s="131">
        <f>IFERROR(__xludf.DUMMYFUNCTION("""COMPUTED_VALUE"""),244.0)</f>
        <v>244</v>
      </c>
      <c r="D246" s="131" t="b">
        <f>IFERROR(__xludf.DUMMYFUNCTION("""COMPUTED_VALUE"""),FALSE)</f>
        <v>0</v>
      </c>
      <c r="E246" s="131" t="str">
        <f>IFERROR(__xludf.DUMMYFUNCTION("""COMPUTED_VALUE"""),"DEL ROSARIO")</f>
        <v>DEL ROSARIO</v>
      </c>
      <c r="F246" s="131" t="str">
        <f>IFERROR(__xludf.DUMMYFUNCTION("""COMPUTED_VALUE"""),"GRACE")</f>
        <v>GRACE</v>
      </c>
    </row>
    <row r="247">
      <c r="A247" s="131">
        <f>IFERROR(__xludf.DUMMYFUNCTION("""COMPUTED_VALUE"""),246.0)</f>
        <v>246</v>
      </c>
      <c r="B247" s="131"/>
      <c r="C247" s="131">
        <f>IFERROR(__xludf.DUMMYFUNCTION("""COMPUTED_VALUE"""),244.0)</f>
        <v>244</v>
      </c>
      <c r="D247" s="131" t="b">
        <f>IFERROR(__xludf.DUMMYFUNCTION("""COMPUTED_VALUE"""),FALSE)</f>
        <v>0</v>
      </c>
      <c r="E247" s="131" t="str">
        <f>IFERROR(__xludf.DUMMYFUNCTION("""COMPUTED_VALUE"""),"CODILLA")</f>
        <v>CODILLA</v>
      </c>
      <c r="F247" s="131" t="str">
        <f>IFERROR(__xludf.DUMMYFUNCTION("""COMPUTED_VALUE"""),"JANNA")</f>
        <v>JANNA</v>
      </c>
    </row>
    <row r="248">
      <c r="A248" s="131">
        <f>IFERROR(__xludf.DUMMYFUNCTION("""COMPUTED_VALUE"""),247.0)</f>
        <v>247</v>
      </c>
      <c r="B248" s="131"/>
      <c r="C248" s="131">
        <f>IFERROR(__xludf.DUMMYFUNCTION("""COMPUTED_VALUE"""),244.0)</f>
        <v>244</v>
      </c>
      <c r="D248" s="131" t="b">
        <f>IFERROR(__xludf.DUMMYFUNCTION("""COMPUTED_VALUE"""),FALSE)</f>
        <v>0</v>
      </c>
      <c r="E248" s="131" t="str">
        <f>IFERROR(__xludf.DUMMYFUNCTION("""COMPUTED_VALUE"""),"WALATH")</f>
        <v>WALATH</v>
      </c>
      <c r="F248" s="131" t="str">
        <f>IFERROR(__xludf.DUMMYFUNCTION("""COMPUTED_VALUE"""),"AILEEN")</f>
        <v>AILEEN</v>
      </c>
    </row>
    <row r="249">
      <c r="A249" s="131">
        <f>IFERROR(__xludf.DUMMYFUNCTION("""COMPUTED_VALUE"""),248.0)</f>
        <v>248</v>
      </c>
      <c r="B249" s="131"/>
      <c r="C249" s="131">
        <f>IFERROR(__xludf.DUMMYFUNCTION("""COMPUTED_VALUE"""),244.0)</f>
        <v>244</v>
      </c>
      <c r="D249" s="131" t="b">
        <f>IFERROR(__xludf.DUMMYFUNCTION("""COMPUTED_VALUE"""),FALSE)</f>
        <v>0</v>
      </c>
      <c r="E249" s="131" t="str">
        <f>IFERROR(__xludf.DUMMYFUNCTION("""COMPUTED_VALUE"""),"FULLON")</f>
        <v>FULLON</v>
      </c>
      <c r="F249" s="131" t="str">
        <f>IFERROR(__xludf.DUMMYFUNCTION("""COMPUTED_VALUE"""),"SARAH")</f>
        <v>SARAH</v>
      </c>
    </row>
    <row r="250">
      <c r="A250" s="131">
        <f>IFERROR(__xludf.DUMMYFUNCTION("""COMPUTED_VALUE"""),249.0)</f>
        <v>249</v>
      </c>
      <c r="B250" s="131"/>
      <c r="C250" s="131">
        <f>IFERROR(__xludf.DUMMYFUNCTION("""COMPUTED_VALUE"""),244.0)</f>
        <v>244</v>
      </c>
      <c r="D250" s="131" t="b">
        <f>IFERROR(__xludf.DUMMYFUNCTION("""COMPUTED_VALUE"""),FALSE)</f>
        <v>0</v>
      </c>
      <c r="E250" s="131" t="str">
        <f>IFERROR(__xludf.DUMMYFUNCTION("""COMPUTED_VALUE"""),"MONTERDE")</f>
        <v>MONTERDE</v>
      </c>
      <c r="F250" s="131" t="str">
        <f>IFERROR(__xludf.DUMMYFUNCTION("""COMPUTED_VALUE"""),"BELLE")</f>
        <v>BELLE</v>
      </c>
    </row>
    <row r="251">
      <c r="A251" s="86">
        <f>IFERROR(__xludf.DUMMYFUNCTION("""COMPUTED_VALUE"""),250.0)</f>
        <v>250</v>
      </c>
      <c r="B251" s="87"/>
      <c r="C251" s="131">
        <f>IFERROR(__xludf.DUMMYFUNCTION("""COMPUTED_VALUE"""),167.0)</f>
        <v>167</v>
      </c>
      <c r="D251" s="131"/>
      <c r="E251" s="131" t="str">
        <f>IFERROR(__xludf.DUMMYFUNCTION("""COMPUTED_VALUE"""),"RAUSO")</f>
        <v>RAUSO</v>
      </c>
      <c r="F251" s="131" t="str">
        <f>IFERROR(__xludf.DUMMYFUNCTION("""COMPUTED_VALUE"""),"STEVE")</f>
        <v>STEVE</v>
      </c>
      <c r="G251" s="133"/>
      <c r="H251" s="133"/>
      <c r="I251" s="133"/>
      <c r="J251" s="133"/>
      <c r="K251" s="133"/>
      <c r="L251" s="133"/>
      <c r="M251" s="133"/>
      <c r="N251" s="133"/>
      <c r="O251" s="133"/>
      <c r="P251" s="133"/>
      <c r="Q251" s="89"/>
      <c r="R251" s="89"/>
      <c r="S251" s="89"/>
      <c r="T251" s="89"/>
      <c r="U251" s="89"/>
      <c r="V251" s="89"/>
      <c r="W251" s="89"/>
    </row>
    <row r="252">
      <c r="A252" s="131">
        <f>IFERROR(__xludf.DUMMYFUNCTION("""COMPUTED_VALUE"""),251.0)</f>
        <v>251</v>
      </c>
      <c r="B252" s="131"/>
      <c r="C252" s="131">
        <f>IFERROR(__xludf.DUMMYFUNCTION("""COMPUTED_VALUE"""),167.0)</f>
        <v>167</v>
      </c>
      <c r="D252" s="131" t="b">
        <f>IFERROR(__xludf.DUMMYFUNCTION("""COMPUTED_VALUE"""),FALSE)</f>
        <v>0</v>
      </c>
      <c r="E252" s="131" t="str">
        <f>IFERROR(__xludf.DUMMYFUNCTION("""COMPUTED_VALUE"""),"LIBRES")</f>
        <v>LIBRES</v>
      </c>
      <c r="F252" s="131" t="str">
        <f>IFERROR(__xludf.DUMMYFUNCTION("""COMPUTED_VALUE"""),"GABRIEL")</f>
        <v>GABRIEL</v>
      </c>
      <c r="G252" s="93"/>
      <c r="H252" s="93"/>
      <c r="I252" s="93"/>
      <c r="J252" s="93"/>
      <c r="K252" s="93"/>
      <c r="L252" s="93"/>
      <c r="M252" s="93"/>
      <c r="N252" s="93"/>
      <c r="O252" s="93"/>
      <c r="P252" s="93"/>
    </row>
    <row r="253">
      <c r="A253" s="131">
        <f>IFERROR(__xludf.DUMMYFUNCTION("""COMPUTED_VALUE"""),252.0)</f>
        <v>252</v>
      </c>
      <c r="B253" s="131"/>
      <c r="C253" s="131">
        <f>IFERROR(__xludf.DUMMYFUNCTION("""COMPUTED_VALUE"""),167.0)</f>
        <v>167</v>
      </c>
      <c r="D253" s="131" t="b">
        <f>IFERROR(__xludf.DUMMYFUNCTION("""COMPUTED_VALUE"""),FALSE)</f>
        <v>0</v>
      </c>
      <c r="E253" s="94" t="str">
        <f>IFERROR(__xludf.DUMMYFUNCTION("""COMPUTED_VALUE"""),"PARONGAN")</f>
        <v>PARONGAN</v>
      </c>
      <c r="F253" s="94" t="str">
        <f>IFERROR(__xludf.DUMMYFUNCTION("""COMPUTED_VALUE"""),"KIAN")</f>
        <v>KIAN</v>
      </c>
    </row>
    <row r="254">
      <c r="A254" s="131">
        <f>IFERROR(__xludf.DUMMYFUNCTION("""COMPUTED_VALUE"""),253.0)</f>
        <v>253</v>
      </c>
      <c r="B254" s="131"/>
      <c r="C254" s="131">
        <f>IFERROR(__xludf.DUMMYFUNCTION("""COMPUTED_VALUE"""),167.0)</f>
        <v>167</v>
      </c>
      <c r="D254" s="131" t="b">
        <f>IFERROR(__xludf.DUMMYFUNCTION("""COMPUTED_VALUE"""),FALSE)</f>
        <v>0</v>
      </c>
      <c r="E254" s="95" t="str">
        <f>IFERROR(__xludf.DUMMYFUNCTION("""COMPUTED_VALUE"""),"RACCA")</f>
        <v>RACCA</v>
      </c>
      <c r="F254" s="95" t="str">
        <f>IFERROR(__xludf.DUMMYFUNCTION("""COMPUTED_VALUE"""),"GRANT EL")</f>
        <v>GRANT EL</v>
      </c>
    </row>
    <row r="255">
      <c r="A255" s="131">
        <f>IFERROR(__xludf.DUMMYFUNCTION("""COMPUTED_VALUE"""),254.0)</f>
        <v>254</v>
      </c>
      <c r="B255" s="131"/>
      <c r="C255" s="131">
        <f>IFERROR(__xludf.DUMMYFUNCTION("""COMPUTED_VALUE"""),23.0)</f>
        <v>23</v>
      </c>
      <c r="D255" s="131" t="b">
        <f>IFERROR(__xludf.DUMMYFUNCTION("""COMPUTED_VALUE"""),FALSE)</f>
        <v>0</v>
      </c>
      <c r="E255" s="95" t="str">
        <f>IFERROR(__xludf.DUMMYFUNCTION("""COMPUTED_VALUE"""),"MATAMIS")</f>
        <v>MATAMIS</v>
      </c>
      <c r="F255" s="95" t="str">
        <f>IFERROR(__xludf.DUMMYFUNCTION("""COMPUTED_VALUE"""),"SEYVEL")</f>
        <v>SEYVEL</v>
      </c>
    </row>
    <row r="256">
      <c r="A256" s="131">
        <f>IFERROR(__xludf.DUMMYFUNCTION("""COMPUTED_VALUE"""),257.0)</f>
        <v>257</v>
      </c>
      <c r="B256" s="131"/>
      <c r="C256" s="131">
        <f>IFERROR(__xludf.DUMMYFUNCTION("""COMPUTED_VALUE"""),23.0)</f>
        <v>23</v>
      </c>
      <c r="D256" s="131" t="b">
        <f>IFERROR(__xludf.DUMMYFUNCTION("""COMPUTED_VALUE"""),FALSE)</f>
        <v>0</v>
      </c>
      <c r="E256" s="95" t="str">
        <f>IFERROR(__xludf.DUMMYFUNCTION("""COMPUTED_VALUE"""),"PARCAREY")</f>
        <v>PARCAREY</v>
      </c>
      <c r="F256" s="95" t="str">
        <f>IFERROR(__xludf.DUMMYFUNCTION("""COMPUTED_VALUE"""),"MARZETTI")</f>
        <v>MARZETTI</v>
      </c>
    </row>
    <row r="257">
      <c r="A257" s="131">
        <f>IFERROR(__xludf.DUMMYFUNCTION("""COMPUTED_VALUE"""),256.0)</f>
        <v>256</v>
      </c>
      <c r="B257" s="131"/>
      <c r="C257" s="131">
        <f>IFERROR(__xludf.DUMMYFUNCTION("""COMPUTED_VALUE"""),23.0)</f>
        <v>23</v>
      </c>
      <c r="D257" s="131" t="b">
        <f>IFERROR(__xludf.DUMMYFUNCTION("""COMPUTED_VALUE"""),FALSE)</f>
        <v>0</v>
      </c>
      <c r="E257" s="95" t="str">
        <f>IFERROR(__xludf.DUMMYFUNCTION("""COMPUTED_VALUE"""),"AGSALUD")</f>
        <v>AGSALUD</v>
      </c>
      <c r="F257" s="95" t="str">
        <f>IFERROR(__xludf.DUMMYFUNCTION("""COMPUTED_VALUE"""),"ROSE MARIE")</f>
        <v>ROSE MARIE</v>
      </c>
    </row>
    <row r="258">
      <c r="A258" s="131">
        <f>IFERROR(__xludf.DUMMYFUNCTION("""COMPUTED_VALUE"""),259.0)</f>
        <v>259</v>
      </c>
      <c r="B258" s="131"/>
      <c r="C258" s="131">
        <f>IFERROR(__xludf.DUMMYFUNCTION("""COMPUTED_VALUE"""),167.0)</f>
        <v>167</v>
      </c>
      <c r="D258" s="131"/>
      <c r="E258" s="96" t="str">
        <f>IFERROR(__xludf.DUMMYFUNCTION("""COMPUTED_VALUE"""),"Gelicame")</f>
        <v>Gelicame</v>
      </c>
      <c r="F258" s="96" t="str">
        <f>IFERROR(__xludf.DUMMYFUNCTION("""COMPUTED_VALUE"""),"Aljun")</f>
        <v>Aljun</v>
      </c>
    </row>
    <row r="259">
      <c r="A259" s="131">
        <f>IFERROR(__xludf.DUMMYFUNCTION("""COMPUTED_VALUE"""),260.0)</f>
        <v>260</v>
      </c>
      <c r="B259" s="131"/>
      <c r="C259" s="131">
        <f>IFERROR(__xludf.DUMMYFUNCTION("""COMPUTED_VALUE"""),167.0)</f>
        <v>167</v>
      </c>
      <c r="D259" s="131"/>
      <c r="E259" s="95" t="str">
        <f>IFERROR(__xludf.DUMMYFUNCTION("""COMPUTED_VALUE"""),"Valera")</f>
        <v>Valera</v>
      </c>
      <c r="F259" s="95" t="str">
        <f>IFERROR(__xludf.DUMMYFUNCTION("""COMPUTED_VALUE"""),"Edward Luis")</f>
        <v>Edward Luis</v>
      </c>
    </row>
    <row r="260">
      <c r="A260" s="131">
        <f>IFERROR(__xludf.DUMMYFUNCTION("""COMPUTED_VALUE"""),261.0)</f>
        <v>261</v>
      </c>
      <c r="B260" s="131"/>
      <c r="C260" s="131">
        <f>IFERROR(__xludf.DUMMYFUNCTION("""COMPUTED_VALUE"""),23.0)</f>
        <v>23</v>
      </c>
      <c r="D260" s="131"/>
      <c r="E260" s="95" t="str">
        <f>IFERROR(__xludf.DUMMYFUNCTION("""COMPUTED_VALUE"""),"CERBETO")</f>
        <v>CERBETO</v>
      </c>
      <c r="F260" s="95" t="str">
        <f>IFERROR(__xludf.DUMMYFUNCTION("""COMPUTED_VALUE"""),"AIFHA")</f>
        <v>AIFHA</v>
      </c>
    </row>
    <row r="261">
      <c r="A261" s="131">
        <f>IFERROR(__xludf.DUMMYFUNCTION("""COMPUTED_VALUE"""),262.0)</f>
        <v>262</v>
      </c>
      <c r="B261" s="131"/>
      <c r="C261" s="131">
        <f>IFERROR(__xludf.DUMMYFUNCTION("""COMPUTED_VALUE"""),23.0)</f>
        <v>23</v>
      </c>
      <c r="D261" s="131"/>
      <c r="E261" s="95" t="str">
        <f>IFERROR(__xludf.DUMMYFUNCTION("""COMPUTED_VALUE"""),"PARCAREY")</f>
        <v>PARCAREY</v>
      </c>
      <c r="F261" s="95" t="str">
        <f>IFERROR(__xludf.DUMMYFUNCTION("""COMPUTED_VALUE"""),"MARZETTI")</f>
        <v>MARZETTI</v>
      </c>
    </row>
    <row r="262">
      <c r="A262" s="131">
        <f>IFERROR(__xludf.DUMMYFUNCTION("""COMPUTED_VALUE"""),263.0)</f>
        <v>263</v>
      </c>
      <c r="B262" s="131"/>
      <c r="C262" s="131">
        <f>IFERROR(__xludf.DUMMYFUNCTION("""COMPUTED_VALUE"""),1.0)</f>
        <v>1</v>
      </c>
      <c r="D262" s="131"/>
      <c r="E262" s="96" t="str">
        <f>IFERROR(__xludf.DUMMYFUNCTION("""COMPUTED_VALUE"""),"MABAO")</f>
        <v>MABAO</v>
      </c>
      <c r="F262" s="96" t="str">
        <f>IFERROR(__xludf.DUMMYFUNCTION("""COMPUTED_VALUE"""),"ROSELYN")</f>
        <v>ROSELYN</v>
      </c>
    </row>
    <row r="263">
      <c r="A263" s="131">
        <f>IFERROR(__xludf.DUMMYFUNCTION("""COMPUTED_VALUE"""),264.0)</f>
        <v>264</v>
      </c>
      <c r="B263" s="131"/>
      <c r="C263" s="131">
        <f>IFERROR(__xludf.DUMMYFUNCTION("""COMPUTED_VALUE"""),167.0)</f>
        <v>167</v>
      </c>
      <c r="D263" s="131"/>
      <c r="E263" s="96" t="str">
        <f>IFERROR(__xludf.DUMMYFUNCTION("""COMPUTED_VALUE"""),"VALERA")</f>
        <v>VALERA</v>
      </c>
      <c r="F263" s="96" t="str">
        <f>IFERROR(__xludf.DUMMYFUNCTION("""COMPUTED_VALUE"""),"ELY")</f>
        <v>ELY</v>
      </c>
    </row>
    <row r="264">
      <c r="A264" s="131">
        <f>IFERROR(__xludf.DUMMYFUNCTION("""COMPUTED_VALUE"""),265.0)</f>
        <v>265</v>
      </c>
      <c r="B264" s="131"/>
      <c r="C264" s="131">
        <f>IFERROR(__xludf.DUMMYFUNCTION("""COMPUTED_VALUE"""),167.0)</f>
        <v>167</v>
      </c>
      <c r="D264" s="131"/>
      <c r="E264" s="96" t="str">
        <f>IFERROR(__xludf.DUMMYFUNCTION("""COMPUTED_VALUE"""),"RAUSO")</f>
        <v>RAUSO</v>
      </c>
      <c r="F264" s="96" t="str">
        <f>IFERROR(__xludf.DUMMYFUNCTION("""COMPUTED_VALUE"""),"GABRIEL")</f>
        <v>GABRIEL</v>
      </c>
    </row>
    <row r="265">
      <c r="A265" s="131"/>
      <c r="B265" s="131"/>
      <c r="C265" s="131"/>
      <c r="D265" s="131"/>
      <c r="E265" s="96"/>
      <c r="F265" s="96"/>
    </row>
    <row r="266">
      <c r="A266" s="131">
        <f>IFERROR(__xludf.DUMMYFUNCTION("""COMPUTED_VALUE"""),1230.0)</f>
        <v>1230</v>
      </c>
      <c r="B266" s="131"/>
      <c r="C266" s="131">
        <f>IFERROR(__xludf.DUMMYFUNCTION("""COMPUTED_VALUE"""),1230.0)</f>
        <v>1230</v>
      </c>
      <c r="D266" s="131" t="b">
        <f>IFERROR(__xludf.DUMMYFUNCTION("""COMPUTED_VALUE"""),TRUE)</f>
        <v>1</v>
      </c>
      <c r="E266" s="96" t="str">
        <f>IFERROR(__xludf.DUMMYFUNCTION("""COMPUTED_VALUE"""),"CALUALHATIAN")</f>
        <v>CALUALHATIAN</v>
      </c>
      <c r="F266" s="96" t="str">
        <f>IFERROR(__xludf.DUMMYFUNCTION("""COMPUTED_VALUE"""),"DANTE")</f>
        <v>DANTE</v>
      </c>
    </row>
    <row r="267">
      <c r="A267" s="131">
        <f>IFERROR(__xludf.DUMMYFUNCTION("""COMPUTED_VALUE"""),1231.0)</f>
        <v>1231</v>
      </c>
      <c r="B267" s="131"/>
      <c r="C267" s="131">
        <f>IFERROR(__xludf.DUMMYFUNCTION("""COMPUTED_VALUE"""),1230.0)</f>
        <v>1230</v>
      </c>
      <c r="D267" s="131"/>
      <c r="E267" s="97" t="str">
        <f>IFERROR(__xludf.DUMMYFUNCTION("""COMPUTED_VALUE"""),"A.")</f>
        <v>A.</v>
      </c>
      <c r="F267" s="97" t="str">
        <f>IFERROR(__xludf.DUMMYFUNCTION("""COMPUTED_VALUE"""),"BONG")</f>
        <v>BONG</v>
      </c>
    </row>
    <row r="268">
      <c r="A268" s="131">
        <f>IFERROR(__xludf.DUMMYFUNCTION("""COMPUTED_VALUE"""),1232.0)</f>
        <v>1232</v>
      </c>
      <c r="B268" s="131"/>
      <c r="C268" s="131">
        <f>IFERROR(__xludf.DUMMYFUNCTION("""COMPUTED_VALUE"""),1230.0)</f>
        <v>1230</v>
      </c>
      <c r="D268" s="131"/>
      <c r="E268" s="96" t="str">
        <f>IFERROR(__xludf.DUMMYFUNCTION("""COMPUTED_VALUE"""),"SALAC")</f>
        <v>SALAC</v>
      </c>
      <c r="F268" s="96" t="str">
        <f>IFERROR(__xludf.DUMMYFUNCTION("""COMPUTED_VALUE"""),"ROMEO")</f>
        <v>ROMEO</v>
      </c>
    </row>
    <row r="269">
      <c r="A269" s="131">
        <f>IFERROR(__xludf.DUMMYFUNCTION("""COMPUTED_VALUE"""),1233.0)</f>
        <v>1233</v>
      </c>
      <c r="B269" s="131"/>
      <c r="C269" s="131">
        <f>IFERROR(__xludf.DUMMYFUNCTION("""COMPUTED_VALUE"""),1230.0)</f>
        <v>1230</v>
      </c>
      <c r="D269" s="131"/>
      <c r="E269" s="96" t="str">
        <f>IFERROR(__xludf.DUMMYFUNCTION("""COMPUTED_VALUE"""),"GREGORIO")</f>
        <v>GREGORIO</v>
      </c>
      <c r="F269" s="96" t="str">
        <f>IFERROR(__xludf.DUMMYFUNCTION("""COMPUTED_VALUE"""),"MARLOU")</f>
        <v>MARLOU</v>
      </c>
    </row>
    <row r="270">
      <c r="A270" s="131">
        <f>IFERROR(__xludf.DUMMYFUNCTION("""COMPUTED_VALUE"""),1234.0)</f>
        <v>1234</v>
      </c>
      <c r="B270" s="131"/>
      <c r="C270" s="131">
        <f>IFERROR(__xludf.DUMMYFUNCTION("""COMPUTED_VALUE"""),1230.0)</f>
        <v>1230</v>
      </c>
      <c r="D270" s="131"/>
      <c r="E270" s="96" t="str">
        <f>IFERROR(__xludf.DUMMYFUNCTION("""COMPUTED_VALUE"""),"SOMERA")</f>
        <v>SOMERA</v>
      </c>
      <c r="F270" s="96" t="str">
        <f>IFERROR(__xludf.DUMMYFUNCTION("""COMPUTED_VALUE"""),"JAY")</f>
        <v>JAY</v>
      </c>
    </row>
    <row r="271">
      <c r="A271" s="131">
        <f>IFERROR(__xludf.DUMMYFUNCTION("""COMPUTED_VALUE"""),1235.0)</f>
        <v>1235</v>
      </c>
      <c r="B271" s="131"/>
      <c r="C271" s="131">
        <f>IFERROR(__xludf.DUMMYFUNCTION("""COMPUTED_VALUE"""),1230.0)</f>
        <v>1230</v>
      </c>
      <c r="D271" s="131"/>
      <c r="E271" s="96" t="str">
        <f>IFERROR(__xludf.DUMMYFUNCTION("""COMPUTED_VALUE"""),"MALIWAT")</f>
        <v>MALIWAT</v>
      </c>
      <c r="F271" s="96" t="str">
        <f>IFERROR(__xludf.DUMMYFUNCTION("""COMPUTED_VALUE"""),"LEO")</f>
        <v>LEO</v>
      </c>
    </row>
    <row r="272">
      <c r="A272" s="131"/>
      <c r="B272" s="131"/>
      <c r="C272" s="131"/>
      <c r="D272" s="131"/>
      <c r="E272" s="96"/>
      <c r="F272" s="96"/>
    </row>
    <row r="273">
      <c r="A273" s="131">
        <f>IFERROR(__xludf.DUMMYFUNCTION("""COMPUTED_VALUE"""),1236.0)</f>
        <v>1236</v>
      </c>
      <c r="B273" s="131"/>
      <c r="C273" s="131">
        <f>IFERROR(__xludf.DUMMYFUNCTION("""COMPUTED_VALUE"""),1236.0)</f>
        <v>1236</v>
      </c>
      <c r="D273" s="131" t="b">
        <f>IFERROR(__xludf.DUMMYFUNCTION("""COMPUTED_VALUE"""),TRUE)</f>
        <v>1</v>
      </c>
      <c r="E273" s="96" t="str">
        <f>IFERROR(__xludf.DUMMYFUNCTION("""COMPUTED_VALUE"""),"RETAMAR")</f>
        <v>RETAMAR</v>
      </c>
      <c r="F273" s="96" t="str">
        <f>IFERROR(__xludf.DUMMYFUNCTION("""COMPUTED_VALUE"""),"ELENA")</f>
        <v>ELENA</v>
      </c>
    </row>
    <row r="274">
      <c r="A274" s="131">
        <f>IFERROR(__xludf.DUMMYFUNCTION("""COMPUTED_VALUE"""),1237.0)</f>
        <v>1237</v>
      </c>
      <c r="B274" s="131"/>
      <c r="C274" s="131">
        <f>IFERROR(__xludf.DUMMYFUNCTION("""COMPUTED_VALUE"""),1236.0)</f>
        <v>1236</v>
      </c>
      <c r="D274" s="131"/>
      <c r="E274" s="98" t="str">
        <f>IFERROR(__xludf.DUMMYFUNCTION("""COMPUTED_VALUE"""),"VILLA")</f>
        <v>VILLA</v>
      </c>
      <c r="F274" s="96" t="str">
        <f>IFERROR(__xludf.DUMMYFUNCTION("""COMPUTED_VALUE"""),"WENG NIONES")</f>
        <v>WENG NIONES</v>
      </c>
    </row>
    <row r="275">
      <c r="A275" s="131">
        <f>IFERROR(__xludf.DUMMYFUNCTION("""COMPUTED_VALUE"""),1238.0)</f>
        <v>1238</v>
      </c>
      <c r="B275" s="131"/>
      <c r="C275" s="131">
        <f>IFERROR(__xludf.DUMMYFUNCTION("""COMPUTED_VALUE"""),1236.0)</f>
        <v>1236</v>
      </c>
      <c r="D275" s="131"/>
      <c r="E275" s="99" t="str">
        <f>IFERROR(__xludf.DUMMYFUNCTION("""COMPUTED_VALUE"""),"V")</f>
        <v>V</v>
      </c>
      <c r="F275" s="99" t="str">
        <f>IFERROR(__xludf.DUMMYFUNCTION("""COMPUTED_VALUE"""),"ROSE")</f>
        <v>ROSE</v>
      </c>
    </row>
    <row r="276">
      <c r="A276" s="131">
        <f>IFERROR(__xludf.DUMMYFUNCTION("""COMPUTED_VALUE"""),1239.0)</f>
        <v>1239</v>
      </c>
      <c r="B276" s="131"/>
      <c r="C276" s="131">
        <f>IFERROR(__xludf.DUMMYFUNCTION("""COMPUTED_VALUE"""),1236.0)</f>
        <v>1236</v>
      </c>
      <c r="D276" s="131"/>
      <c r="E276" s="100" t="str">
        <f>IFERROR(__xludf.DUMMYFUNCTION("""COMPUTED_VALUE"""),"DATO")</f>
        <v>DATO</v>
      </c>
      <c r="F276" s="100" t="str">
        <f>IFERROR(__xludf.DUMMYFUNCTION("""COMPUTED_VALUE"""),"EVELYN")</f>
        <v>EVELYN</v>
      </c>
    </row>
    <row r="277">
      <c r="A277" s="131">
        <f>IFERROR(__xludf.DUMMYFUNCTION("""COMPUTED_VALUE"""),1240.0)</f>
        <v>1240</v>
      </c>
      <c r="B277" s="131"/>
      <c r="C277" s="131">
        <f>IFERROR(__xludf.DUMMYFUNCTION("""COMPUTED_VALUE"""),1236.0)</f>
        <v>1236</v>
      </c>
      <c r="D277" s="131"/>
      <c r="E277" s="100"/>
      <c r="F277" s="100" t="str">
        <f>IFERROR(__xludf.DUMMYFUNCTION("""COMPUTED_VALUE"""),"ELIZABETH")</f>
        <v>ELIZABETH</v>
      </c>
    </row>
    <row r="278">
      <c r="A278" s="131">
        <f>IFERROR(__xludf.DUMMYFUNCTION("""COMPUTED_VALUE"""),1241.0)</f>
        <v>1241</v>
      </c>
      <c r="B278" s="131"/>
      <c r="C278" s="131">
        <f>IFERROR(__xludf.DUMMYFUNCTION("""COMPUTED_VALUE"""),1236.0)</f>
        <v>1236</v>
      </c>
      <c r="D278" s="131"/>
      <c r="E278" s="100"/>
      <c r="F278" s="100" t="str">
        <f>IFERROR(__xludf.DUMMYFUNCTION("""COMPUTED_VALUE"""),"WINNIE")</f>
        <v>WINNIE</v>
      </c>
    </row>
    <row r="279">
      <c r="A279" s="131">
        <f>IFERROR(__xludf.DUMMYFUNCTION("""COMPUTED_VALUE"""),1242.0)</f>
        <v>1242</v>
      </c>
      <c r="B279" s="131"/>
      <c r="C279" s="131">
        <f>IFERROR(__xludf.DUMMYFUNCTION("""COMPUTED_VALUE"""),1236.0)</f>
        <v>1236</v>
      </c>
      <c r="D279" s="131"/>
      <c r="E279" s="100"/>
      <c r="F279" s="100" t="str">
        <f>IFERROR(__xludf.DUMMYFUNCTION("""COMPUTED_VALUE"""),"MALOU")</f>
        <v>MALOU</v>
      </c>
    </row>
    <row r="280">
      <c r="A280" s="131">
        <f>IFERROR(__xludf.DUMMYFUNCTION("""COMPUTED_VALUE"""),1243.0)</f>
        <v>1243</v>
      </c>
      <c r="B280" s="131"/>
      <c r="C280" s="131">
        <f>IFERROR(__xludf.DUMMYFUNCTION("""COMPUTED_VALUE"""),1236.0)</f>
        <v>1236</v>
      </c>
      <c r="D280" s="131"/>
      <c r="E280" s="100" t="str">
        <f>IFERROR(__xludf.DUMMYFUNCTION("""COMPUTED_VALUE"""),"TOLEDO")</f>
        <v>TOLEDO</v>
      </c>
      <c r="F280" s="100" t="str">
        <f>IFERROR(__xludf.DUMMYFUNCTION("""COMPUTED_VALUE"""),"MAYE")</f>
        <v>MAYE</v>
      </c>
    </row>
    <row r="281">
      <c r="A281" s="131">
        <f>IFERROR(__xludf.DUMMYFUNCTION("""COMPUTED_VALUE"""),1244.0)</f>
        <v>1244</v>
      </c>
      <c r="B281" s="131"/>
      <c r="C281" s="131">
        <f>IFERROR(__xludf.DUMMYFUNCTION("""COMPUTED_VALUE"""),1236.0)</f>
        <v>1236</v>
      </c>
      <c r="D281" s="131"/>
      <c r="E281" s="100" t="str">
        <f>IFERROR(__xludf.DUMMYFUNCTION("""COMPUTED_VALUE"""),"LIM")</f>
        <v>LIM</v>
      </c>
      <c r="F281" s="100" t="str">
        <f>IFERROR(__xludf.DUMMYFUNCTION("""COMPUTED_VALUE"""),"GRACE")</f>
        <v>GRACE</v>
      </c>
    </row>
    <row r="282">
      <c r="A282" s="131">
        <f>IFERROR(__xludf.DUMMYFUNCTION("""COMPUTED_VALUE"""),1245.0)</f>
        <v>1245</v>
      </c>
      <c r="B282" s="131"/>
      <c r="C282" s="131">
        <f>IFERROR(__xludf.DUMMYFUNCTION("""COMPUTED_VALUE"""),1236.0)</f>
        <v>1236</v>
      </c>
      <c r="D282" s="131"/>
      <c r="E282" s="100" t="str">
        <f>IFERROR(__xludf.DUMMYFUNCTION("""COMPUTED_VALUE"""),"CALUALHATIAN")</f>
        <v>CALUALHATIAN</v>
      </c>
      <c r="F282" s="100" t="str">
        <f>IFERROR(__xludf.DUMMYFUNCTION("""COMPUTED_VALUE"""),"ADELAIDA")</f>
        <v>ADELAIDA</v>
      </c>
    </row>
    <row r="283">
      <c r="A283" s="131">
        <f>IFERROR(__xludf.DUMMYFUNCTION("""COMPUTED_VALUE"""),1246.0)</f>
        <v>1246</v>
      </c>
      <c r="B283" s="131"/>
      <c r="C283" s="131">
        <f>IFERROR(__xludf.DUMMYFUNCTION("""COMPUTED_VALUE"""),1236.0)</f>
        <v>1236</v>
      </c>
      <c r="D283" s="131"/>
      <c r="E283" s="101" t="str">
        <f>IFERROR(__xludf.DUMMYFUNCTION("""COMPUTED_VALUE"""),"CALUALHATIAN")</f>
        <v>CALUALHATIAN</v>
      </c>
      <c r="F283" s="101" t="str">
        <f>IFERROR(__xludf.DUMMYFUNCTION("""COMPUTED_VALUE"""),"DAHNA")</f>
        <v>DAHNA</v>
      </c>
    </row>
    <row r="284">
      <c r="A284" s="131">
        <f>IFERROR(__xludf.DUMMYFUNCTION("""COMPUTED_VALUE"""),1247.0)</f>
        <v>1247</v>
      </c>
      <c r="B284" s="131"/>
      <c r="C284" s="131">
        <f>IFERROR(__xludf.DUMMYFUNCTION("""COMPUTED_VALUE"""),1236.0)</f>
        <v>1236</v>
      </c>
      <c r="D284" s="131"/>
      <c r="E284" s="100" t="str">
        <f>IFERROR(__xludf.DUMMYFUNCTION("""COMPUTED_VALUE"""),"SEXON")</f>
        <v>SEXON</v>
      </c>
      <c r="F284" s="100" t="str">
        <f>IFERROR(__xludf.DUMMYFUNCTION("""COMPUTED_VALUE"""),"MARILYN")</f>
        <v>MARILYN</v>
      </c>
    </row>
    <row r="285">
      <c r="A285" s="131">
        <f>IFERROR(__xludf.DUMMYFUNCTION("""COMPUTED_VALUE"""),1248.0)</f>
        <v>1248</v>
      </c>
      <c r="B285" s="131"/>
      <c r="C285" s="131">
        <f>IFERROR(__xludf.DUMMYFUNCTION("""COMPUTED_VALUE"""),1236.0)</f>
        <v>1236</v>
      </c>
      <c r="D285" s="131"/>
      <c r="E285" s="100" t="str">
        <f>IFERROR(__xludf.DUMMYFUNCTION("""COMPUTED_VALUE"""),"CALUALHATIAN")</f>
        <v>CALUALHATIAN</v>
      </c>
      <c r="F285" s="100" t="str">
        <f>IFERROR(__xludf.DUMMYFUNCTION("""COMPUTED_VALUE"""),"DANIKKA")</f>
        <v>DANIKKA</v>
      </c>
    </row>
    <row r="286">
      <c r="A286" s="131">
        <f>IFERROR(__xludf.DUMMYFUNCTION("""COMPUTED_VALUE"""),1249.0)</f>
        <v>1249</v>
      </c>
      <c r="B286" s="131"/>
      <c r="C286" s="131">
        <f>IFERROR(__xludf.DUMMYFUNCTION("""COMPUTED_VALUE"""),1236.0)</f>
        <v>1236</v>
      </c>
      <c r="D286" s="131"/>
      <c r="E286" s="102" t="str">
        <f>IFERROR(__xludf.DUMMYFUNCTION("""COMPUTED_VALUE"""),"CODILLA")</f>
        <v>CODILLA</v>
      </c>
      <c r="F286" s="102" t="str">
        <f>IFERROR(__xludf.DUMMYFUNCTION("""COMPUTED_VALUE"""),"CORY")</f>
        <v>CORY</v>
      </c>
    </row>
    <row r="287">
      <c r="A287" s="131">
        <f>IFERROR(__xludf.DUMMYFUNCTION("""COMPUTED_VALUE"""),1250.0)</f>
        <v>1250</v>
      </c>
      <c r="B287" s="131"/>
      <c r="C287" s="131">
        <f>IFERROR(__xludf.DUMMYFUNCTION("""COMPUTED_VALUE"""),1236.0)</f>
        <v>1236</v>
      </c>
      <c r="D287" s="131"/>
      <c r="E287" s="103" t="str">
        <f>IFERROR(__xludf.DUMMYFUNCTION("""COMPUTED_VALUE"""),"LANGITAN")</f>
        <v>LANGITAN</v>
      </c>
      <c r="F287" s="103" t="str">
        <f>IFERROR(__xludf.DUMMYFUNCTION("""COMPUTED_VALUE"""),"SARAH")</f>
        <v>SARAH</v>
      </c>
    </row>
    <row r="288">
      <c r="A288" s="131">
        <f>IFERROR(__xludf.DUMMYFUNCTION("""COMPUTED_VALUE"""),1251.0)</f>
        <v>1251</v>
      </c>
      <c r="B288" s="131"/>
      <c r="C288" s="131">
        <f>IFERROR(__xludf.DUMMYFUNCTION("""COMPUTED_VALUE"""),1236.0)</f>
        <v>1236</v>
      </c>
      <c r="D288" s="131"/>
      <c r="E288" s="103" t="str">
        <f>IFERROR(__xludf.DUMMYFUNCTION("""COMPUTED_VALUE"""),"LACONSAY")</f>
        <v>LACONSAY</v>
      </c>
      <c r="F288" s="103" t="str">
        <f>IFERROR(__xludf.DUMMYFUNCTION("""COMPUTED_VALUE"""),"MA. LOURDES")</f>
        <v>MA. LOURDES</v>
      </c>
    </row>
    <row r="289">
      <c r="A289" s="131">
        <f>IFERROR(__xludf.DUMMYFUNCTION("""COMPUTED_VALUE"""),1252.0)</f>
        <v>1252</v>
      </c>
      <c r="B289" s="131"/>
      <c r="C289" s="131">
        <f>IFERROR(__xludf.DUMMYFUNCTION("""COMPUTED_VALUE"""),1236.0)</f>
        <v>1236</v>
      </c>
      <c r="D289" s="131"/>
      <c r="E289" s="102" t="str">
        <f>IFERROR(__xludf.DUMMYFUNCTION("""COMPUTED_VALUE"""),"LACONSAY")</f>
        <v>LACONSAY</v>
      </c>
      <c r="F289" s="103" t="str">
        <f>IFERROR(__xludf.DUMMYFUNCTION("""COMPUTED_VALUE"""),"MA. ELENA")</f>
        <v>MA. ELENA</v>
      </c>
    </row>
    <row r="290">
      <c r="A290" s="131">
        <f>IFERROR(__xludf.DUMMYFUNCTION("""COMPUTED_VALUE"""),1253.0)</f>
        <v>1253</v>
      </c>
      <c r="B290" s="131"/>
      <c r="C290" s="131">
        <f>IFERROR(__xludf.DUMMYFUNCTION("""COMPUTED_VALUE"""),1236.0)</f>
        <v>1236</v>
      </c>
      <c r="D290" s="131"/>
      <c r="E290" s="103" t="str">
        <f>IFERROR(__xludf.DUMMYFUNCTION("""COMPUTED_VALUE"""),"MENOSO")</f>
        <v>MENOSO</v>
      </c>
      <c r="F290" s="103" t="str">
        <f>IFERROR(__xludf.DUMMYFUNCTION("""COMPUTED_VALUE"""),"DANICA")</f>
        <v>DANICA</v>
      </c>
    </row>
    <row r="291">
      <c r="A291" s="131">
        <f>IFERROR(__xludf.DUMMYFUNCTION("""COMPUTED_VALUE"""),1254.0)</f>
        <v>1254</v>
      </c>
      <c r="B291" s="131"/>
      <c r="C291" s="131">
        <f>IFERROR(__xludf.DUMMYFUNCTION("""COMPUTED_VALUE"""),1236.0)</f>
        <v>1236</v>
      </c>
      <c r="D291" s="131"/>
      <c r="E291" s="103"/>
      <c r="F291" s="103" t="str">
        <f>IFERROR(__xludf.DUMMYFUNCTION("""COMPUTED_VALUE"""),"AGNES")</f>
        <v>AGNES</v>
      </c>
    </row>
    <row r="292">
      <c r="A292" s="131"/>
      <c r="B292" s="131"/>
      <c r="C292" s="131"/>
      <c r="D292" s="131"/>
      <c r="E292" s="103"/>
      <c r="F292" s="103"/>
    </row>
    <row r="293">
      <c r="A293" s="131">
        <f>IFERROR(__xludf.DUMMYFUNCTION("""COMPUTED_VALUE"""),1255.0)</f>
        <v>1255</v>
      </c>
      <c r="B293" s="131"/>
      <c r="C293" s="131">
        <f>IFERROR(__xludf.DUMMYFUNCTION("""COMPUTED_VALUE"""),1255.0)</f>
        <v>1255</v>
      </c>
      <c r="D293" s="131" t="b">
        <f>IFERROR(__xludf.DUMMYFUNCTION("""COMPUTED_VALUE"""),TRUE)</f>
        <v>1</v>
      </c>
      <c r="E293" s="103" t="str">
        <f>IFERROR(__xludf.DUMMYFUNCTION("""COMPUTED_VALUE"""),"VERTODAZO")</f>
        <v>VERTODAZO</v>
      </c>
      <c r="F293" s="103" t="str">
        <f>IFERROR(__xludf.DUMMYFUNCTION("""COMPUTED_VALUE"""),"MONETH")</f>
        <v>MONETH</v>
      </c>
    </row>
    <row r="294">
      <c r="A294" s="131">
        <f>IFERROR(__xludf.DUMMYFUNCTION("""COMPUTED_VALUE"""),1256.0)</f>
        <v>1256</v>
      </c>
      <c r="B294" s="131"/>
      <c r="C294" s="131">
        <f>IFERROR(__xludf.DUMMYFUNCTION("""COMPUTED_VALUE"""),1255.0)</f>
        <v>1255</v>
      </c>
      <c r="D294" s="131"/>
      <c r="E294" s="103" t="str">
        <f>IFERROR(__xludf.DUMMYFUNCTION("""COMPUTED_VALUE"""),"SOMERA")</f>
        <v>SOMERA</v>
      </c>
      <c r="F294" s="103" t="str">
        <f>IFERROR(__xludf.DUMMYFUNCTION("""COMPUTED_VALUE"""),"CHA")</f>
        <v>CHA</v>
      </c>
    </row>
    <row r="295">
      <c r="A295" s="131">
        <f>IFERROR(__xludf.DUMMYFUNCTION("""COMPUTED_VALUE"""),1257.0)</f>
        <v>1257</v>
      </c>
      <c r="B295" s="131"/>
      <c r="C295" s="131">
        <f>IFERROR(__xludf.DUMMYFUNCTION("""COMPUTED_VALUE"""),1255.0)</f>
        <v>1255</v>
      </c>
      <c r="D295" s="131"/>
      <c r="E295" s="103" t="str">
        <f>IFERROR(__xludf.DUMMYFUNCTION("""COMPUTED_VALUE"""),"MAGDUAY")</f>
        <v>MAGDUAY</v>
      </c>
      <c r="F295" s="103" t="str">
        <f>IFERROR(__xludf.DUMMYFUNCTION("""COMPUTED_VALUE"""),"HEIDEE")</f>
        <v>HEIDEE</v>
      </c>
    </row>
    <row r="296">
      <c r="A296" s="131">
        <f>IFERROR(__xludf.DUMMYFUNCTION("""COMPUTED_VALUE"""),1258.0)</f>
        <v>1258</v>
      </c>
      <c r="B296" s="131"/>
      <c r="C296" s="131">
        <f>IFERROR(__xludf.DUMMYFUNCTION("""COMPUTED_VALUE"""),1255.0)</f>
        <v>1255</v>
      </c>
      <c r="D296" s="131"/>
      <c r="E296" s="103" t="str">
        <f>IFERROR(__xludf.DUMMYFUNCTION("""COMPUTED_VALUE"""),"TANDUL")</f>
        <v>TANDUL</v>
      </c>
      <c r="F296" s="103" t="str">
        <f>IFERROR(__xludf.DUMMYFUNCTION("""COMPUTED_VALUE"""),"RAQUEL")</f>
        <v>RAQUEL</v>
      </c>
    </row>
    <row r="297">
      <c r="A297" s="131">
        <f>IFERROR(__xludf.DUMMYFUNCTION("""COMPUTED_VALUE"""),1259.0)</f>
        <v>1259</v>
      </c>
      <c r="B297" s="131"/>
      <c r="C297" s="131">
        <f>IFERROR(__xludf.DUMMYFUNCTION("""COMPUTED_VALUE"""),1255.0)</f>
        <v>1255</v>
      </c>
      <c r="D297" s="131"/>
      <c r="E297" s="103" t="str">
        <f>IFERROR(__xludf.DUMMYFUNCTION("""COMPUTED_VALUE"""),"ARTICULO")</f>
        <v>ARTICULO</v>
      </c>
      <c r="F297" s="103" t="str">
        <f>IFERROR(__xludf.DUMMYFUNCTION("""COMPUTED_VALUE"""),"LEILA M.")</f>
        <v>LEILA M.</v>
      </c>
    </row>
    <row r="298">
      <c r="A298" s="131">
        <f>IFERROR(__xludf.DUMMYFUNCTION("""COMPUTED_VALUE"""),1260.0)</f>
        <v>1260</v>
      </c>
      <c r="B298" s="131"/>
      <c r="C298" s="131">
        <f>IFERROR(__xludf.DUMMYFUNCTION("""COMPUTED_VALUE"""),1255.0)</f>
        <v>1255</v>
      </c>
      <c r="D298" s="131"/>
      <c r="E298" s="103" t="str">
        <f>IFERROR(__xludf.DUMMYFUNCTION("""COMPUTED_VALUE"""),"BALDONADO")</f>
        <v>BALDONADO</v>
      </c>
      <c r="F298" s="103" t="str">
        <f>IFERROR(__xludf.DUMMYFUNCTION("""COMPUTED_VALUE"""),"JULIETA")</f>
        <v>JULIETA</v>
      </c>
    </row>
    <row r="299">
      <c r="A299" s="131">
        <f>IFERROR(__xludf.DUMMYFUNCTION("""COMPUTED_VALUE"""),1261.0)</f>
        <v>1261</v>
      </c>
      <c r="B299" s="131"/>
      <c r="C299" s="131">
        <f>IFERROR(__xludf.DUMMYFUNCTION("""COMPUTED_VALUE"""),1255.0)</f>
        <v>1255</v>
      </c>
      <c r="D299" s="131"/>
      <c r="E299" s="103" t="str">
        <f>IFERROR(__xludf.DUMMYFUNCTION("""COMPUTED_VALUE"""),"CARLOS")</f>
        <v>CARLOS</v>
      </c>
      <c r="F299" s="103" t="str">
        <f>IFERROR(__xludf.DUMMYFUNCTION("""COMPUTED_VALUE"""),"ANTONETTE M.")</f>
        <v>ANTONETTE M.</v>
      </c>
    </row>
    <row r="300">
      <c r="A300" s="131">
        <f>IFERROR(__xludf.DUMMYFUNCTION("""COMPUTED_VALUE"""),1262.0)</f>
        <v>1262</v>
      </c>
      <c r="B300" s="131"/>
      <c r="C300" s="131">
        <f>IFERROR(__xludf.DUMMYFUNCTION("""COMPUTED_VALUE"""),1255.0)</f>
        <v>1255</v>
      </c>
      <c r="D300" s="131"/>
      <c r="E300" s="103" t="str">
        <f>IFERROR(__xludf.DUMMYFUNCTION("""COMPUTED_VALUE"""),"INCARNATION")</f>
        <v>INCARNATION</v>
      </c>
      <c r="F300" s="103" t="str">
        <f>IFERROR(__xludf.DUMMYFUNCTION("""COMPUTED_VALUE"""),"LUCILA")</f>
        <v>LUCILA</v>
      </c>
    </row>
    <row r="301">
      <c r="A301" s="131">
        <f>IFERROR(__xludf.DUMMYFUNCTION("""COMPUTED_VALUE"""),1263.0)</f>
        <v>1263</v>
      </c>
      <c r="B301" s="131"/>
      <c r="C301" s="131">
        <f>IFERROR(__xludf.DUMMYFUNCTION("""COMPUTED_VALUE"""),1255.0)</f>
        <v>1255</v>
      </c>
      <c r="D301" s="131"/>
      <c r="E301" s="103" t="str">
        <f>IFERROR(__xludf.DUMMYFUNCTION("""COMPUTED_VALUE"""),"MAGAT")</f>
        <v>MAGAT</v>
      </c>
      <c r="F301" s="103" t="str">
        <f>IFERROR(__xludf.DUMMYFUNCTION("""COMPUTED_VALUE"""),"SYLVIA")</f>
        <v>SYLVIA</v>
      </c>
    </row>
    <row r="302">
      <c r="A302" s="131">
        <f>IFERROR(__xludf.DUMMYFUNCTION("""COMPUTED_VALUE"""),1264.0)</f>
        <v>1264</v>
      </c>
      <c r="B302" s="131"/>
      <c r="C302" s="131">
        <f>IFERROR(__xludf.DUMMYFUNCTION("""COMPUTED_VALUE"""),1255.0)</f>
        <v>1255</v>
      </c>
      <c r="D302" s="131"/>
      <c r="E302" s="103" t="str">
        <f>IFERROR(__xludf.DUMMYFUNCTION("""COMPUTED_VALUE"""),"MAGAT")</f>
        <v>MAGAT</v>
      </c>
      <c r="F302" s="103" t="str">
        <f>IFERROR(__xludf.DUMMYFUNCTION("""COMPUTED_VALUE"""),"JOSEPHINA")</f>
        <v>JOSEPHINA</v>
      </c>
    </row>
    <row r="303">
      <c r="A303" s="131">
        <f>IFERROR(__xludf.DUMMYFUNCTION("""COMPUTED_VALUE"""),1265.0)</f>
        <v>1265</v>
      </c>
      <c r="B303" s="131"/>
      <c r="C303" s="131">
        <f>IFERROR(__xludf.DUMMYFUNCTION("""COMPUTED_VALUE"""),1255.0)</f>
        <v>1255</v>
      </c>
      <c r="D303" s="131"/>
      <c r="E303" s="103" t="str">
        <f>IFERROR(__xludf.DUMMYFUNCTION("""COMPUTED_VALUE"""),"VILLARTA")</f>
        <v>VILLARTA</v>
      </c>
      <c r="F303" s="103" t="str">
        <f>IFERROR(__xludf.DUMMYFUNCTION("""COMPUTED_VALUE"""),"JESSICA")</f>
        <v>JESSICA</v>
      </c>
    </row>
    <row r="304">
      <c r="A304" s="131">
        <f>IFERROR(__xludf.DUMMYFUNCTION("""COMPUTED_VALUE"""),1266.0)</f>
        <v>1266</v>
      </c>
      <c r="B304" s="131"/>
      <c r="C304" s="131">
        <f>IFERROR(__xludf.DUMMYFUNCTION("""COMPUTED_VALUE"""),1255.0)</f>
        <v>1255</v>
      </c>
      <c r="D304" s="131"/>
      <c r="E304" s="99" t="str">
        <f>IFERROR(__xludf.DUMMYFUNCTION("""COMPUTED_VALUE"""),"MORAL")</f>
        <v>MORAL</v>
      </c>
      <c r="F304" s="99" t="str">
        <f>IFERROR(__xludf.DUMMYFUNCTION("""COMPUTED_VALUE"""),"LUCHELLE")</f>
        <v>LUCHELLE</v>
      </c>
    </row>
    <row r="305">
      <c r="A305" s="131">
        <f>IFERROR(__xludf.DUMMYFUNCTION("""COMPUTED_VALUE"""),1267.0)</f>
        <v>1267</v>
      </c>
      <c r="B305" s="131"/>
      <c r="C305" s="131">
        <f>IFERROR(__xludf.DUMMYFUNCTION("""COMPUTED_VALUE"""),1255.0)</f>
        <v>1255</v>
      </c>
      <c r="D305" s="131"/>
      <c r="E305" s="100" t="str">
        <f>IFERROR(__xludf.DUMMYFUNCTION("""COMPUTED_VALUE"""),"BRUSOLA")</f>
        <v>BRUSOLA</v>
      </c>
      <c r="F305" s="100" t="str">
        <f>IFERROR(__xludf.DUMMYFUNCTION("""COMPUTED_VALUE"""),"MERLY")</f>
        <v>MERLY</v>
      </c>
    </row>
    <row r="306">
      <c r="A306" s="131">
        <f>IFERROR(__xludf.DUMMYFUNCTION("""COMPUTED_VALUE"""),1268.0)</f>
        <v>1268</v>
      </c>
      <c r="B306" s="131"/>
      <c r="C306" s="131">
        <f>IFERROR(__xludf.DUMMYFUNCTION("""COMPUTED_VALUE"""),1255.0)</f>
        <v>1255</v>
      </c>
      <c r="D306" s="131"/>
      <c r="E306" s="100" t="str">
        <f>IFERROR(__xludf.DUMMYFUNCTION("""COMPUTED_VALUE"""),"TARINAY")</f>
        <v>TARINAY</v>
      </c>
      <c r="F306" s="100" t="str">
        <f>IFERROR(__xludf.DUMMYFUNCTION("""COMPUTED_VALUE"""),"MARILYN")</f>
        <v>MARILYN</v>
      </c>
    </row>
    <row r="307">
      <c r="A307" s="131">
        <f>IFERROR(__xludf.DUMMYFUNCTION("""COMPUTED_VALUE"""),1269.0)</f>
        <v>1269</v>
      </c>
      <c r="B307" s="131"/>
      <c r="C307" s="131">
        <f>IFERROR(__xludf.DUMMYFUNCTION("""COMPUTED_VALUE"""),1255.0)</f>
        <v>1255</v>
      </c>
      <c r="D307" s="131"/>
      <c r="E307" s="100" t="str">
        <f>IFERROR(__xludf.DUMMYFUNCTION("""COMPUTED_VALUE"""),"VARGAS")</f>
        <v>VARGAS</v>
      </c>
      <c r="F307" s="100" t="str">
        <f>IFERROR(__xludf.DUMMYFUNCTION("""COMPUTED_VALUE"""),"VILMA")</f>
        <v>VILMA</v>
      </c>
    </row>
    <row r="308">
      <c r="A308" s="131">
        <f>IFERROR(__xludf.DUMMYFUNCTION("""COMPUTED_VALUE"""),1270.0)</f>
        <v>1270</v>
      </c>
      <c r="B308" s="131"/>
      <c r="C308" s="131">
        <f>IFERROR(__xludf.DUMMYFUNCTION("""COMPUTED_VALUE"""),1255.0)</f>
        <v>1255</v>
      </c>
      <c r="D308" s="131"/>
      <c r="E308" s="100" t="str">
        <f>IFERROR(__xludf.DUMMYFUNCTION("""COMPUTED_VALUE"""),"GAPAS")</f>
        <v>GAPAS</v>
      </c>
      <c r="F308" s="100" t="str">
        <f>IFERROR(__xludf.DUMMYFUNCTION("""COMPUTED_VALUE"""),"EDITH")</f>
        <v>EDITH</v>
      </c>
    </row>
    <row r="309">
      <c r="A309" s="131">
        <f>IFERROR(__xludf.DUMMYFUNCTION("""COMPUTED_VALUE"""),1271.0)</f>
        <v>1271</v>
      </c>
      <c r="B309" s="131"/>
      <c r="C309" s="131">
        <f>IFERROR(__xludf.DUMMYFUNCTION("""COMPUTED_VALUE"""),1255.0)</f>
        <v>1255</v>
      </c>
      <c r="D309" s="131"/>
      <c r="E309" s="100" t="str">
        <f>IFERROR(__xludf.DUMMYFUNCTION("""COMPUTED_VALUE"""),"PACHECO")</f>
        <v>PACHECO</v>
      </c>
      <c r="F309" s="100" t="str">
        <f>IFERROR(__xludf.DUMMYFUNCTION("""COMPUTED_VALUE"""),"CAROLINE")</f>
        <v>CAROLINE</v>
      </c>
    </row>
    <row r="310">
      <c r="A310" s="131">
        <f>IFERROR(__xludf.DUMMYFUNCTION("""COMPUTED_VALUE"""),1272.0)</f>
        <v>1272</v>
      </c>
      <c r="B310" s="131"/>
      <c r="C310" s="131">
        <f>IFERROR(__xludf.DUMMYFUNCTION("""COMPUTED_VALUE"""),1255.0)</f>
        <v>1255</v>
      </c>
      <c r="D310" s="131"/>
      <c r="E310" s="100" t="str">
        <f>IFERROR(__xludf.DUMMYFUNCTION("""COMPUTED_VALUE"""),"BACOSA")</f>
        <v>BACOSA</v>
      </c>
      <c r="F310" s="100" t="str">
        <f>IFERROR(__xludf.DUMMYFUNCTION("""COMPUTED_VALUE"""),"MAIDA")</f>
        <v>MAIDA</v>
      </c>
    </row>
    <row r="311">
      <c r="A311" s="131">
        <f>IFERROR(__xludf.DUMMYFUNCTION("""COMPUTED_VALUE"""),1273.0)</f>
        <v>1273</v>
      </c>
      <c r="B311" s="131"/>
      <c r="C311" s="131">
        <f>IFERROR(__xludf.DUMMYFUNCTION("""COMPUTED_VALUE"""),1255.0)</f>
        <v>1255</v>
      </c>
      <c r="D311" s="131"/>
      <c r="E311" s="100" t="str">
        <f>IFERROR(__xludf.DUMMYFUNCTION("""COMPUTED_VALUE"""),"LIM")</f>
        <v>LIM</v>
      </c>
      <c r="F311" s="100" t="str">
        <f>IFERROR(__xludf.DUMMYFUNCTION("""COMPUTED_VALUE"""),"LANIE")</f>
        <v>LANIE</v>
      </c>
    </row>
    <row r="312">
      <c r="A312" s="131">
        <f>IFERROR(__xludf.DUMMYFUNCTION("""COMPUTED_VALUE"""),1274.0)</f>
        <v>1274</v>
      </c>
      <c r="B312" s="131"/>
      <c r="C312" s="131">
        <f>IFERROR(__xludf.DUMMYFUNCTION("""COMPUTED_VALUE"""),1255.0)</f>
        <v>1255</v>
      </c>
      <c r="D312" s="131"/>
      <c r="E312" s="100" t="str">
        <f>IFERROR(__xludf.DUMMYFUNCTION("""COMPUTED_VALUE"""),"DELA VEGA")</f>
        <v>DELA VEGA</v>
      </c>
      <c r="F312" s="100" t="str">
        <f>IFERROR(__xludf.DUMMYFUNCTION("""COMPUTED_VALUE"""),"MAVIC")</f>
        <v>MAVIC</v>
      </c>
    </row>
    <row r="313">
      <c r="A313" s="131">
        <f>IFERROR(__xludf.DUMMYFUNCTION("""COMPUTED_VALUE"""),1275.0)</f>
        <v>1275</v>
      </c>
      <c r="B313" s="131"/>
      <c r="C313" s="131">
        <f>IFERROR(__xludf.DUMMYFUNCTION("""COMPUTED_VALUE"""),1255.0)</f>
        <v>1255</v>
      </c>
      <c r="D313" s="131"/>
      <c r="E313" s="100"/>
      <c r="F313" s="100" t="str">
        <f>IFERROR(__xludf.DUMMYFUNCTION("""COMPUTED_VALUE"""),"MILA M.")</f>
        <v>MILA M.</v>
      </c>
    </row>
    <row r="314">
      <c r="A314" s="131">
        <f>IFERROR(__xludf.DUMMYFUNCTION("""COMPUTED_VALUE"""),1276.0)</f>
        <v>1276</v>
      </c>
      <c r="B314" s="131"/>
      <c r="C314" s="131">
        <f>IFERROR(__xludf.DUMMYFUNCTION("""COMPUTED_VALUE"""),1230.0)</f>
        <v>1230</v>
      </c>
      <c r="D314" s="131"/>
      <c r="E314" s="100" t="str">
        <f>IFERROR(__xludf.DUMMYFUNCTION("""COMPUTED_VALUE"""),"TANDUL")</f>
        <v>TANDUL</v>
      </c>
      <c r="F314" s="100" t="str">
        <f>IFERROR(__xludf.DUMMYFUNCTION("""COMPUTED_VALUE"""),"ED")</f>
        <v>ED</v>
      </c>
    </row>
    <row r="315">
      <c r="A315" s="131">
        <f>IFERROR(__xludf.DUMMYFUNCTION("""COMPUTED_VALUE"""),1277.0)</f>
        <v>1277</v>
      </c>
      <c r="B315" s="131"/>
      <c r="C315" s="131">
        <f>IFERROR(__xludf.DUMMYFUNCTION("""COMPUTED_VALUE"""),1230.0)</f>
        <v>1230</v>
      </c>
      <c r="D315" s="131"/>
      <c r="E315" s="99" t="str">
        <f>IFERROR(__xludf.DUMMYFUNCTION("""COMPUTED_VALUE"""),"VILLA")</f>
        <v>VILLA</v>
      </c>
      <c r="F315" s="99" t="str">
        <f>IFERROR(__xludf.DUMMYFUNCTION("""COMPUTED_VALUE"""),"EDWARD")</f>
        <v>EDWARD</v>
      </c>
    </row>
    <row r="316">
      <c r="A316" s="131">
        <f>IFERROR(__xludf.DUMMYFUNCTION("""COMPUTED_VALUE"""),1278.0)</f>
        <v>1278</v>
      </c>
      <c r="B316" s="131"/>
      <c r="C316" s="131">
        <f>IFERROR(__xludf.DUMMYFUNCTION("""COMPUTED_VALUE"""),1230.0)</f>
        <v>1230</v>
      </c>
      <c r="D316" s="131"/>
      <c r="E316" s="100" t="str">
        <f>IFERROR(__xludf.DUMMYFUNCTION("""COMPUTED_VALUE"""),"RETAMAR")</f>
        <v>RETAMAR</v>
      </c>
      <c r="F316" s="100" t="str">
        <f>IFERROR(__xludf.DUMMYFUNCTION("""COMPUTED_VALUE"""),"GLEN")</f>
        <v>GLEN</v>
      </c>
    </row>
    <row r="317">
      <c r="A317" s="131">
        <f>IFERROR(__xludf.DUMMYFUNCTION("""COMPUTED_VALUE"""),1279.0)</f>
        <v>1279</v>
      </c>
      <c r="B317" s="131"/>
      <c r="C317" s="131">
        <f>IFERROR(__xludf.DUMMYFUNCTION("""COMPUTED_VALUE"""),1230.0)</f>
        <v>1230</v>
      </c>
      <c r="D317" s="131"/>
      <c r="E317" s="100" t="str">
        <f>IFERROR(__xludf.DUMMYFUNCTION("""COMPUTED_VALUE"""),"PASAYLON")</f>
        <v>PASAYLON</v>
      </c>
      <c r="F317" s="100" t="str">
        <f>IFERROR(__xludf.DUMMYFUNCTION("""COMPUTED_VALUE"""),"RAYMOND")</f>
        <v>RAYMOND</v>
      </c>
    </row>
    <row r="318">
      <c r="A318" s="131">
        <f>IFERROR(__xludf.DUMMYFUNCTION("""COMPUTED_VALUE"""),1280.0)</f>
        <v>1280</v>
      </c>
      <c r="B318" s="131"/>
      <c r="C318" s="131">
        <f>IFERROR(__xludf.DUMMYFUNCTION("""COMPUTED_VALUE"""),1230.0)</f>
        <v>1230</v>
      </c>
      <c r="D318" s="131"/>
      <c r="E318" s="100" t="str">
        <f>IFERROR(__xludf.DUMMYFUNCTION("""COMPUTED_VALUE"""),"CODILLA")</f>
        <v>CODILLA</v>
      </c>
      <c r="F318" s="100" t="str">
        <f>IFERROR(__xludf.DUMMYFUNCTION("""COMPUTED_VALUE"""),"JONNEL")</f>
        <v>JONNEL</v>
      </c>
    </row>
    <row r="319">
      <c r="A319" s="131">
        <f>IFERROR(__xludf.DUMMYFUNCTION("""COMPUTED_VALUE"""),1281.0)</f>
        <v>1281</v>
      </c>
      <c r="B319" s="131"/>
      <c r="C319" s="131">
        <f>IFERROR(__xludf.DUMMYFUNCTION("""COMPUTED_VALUE"""),1230.0)</f>
        <v>1230</v>
      </c>
      <c r="D319" s="131"/>
      <c r="E319" s="100" t="str">
        <f>IFERROR(__xludf.DUMMYFUNCTION("""COMPUTED_VALUE"""),"AZUL")</f>
        <v>AZUL</v>
      </c>
      <c r="F319" s="100" t="str">
        <f>IFERROR(__xludf.DUMMYFUNCTION("""COMPUTED_VALUE"""),"BENIE")</f>
        <v>BENIE</v>
      </c>
    </row>
    <row r="320">
      <c r="A320" s="131">
        <f>IFERROR(__xludf.DUMMYFUNCTION("""COMPUTED_VALUE"""),1282.0)</f>
        <v>1282</v>
      </c>
      <c r="B320" s="131"/>
      <c r="C320" s="131">
        <f>IFERROR(__xludf.DUMMYFUNCTION("""COMPUTED_VALUE"""),1230.0)</f>
        <v>1230</v>
      </c>
      <c r="D320" s="131"/>
      <c r="E320" s="100" t="str">
        <f>IFERROR(__xludf.DUMMYFUNCTION("""COMPUTED_VALUE"""),"E.")</f>
        <v>E.</v>
      </c>
      <c r="F320" s="100" t="str">
        <f>IFERROR(__xludf.DUMMYFUNCTION("""COMPUTED_VALUE"""),"MANNY")</f>
        <v>MANNY</v>
      </c>
    </row>
    <row r="321">
      <c r="A321" s="131"/>
      <c r="B321" s="131"/>
      <c r="C321" s="131"/>
      <c r="D321" s="131"/>
      <c r="E321" s="100"/>
      <c r="F321" s="100"/>
    </row>
    <row r="322">
      <c r="A322" s="131">
        <f>IFERROR(__xludf.DUMMYFUNCTION("""COMPUTED_VALUE"""),1283.0)</f>
        <v>1283</v>
      </c>
      <c r="B322" s="131"/>
      <c r="C322" s="131">
        <f>IFERROR(__xludf.DUMMYFUNCTION("""COMPUTED_VALUE"""),1283.0)</f>
        <v>1283</v>
      </c>
      <c r="D322" s="131" t="b">
        <f>IFERROR(__xludf.DUMMYFUNCTION("""COMPUTED_VALUE"""),TRUE)</f>
        <v>1</v>
      </c>
      <c r="E322" s="101" t="str">
        <f>IFERROR(__xludf.DUMMYFUNCTION("""COMPUTED_VALUE"""),"LIM")</f>
        <v>LIM</v>
      </c>
      <c r="F322" s="101" t="str">
        <f>IFERROR(__xludf.DUMMYFUNCTION("""COMPUTED_VALUE"""),"MARLINA")</f>
        <v>MARLINA</v>
      </c>
    </row>
    <row r="323">
      <c r="A323" s="131"/>
      <c r="B323" s="131"/>
      <c r="C323" s="131"/>
      <c r="D323" s="131"/>
      <c r="E323" s="101"/>
      <c r="F323" s="101"/>
    </row>
    <row r="324">
      <c r="A324" s="131"/>
      <c r="B324" s="131"/>
      <c r="C324" s="131"/>
      <c r="D324" s="131"/>
      <c r="E324" s="101"/>
      <c r="F324" s="101"/>
    </row>
    <row r="325">
      <c r="A325" s="131"/>
      <c r="B325" s="131"/>
      <c r="C325" s="131"/>
      <c r="D325" s="131"/>
      <c r="E325" s="101"/>
      <c r="F325" s="101"/>
    </row>
    <row r="326">
      <c r="A326" s="131"/>
      <c r="B326" s="131"/>
      <c r="C326" s="131"/>
      <c r="D326" s="131"/>
      <c r="E326" s="101"/>
      <c r="F326" s="101"/>
    </row>
    <row r="327">
      <c r="A327" s="131"/>
      <c r="B327" s="131"/>
      <c r="C327" s="131"/>
      <c r="D327" s="131"/>
      <c r="E327" s="105"/>
      <c r="F327" s="105"/>
    </row>
    <row r="328">
      <c r="A328" s="131"/>
      <c r="B328" s="131"/>
      <c r="C328" s="131"/>
      <c r="D328" s="131"/>
      <c r="E328" s="106"/>
      <c r="F328" s="106"/>
    </row>
    <row r="329">
      <c r="A329" s="131"/>
      <c r="B329" s="131"/>
      <c r="C329" s="131"/>
      <c r="D329" s="131"/>
      <c r="E329" s="107"/>
      <c r="F329" s="107"/>
    </row>
    <row r="330">
      <c r="A330" s="131"/>
      <c r="B330" s="131"/>
      <c r="C330" s="131"/>
      <c r="D330" s="131"/>
      <c r="E330" s="107"/>
      <c r="F330" s="107"/>
    </row>
    <row r="331">
      <c r="A331" s="131"/>
      <c r="B331" s="131"/>
      <c r="C331" s="131"/>
      <c r="D331" s="131"/>
      <c r="E331" s="108"/>
      <c r="F331" s="108"/>
    </row>
    <row r="332">
      <c r="A332" s="131"/>
      <c r="B332" s="131"/>
      <c r="C332" s="131"/>
      <c r="D332" s="131"/>
      <c r="E332" s="107"/>
      <c r="F332" s="107"/>
    </row>
    <row r="333">
      <c r="A333" s="131"/>
      <c r="B333" s="131"/>
      <c r="C333" s="131"/>
      <c r="D333" s="131"/>
      <c r="E333" s="106"/>
      <c r="F333" s="106"/>
    </row>
    <row r="334">
      <c r="A334" s="131"/>
      <c r="B334" s="131"/>
      <c r="C334" s="131"/>
      <c r="D334" s="131"/>
      <c r="E334" s="107"/>
      <c r="F334" s="107"/>
    </row>
    <row r="335">
      <c r="A335" s="131"/>
      <c r="B335" s="131"/>
      <c r="C335" s="131"/>
      <c r="D335" s="131"/>
      <c r="E335" s="107"/>
      <c r="F335" s="107"/>
    </row>
    <row r="336">
      <c r="A336" s="131"/>
      <c r="B336" s="131"/>
      <c r="C336" s="131"/>
      <c r="D336" s="131"/>
      <c r="E336" s="107"/>
      <c r="F336" s="107"/>
    </row>
    <row r="337">
      <c r="A337" s="131"/>
      <c r="B337" s="131"/>
      <c r="C337" s="131"/>
      <c r="D337" s="131"/>
      <c r="E337" s="107"/>
      <c r="F337" s="107"/>
    </row>
    <row r="338">
      <c r="A338" s="131"/>
      <c r="B338" s="131"/>
      <c r="C338" s="131"/>
      <c r="D338" s="131"/>
      <c r="E338" s="106"/>
      <c r="F338" s="106"/>
    </row>
    <row r="339">
      <c r="A339" s="131"/>
      <c r="B339" s="131"/>
      <c r="C339" s="131"/>
      <c r="D339" s="131"/>
      <c r="E339" s="107"/>
      <c r="F339" s="107"/>
    </row>
    <row r="340">
      <c r="A340" s="131"/>
      <c r="B340" s="131"/>
      <c r="C340" s="131"/>
      <c r="D340" s="131"/>
      <c r="E340" s="109"/>
      <c r="F340" s="109"/>
    </row>
    <row r="341">
      <c r="A341" s="131"/>
      <c r="B341" s="131"/>
      <c r="C341" s="131"/>
      <c r="D341" s="131"/>
      <c r="E341" s="110"/>
      <c r="F341" s="110"/>
    </row>
    <row r="342">
      <c r="A342" s="131"/>
      <c r="B342" s="131"/>
      <c r="C342" s="131"/>
      <c r="D342" s="131"/>
      <c r="E342" s="110"/>
      <c r="F342" s="110"/>
    </row>
    <row r="343">
      <c r="A343" s="131"/>
      <c r="B343" s="131"/>
      <c r="C343" s="131"/>
      <c r="D343" s="131"/>
      <c r="E343" s="111"/>
      <c r="F343" s="111"/>
    </row>
    <row r="344">
      <c r="A344" s="131"/>
      <c r="B344" s="131"/>
      <c r="C344" s="131"/>
      <c r="D344" s="131"/>
      <c r="E344" s="112"/>
      <c r="F344" s="112"/>
    </row>
    <row r="345">
      <c r="A345" s="131"/>
      <c r="B345" s="131"/>
      <c r="C345" s="131"/>
      <c r="D345" s="131"/>
      <c r="E345" s="112"/>
      <c r="F345" s="112"/>
    </row>
    <row r="346">
      <c r="A346" s="131"/>
      <c r="B346" s="131"/>
      <c r="C346" s="131"/>
      <c r="D346" s="131"/>
      <c r="E346" s="112"/>
      <c r="F346" s="112"/>
    </row>
    <row r="347">
      <c r="A347" s="131"/>
      <c r="B347" s="131"/>
      <c r="C347" s="131"/>
      <c r="D347" s="131"/>
      <c r="E347" s="112"/>
      <c r="F347" s="112"/>
    </row>
    <row r="348">
      <c r="A348" s="131"/>
      <c r="B348" s="131"/>
      <c r="C348" s="131"/>
      <c r="D348" s="131"/>
      <c r="E348" s="113"/>
      <c r="F348" s="110"/>
    </row>
    <row r="349">
      <c r="A349" s="131"/>
      <c r="B349" s="131"/>
      <c r="C349" s="131"/>
      <c r="D349" s="131"/>
      <c r="E349" s="114"/>
      <c r="F349" s="114"/>
    </row>
    <row r="350">
      <c r="A350" s="131"/>
      <c r="B350" s="131"/>
      <c r="C350" s="131"/>
      <c r="D350" s="131"/>
      <c r="E350" s="114"/>
      <c r="F350" s="114"/>
    </row>
    <row r="351">
      <c r="A351" s="131"/>
      <c r="B351" s="131"/>
      <c r="C351" s="131"/>
      <c r="D351" s="131"/>
      <c r="E351" s="114"/>
      <c r="F351" s="114"/>
    </row>
    <row r="352">
      <c r="A352" s="131"/>
      <c r="B352" s="131"/>
      <c r="C352" s="131"/>
      <c r="D352" s="131"/>
      <c r="E352" s="114"/>
      <c r="F352" s="114"/>
    </row>
    <row r="353">
      <c r="A353" s="131"/>
      <c r="B353" s="131"/>
      <c r="C353" s="131"/>
      <c r="D353" s="131"/>
      <c r="E353" s="114"/>
      <c r="F353" s="114"/>
    </row>
    <row r="354">
      <c r="A354" s="131"/>
      <c r="B354" s="131"/>
      <c r="C354" s="131"/>
      <c r="D354" s="131"/>
      <c r="E354" s="114"/>
      <c r="F354" s="114"/>
    </row>
    <row r="355">
      <c r="A355" s="131"/>
      <c r="B355" s="131"/>
      <c r="C355" s="131"/>
      <c r="D355" s="131"/>
      <c r="E355" s="114"/>
      <c r="F355" s="114"/>
    </row>
    <row r="356">
      <c r="A356" s="131"/>
      <c r="B356" s="131"/>
      <c r="C356" s="131"/>
      <c r="D356" s="131"/>
      <c r="E356" s="114"/>
      <c r="F356" s="114"/>
    </row>
    <row r="357">
      <c r="A357" s="131"/>
      <c r="B357" s="131"/>
      <c r="C357" s="131"/>
      <c r="D357" s="131"/>
      <c r="E357" s="114"/>
      <c r="F357" s="114"/>
    </row>
    <row r="358">
      <c r="A358" s="131"/>
      <c r="B358" s="131"/>
      <c r="C358" s="131"/>
      <c r="D358" s="131"/>
      <c r="E358" s="114"/>
      <c r="F358" s="114"/>
    </row>
    <row r="359">
      <c r="A359" s="131"/>
      <c r="B359" s="131"/>
      <c r="C359" s="131"/>
      <c r="D359" s="131"/>
      <c r="E359" s="114"/>
      <c r="F359" s="114"/>
    </row>
    <row r="360">
      <c r="A360" s="131"/>
      <c r="B360" s="131"/>
      <c r="C360" s="131"/>
      <c r="D360" s="131"/>
      <c r="E360" s="114"/>
      <c r="F360" s="114"/>
    </row>
    <row r="361">
      <c r="A361" s="131"/>
      <c r="B361" s="131"/>
      <c r="C361" s="131"/>
      <c r="D361" s="131"/>
      <c r="E361" s="114"/>
      <c r="F361" s="114"/>
    </row>
    <row r="362">
      <c r="A362" s="131"/>
      <c r="B362" s="131"/>
      <c r="C362" s="131"/>
      <c r="D362" s="131"/>
      <c r="E362" s="114"/>
      <c r="F362" s="114"/>
    </row>
    <row r="363">
      <c r="A363" s="131"/>
      <c r="B363" s="131"/>
      <c r="C363" s="131"/>
      <c r="D363" s="131"/>
      <c r="E363" s="114"/>
      <c r="F363" s="114"/>
    </row>
    <row r="364">
      <c r="A364" s="131"/>
      <c r="B364" s="131"/>
      <c r="C364" s="131"/>
      <c r="D364" s="131"/>
      <c r="E364" s="114"/>
      <c r="F364" s="114"/>
    </row>
    <row r="365">
      <c r="A365" s="131"/>
      <c r="B365" s="131"/>
      <c r="C365" s="131"/>
      <c r="D365" s="131"/>
      <c r="E365" s="114"/>
      <c r="F365" s="114"/>
    </row>
    <row r="366">
      <c r="A366" s="131"/>
      <c r="B366" s="131"/>
      <c r="C366" s="131"/>
      <c r="D366" s="131"/>
      <c r="E366" s="114"/>
      <c r="F366" s="114"/>
    </row>
    <row r="367">
      <c r="A367" s="131"/>
      <c r="B367" s="131"/>
      <c r="C367" s="131"/>
      <c r="D367" s="131"/>
      <c r="E367" s="114"/>
      <c r="F367" s="114"/>
    </row>
    <row r="368">
      <c r="A368" s="131"/>
      <c r="B368" s="131"/>
      <c r="C368" s="131"/>
      <c r="D368" s="131"/>
      <c r="E368" s="114"/>
      <c r="F368" s="114"/>
    </row>
    <row r="369">
      <c r="A369" s="131"/>
      <c r="B369" s="131"/>
      <c r="C369" s="131"/>
      <c r="D369" s="131"/>
      <c r="E369" s="131"/>
      <c r="F369" s="131"/>
    </row>
    <row r="370">
      <c r="A370" s="131"/>
      <c r="B370" s="131"/>
      <c r="C370" s="131"/>
      <c r="D370" s="131"/>
      <c r="E370" s="105"/>
      <c r="F370" s="105"/>
    </row>
    <row r="371">
      <c r="A371" s="131"/>
      <c r="B371" s="131"/>
      <c r="C371" s="131"/>
      <c r="D371" s="131"/>
      <c r="E371" s="115"/>
      <c r="F371" s="107"/>
    </row>
    <row r="372">
      <c r="A372" s="131"/>
      <c r="B372" s="131"/>
      <c r="C372" s="131"/>
      <c r="D372" s="131"/>
      <c r="E372" s="107"/>
      <c r="F372" s="107"/>
    </row>
    <row r="373">
      <c r="A373" s="131"/>
      <c r="B373" s="131"/>
      <c r="C373" s="131"/>
      <c r="D373" s="131"/>
      <c r="E373" s="116"/>
      <c r="F373" s="107"/>
    </row>
    <row r="374">
      <c r="A374" s="131"/>
      <c r="B374" s="131"/>
      <c r="C374" s="131"/>
      <c r="D374" s="131"/>
      <c r="E374" s="107"/>
      <c r="F374" s="107"/>
    </row>
    <row r="375">
      <c r="A375" s="131"/>
      <c r="B375" s="131"/>
      <c r="C375" s="131"/>
      <c r="D375" s="131"/>
      <c r="E375" s="107"/>
      <c r="F375" s="107"/>
    </row>
    <row r="376">
      <c r="A376" s="131"/>
      <c r="B376" s="131"/>
      <c r="C376" s="131"/>
      <c r="D376" s="131"/>
      <c r="E376" s="107"/>
      <c r="F376" s="107"/>
    </row>
    <row r="377">
      <c r="A377" s="131"/>
      <c r="B377" s="131"/>
      <c r="C377" s="131"/>
      <c r="D377" s="131"/>
      <c r="E377" s="107"/>
      <c r="F377" s="107"/>
    </row>
    <row r="378">
      <c r="A378" s="131"/>
      <c r="B378" s="131"/>
      <c r="C378" s="131"/>
      <c r="D378" s="131"/>
      <c r="E378" s="107"/>
      <c r="F378" s="107"/>
    </row>
    <row r="379">
      <c r="A379" s="131"/>
      <c r="B379" s="131"/>
      <c r="C379" s="131"/>
      <c r="D379" s="131"/>
      <c r="E379" s="107"/>
      <c r="F379" s="107"/>
    </row>
    <row r="380">
      <c r="A380" s="131"/>
      <c r="B380" s="131"/>
      <c r="C380" s="131"/>
      <c r="D380" s="131"/>
      <c r="E380" s="107"/>
      <c r="F380" s="107"/>
    </row>
    <row r="381">
      <c r="A381" s="131"/>
      <c r="B381" s="131"/>
      <c r="C381" s="131"/>
      <c r="D381" s="131"/>
      <c r="E381" s="107"/>
      <c r="F381" s="107"/>
    </row>
    <row r="382">
      <c r="A382" s="131"/>
      <c r="B382" s="131"/>
      <c r="C382" s="131"/>
      <c r="D382" s="131"/>
      <c r="E382" s="107"/>
      <c r="F382" s="107"/>
    </row>
    <row r="383">
      <c r="A383" s="131"/>
      <c r="B383" s="131"/>
      <c r="C383" s="131"/>
      <c r="D383" s="131"/>
      <c r="E383" s="107"/>
      <c r="F383" s="107"/>
    </row>
    <row r="384">
      <c r="A384" s="131"/>
      <c r="B384" s="131"/>
      <c r="C384" s="131"/>
      <c r="D384" s="131"/>
      <c r="E384" s="107"/>
      <c r="F384" s="107"/>
    </row>
    <row r="385">
      <c r="A385" s="131"/>
      <c r="B385" s="131"/>
      <c r="C385" s="131"/>
      <c r="D385" s="131"/>
      <c r="E385" s="107"/>
      <c r="F385" s="107"/>
    </row>
    <row r="386">
      <c r="A386" s="131"/>
      <c r="B386" s="131"/>
      <c r="C386" s="131"/>
      <c r="D386" s="131"/>
      <c r="E386" s="107"/>
      <c r="F386" s="107"/>
    </row>
    <row r="387">
      <c r="A387" s="131"/>
      <c r="B387" s="131"/>
      <c r="C387" s="131"/>
      <c r="D387" s="131"/>
      <c r="E387" s="107"/>
      <c r="F387" s="107"/>
    </row>
    <row r="388">
      <c r="A388" s="131"/>
      <c r="B388" s="131"/>
      <c r="C388" s="131"/>
      <c r="D388" s="131"/>
      <c r="E388" s="98"/>
      <c r="F388" s="107"/>
    </row>
    <row r="389">
      <c r="A389" s="131"/>
      <c r="B389" s="131"/>
      <c r="C389" s="131"/>
      <c r="D389" s="131"/>
      <c r="E389" s="131"/>
      <c r="F389" s="131"/>
    </row>
    <row r="390">
      <c r="A390" s="131"/>
      <c r="B390" s="131"/>
      <c r="C390" s="131"/>
      <c r="D390" s="131"/>
      <c r="E390" s="105"/>
      <c r="F390" s="105"/>
    </row>
    <row r="391">
      <c r="A391" s="131"/>
      <c r="B391" s="131"/>
      <c r="C391" s="131"/>
      <c r="D391" s="131"/>
      <c r="E391" s="109"/>
      <c r="F391" s="109"/>
    </row>
    <row r="392">
      <c r="A392" s="131"/>
      <c r="B392" s="131"/>
      <c r="C392" s="131"/>
      <c r="D392" s="131"/>
      <c r="E392" s="109"/>
      <c r="F392" s="109"/>
    </row>
    <row r="393">
      <c r="A393" s="131"/>
      <c r="B393" s="131"/>
      <c r="C393" s="131"/>
      <c r="D393" s="131"/>
      <c r="E393" s="109"/>
      <c r="F393" s="109"/>
    </row>
    <row r="394">
      <c r="A394" s="131"/>
      <c r="B394" s="131"/>
      <c r="C394" s="131"/>
      <c r="D394" s="131"/>
      <c r="E394" s="109"/>
      <c r="F394" s="109"/>
    </row>
    <row r="395">
      <c r="A395" s="131"/>
      <c r="B395" s="131"/>
      <c r="C395" s="131"/>
      <c r="D395" s="131"/>
      <c r="E395" s="109"/>
      <c r="F395" s="109"/>
    </row>
    <row r="396">
      <c r="A396" s="131"/>
      <c r="B396" s="131"/>
      <c r="C396" s="131"/>
      <c r="D396" s="131"/>
      <c r="E396" s="109"/>
      <c r="F396" s="109"/>
    </row>
    <row r="397">
      <c r="A397" s="131"/>
      <c r="B397" s="131"/>
      <c r="C397" s="131"/>
      <c r="D397" s="131"/>
      <c r="E397" s="109"/>
      <c r="F397" s="109"/>
    </row>
    <row r="398">
      <c r="A398" s="131"/>
      <c r="B398" s="131"/>
      <c r="C398" s="131"/>
      <c r="D398" s="131"/>
      <c r="E398" s="109"/>
      <c r="F398" s="109"/>
    </row>
    <row r="399">
      <c r="A399" s="131"/>
      <c r="B399" s="131"/>
      <c r="C399" s="131"/>
      <c r="D399" s="131"/>
      <c r="E399" s="109"/>
      <c r="F399" s="109"/>
    </row>
    <row r="400">
      <c r="A400" s="131"/>
      <c r="B400" s="131"/>
      <c r="C400" s="131"/>
      <c r="D400" s="131"/>
      <c r="E400" s="109"/>
      <c r="F400" s="109"/>
    </row>
    <row r="401">
      <c r="A401" s="131"/>
      <c r="B401" s="131"/>
      <c r="C401" s="131"/>
      <c r="D401" s="131"/>
      <c r="E401" s="109"/>
      <c r="F401" s="109"/>
    </row>
    <row r="402">
      <c r="A402" s="131"/>
      <c r="B402" s="131"/>
      <c r="C402" s="131"/>
      <c r="D402" s="131"/>
      <c r="E402" s="109"/>
      <c r="F402" s="109"/>
    </row>
    <row r="403">
      <c r="A403" s="131"/>
      <c r="B403" s="131"/>
      <c r="C403" s="131"/>
      <c r="D403" s="131"/>
      <c r="E403" s="109"/>
      <c r="F403" s="109"/>
    </row>
    <row r="404">
      <c r="A404" s="131"/>
      <c r="B404" s="131"/>
      <c r="C404" s="131"/>
      <c r="D404" s="131"/>
      <c r="E404" s="109"/>
      <c r="F404" s="109"/>
    </row>
    <row r="405">
      <c r="A405" s="131"/>
      <c r="B405" s="131"/>
      <c r="C405" s="131"/>
      <c r="D405" s="131"/>
      <c r="E405" s="109"/>
      <c r="F405" s="109"/>
    </row>
    <row r="406">
      <c r="A406" s="131"/>
      <c r="B406" s="131"/>
      <c r="C406" s="131"/>
      <c r="D406" s="131"/>
      <c r="E406" s="109"/>
      <c r="F406" s="109"/>
    </row>
    <row r="407">
      <c r="A407" s="131"/>
      <c r="B407" s="131"/>
      <c r="C407" s="131"/>
      <c r="D407" s="131"/>
      <c r="E407" s="109"/>
      <c r="F407" s="109"/>
    </row>
    <row r="408">
      <c r="A408" s="131"/>
      <c r="B408" s="131"/>
      <c r="C408" s="131"/>
      <c r="D408" s="131"/>
      <c r="E408" s="109"/>
      <c r="F408" s="109"/>
    </row>
    <row r="409">
      <c r="A409" s="131"/>
      <c r="B409" s="131"/>
      <c r="C409" s="131"/>
      <c r="D409" s="131"/>
      <c r="E409" s="109"/>
      <c r="F409" s="109"/>
    </row>
    <row r="410">
      <c r="A410" s="131"/>
      <c r="B410" s="131"/>
      <c r="C410" s="131"/>
      <c r="D410" s="131"/>
      <c r="E410" s="109"/>
      <c r="F410" s="109"/>
    </row>
    <row r="411">
      <c r="A411" s="131"/>
      <c r="B411" s="131"/>
      <c r="C411" s="131"/>
      <c r="D411" s="131"/>
      <c r="E411" s="109"/>
      <c r="F411" s="109"/>
    </row>
    <row r="412">
      <c r="A412" s="131"/>
      <c r="B412" s="131"/>
      <c r="C412" s="131"/>
      <c r="D412" s="131"/>
      <c r="E412" s="109"/>
      <c r="F412" s="109"/>
    </row>
    <row r="413">
      <c r="A413" s="131"/>
      <c r="B413" s="131"/>
      <c r="C413" s="131"/>
      <c r="D413" s="131"/>
      <c r="E413" s="109"/>
      <c r="F413" s="109"/>
    </row>
    <row r="414">
      <c r="A414" s="131"/>
      <c r="B414" s="131"/>
      <c r="C414" s="131"/>
      <c r="D414" s="131"/>
      <c r="E414" s="109"/>
      <c r="F414" s="109"/>
    </row>
    <row r="415">
      <c r="A415" s="131"/>
      <c r="B415" s="131"/>
      <c r="C415" s="131"/>
      <c r="D415" s="131"/>
      <c r="E415" s="109"/>
      <c r="F415" s="109"/>
    </row>
    <row r="416">
      <c r="A416" s="131"/>
      <c r="B416" s="131"/>
      <c r="C416" s="131"/>
      <c r="D416" s="131"/>
      <c r="E416" s="131"/>
      <c r="F416" s="131"/>
    </row>
    <row r="417">
      <c r="A417" s="131"/>
      <c r="B417" s="131"/>
      <c r="C417" s="131"/>
      <c r="D417" s="131"/>
      <c r="E417" s="105"/>
      <c r="F417" s="105"/>
    </row>
    <row r="418">
      <c r="A418" s="131"/>
      <c r="B418" s="131"/>
      <c r="C418" s="131"/>
      <c r="D418" s="131"/>
      <c r="E418" s="107"/>
      <c r="F418" s="107"/>
    </row>
    <row r="419">
      <c r="A419" s="131"/>
      <c r="B419" s="131"/>
      <c r="C419" s="131"/>
      <c r="D419" s="131"/>
      <c r="E419" s="107"/>
      <c r="F419" s="107"/>
    </row>
    <row r="420">
      <c r="A420" s="131"/>
      <c r="B420" s="131"/>
      <c r="C420" s="131"/>
      <c r="D420" s="131"/>
      <c r="E420" s="107"/>
      <c r="F420" s="107"/>
    </row>
    <row r="421">
      <c r="A421" s="131"/>
      <c r="B421" s="131"/>
      <c r="C421" s="131"/>
      <c r="D421" s="131"/>
      <c r="E421" s="107"/>
      <c r="F421" s="107"/>
    </row>
    <row r="422">
      <c r="A422" s="131"/>
      <c r="B422" s="131"/>
      <c r="C422" s="131"/>
      <c r="D422" s="131"/>
      <c r="E422" s="107"/>
      <c r="F422" s="107"/>
    </row>
    <row r="423">
      <c r="A423" s="131"/>
      <c r="B423" s="131"/>
      <c r="C423" s="131"/>
      <c r="D423" s="131"/>
      <c r="E423" s="107"/>
      <c r="F423" s="107"/>
    </row>
    <row r="424">
      <c r="A424" s="131"/>
      <c r="B424" s="131"/>
      <c r="C424" s="131"/>
      <c r="D424" s="131"/>
      <c r="E424" s="107"/>
      <c r="F424" s="107"/>
    </row>
    <row r="425">
      <c r="A425" s="131"/>
      <c r="B425" s="131"/>
      <c r="C425" s="131"/>
      <c r="D425" s="131"/>
      <c r="E425" s="107"/>
      <c r="F425" s="107"/>
    </row>
    <row r="426">
      <c r="A426" s="131"/>
      <c r="B426" s="131"/>
      <c r="C426" s="131"/>
      <c r="D426" s="131"/>
      <c r="E426" s="107"/>
      <c r="F426" s="107"/>
    </row>
    <row r="427">
      <c r="A427" s="131"/>
      <c r="B427" s="131"/>
      <c r="C427" s="131"/>
      <c r="D427" s="131"/>
      <c r="E427" s="107"/>
      <c r="F427" s="107"/>
    </row>
    <row r="428">
      <c r="A428" s="131"/>
      <c r="B428" s="131"/>
      <c r="C428" s="131"/>
      <c r="D428" s="131"/>
      <c r="E428" s="107"/>
      <c r="F428" s="107"/>
    </row>
    <row r="429">
      <c r="A429" s="131"/>
      <c r="B429" s="131"/>
      <c r="C429" s="131"/>
      <c r="D429" s="131"/>
      <c r="E429" s="107"/>
      <c r="F429" s="107"/>
    </row>
    <row r="430">
      <c r="A430" s="131"/>
      <c r="B430" s="131"/>
      <c r="C430" s="131"/>
      <c r="D430" s="131"/>
      <c r="E430" s="107"/>
      <c r="F430" s="107"/>
    </row>
    <row r="431">
      <c r="A431" s="131"/>
      <c r="B431" s="131"/>
      <c r="C431" s="131"/>
      <c r="D431" s="131"/>
      <c r="E431" s="107"/>
      <c r="F431" s="107"/>
    </row>
    <row r="432">
      <c r="A432" s="131"/>
      <c r="B432" s="131"/>
      <c r="C432" s="131"/>
      <c r="D432" s="131"/>
      <c r="E432" s="107"/>
      <c r="F432" s="107"/>
    </row>
    <row r="433">
      <c r="A433" s="131"/>
      <c r="B433" s="131"/>
      <c r="C433" s="131"/>
      <c r="D433" s="131"/>
      <c r="E433" s="107"/>
      <c r="F433" s="107"/>
    </row>
    <row r="434">
      <c r="A434" s="131"/>
      <c r="B434" s="131"/>
      <c r="C434" s="131"/>
      <c r="D434" s="131"/>
      <c r="E434" s="107"/>
      <c r="F434" s="107"/>
    </row>
    <row r="435">
      <c r="A435" s="131"/>
      <c r="B435" s="131"/>
      <c r="C435" s="131"/>
      <c r="D435" s="131"/>
      <c r="E435" s="107"/>
      <c r="F435" s="107"/>
    </row>
    <row r="436">
      <c r="A436" s="131"/>
      <c r="B436" s="131"/>
      <c r="C436" s="131"/>
      <c r="D436" s="131"/>
      <c r="E436" s="107"/>
      <c r="F436" s="107"/>
    </row>
    <row r="437">
      <c r="A437" s="131"/>
      <c r="B437" s="131"/>
      <c r="C437" s="131"/>
      <c r="D437" s="131"/>
      <c r="E437" s="107"/>
      <c r="F437" s="107"/>
    </row>
    <row r="438">
      <c r="A438" s="131"/>
      <c r="B438" s="131"/>
      <c r="C438" s="131"/>
      <c r="D438" s="131"/>
      <c r="E438" s="107"/>
      <c r="F438" s="107"/>
    </row>
    <row r="439">
      <c r="A439" s="131"/>
      <c r="B439" s="131"/>
      <c r="C439" s="131"/>
      <c r="D439" s="131"/>
      <c r="E439" s="107"/>
      <c r="F439" s="107"/>
    </row>
    <row r="440">
      <c r="A440" s="131"/>
      <c r="B440" s="131"/>
      <c r="C440" s="131"/>
      <c r="D440" s="131"/>
      <c r="E440" s="107"/>
      <c r="F440" s="107"/>
    </row>
    <row r="441">
      <c r="A441" s="131"/>
      <c r="B441" s="131"/>
      <c r="C441" s="131"/>
      <c r="D441" s="131"/>
      <c r="E441" s="107"/>
      <c r="F441" s="107"/>
    </row>
    <row r="442">
      <c r="A442" s="131"/>
      <c r="B442" s="131"/>
      <c r="C442" s="131"/>
      <c r="D442" s="131"/>
      <c r="E442" s="107"/>
      <c r="F442" s="107"/>
    </row>
    <row r="443">
      <c r="A443" s="131"/>
      <c r="B443" s="131"/>
      <c r="C443" s="131"/>
      <c r="D443" s="131"/>
      <c r="E443" s="107"/>
      <c r="F443" s="107"/>
    </row>
    <row r="444">
      <c r="A444" s="131"/>
      <c r="B444" s="131"/>
      <c r="C444" s="131"/>
      <c r="D444" s="131"/>
      <c r="E444" s="107"/>
      <c r="F444" s="107"/>
    </row>
    <row r="445">
      <c r="A445" s="131"/>
      <c r="B445" s="131"/>
      <c r="C445" s="131"/>
      <c r="D445" s="131"/>
      <c r="E445" s="107"/>
      <c r="F445" s="107"/>
    </row>
    <row r="446">
      <c r="A446" s="131"/>
      <c r="B446" s="131"/>
      <c r="C446" s="131"/>
      <c r="D446" s="131"/>
      <c r="E446" s="107"/>
      <c r="F446" s="107"/>
    </row>
    <row r="447">
      <c r="A447" s="131"/>
      <c r="B447" s="131"/>
      <c r="C447" s="131"/>
      <c r="D447" s="131"/>
      <c r="E447" s="107"/>
      <c r="F447" s="107"/>
    </row>
    <row r="448">
      <c r="A448" s="131"/>
      <c r="B448" s="131"/>
      <c r="C448" s="131"/>
      <c r="D448" s="131"/>
      <c r="E448" s="107"/>
      <c r="F448" s="107"/>
    </row>
    <row r="449">
      <c r="A449" s="131"/>
      <c r="B449" s="131"/>
      <c r="C449" s="131"/>
      <c r="D449" s="131"/>
      <c r="E449" s="107"/>
      <c r="F449" s="107"/>
    </row>
    <row r="450">
      <c r="A450" s="131"/>
      <c r="B450" s="131"/>
      <c r="C450" s="131"/>
      <c r="D450" s="131"/>
      <c r="E450" s="107"/>
      <c r="F450" s="107"/>
    </row>
    <row r="451">
      <c r="A451" s="131"/>
      <c r="B451" s="131"/>
      <c r="C451" s="131"/>
      <c r="D451" s="131"/>
      <c r="E451" s="107"/>
      <c r="F451" s="107"/>
    </row>
    <row r="452">
      <c r="A452" s="131"/>
      <c r="B452" s="131"/>
      <c r="C452" s="131"/>
      <c r="D452" s="131"/>
      <c r="E452" s="107"/>
      <c r="F452" s="107"/>
    </row>
    <row r="453">
      <c r="A453" s="131"/>
      <c r="B453" s="131"/>
      <c r="C453" s="131"/>
      <c r="D453" s="131"/>
      <c r="E453" s="107"/>
      <c r="F453" s="107"/>
    </row>
    <row r="454">
      <c r="A454" s="131"/>
      <c r="B454" s="131"/>
      <c r="C454" s="131"/>
      <c r="D454" s="131"/>
      <c r="E454" s="116"/>
      <c r="F454" s="107"/>
    </row>
    <row r="455">
      <c r="A455" s="131"/>
      <c r="B455" s="131"/>
      <c r="C455" s="131"/>
      <c r="D455" s="131"/>
      <c r="E455" s="107"/>
      <c r="F455" s="107"/>
    </row>
    <row r="456">
      <c r="A456" s="131"/>
      <c r="B456" s="131"/>
      <c r="C456" s="131"/>
      <c r="D456" s="131"/>
      <c r="E456" s="107"/>
      <c r="F456" s="107"/>
    </row>
    <row r="457">
      <c r="A457" s="131"/>
      <c r="B457" s="131"/>
      <c r="C457" s="131"/>
      <c r="D457" s="131"/>
      <c r="E457" s="107"/>
      <c r="F457" s="107"/>
    </row>
    <row r="458">
      <c r="A458" s="131"/>
      <c r="B458" s="131"/>
      <c r="C458" s="131"/>
      <c r="D458" s="131"/>
      <c r="E458" s="107"/>
      <c r="F458" s="107"/>
    </row>
    <row r="459">
      <c r="A459" s="131"/>
      <c r="B459" s="131"/>
      <c r="C459" s="131"/>
      <c r="D459" s="131"/>
      <c r="E459" s="118"/>
      <c r="F459" s="107"/>
    </row>
    <row r="460">
      <c r="A460" s="131"/>
      <c r="B460" s="131"/>
      <c r="C460" s="131"/>
      <c r="D460" s="131"/>
      <c r="E460" s="118"/>
      <c r="F460" s="107"/>
    </row>
    <row r="461">
      <c r="A461" s="131"/>
      <c r="B461" s="131"/>
      <c r="C461" s="131"/>
      <c r="D461" s="131"/>
      <c r="E461" s="118"/>
      <c r="F461" s="107"/>
    </row>
    <row r="462">
      <c r="A462" s="131"/>
      <c r="B462" s="131"/>
      <c r="C462" s="131"/>
      <c r="D462" s="131"/>
      <c r="E462" s="118"/>
      <c r="F462" s="107"/>
    </row>
    <row r="463">
      <c r="A463" s="131"/>
      <c r="B463" s="131"/>
      <c r="C463" s="131"/>
      <c r="D463" s="131"/>
      <c r="E463" s="119"/>
      <c r="F463" s="119"/>
    </row>
    <row r="464">
      <c r="A464" s="131"/>
      <c r="B464" s="131"/>
      <c r="C464" s="131"/>
      <c r="D464" s="131"/>
      <c r="E464" s="107"/>
      <c r="F464" s="107"/>
    </row>
    <row r="465">
      <c r="A465" s="131"/>
      <c r="B465" s="131"/>
      <c r="C465" s="131"/>
      <c r="D465" s="131"/>
      <c r="E465" s="107"/>
      <c r="F465" s="107"/>
    </row>
    <row r="466">
      <c r="A466" s="131"/>
      <c r="B466" s="131"/>
      <c r="C466" s="131"/>
      <c r="D466" s="131"/>
      <c r="E466" s="107"/>
      <c r="F466" s="107"/>
    </row>
    <row r="467">
      <c r="A467" s="131"/>
      <c r="B467" s="131"/>
      <c r="C467" s="131"/>
      <c r="D467" s="131"/>
      <c r="E467" s="107"/>
      <c r="F467" s="107"/>
    </row>
    <row r="468">
      <c r="A468" s="131"/>
      <c r="B468" s="131"/>
      <c r="C468" s="131"/>
      <c r="D468" s="131"/>
      <c r="E468" s="107"/>
      <c r="F468" s="107"/>
    </row>
    <row r="469">
      <c r="A469" s="131"/>
      <c r="B469" s="131"/>
      <c r="C469" s="131"/>
      <c r="D469" s="131"/>
      <c r="E469" s="107"/>
      <c r="F469" s="107"/>
    </row>
    <row r="470">
      <c r="A470" s="131"/>
      <c r="B470" s="131"/>
      <c r="C470" s="131"/>
      <c r="D470" s="131"/>
      <c r="E470" s="107"/>
      <c r="F470" s="107"/>
    </row>
    <row r="471">
      <c r="A471" s="131"/>
      <c r="B471" s="131"/>
      <c r="C471" s="131"/>
      <c r="D471" s="131"/>
      <c r="E471" s="107"/>
      <c r="F471" s="107"/>
    </row>
    <row r="472">
      <c r="A472" s="131"/>
      <c r="B472" s="131"/>
      <c r="C472" s="131"/>
      <c r="D472" s="131"/>
      <c r="E472" s="107"/>
      <c r="F472" s="107"/>
    </row>
    <row r="473">
      <c r="A473" s="131"/>
      <c r="B473" s="131"/>
      <c r="C473" s="131"/>
      <c r="D473" s="131"/>
      <c r="E473" s="107"/>
      <c r="F473" s="107"/>
    </row>
    <row r="474">
      <c r="A474" s="131"/>
      <c r="B474" s="131"/>
      <c r="C474" s="131"/>
      <c r="D474" s="131"/>
      <c r="E474" s="107"/>
      <c r="F474" s="107"/>
    </row>
    <row r="475">
      <c r="A475" s="131"/>
      <c r="B475" s="131"/>
      <c r="C475" s="131"/>
      <c r="D475" s="131"/>
      <c r="E475" s="107"/>
      <c r="F475" s="107"/>
    </row>
    <row r="476">
      <c r="A476" s="131"/>
      <c r="B476" s="131"/>
      <c r="C476" s="131"/>
      <c r="D476" s="131"/>
      <c r="E476" s="107"/>
      <c r="F476" s="107"/>
    </row>
    <row r="477">
      <c r="A477" s="131"/>
      <c r="B477" s="131"/>
      <c r="C477" s="131"/>
      <c r="D477" s="131"/>
      <c r="E477" s="107"/>
      <c r="F477" s="107"/>
    </row>
    <row r="478">
      <c r="A478" s="131"/>
      <c r="B478" s="131"/>
      <c r="C478" s="131"/>
      <c r="D478" s="131"/>
      <c r="E478" s="107"/>
      <c r="F478" s="115"/>
    </row>
    <row r="479">
      <c r="A479" s="131"/>
      <c r="B479" s="131"/>
      <c r="C479" s="131"/>
      <c r="D479" s="131"/>
      <c r="E479" s="107"/>
      <c r="F479" s="107"/>
    </row>
    <row r="480">
      <c r="A480" s="131"/>
      <c r="B480" s="131"/>
      <c r="C480" s="131"/>
      <c r="D480" s="131"/>
      <c r="E480" s="131"/>
      <c r="F480" s="131"/>
    </row>
    <row r="481">
      <c r="A481" s="131"/>
      <c r="B481" s="131"/>
      <c r="C481" s="131"/>
      <c r="D481" s="131"/>
      <c r="E481" s="131"/>
      <c r="F481" s="131"/>
    </row>
    <row r="482">
      <c r="A482" s="131"/>
      <c r="B482" s="131"/>
      <c r="C482" s="131"/>
      <c r="D482" s="131"/>
      <c r="E482" s="131"/>
      <c r="F482" s="131"/>
    </row>
    <row r="483">
      <c r="A483" s="131"/>
      <c r="B483" s="131"/>
      <c r="C483" s="131"/>
      <c r="D483" s="131"/>
      <c r="E483" s="131"/>
      <c r="F483" s="131"/>
    </row>
    <row r="484">
      <c r="A484" s="131"/>
      <c r="B484" s="131"/>
      <c r="C484" s="131"/>
      <c r="D484" s="131"/>
      <c r="E484" s="131"/>
      <c r="F484" s="131"/>
    </row>
    <row r="485">
      <c r="A485" s="131"/>
      <c r="B485" s="131"/>
      <c r="C485" s="131"/>
      <c r="D485" s="131"/>
      <c r="E485" s="131"/>
      <c r="F485" s="131"/>
    </row>
    <row r="486">
      <c r="A486" s="131"/>
      <c r="B486" s="131"/>
      <c r="C486" s="131"/>
      <c r="D486" s="131"/>
      <c r="E486" s="131"/>
      <c r="F486" s="131"/>
    </row>
    <row r="487">
      <c r="A487" s="131"/>
      <c r="B487" s="131"/>
      <c r="C487" s="131"/>
      <c r="D487" s="131"/>
      <c r="E487" s="131"/>
      <c r="F487" s="131"/>
    </row>
    <row r="488">
      <c r="A488" s="131"/>
      <c r="B488" s="131"/>
      <c r="C488" s="131"/>
      <c r="D488" s="131"/>
      <c r="E488" s="131"/>
      <c r="F488" s="131"/>
    </row>
    <row r="489">
      <c r="A489" s="131"/>
      <c r="B489" s="131"/>
      <c r="C489" s="131"/>
      <c r="D489" s="131"/>
      <c r="E489" s="131"/>
      <c r="F489" s="131"/>
    </row>
    <row r="490">
      <c r="A490" s="131"/>
      <c r="B490" s="131"/>
      <c r="C490" s="131"/>
      <c r="D490" s="131"/>
      <c r="E490" s="131"/>
      <c r="F490" s="131"/>
    </row>
    <row r="491">
      <c r="A491" s="131"/>
      <c r="B491" s="131"/>
      <c r="C491" s="131"/>
      <c r="D491" s="131"/>
      <c r="E491" s="131"/>
      <c r="F491" s="131"/>
    </row>
    <row r="492">
      <c r="A492" s="131"/>
      <c r="B492" s="131"/>
      <c r="C492" s="131"/>
      <c r="D492" s="131"/>
      <c r="E492" s="131"/>
      <c r="F492" s="131"/>
    </row>
    <row r="493">
      <c r="A493" s="131"/>
      <c r="B493" s="131"/>
      <c r="C493" s="131"/>
      <c r="D493" s="131"/>
      <c r="E493" s="131"/>
      <c r="F493" s="131"/>
    </row>
    <row r="494">
      <c r="A494" s="131"/>
      <c r="B494" s="131"/>
      <c r="C494" s="131"/>
      <c r="D494" s="131"/>
      <c r="E494" s="131"/>
      <c r="F494" s="131"/>
    </row>
    <row r="495">
      <c r="A495" s="131"/>
      <c r="B495" s="131"/>
      <c r="C495" s="131"/>
      <c r="D495" s="131"/>
      <c r="E495" s="131"/>
      <c r="F495" s="131"/>
    </row>
    <row r="496">
      <c r="A496" s="131"/>
      <c r="B496" s="131"/>
      <c r="C496" s="131"/>
      <c r="D496" s="131"/>
      <c r="E496" s="131"/>
      <c r="F496" s="131"/>
    </row>
    <row r="497">
      <c r="A497" s="131"/>
      <c r="B497" s="131"/>
      <c r="C497" s="131"/>
      <c r="D497" s="131"/>
      <c r="E497" s="131"/>
      <c r="F497" s="131"/>
    </row>
    <row r="498">
      <c r="A498" s="131"/>
      <c r="B498" s="131"/>
      <c r="C498" s="131"/>
      <c r="D498" s="131"/>
      <c r="E498" s="131"/>
      <c r="F498" s="131"/>
    </row>
    <row r="499">
      <c r="A499" s="131"/>
      <c r="B499" s="131"/>
      <c r="C499" s="131"/>
      <c r="D499" s="131"/>
      <c r="E499" s="131"/>
      <c r="F499" s="131"/>
    </row>
    <row r="500">
      <c r="A500" s="86"/>
      <c r="B500" s="87"/>
      <c r="C500" s="131"/>
      <c r="D500" s="131"/>
      <c r="E500" s="131"/>
      <c r="F500" s="131"/>
      <c r="G500" s="88"/>
      <c r="L500" s="88"/>
      <c r="Q500" s="89"/>
    </row>
    <row r="501">
      <c r="A501" s="131"/>
      <c r="B501" s="131"/>
      <c r="C501" s="131"/>
      <c r="D501" s="131"/>
      <c r="E501" s="131"/>
      <c r="F501" s="131"/>
      <c r="G501" s="91"/>
      <c r="H501" s="92"/>
      <c r="I501" s="92"/>
      <c r="J501" s="93"/>
      <c r="K501" s="93"/>
      <c r="L501" s="93"/>
      <c r="M501" s="93"/>
      <c r="N501" s="93"/>
      <c r="O501" s="93"/>
      <c r="P501" s="93"/>
      <c r="Q501" s="90"/>
      <c r="R501" s="90"/>
      <c r="S501" s="90"/>
      <c r="T501" s="90"/>
      <c r="U501" s="90"/>
      <c r="V501" s="90"/>
      <c r="W501" s="90"/>
    </row>
    <row r="502">
      <c r="A502" s="131"/>
      <c r="B502" s="131"/>
      <c r="C502" s="131"/>
      <c r="D502" s="131"/>
      <c r="E502" s="94"/>
      <c r="F502" s="94"/>
    </row>
    <row r="503">
      <c r="A503" s="131"/>
      <c r="B503" s="131"/>
      <c r="C503" s="131"/>
      <c r="D503" s="131"/>
      <c r="E503" s="95"/>
      <c r="F503" s="96"/>
    </row>
    <row r="504">
      <c r="A504" s="131"/>
      <c r="B504" s="131"/>
      <c r="C504" s="131"/>
      <c r="D504" s="131"/>
      <c r="E504" s="95"/>
      <c r="F504" s="96"/>
    </row>
    <row r="505">
      <c r="A505" s="131"/>
      <c r="B505" s="131"/>
      <c r="C505" s="131"/>
      <c r="D505" s="131"/>
      <c r="E505" s="96"/>
      <c r="F505" s="96"/>
    </row>
    <row r="506">
      <c r="A506" s="131"/>
      <c r="B506" s="131"/>
      <c r="C506" s="131"/>
      <c r="D506" s="131"/>
      <c r="E506" s="96"/>
      <c r="F506" s="96"/>
    </row>
    <row r="507">
      <c r="A507" s="131"/>
      <c r="B507" s="131"/>
      <c r="C507" s="131"/>
      <c r="D507" s="131"/>
      <c r="E507" s="96"/>
      <c r="F507" s="96"/>
    </row>
    <row r="508">
      <c r="A508" s="131"/>
      <c r="B508" s="131"/>
      <c r="C508" s="131"/>
      <c r="D508" s="131"/>
      <c r="E508" s="96"/>
      <c r="F508" s="96"/>
    </row>
    <row r="509">
      <c r="A509" s="131"/>
      <c r="B509" s="131"/>
      <c r="C509" s="131"/>
      <c r="D509" s="131"/>
      <c r="E509" s="96"/>
      <c r="F509" s="96"/>
    </row>
    <row r="510">
      <c r="A510" s="131"/>
      <c r="B510" s="131"/>
      <c r="C510" s="131"/>
      <c r="D510" s="131"/>
      <c r="E510" s="96"/>
      <c r="F510" s="96"/>
    </row>
    <row r="511">
      <c r="A511" s="131"/>
      <c r="B511" s="131"/>
      <c r="C511" s="131"/>
      <c r="D511" s="131"/>
      <c r="E511" s="96"/>
      <c r="F511" s="96"/>
    </row>
    <row r="512">
      <c r="A512" s="131"/>
      <c r="B512" s="131"/>
      <c r="C512" s="131"/>
      <c r="D512" s="131"/>
      <c r="E512" s="96"/>
      <c r="F512" s="96"/>
    </row>
    <row r="513">
      <c r="A513" s="131"/>
      <c r="B513" s="131"/>
      <c r="C513" s="131"/>
      <c r="D513" s="131"/>
      <c r="E513" s="96"/>
      <c r="F513" s="96"/>
    </row>
    <row r="514">
      <c r="A514" s="131"/>
      <c r="B514" s="131"/>
      <c r="C514" s="131"/>
      <c r="D514" s="131"/>
      <c r="E514" s="96"/>
      <c r="F514" s="96"/>
    </row>
    <row r="515">
      <c r="A515" s="131"/>
      <c r="B515" s="131"/>
      <c r="C515" s="131"/>
      <c r="D515" s="131"/>
      <c r="E515" s="96"/>
      <c r="F515" s="96"/>
    </row>
    <row r="516">
      <c r="A516" s="131"/>
      <c r="B516" s="131"/>
      <c r="C516" s="131"/>
      <c r="D516" s="131"/>
      <c r="E516" s="97"/>
      <c r="F516" s="97"/>
    </row>
    <row r="517">
      <c r="A517" s="131"/>
      <c r="B517" s="131"/>
      <c r="C517" s="131"/>
      <c r="D517" s="131"/>
      <c r="E517" s="96"/>
      <c r="F517" s="96"/>
    </row>
    <row r="518">
      <c r="A518" s="131"/>
      <c r="B518" s="131"/>
      <c r="C518" s="131"/>
      <c r="D518" s="131"/>
      <c r="E518" s="96"/>
      <c r="F518" s="96"/>
    </row>
    <row r="519">
      <c r="A519" s="131"/>
      <c r="B519" s="131"/>
      <c r="C519" s="131"/>
      <c r="D519" s="131"/>
      <c r="E519" s="96"/>
      <c r="F519" s="96"/>
    </row>
    <row r="520">
      <c r="A520" s="131"/>
      <c r="B520" s="131"/>
      <c r="C520" s="131"/>
      <c r="D520" s="131"/>
      <c r="E520" s="96"/>
      <c r="F520" s="96"/>
    </row>
    <row r="521">
      <c r="A521" s="131"/>
      <c r="B521" s="131"/>
      <c r="C521" s="131"/>
      <c r="D521" s="131"/>
      <c r="E521" s="96"/>
      <c r="F521" s="96"/>
    </row>
    <row r="522">
      <c r="A522" s="131"/>
      <c r="B522" s="131"/>
      <c r="C522" s="131"/>
      <c r="D522" s="131"/>
      <c r="E522" s="96"/>
      <c r="F522" s="96"/>
    </row>
    <row r="523">
      <c r="A523" s="131"/>
      <c r="B523" s="131"/>
      <c r="C523" s="131"/>
      <c r="D523" s="131"/>
      <c r="E523" s="98"/>
      <c r="F523" s="96"/>
    </row>
    <row r="524">
      <c r="A524" s="131"/>
      <c r="B524" s="131"/>
      <c r="C524" s="131"/>
      <c r="D524" s="131"/>
      <c r="E524" s="99"/>
      <c r="F524" s="99"/>
    </row>
    <row r="525">
      <c r="A525" s="131"/>
      <c r="B525" s="131"/>
      <c r="C525" s="131"/>
      <c r="D525" s="131"/>
      <c r="E525" s="100"/>
      <c r="F525" s="100"/>
    </row>
    <row r="526">
      <c r="A526" s="131"/>
      <c r="B526" s="131"/>
      <c r="C526" s="131"/>
      <c r="D526" s="131"/>
      <c r="E526" s="100"/>
      <c r="F526" s="100"/>
    </row>
    <row r="527">
      <c r="A527" s="131"/>
      <c r="B527" s="131"/>
      <c r="C527" s="131"/>
      <c r="D527" s="131"/>
      <c r="E527" s="100"/>
      <c r="F527" s="100"/>
    </row>
    <row r="528">
      <c r="A528" s="131"/>
      <c r="B528" s="131"/>
      <c r="C528" s="131"/>
      <c r="D528" s="131"/>
      <c r="E528" s="100"/>
      <c r="F528" s="100"/>
    </row>
    <row r="529">
      <c r="A529" s="131"/>
      <c r="B529" s="131"/>
      <c r="C529" s="131"/>
      <c r="D529" s="131"/>
      <c r="E529" s="100"/>
      <c r="F529" s="100"/>
    </row>
    <row r="530">
      <c r="A530" s="131"/>
      <c r="B530" s="131"/>
      <c r="C530" s="131"/>
      <c r="D530" s="131"/>
      <c r="E530" s="100"/>
      <c r="F530" s="100"/>
    </row>
    <row r="531">
      <c r="A531" s="131"/>
      <c r="B531" s="131"/>
      <c r="C531" s="131"/>
      <c r="D531" s="131"/>
      <c r="E531" s="100"/>
      <c r="F531" s="100"/>
    </row>
    <row r="532">
      <c r="A532" s="131"/>
      <c r="B532" s="131"/>
      <c r="C532" s="131"/>
      <c r="D532" s="131"/>
      <c r="E532" s="101"/>
      <c r="F532" s="101"/>
    </row>
    <row r="533">
      <c r="A533" s="131"/>
      <c r="B533" s="131"/>
      <c r="C533" s="131"/>
      <c r="D533" s="131"/>
      <c r="E533" s="100"/>
      <c r="F533" s="100"/>
    </row>
    <row r="534">
      <c r="A534" s="131"/>
      <c r="B534" s="131"/>
      <c r="C534" s="131"/>
      <c r="D534" s="131"/>
      <c r="E534" s="100"/>
      <c r="F534" s="100"/>
    </row>
    <row r="535">
      <c r="A535" s="131"/>
      <c r="B535" s="131"/>
      <c r="C535" s="131"/>
      <c r="D535" s="131"/>
      <c r="E535" s="102"/>
      <c r="F535" s="102"/>
    </row>
    <row r="536">
      <c r="A536" s="131"/>
      <c r="B536" s="131"/>
      <c r="C536" s="131"/>
      <c r="D536" s="131"/>
      <c r="E536" s="103"/>
      <c r="F536" s="103"/>
    </row>
    <row r="537">
      <c r="A537" s="131"/>
      <c r="B537" s="131"/>
      <c r="C537" s="131"/>
      <c r="D537" s="131"/>
      <c r="E537" s="103"/>
      <c r="F537" s="103"/>
    </row>
    <row r="538">
      <c r="A538" s="131"/>
      <c r="B538" s="131"/>
      <c r="C538" s="131"/>
      <c r="D538" s="131"/>
      <c r="E538" s="102"/>
      <c r="F538" s="103"/>
    </row>
    <row r="539">
      <c r="A539" s="131"/>
      <c r="B539" s="131"/>
      <c r="C539" s="131"/>
      <c r="D539" s="131"/>
      <c r="E539" s="103"/>
      <c r="F539" s="103"/>
    </row>
    <row r="540">
      <c r="A540" s="131"/>
      <c r="B540" s="131"/>
      <c r="C540" s="131"/>
      <c r="D540" s="131"/>
      <c r="E540" s="103"/>
      <c r="F540" s="103"/>
    </row>
    <row r="541">
      <c r="A541" s="131"/>
      <c r="B541" s="131"/>
      <c r="C541" s="131"/>
      <c r="D541" s="131"/>
      <c r="E541" s="103"/>
      <c r="F541" s="103"/>
    </row>
    <row r="542">
      <c r="A542" s="131"/>
      <c r="B542" s="131"/>
      <c r="C542" s="131"/>
      <c r="D542" s="131"/>
      <c r="E542" s="103"/>
      <c r="F542" s="103"/>
    </row>
    <row r="543">
      <c r="A543" s="131"/>
      <c r="B543" s="131"/>
      <c r="C543" s="131"/>
      <c r="D543" s="131"/>
      <c r="E543" s="103"/>
      <c r="F543" s="103"/>
    </row>
    <row r="544">
      <c r="A544" s="131"/>
      <c r="B544" s="131"/>
      <c r="C544" s="131"/>
      <c r="D544" s="131"/>
      <c r="E544" s="103"/>
      <c r="F544" s="103"/>
    </row>
    <row r="545">
      <c r="A545" s="131"/>
      <c r="B545" s="131"/>
      <c r="C545" s="131"/>
      <c r="D545" s="131"/>
      <c r="E545" s="103"/>
      <c r="F545" s="103"/>
    </row>
    <row r="546">
      <c r="A546" s="131"/>
      <c r="B546" s="131"/>
      <c r="C546" s="131"/>
      <c r="D546" s="131"/>
      <c r="E546" s="103"/>
      <c r="F546" s="103"/>
    </row>
    <row r="547">
      <c r="A547" s="131"/>
      <c r="B547" s="131"/>
      <c r="C547" s="131"/>
      <c r="D547" s="131"/>
      <c r="E547" s="103"/>
      <c r="F547" s="103"/>
    </row>
    <row r="548">
      <c r="A548" s="131"/>
      <c r="B548" s="131"/>
      <c r="C548" s="131"/>
      <c r="D548" s="131"/>
      <c r="E548" s="103"/>
      <c r="F548" s="103"/>
    </row>
    <row r="549">
      <c r="A549" s="131"/>
      <c r="B549" s="131"/>
      <c r="C549" s="131"/>
      <c r="D549" s="131"/>
      <c r="E549" s="103"/>
      <c r="F549" s="103"/>
    </row>
    <row r="550">
      <c r="A550" s="131"/>
      <c r="B550" s="131"/>
      <c r="C550" s="131"/>
      <c r="D550" s="131"/>
      <c r="E550" s="103"/>
      <c r="F550" s="103"/>
    </row>
    <row r="551">
      <c r="A551" s="131"/>
      <c r="B551" s="131"/>
      <c r="C551" s="131"/>
      <c r="D551" s="131"/>
      <c r="E551" s="103"/>
      <c r="F551" s="103"/>
    </row>
    <row r="552">
      <c r="A552" s="131"/>
      <c r="B552" s="131"/>
      <c r="C552" s="131"/>
      <c r="D552" s="131"/>
      <c r="E552" s="103"/>
      <c r="F552" s="103"/>
    </row>
    <row r="553">
      <c r="A553" s="131"/>
      <c r="B553" s="131"/>
      <c r="C553" s="131"/>
      <c r="D553" s="131"/>
      <c r="E553" s="99"/>
      <c r="F553" s="99"/>
    </row>
    <row r="554">
      <c r="A554" s="131"/>
      <c r="B554" s="131"/>
      <c r="C554" s="131"/>
      <c r="D554" s="131"/>
      <c r="E554" s="100"/>
      <c r="F554" s="100"/>
    </row>
    <row r="555">
      <c r="A555" s="131"/>
      <c r="B555" s="131"/>
      <c r="C555" s="131"/>
      <c r="D555" s="131"/>
      <c r="E555" s="100"/>
      <c r="F555" s="100"/>
    </row>
    <row r="556">
      <c r="A556" s="131"/>
      <c r="B556" s="131"/>
      <c r="C556" s="131"/>
      <c r="D556" s="131"/>
      <c r="E556" s="100"/>
      <c r="F556" s="100"/>
    </row>
    <row r="557">
      <c r="A557" s="131"/>
      <c r="B557" s="131"/>
      <c r="C557" s="131"/>
      <c r="D557" s="131"/>
      <c r="E557" s="100"/>
      <c r="F557" s="100"/>
    </row>
    <row r="558">
      <c r="A558" s="131"/>
      <c r="B558" s="131"/>
      <c r="C558" s="131"/>
      <c r="D558" s="131"/>
      <c r="E558" s="100"/>
      <c r="F558" s="100"/>
    </row>
    <row r="559">
      <c r="A559" s="131"/>
      <c r="B559" s="131"/>
      <c r="C559" s="131"/>
      <c r="D559" s="131"/>
      <c r="E559" s="100"/>
      <c r="F559" s="100"/>
    </row>
    <row r="560">
      <c r="A560" s="131"/>
      <c r="B560" s="131"/>
      <c r="C560" s="131"/>
      <c r="D560" s="131"/>
      <c r="E560" s="100"/>
      <c r="F560" s="100"/>
    </row>
    <row r="561">
      <c r="A561" s="131"/>
      <c r="B561" s="131"/>
      <c r="C561" s="131"/>
      <c r="D561" s="131"/>
      <c r="E561" s="100"/>
      <c r="F561" s="100"/>
    </row>
    <row r="562">
      <c r="A562" s="131"/>
      <c r="B562" s="131"/>
      <c r="C562" s="131"/>
      <c r="D562" s="131"/>
      <c r="E562" s="100"/>
      <c r="F562" s="100"/>
    </row>
    <row r="563">
      <c r="A563" s="131"/>
      <c r="B563" s="131"/>
      <c r="C563" s="131"/>
      <c r="D563" s="131"/>
      <c r="E563" s="100"/>
      <c r="F563" s="100"/>
    </row>
    <row r="564">
      <c r="A564" s="131"/>
      <c r="B564" s="131"/>
      <c r="C564" s="131"/>
      <c r="D564" s="131"/>
      <c r="E564" s="99"/>
      <c r="F564" s="99"/>
    </row>
    <row r="565">
      <c r="A565" s="131"/>
      <c r="B565" s="131"/>
      <c r="C565" s="131"/>
      <c r="D565" s="131"/>
      <c r="E565" s="100"/>
      <c r="F565" s="100"/>
    </row>
    <row r="566">
      <c r="A566" s="131"/>
      <c r="B566" s="131"/>
      <c r="C566" s="131"/>
      <c r="D566" s="131"/>
      <c r="E566" s="100"/>
      <c r="F566" s="100"/>
    </row>
    <row r="567">
      <c r="A567" s="131"/>
      <c r="B567" s="131"/>
      <c r="C567" s="131"/>
      <c r="D567" s="131"/>
      <c r="E567" s="100"/>
      <c r="F567" s="100"/>
    </row>
    <row r="568">
      <c r="A568" s="131"/>
      <c r="B568" s="131"/>
      <c r="C568" s="131"/>
      <c r="D568" s="131"/>
      <c r="E568" s="100"/>
      <c r="F568" s="100"/>
    </row>
    <row r="569">
      <c r="A569" s="131"/>
      <c r="B569" s="131"/>
      <c r="C569" s="131"/>
      <c r="D569" s="131"/>
      <c r="E569" s="100"/>
      <c r="F569" s="100"/>
    </row>
    <row r="570">
      <c r="A570" s="131"/>
      <c r="B570" s="131"/>
      <c r="C570" s="131"/>
      <c r="D570" s="131"/>
      <c r="E570" s="100"/>
      <c r="F570" s="100"/>
    </row>
    <row r="571">
      <c r="A571" s="131"/>
      <c r="B571" s="131"/>
      <c r="C571" s="131"/>
      <c r="D571" s="131"/>
      <c r="E571" s="101"/>
      <c r="F571" s="101"/>
    </row>
    <row r="572">
      <c r="A572" s="131"/>
      <c r="B572" s="131"/>
      <c r="C572" s="131"/>
      <c r="D572" s="131"/>
      <c r="E572" s="101"/>
      <c r="F572" s="101"/>
    </row>
    <row r="573">
      <c r="A573" s="131"/>
      <c r="B573" s="131"/>
      <c r="C573" s="131"/>
      <c r="D573" s="131"/>
      <c r="E573" s="101"/>
      <c r="F573" s="101"/>
    </row>
    <row r="574">
      <c r="A574" s="131"/>
      <c r="B574" s="131"/>
      <c r="C574" s="131"/>
      <c r="D574" s="131"/>
      <c r="E574" s="101"/>
      <c r="F574" s="101"/>
    </row>
    <row r="575">
      <c r="A575" s="131"/>
      <c r="B575" s="131"/>
      <c r="C575" s="131"/>
      <c r="D575" s="131"/>
      <c r="E575" s="101"/>
      <c r="F575" s="101"/>
    </row>
    <row r="576">
      <c r="A576" s="131"/>
      <c r="B576" s="131"/>
      <c r="C576" s="131"/>
      <c r="D576" s="131"/>
      <c r="E576" s="101"/>
      <c r="F576" s="101"/>
    </row>
    <row r="577">
      <c r="A577" s="131"/>
      <c r="B577" s="131"/>
      <c r="C577" s="131"/>
      <c r="D577" s="131"/>
      <c r="E577" s="105"/>
      <c r="F577" s="105"/>
    </row>
    <row r="578">
      <c r="A578" s="131"/>
      <c r="B578" s="131"/>
      <c r="C578" s="131"/>
      <c r="D578" s="131"/>
      <c r="E578" s="106"/>
      <c r="F578" s="106"/>
    </row>
    <row r="579">
      <c r="A579" s="131"/>
      <c r="B579" s="131"/>
      <c r="C579" s="131"/>
      <c r="D579" s="131"/>
      <c r="E579" s="107"/>
      <c r="F579" s="107"/>
    </row>
    <row r="580">
      <c r="A580" s="131"/>
      <c r="B580" s="131"/>
      <c r="C580" s="131"/>
      <c r="D580" s="131"/>
      <c r="E580" s="107"/>
      <c r="F580" s="107"/>
    </row>
    <row r="581">
      <c r="A581" s="131"/>
      <c r="B581" s="131"/>
      <c r="C581" s="131"/>
      <c r="D581" s="131"/>
      <c r="E581" s="108"/>
      <c r="F581" s="108"/>
    </row>
    <row r="582">
      <c r="A582" s="131"/>
      <c r="B582" s="131"/>
      <c r="C582" s="131"/>
      <c r="D582" s="131"/>
      <c r="E582" s="107"/>
      <c r="F582" s="107"/>
    </row>
    <row r="583">
      <c r="A583" s="131"/>
      <c r="B583" s="131"/>
      <c r="C583" s="131"/>
      <c r="D583" s="131"/>
      <c r="E583" s="106"/>
      <c r="F583" s="106"/>
    </row>
    <row r="584">
      <c r="A584" s="131"/>
      <c r="B584" s="131"/>
      <c r="C584" s="131"/>
      <c r="D584" s="131"/>
      <c r="E584" s="107"/>
      <c r="F584" s="107"/>
    </row>
    <row r="585">
      <c r="A585" s="131"/>
      <c r="B585" s="131"/>
      <c r="C585" s="131"/>
      <c r="D585" s="131"/>
      <c r="E585" s="107"/>
      <c r="F585" s="107"/>
    </row>
    <row r="586">
      <c r="A586" s="131"/>
      <c r="B586" s="131"/>
      <c r="C586" s="131"/>
      <c r="D586" s="131"/>
      <c r="E586" s="107"/>
      <c r="F586" s="107"/>
    </row>
    <row r="587">
      <c r="A587" s="131"/>
      <c r="B587" s="131"/>
      <c r="C587" s="131"/>
      <c r="D587" s="131"/>
      <c r="E587" s="107"/>
      <c r="F587" s="107"/>
    </row>
    <row r="588">
      <c r="A588" s="131"/>
      <c r="B588" s="131"/>
      <c r="C588" s="131"/>
      <c r="D588" s="131"/>
      <c r="E588" s="106"/>
      <c r="F588" s="106"/>
    </row>
    <row r="589">
      <c r="A589" s="131"/>
      <c r="B589" s="131"/>
      <c r="C589" s="131"/>
      <c r="D589" s="131"/>
      <c r="E589" s="107"/>
      <c r="F589" s="107"/>
    </row>
    <row r="590">
      <c r="A590" s="131"/>
      <c r="B590" s="131"/>
      <c r="C590" s="131"/>
      <c r="D590" s="131"/>
      <c r="E590" s="109"/>
      <c r="F590" s="109"/>
    </row>
    <row r="591">
      <c r="A591" s="131"/>
      <c r="B591" s="131"/>
      <c r="C591" s="131"/>
      <c r="D591" s="131"/>
      <c r="E591" s="110"/>
      <c r="F591" s="110"/>
    </row>
    <row r="592">
      <c r="A592" s="131"/>
      <c r="B592" s="131"/>
      <c r="C592" s="131"/>
      <c r="D592" s="131"/>
      <c r="E592" s="110"/>
      <c r="F592" s="110"/>
    </row>
    <row r="593">
      <c r="A593" s="131"/>
      <c r="B593" s="131"/>
      <c r="C593" s="131"/>
      <c r="D593" s="131"/>
      <c r="E593" s="111"/>
      <c r="F593" s="111"/>
    </row>
    <row r="594">
      <c r="A594" s="131"/>
      <c r="B594" s="131"/>
      <c r="C594" s="131"/>
      <c r="D594" s="131"/>
      <c r="E594" s="112"/>
      <c r="F594" s="112"/>
    </row>
    <row r="595">
      <c r="A595" s="131"/>
      <c r="B595" s="131"/>
      <c r="C595" s="131"/>
      <c r="D595" s="131"/>
      <c r="E595" s="112"/>
      <c r="F595" s="112"/>
    </row>
    <row r="596">
      <c r="A596" s="131"/>
      <c r="B596" s="131"/>
      <c r="C596" s="131"/>
      <c r="D596" s="131"/>
      <c r="E596" s="112"/>
      <c r="F596" s="112"/>
    </row>
    <row r="597">
      <c r="A597" s="131"/>
      <c r="B597" s="131"/>
      <c r="C597" s="131"/>
      <c r="D597" s="131"/>
      <c r="E597" s="112"/>
      <c r="F597" s="112"/>
    </row>
    <row r="598">
      <c r="A598" s="131"/>
      <c r="B598" s="131"/>
      <c r="C598" s="131"/>
      <c r="D598" s="131"/>
      <c r="E598" s="113"/>
      <c r="F598" s="110"/>
    </row>
    <row r="599">
      <c r="A599" s="131"/>
      <c r="B599" s="131"/>
      <c r="C599" s="131"/>
      <c r="D599" s="131"/>
      <c r="E599" s="114"/>
      <c r="F599" s="114"/>
    </row>
    <row r="600">
      <c r="A600" s="131"/>
      <c r="B600" s="131"/>
      <c r="C600" s="131"/>
      <c r="D600" s="131"/>
      <c r="E600" s="114"/>
      <c r="F600" s="114"/>
    </row>
    <row r="601">
      <c r="A601" s="131"/>
      <c r="B601" s="131"/>
      <c r="C601" s="131"/>
      <c r="D601" s="131"/>
      <c r="E601" s="114"/>
      <c r="F601" s="114"/>
    </row>
    <row r="602">
      <c r="A602" s="131"/>
      <c r="B602" s="131"/>
      <c r="C602" s="131"/>
      <c r="D602" s="131"/>
      <c r="E602" s="114"/>
      <c r="F602" s="114"/>
    </row>
    <row r="603">
      <c r="A603" s="131"/>
      <c r="B603" s="131"/>
      <c r="C603" s="131"/>
      <c r="D603" s="131"/>
      <c r="E603" s="114"/>
      <c r="F603" s="114"/>
    </row>
    <row r="604">
      <c r="A604" s="131"/>
      <c r="B604" s="131"/>
      <c r="C604" s="131"/>
      <c r="D604" s="131"/>
      <c r="E604" s="114"/>
      <c r="F604" s="114"/>
    </row>
    <row r="605">
      <c r="A605" s="131"/>
      <c r="B605" s="131"/>
      <c r="C605" s="131"/>
      <c r="D605" s="131"/>
      <c r="E605" s="114"/>
      <c r="F605" s="114"/>
    </row>
    <row r="606">
      <c r="A606" s="131"/>
      <c r="B606" s="131"/>
      <c r="C606" s="131"/>
      <c r="D606" s="131"/>
      <c r="E606" s="114"/>
      <c r="F606" s="114"/>
    </row>
    <row r="607">
      <c r="A607" s="131"/>
      <c r="B607" s="131"/>
      <c r="C607" s="131"/>
      <c r="D607" s="131"/>
      <c r="E607" s="114"/>
      <c r="F607" s="114"/>
    </row>
    <row r="608">
      <c r="A608" s="131"/>
      <c r="B608" s="131"/>
      <c r="C608" s="131"/>
      <c r="D608" s="131"/>
      <c r="E608" s="114"/>
      <c r="F608" s="114"/>
    </row>
    <row r="609">
      <c r="A609" s="131"/>
      <c r="B609" s="131"/>
      <c r="C609" s="131"/>
      <c r="D609" s="131"/>
      <c r="E609" s="114"/>
      <c r="F609" s="114"/>
    </row>
    <row r="610">
      <c r="A610" s="131"/>
      <c r="B610" s="131"/>
      <c r="C610" s="131"/>
      <c r="D610" s="131"/>
      <c r="E610" s="114"/>
      <c r="F610" s="114"/>
    </row>
    <row r="611">
      <c r="A611" s="131"/>
      <c r="B611" s="131"/>
      <c r="C611" s="131"/>
      <c r="D611" s="131"/>
      <c r="E611" s="114"/>
      <c r="F611" s="114"/>
    </row>
    <row r="612">
      <c r="A612" s="131"/>
      <c r="B612" s="131"/>
      <c r="C612" s="131"/>
      <c r="D612" s="131"/>
      <c r="E612" s="114"/>
      <c r="F612" s="114"/>
    </row>
    <row r="613">
      <c r="A613" s="131"/>
      <c r="B613" s="131"/>
      <c r="C613" s="131"/>
      <c r="D613" s="131"/>
      <c r="E613" s="114"/>
      <c r="F613" s="114"/>
    </row>
    <row r="614">
      <c r="A614" s="131"/>
      <c r="B614" s="131"/>
      <c r="C614" s="131"/>
      <c r="D614" s="131"/>
      <c r="E614" s="114"/>
      <c r="F614" s="114"/>
    </row>
    <row r="615">
      <c r="A615" s="131"/>
      <c r="B615" s="131"/>
      <c r="C615" s="131"/>
      <c r="D615" s="131"/>
      <c r="E615" s="114"/>
      <c r="F615" s="114"/>
    </row>
    <row r="616">
      <c r="A616" s="131"/>
      <c r="B616" s="131"/>
      <c r="C616" s="131"/>
      <c r="D616" s="131"/>
      <c r="E616" s="114"/>
      <c r="F616" s="114"/>
    </row>
    <row r="617">
      <c r="A617" s="131"/>
      <c r="B617" s="131"/>
      <c r="C617" s="131"/>
      <c r="D617" s="131"/>
      <c r="E617" s="114"/>
      <c r="F617" s="114"/>
    </row>
    <row r="618">
      <c r="A618" s="131"/>
      <c r="B618" s="131"/>
      <c r="C618" s="131"/>
      <c r="D618" s="131"/>
      <c r="E618" s="114"/>
      <c r="F618" s="114"/>
    </row>
    <row r="619">
      <c r="A619" s="131"/>
      <c r="B619" s="131"/>
      <c r="C619" s="131"/>
      <c r="D619" s="131"/>
      <c r="E619" s="131"/>
      <c r="F619" s="131"/>
    </row>
    <row r="620">
      <c r="A620" s="131"/>
      <c r="B620" s="131"/>
      <c r="C620" s="131"/>
      <c r="D620" s="131"/>
      <c r="E620" s="105"/>
      <c r="F620" s="105"/>
    </row>
    <row r="621">
      <c r="A621" s="131"/>
      <c r="B621" s="131"/>
      <c r="C621" s="131"/>
      <c r="D621" s="131"/>
      <c r="E621" s="115"/>
      <c r="F621" s="107"/>
    </row>
    <row r="622">
      <c r="A622" s="131"/>
      <c r="B622" s="131"/>
      <c r="C622" s="131"/>
      <c r="D622" s="131"/>
      <c r="E622" s="107"/>
      <c r="F622" s="107"/>
    </row>
    <row r="623">
      <c r="A623" s="131"/>
      <c r="B623" s="131"/>
      <c r="C623" s="131"/>
      <c r="D623" s="131"/>
      <c r="E623" s="116"/>
      <c r="F623" s="107"/>
    </row>
    <row r="624">
      <c r="A624" s="131"/>
      <c r="B624" s="131"/>
      <c r="C624" s="131"/>
      <c r="D624" s="131"/>
      <c r="E624" s="107"/>
      <c r="F624" s="107"/>
    </row>
    <row r="625">
      <c r="A625" s="131"/>
      <c r="B625" s="131"/>
      <c r="C625" s="131"/>
      <c r="D625" s="131"/>
      <c r="E625" s="107"/>
      <c r="F625" s="107"/>
    </row>
    <row r="626">
      <c r="A626" s="131"/>
      <c r="B626" s="131"/>
      <c r="C626" s="131"/>
      <c r="D626" s="131"/>
      <c r="E626" s="107"/>
      <c r="F626" s="107"/>
    </row>
    <row r="627">
      <c r="A627" s="131"/>
      <c r="B627" s="131"/>
      <c r="C627" s="131"/>
      <c r="D627" s="131"/>
      <c r="E627" s="107"/>
      <c r="F627" s="107"/>
    </row>
    <row r="628">
      <c r="A628" s="131"/>
      <c r="B628" s="131"/>
      <c r="C628" s="131"/>
      <c r="D628" s="131"/>
      <c r="E628" s="107"/>
      <c r="F628" s="107"/>
    </row>
    <row r="629">
      <c r="A629" s="131"/>
      <c r="B629" s="131"/>
      <c r="C629" s="131"/>
      <c r="D629" s="131"/>
      <c r="E629" s="107"/>
      <c r="F629" s="107"/>
    </row>
    <row r="630">
      <c r="A630" s="131"/>
      <c r="B630" s="131"/>
      <c r="C630" s="131"/>
      <c r="D630" s="131"/>
      <c r="E630" s="107"/>
      <c r="F630" s="107"/>
    </row>
    <row r="631">
      <c r="A631" s="131"/>
      <c r="B631" s="131"/>
      <c r="C631" s="131"/>
      <c r="D631" s="131"/>
      <c r="E631" s="107"/>
      <c r="F631" s="107"/>
    </row>
    <row r="632">
      <c r="A632" s="131"/>
      <c r="B632" s="131"/>
      <c r="C632" s="131"/>
      <c r="D632" s="131"/>
      <c r="E632" s="107"/>
      <c r="F632" s="107"/>
    </row>
    <row r="633">
      <c r="A633" s="131"/>
      <c r="B633" s="131"/>
      <c r="C633" s="131"/>
      <c r="D633" s="131"/>
      <c r="E633" s="107"/>
      <c r="F633" s="107"/>
    </row>
    <row r="634">
      <c r="A634" s="131"/>
      <c r="B634" s="131"/>
      <c r="C634" s="131"/>
      <c r="D634" s="131"/>
      <c r="E634" s="107"/>
      <c r="F634" s="107"/>
    </row>
    <row r="635">
      <c r="A635" s="131"/>
      <c r="B635" s="131"/>
      <c r="C635" s="131"/>
      <c r="D635" s="131"/>
      <c r="E635" s="107"/>
      <c r="F635" s="107"/>
    </row>
    <row r="636">
      <c r="A636" s="131"/>
      <c r="B636" s="131"/>
      <c r="C636" s="131"/>
      <c r="D636" s="131"/>
      <c r="E636" s="107"/>
      <c r="F636" s="107"/>
    </row>
    <row r="637">
      <c r="A637" s="131"/>
      <c r="B637" s="131"/>
      <c r="C637" s="131"/>
      <c r="D637" s="131"/>
      <c r="E637" s="107"/>
      <c r="F637" s="107"/>
    </row>
    <row r="638">
      <c r="A638" s="131"/>
      <c r="B638" s="131"/>
      <c r="C638" s="131"/>
      <c r="D638" s="131"/>
      <c r="E638" s="98"/>
      <c r="F638" s="107"/>
    </row>
    <row r="639">
      <c r="A639" s="131"/>
      <c r="B639" s="131"/>
      <c r="C639" s="131"/>
      <c r="D639" s="131"/>
      <c r="E639" s="131"/>
      <c r="F639" s="131"/>
    </row>
    <row r="640">
      <c r="A640" s="131"/>
      <c r="B640" s="131"/>
      <c r="C640" s="131"/>
      <c r="D640" s="131"/>
      <c r="E640" s="105"/>
      <c r="F640" s="105"/>
    </row>
    <row r="641">
      <c r="A641" s="131"/>
      <c r="B641" s="131"/>
      <c r="C641" s="131"/>
      <c r="D641" s="131"/>
      <c r="E641" s="109"/>
      <c r="F641" s="109"/>
    </row>
    <row r="642">
      <c r="A642" s="131"/>
      <c r="B642" s="131"/>
      <c r="C642" s="131"/>
      <c r="D642" s="131"/>
      <c r="E642" s="109"/>
      <c r="F642" s="109"/>
    </row>
    <row r="643">
      <c r="A643" s="131"/>
      <c r="B643" s="131"/>
      <c r="C643" s="131"/>
      <c r="D643" s="131"/>
      <c r="E643" s="109"/>
      <c r="F643" s="109"/>
    </row>
    <row r="644">
      <c r="A644" s="131"/>
      <c r="B644" s="131"/>
      <c r="C644" s="131"/>
      <c r="D644" s="131"/>
      <c r="E644" s="109"/>
      <c r="F644" s="109"/>
    </row>
    <row r="645">
      <c r="A645" s="131"/>
      <c r="B645" s="131"/>
      <c r="C645" s="131"/>
      <c r="D645" s="131"/>
      <c r="E645" s="109"/>
      <c r="F645" s="109"/>
    </row>
    <row r="646">
      <c r="A646" s="131"/>
      <c r="B646" s="131"/>
      <c r="C646" s="131"/>
      <c r="D646" s="131"/>
      <c r="E646" s="109"/>
      <c r="F646" s="109"/>
    </row>
    <row r="647">
      <c r="A647" s="131"/>
      <c r="B647" s="131"/>
      <c r="C647" s="131"/>
      <c r="D647" s="131"/>
      <c r="E647" s="109"/>
      <c r="F647" s="109"/>
    </row>
    <row r="648">
      <c r="A648" s="131"/>
      <c r="B648" s="131"/>
      <c r="C648" s="131"/>
      <c r="D648" s="131"/>
      <c r="E648" s="109"/>
      <c r="F648" s="109"/>
    </row>
    <row r="649">
      <c r="A649" s="131"/>
      <c r="B649" s="131"/>
      <c r="C649" s="131"/>
      <c r="D649" s="131"/>
      <c r="E649" s="109"/>
      <c r="F649" s="109"/>
    </row>
    <row r="650">
      <c r="A650" s="131"/>
      <c r="B650" s="131"/>
      <c r="C650" s="131"/>
      <c r="D650" s="131"/>
      <c r="E650" s="109"/>
      <c r="F650" s="109"/>
    </row>
    <row r="651">
      <c r="A651" s="131"/>
      <c r="B651" s="131"/>
      <c r="C651" s="131"/>
      <c r="D651" s="131"/>
      <c r="E651" s="109"/>
      <c r="F651" s="109"/>
    </row>
    <row r="652">
      <c r="A652" s="131"/>
      <c r="B652" s="131"/>
      <c r="C652" s="131"/>
      <c r="D652" s="131"/>
      <c r="E652" s="109"/>
      <c r="F652" s="109"/>
    </row>
    <row r="653">
      <c r="A653" s="131"/>
      <c r="B653" s="131"/>
      <c r="C653" s="131"/>
      <c r="D653" s="131"/>
      <c r="E653" s="109"/>
      <c r="F653" s="109"/>
    </row>
    <row r="654">
      <c r="A654" s="131"/>
      <c r="B654" s="131"/>
      <c r="C654" s="131"/>
      <c r="D654" s="131"/>
      <c r="E654" s="109"/>
      <c r="F654" s="109"/>
    </row>
    <row r="655">
      <c r="A655" s="131"/>
      <c r="B655" s="131"/>
      <c r="C655" s="131"/>
      <c r="D655" s="131"/>
      <c r="E655" s="109"/>
      <c r="F655" s="109"/>
    </row>
    <row r="656">
      <c r="A656" s="131"/>
      <c r="B656" s="131"/>
      <c r="C656" s="131"/>
      <c r="D656" s="131"/>
      <c r="E656" s="109"/>
      <c r="F656" s="109"/>
    </row>
    <row r="657">
      <c r="A657" s="131"/>
      <c r="B657" s="131"/>
      <c r="C657" s="131"/>
      <c r="D657" s="131"/>
      <c r="E657" s="109"/>
      <c r="F657" s="109"/>
    </row>
    <row r="658">
      <c r="A658" s="131"/>
      <c r="B658" s="131"/>
      <c r="C658" s="131"/>
      <c r="D658" s="131"/>
      <c r="E658" s="109"/>
      <c r="F658" s="109"/>
    </row>
    <row r="659">
      <c r="A659" s="131"/>
      <c r="B659" s="131"/>
      <c r="C659" s="131"/>
      <c r="D659" s="131"/>
      <c r="E659" s="109"/>
      <c r="F659" s="109"/>
    </row>
    <row r="660">
      <c r="A660" s="131"/>
      <c r="B660" s="131"/>
      <c r="C660" s="131"/>
      <c r="D660" s="131"/>
      <c r="E660" s="109"/>
      <c r="F660" s="109"/>
    </row>
    <row r="661">
      <c r="A661" s="131"/>
      <c r="B661" s="131"/>
      <c r="C661" s="131"/>
      <c r="D661" s="131"/>
      <c r="E661" s="109"/>
      <c r="F661" s="109"/>
    </row>
    <row r="662">
      <c r="A662" s="131"/>
      <c r="B662" s="131"/>
      <c r="C662" s="131"/>
      <c r="D662" s="131"/>
      <c r="E662" s="109"/>
      <c r="F662" s="109"/>
    </row>
    <row r="663">
      <c r="A663" s="131"/>
      <c r="B663" s="131"/>
      <c r="C663" s="131"/>
      <c r="D663" s="131"/>
      <c r="E663" s="109"/>
      <c r="F663" s="109"/>
    </row>
    <row r="664">
      <c r="A664" s="131"/>
      <c r="B664" s="131"/>
      <c r="C664" s="131"/>
      <c r="D664" s="131"/>
      <c r="E664" s="109"/>
      <c r="F664" s="109"/>
    </row>
    <row r="665">
      <c r="A665" s="131"/>
      <c r="B665" s="131"/>
      <c r="C665" s="131"/>
      <c r="D665" s="131"/>
      <c r="E665" s="109"/>
      <c r="F665" s="109"/>
    </row>
    <row r="666">
      <c r="A666" s="131"/>
      <c r="B666" s="131"/>
      <c r="C666" s="131"/>
      <c r="D666" s="131"/>
      <c r="E666" s="131"/>
      <c r="F666" s="131"/>
    </row>
    <row r="667">
      <c r="A667" s="131"/>
      <c r="B667" s="131"/>
      <c r="C667" s="131"/>
      <c r="D667" s="131"/>
      <c r="E667" s="105"/>
      <c r="F667" s="105"/>
    </row>
    <row r="668">
      <c r="A668" s="131"/>
      <c r="B668" s="131"/>
      <c r="C668" s="131"/>
      <c r="D668" s="131"/>
      <c r="E668" s="107"/>
      <c r="F668" s="107"/>
    </row>
    <row r="669">
      <c r="A669" s="131"/>
      <c r="B669" s="131"/>
      <c r="C669" s="131"/>
      <c r="D669" s="131"/>
      <c r="E669" s="107"/>
      <c r="F669" s="107"/>
    </row>
    <row r="670">
      <c r="A670" s="131"/>
      <c r="B670" s="131"/>
      <c r="C670" s="131"/>
      <c r="D670" s="131"/>
      <c r="E670" s="107"/>
      <c r="F670" s="107"/>
    </row>
    <row r="671">
      <c r="A671" s="131"/>
      <c r="B671" s="131"/>
      <c r="C671" s="131"/>
      <c r="D671" s="131"/>
      <c r="E671" s="107"/>
      <c r="F671" s="107"/>
    </row>
    <row r="672">
      <c r="A672" s="131"/>
      <c r="B672" s="131"/>
      <c r="C672" s="131"/>
      <c r="D672" s="131"/>
      <c r="E672" s="107"/>
      <c r="F672" s="107"/>
    </row>
    <row r="673">
      <c r="A673" s="131"/>
      <c r="B673" s="131"/>
      <c r="C673" s="131"/>
      <c r="D673" s="131"/>
      <c r="E673" s="107"/>
      <c r="F673" s="107"/>
    </row>
    <row r="674">
      <c r="A674" s="131"/>
      <c r="B674" s="131"/>
      <c r="C674" s="131"/>
      <c r="D674" s="131"/>
      <c r="E674" s="107"/>
      <c r="F674" s="107"/>
    </row>
    <row r="675">
      <c r="A675" s="131"/>
      <c r="B675" s="131"/>
      <c r="C675" s="131"/>
      <c r="D675" s="131"/>
      <c r="E675" s="107"/>
      <c r="F675" s="107"/>
    </row>
    <row r="676">
      <c r="A676" s="131"/>
      <c r="B676" s="131"/>
      <c r="C676" s="131"/>
      <c r="D676" s="131"/>
      <c r="E676" s="107"/>
      <c r="F676" s="107"/>
    </row>
    <row r="677">
      <c r="A677" s="131"/>
      <c r="B677" s="131"/>
      <c r="C677" s="131"/>
      <c r="D677" s="131"/>
      <c r="E677" s="107"/>
      <c r="F677" s="107"/>
    </row>
    <row r="678">
      <c r="A678" s="131"/>
      <c r="B678" s="131"/>
      <c r="C678" s="131"/>
      <c r="D678" s="131"/>
      <c r="E678" s="107"/>
      <c r="F678" s="107"/>
    </row>
    <row r="679">
      <c r="A679" s="131"/>
      <c r="B679" s="131"/>
      <c r="C679" s="131"/>
      <c r="D679" s="131"/>
      <c r="E679" s="107"/>
      <c r="F679" s="107"/>
    </row>
    <row r="680">
      <c r="A680" s="131"/>
      <c r="B680" s="131"/>
      <c r="C680" s="131"/>
      <c r="D680" s="131"/>
      <c r="E680" s="107"/>
      <c r="F680" s="107"/>
    </row>
    <row r="681">
      <c r="A681" s="131"/>
      <c r="B681" s="131"/>
      <c r="C681" s="131"/>
      <c r="D681" s="131"/>
      <c r="E681" s="107"/>
      <c r="F681" s="107"/>
    </row>
    <row r="682">
      <c r="A682" s="131"/>
      <c r="B682" s="131"/>
      <c r="C682" s="131"/>
      <c r="D682" s="131"/>
      <c r="E682" s="107"/>
      <c r="F682" s="107"/>
    </row>
    <row r="683">
      <c r="A683" s="131"/>
      <c r="B683" s="131"/>
      <c r="C683" s="131"/>
      <c r="D683" s="131"/>
      <c r="E683" s="107"/>
      <c r="F683" s="107"/>
    </row>
    <row r="684">
      <c r="A684" s="131"/>
      <c r="B684" s="131"/>
      <c r="C684" s="131"/>
      <c r="D684" s="131"/>
      <c r="E684" s="107"/>
      <c r="F684" s="107"/>
    </row>
    <row r="685">
      <c r="A685" s="131"/>
      <c r="B685" s="131"/>
      <c r="C685" s="131"/>
      <c r="D685" s="131"/>
      <c r="E685" s="107"/>
      <c r="F685" s="107"/>
    </row>
    <row r="686">
      <c r="A686" s="131"/>
      <c r="B686" s="131"/>
      <c r="C686" s="131"/>
      <c r="D686" s="131"/>
      <c r="E686" s="107"/>
      <c r="F686" s="107"/>
    </row>
    <row r="687">
      <c r="A687" s="131"/>
      <c r="B687" s="131"/>
      <c r="C687" s="131"/>
      <c r="D687" s="131"/>
      <c r="E687" s="107"/>
      <c r="F687" s="107"/>
    </row>
    <row r="688">
      <c r="A688" s="131"/>
      <c r="B688" s="131"/>
      <c r="C688" s="131"/>
      <c r="D688" s="131"/>
      <c r="E688" s="107"/>
      <c r="F688" s="107"/>
    </row>
    <row r="689">
      <c r="A689" s="131"/>
      <c r="B689" s="131"/>
      <c r="C689" s="131"/>
      <c r="D689" s="131"/>
      <c r="E689" s="107"/>
      <c r="F689" s="107"/>
    </row>
    <row r="690">
      <c r="A690" s="131"/>
      <c r="B690" s="131"/>
      <c r="C690" s="131"/>
      <c r="D690" s="131"/>
      <c r="E690" s="107"/>
      <c r="F690" s="107"/>
    </row>
    <row r="691">
      <c r="A691" s="131"/>
      <c r="B691" s="131"/>
      <c r="C691" s="131"/>
      <c r="D691" s="131"/>
      <c r="E691" s="107"/>
      <c r="F691" s="107"/>
    </row>
    <row r="692">
      <c r="A692" s="131"/>
      <c r="B692" s="131"/>
      <c r="C692" s="131"/>
      <c r="D692" s="131"/>
      <c r="E692" s="107"/>
      <c r="F692" s="107"/>
    </row>
    <row r="693">
      <c r="A693" s="131"/>
      <c r="B693" s="131"/>
      <c r="C693" s="131"/>
      <c r="D693" s="131"/>
      <c r="E693" s="107"/>
      <c r="F693" s="107"/>
    </row>
    <row r="694">
      <c r="A694" s="131"/>
      <c r="B694" s="131"/>
      <c r="C694" s="131"/>
      <c r="D694" s="131"/>
      <c r="E694" s="107"/>
      <c r="F694" s="107"/>
    </row>
    <row r="695">
      <c r="A695" s="131"/>
      <c r="B695" s="131"/>
      <c r="C695" s="131"/>
      <c r="D695" s="131"/>
      <c r="E695" s="107"/>
      <c r="F695" s="107"/>
    </row>
    <row r="696">
      <c r="A696" s="131"/>
      <c r="B696" s="131"/>
      <c r="C696" s="131"/>
      <c r="D696" s="131"/>
      <c r="E696" s="107"/>
      <c r="F696" s="107"/>
    </row>
    <row r="697">
      <c r="A697" s="131"/>
      <c r="B697" s="131"/>
      <c r="C697" s="131"/>
      <c r="D697" s="131"/>
      <c r="E697" s="107"/>
      <c r="F697" s="107"/>
    </row>
    <row r="698">
      <c r="A698" s="131"/>
      <c r="B698" s="131"/>
      <c r="C698" s="131"/>
      <c r="D698" s="131"/>
      <c r="E698" s="107"/>
      <c r="F698" s="107"/>
    </row>
    <row r="699">
      <c r="A699" s="131"/>
      <c r="B699" s="131"/>
      <c r="C699" s="131"/>
      <c r="D699" s="131"/>
      <c r="E699" s="107"/>
      <c r="F699" s="107"/>
    </row>
    <row r="700">
      <c r="A700" s="131"/>
      <c r="B700" s="131"/>
      <c r="C700" s="131"/>
      <c r="D700" s="131"/>
      <c r="E700" s="107"/>
      <c r="F700" s="107"/>
    </row>
    <row r="701">
      <c r="A701" s="131"/>
      <c r="B701" s="131"/>
      <c r="C701" s="131"/>
      <c r="D701" s="131"/>
      <c r="E701" s="107"/>
      <c r="F701" s="107"/>
    </row>
    <row r="702">
      <c r="A702" s="131"/>
      <c r="B702" s="131"/>
      <c r="C702" s="131"/>
      <c r="D702" s="131"/>
      <c r="E702" s="107"/>
      <c r="F702" s="107"/>
    </row>
    <row r="703">
      <c r="A703" s="131"/>
      <c r="B703" s="131"/>
      <c r="C703" s="131"/>
      <c r="D703" s="131"/>
      <c r="E703" s="107"/>
      <c r="F703" s="107"/>
    </row>
    <row r="704">
      <c r="A704" s="131"/>
      <c r="B704" s="131"/>
      <c r="C704" s="131"/>
      <c r="D704" s="131"/>
      <c r="E704" s="116"/>
      <c r="F704" s="107"/>
    </row>
    <row r="705">
      <c r="A705" s="131"/>
      <c r="B705" s="131"/>
      <c r="C705" s="131"/>
      <c r="D705" s="131"/>
      <c r="E705" s="107"/>
      <c r="F705" s="107"/>
    </row>
    <row r="706">
      <c r="A706" s="131"/>
      <c r="B706" s="131"/>
      <c r="C706" s="131"/>
      <c r="D706" s="131"/>
      <c r="E706" s="107"/>
      <c r="F706" s="107"/>
    </row>
    <row r="707">
      <c r="A707" s="131"/>
      <c r="B707" s="131"/>
      <c r="C707" s="131"/>
      <c r="D707" s="131"/>
      <c r="E707" s="107"/>
      <c r="F707" s="107"/>
    </row>
    <row r="708">
      <c r="A708" s="131"/>
      <c r="B708" s="131"/>
      <c r="C708" s="131"/>
      <c r="D708" s="131"/>
      <c r="E708" s="107"/>
      <c r="F708" s="107"/>
    </row>
    <row r="709">
      <c r="A709" s="131"/>
      <c r="B709" s="131"/>
      <c r="C709" s="131"/>
      <c r="D709" s="131"/>
      <c r="E709" s="118"/>
      <c r="F709" s="107"/>
    </row>
    <row r="710">
      <c r="A710" s="131"/>
      <c r="B710" s="131"/>
      <c r="C710" s="131"/>
      <c r="D710" s="131"/>
      <c r="E710" s="118"/>
      <c r="F710" s="107"/>
    </row>
    <row r="711">
      <c r="A711" s="131"/>
      <c r="B711" s="131"/>
      <c r="C711" s="131"/>
      <c r="D711" s="131"/>
      <c r="E711" s="118"/>
      <c r="F711" s="107"/>
    </row>
    <row r="712">
      <c r="A712" s="131"/>
      <c r="B712" s="131"/>
      <c r="C712" s="131"/>
      <c r="D712" s="131"/>
      <c r="E712" s="118"/>
      <c r="F712" s="107"/>
    </row>
    <row r="713">
      <c r="A713" s="131"/>
      <c r="B713" s="131"/>
      <c r="C713" s="131"/>
      <c r="D713" s="131"/>
      <c r="E713" s="119"/>
      <c r="F713" s="119"/>
    </row>
    <row r="714">
      <c r="A714" s="131"/>
      <c r="B714" s="131"/>
      <c r="C714" s="131"/>
      <c r="D714" s="131"/>
      <c r="E714" s="107"/>
      <c r="F714" s="107"/>
    </row>
    <row r="715">
      <c r="A715" s="131"/>
      <c r="B715" s="131"/>
      <c r="C715" s="131"/>
      <c r="D715" s="131"/>
      <c r="E715" s="107"/>
      <c r="F715" s="107"/>
    </row>
    <row r="716">
      <c r="A716" s="131"/>
      <c r="B716" s="131"/>
      <c r="C716" s="131"/>
      <c r="D716" s="131"/>
      <c r="E716" s="107"/>
      <c r="F716" s="107"/>
    </row>
    <row r="717">
      <c r="A717" s="131"/>
      <c r="B717" s="131"/>
      <c r="C717" s="131"/>
      <c r="D717" s="131"/>
      <c r="E717" s="107"/>
      <c r="F717" s="107"/>
    </row>
    <row r="718">
      <c r="A718" s="131"/>
      <c r="B718" s="131"/>
      <c r="C718" s="131"/>
      <c r="D718" s="131"/>
      <c r="E718" s="107"/>
      <c r="F718" s="107"/>
    </row>
    <row r="719">
      <c r="A719" s="131"/>
      <c r="B719" s="131"/>
      <c r="C719" s="131"/>
      <c r="D719" s="131"/>
      <c r="E719" s="107"/>
      <c r="F719" s="107"/>
    </row>
    <row r="720">
      <c r="A720" s="131"/>
      <c r="B720" s="131"/>
      <c r="C720" s="131"/>
      <c r="D720" s="131"/>
      <c r="E720" s="107"/>
      <c r="F720" s="107"/>
    </row>
    <row r="721">
      <c r="A721" s="131"/>
      <c r="B721" s="131"/>
      <c r="C721" s="131"/>
      <c r="D721" s="131"/>
      <c r="E721" s="107"/>
      <c r="F721" s="107"/>
    </row>
    <row r="722">
      <c r="A722" s="131"/>
      <c r="B722" s="131"/>
      <c r="C722" s="131"/>
      <c r="D722" s="131"/>
      <c r="E722" s="107"/>
      <c r="F722" s="107"/>
    </row>
    <row r="723">
      <c r="A723" s="131"/>
      <c r="B723" s="131"/>
      <c r="C723" s="131"/>
      <c r="D723" s="131"/>
      <c r="E723" s="107"/>
      <c r="F723" s="107"/>
    </row>
    <row r="724">
      <c r="A724" s="131"/>
      <c r="B724" s="131"/>
      <c r="C724" s="131"/>
      <c r="D724" s="131"/>
      <c r="E724" s="107"/>
      <c r="F724" s="107"/>
    </row>
    <row r="725">
      <c r="A725" s="131"/>
      <c r="B725" s="131"/>
      <c r="C725" s="131"/>
      <c r="D725" s="131"/>
      <c r="E725" s="107"/>
      <c r="F725" s="107"/>
    </row>
    <row r="726">
      <c r="A726" s="131"/>
      <c r="B726" s="131"/>
      <c r="C726" s="131"/>
      <c r="D726" s="131"/>
      <c r="E726" s="107"/>
      <c r="F726" s="107"/>
    </row>
    <row r="727">
      <c r="A727" s="131"/>
      <c r="B727" s="131"/>
      <c r="C727" s="131"/>
      <c r="D727" s="131"/>
      <c r="E727" s="107"/>
      <c r="F727" s="107"/>
    </row>
    <row r="728">
      <c r="A728" s="131"/>
      <c r="B728" s="131"/>
      <c r="C728" s="131"/>
      <c r="D728" s="131"/>
      <c r="E728" s="107"/>
      <c r="F728" s="115"/>
    </row>
    <row r="729">
      <c r="A729" s="131"/>
      <c r="B729" s="131"/>
      <c r="C729" s="131"/>
      <c r="D729" s="131"/>
      <c r="E729" s="107"/>
      <c r="F729" s="107"/>
    </row>
    <row r="730">
      <c r="A730" s="131"/>
      <c r="B730" s="131"/>
      <c r="C730" s="131"/>
      <c r="D730" s="131"/>
      <c r="E730" s="131"/>
      <c r="F730" s="131"/>
    </row>
    <row r="731">
      <c r="A731" s="131"/>
      <c r="B731" s="131"/>
      <c r="C731" s="131"/>
      <c r="D731" s="131"/>
      <c r="E731" s="131"/>
      <c r="F731" s="131"/>
    </row>
    <row r="732">
      <c r="A732" s="131"/>
      <c r="B732" s="131"/>
      <c r="C732" s="131"/>
      <c r="D732" s="131"/>
      <c r="E732" s="131"/>
      <c r="F732" s="131"/>
    </row>
    <row r="733">
      <c r="A733" s="131"/>
      <c r="B733" s="131"/>
      <c r="C733" s="131"/>
      <c r="D733" s="131"/>
      <c r="E733" s="131"/>
      <c r="F733" s="131"/>
    </row>
    <row r="734">
      <c r="A734" s="131"/>
      <c r="B734" s="131"/>
      <c r="C734" s="131"/>
      <c r="D734" s="131"/>
      <c r="E734" s="131"/>
      <c r="F734" s="131"/>
    </row>
    <row r="735">
      <c r="A735" s="131"/>
      <c r="B735" s="131"/>
      <c r="C735" s="131"/>
      <c r="D735" s="131"/>
      <c r="E735" s="131"/>
      <c r="F735" s="131"/>
    </row>
    <row r="736">
      <c r="A736" s="131"/>
      <c r="B736" s="131"/>
      <c r="C736" s="131"/>
      <c r="D736" s="131"/>
      <c r="E736" s="131"/>
      <c r="F736" s="131"/>
    </row>
    <row r="737">
      <c r="A737" s="131"/>
      <c r="B737" s="131"/>
      <c r="C737" s="131"/>
      <c r="D737" s="131"/>
      <c r="E737" s="131"/>
      <c r="F737" s="131"/>
    </row>
    <row r="738">
      <c r="A738" s="131"/>
      <c r="B738" s="131"/>
      <c r="C738" s="131"/>
      <c r="D738" s="131"/>
      <c r="E738" s="131"/>
      <c r="F738" s="131"/>
    </row>
    <row r="739">
      <c r="A739" s="131"/>
      <c r="B739" s="131"/>
      <c r="C739" s="131"/>
      <c r="D739" s="131"/>
      <c r="E739" s="131"/>
      <c r="F739" s="131"/>
    </row>
    <row r="740">
      <c r="A740" s="131"/>
      <c r="B740" s="131"/>
      <c r="C740" s="131"/>
      <c r="D740" s="131"/>
      <c r="E740" s="131"/>
      <c r="F740" s="131"/>
    </row>
    <row r="741">
      <c r="A741" s="131"/>
      <c r="B741" s="131"/>
      <c r="C741" s="131"/>
      <c r="D741" s="131"/>
      <c r="E741" s="131"/>
      <c r="F741" s="131"/>
    </row>
    <row r="742">
      <c r="A742" s="131"/>
      <c r="B742" s="131"/>
      <c r="C742" s="131"/>
      <c r="D742" s="131"/>
      <c r="E742" s="131"/>
      <c r="F742" s="131"/>
    </row>
    <row r="743">
      <c r="A743" s="131"/>
      <c r="B743" s="131"/>
      <c r="C743" s="131"/>
      <c r="D743" s="131"/>
      <c r="E743" s="131"/>
      <c r="F743" s="131"/>
    </row>
    <row r="744">
      <c r="A744" s="131"/>
      <c r="B744" s="131"/>
      <c r="C744" s="131"/>
      <c r="D744" s="131"/>
      <c r="E744" s="131"/>
      <c r="F744" s="131"/>
    </row>
    <row r="745">
      <c r="A745" s="131"/>
      <c r="B745" s="131"/>
      <c r="C745" s="131"/>
      <c r="D745" s="131"/>
      <c r="E745" s="131"/>
      <c r="F745" s="131"/>
    </row>
    <row r="746">
      <c r="A746" s="131"/>
      <c r="B746" s="131"/>
      <c r="C746" s="131"/>
      <c r="D746" s="131"/>
      <c r="E746" s="131"/>
      <c r="F746" s="131"/>
    </row>
    <row r="747">
      <c r="A747" s="131"/>
      <c r="B747" s="131"/>
      <c r="C747" s="131"/>
      <c r="D747" s="131"/>
      <c r="E747" s="131"/>
      <c r="F747" s="131"/>
    </row>
    <row r="748">
      <c r="A748" s="131"/>
      <c r="B748" s="131"/>
      <c r="C748" s="131"/>
      <c r="D748" s="131"/>
      <c r="E748" s="131"/>
      <c r="F748" s="131"/>
    </row>
    <row r="749">
      <c r="A749" s="131"/>
      <c r="B749" s="131"/>
      <c r="C749" s="131"/>
      <c r="D749" s="131"/>
      <c r="E749" s="131"/>
      <c r="F749" s="131"/>
    </row>
    <row r="750">
      <c r="A750" s="131"/>
      <c r="B750" s="131"/>
      <c r="C750" s="131"/>
      <c r="D750" s="131"/>
      <c r="E750" s="110"/>
      <c r="F750" s="110"/>
    </row>
    <row r="751">
      <c r="A751" s="131"/>
      <c r="B751" s="131"/>
      <c r="C751" s="131"/>
      <c r="D751" s="131"/>
      <c r="E751" s="111"/>
      <c r="F751" s="111"/>
    </row>
    <row r="752">
      <c r="A752" s="86"/>
      <c r="B752" s="87"/>
      <c r="C752" s="131"/>
      <c r="D752" s="131"/>
      <c r="E752" s="131"/>
      <c r="F752" s="131"/>
      <c r="G752" s="88"/>
      <c r="L752" s="88"/>
      <c r="Q752" s="89"/>
    </row>
    <row r="753">
      <c r="A753" s="131"/>
      <c r="B753" s="131"/>
      <c r="C753" s="131"/>
      <c r="D753" s="131"/>
      <c r="E753" s="131"/>
      <c r="F753" s="131"/>
      <c r="G753" s="91"/>
      <c r="H753" s="92"/>
      <c r="I753" s="92"/>
      <c r="J753" s="93"/>
      <c r="K753" s="93"/>
      <c r="L753" s="93"/>
      <c r="M753" s="93"/>
      <c r="N753" s="93"/>
      <c r="O753" s="93"/>
      <c r="P753" s="93"/>
      <c r="Q753" s="90"/>
      <c r="R753" s="90"/>
      <c r="S753" s="90"/>
      <c r="T753" s="90"/>
      <c r="U753" s="90"/>
      <c r="V753" s="90"/>
      <c r="W753" s="90"/>
    </row>
    <row r="754">
      <c r="A754" s="131"/>
      <c r="B754" s="131"/>
      <c r="C754" s="131"/>
      <c r="D754" s="131"/>
      <c r="E754" s="94"/>
      <c r="F754" s="94"/>
    </row>
    <row r="755">
      <c r="A755" s="131"/>
      <c r="B755" s="131"/>
      <c r="C755" s="131"/>
      <c r="D755" s="131"/>
      <c r="E755" s="95"/>
      <c r="F755" s="96"/>
    </row>
    <row r="756">
      <c r="A756" s="131"/>
      <c r="B756" s="131"/>
      <c r="C756" s="131"/>
      <c r="D756" s="131"/>
      <c r="E756" s="95"/>
      <c r="F756" s="96"/>
    </row>
    <row r="757">
      <c r="A757" s="131"/>
      <c r="B757" s="131"/>
      <c r="C757" s="131"/>
      <c r="D757" s="131"/>
      <c r="E757" s="96"/>
      <c r="F757" s="96"/>
    </row>
    <row r="758">
      <c r="A758" s="131"/>
      <c r="B758" s="131"/>
      <c r="C758" s="131"/>
      <c r="D758" s="131"/>
      <c r="E758" s="96"/>
      <c r="F758" s="96"/>
    </row>
    <row r="759">
      <c r="A759" s="131"/>
      <c r="B759" s="131"/>
      <c r="C759" s="131"/>
      <c r="D759" s="131"/>
      <c r="E759" s="96"/>
      <c r="F759" s="96"/>
    </row>
    <row r="760">
      <c r="A760" s="131"/>
      <c r="B760" s="131"/>
      <c r="C760" s="131"/>
      <c r="D760" s="131"/>
      <c r="E760" s="96"/>
      <c r="F760" s="96"/>
    </row>
    <row r="761">
      <c r="A761" s="131"/>
      <c r="B761" s="131"/>
      <c r="C761" s="131"/>
      <c r="D761" s="131"/>
      <c r="E761" s="96"/>
      <c r="F761" s="96"/>
    </row>
    <row r="762">
      <c r="A762" s="131"/>
      <c r="B762" s="131"/>
      <c r="C762" s="131"/>
      <c r="D762" s="131"/>
      <c r="E762" s="96"/>
      <c r="F762" s="96"/>
    </row>
    <row r="763">
      <c r="A763" s="131"/>
      <c r="B763" s="131"/>
      <c r="C763" s="131"/>
      <c r="D763" s="131"/>
      <c r="E763" s="96"/>
      <c r="F763" s="96"/>
    </row>
    <row r="764">
      <c r="A764" s="131"/>
      <c r="B764" s="131"/>
      <c r="C764" s="131"/>
      <c r="D764" s="131"/>
      <c r="E764" s="96"/>
      <c r="F764" s="96"/>
    </row>
    <row r="765">
      <c r="A765" s="131"/>
      <c r="B765" s="131"/>
      <c r="C765" s="131"/>
      <c r="D765" s="131"/>
      <c r="E765" s="96"/>
      <c r="F765" s="96"/>
    </row>
    <row r="766">
      <c r="A766" s="131"/>
      <c r="B766" s="131"/>
      <c r="C766" s="131"/>
      <c r="D766" s="131"/>
      <c r="E766" s="96"/>
      <c r="F766" s="96"/>
    </row>
    <row r="767">
      <c r="A767" s="131"/>
      <c r="B767" s="131"/>
      <c r="C767" s="131"/>
      <c r="D767" s="131"/>
      <c r="E767" s="96"/>
      <c r="F767" s="96"/>
    </row>
    <row r="768">
      <c r="A768" s="131"/>
      <c r="B768" s="131"/>
      <c r="C768" s="131"/>
      <c r="D768" s="131"/>
      <c r="E768" s="97"/>
      <c r="F768" s="97"/>
    </row>
    <row r="769">
      <c r="A769" s="131"/>
      <c r="B769" s="131"/>
      <c r="C769" s="131"/>
      <c r="D769" s="131"/>
      <c r="E769" s="96"/>
      <c r="F769" s="96"/>
    </row>
    <row r="770">
      <c r="A770" s="131"/>
      <c r="B770" s="131"/>
      <c r="C770" s="131"/>
      <c r="D770" s="131"/>
      <c r="E770" s="96"/>
      <c r="F770" s="96"/>
    </row>
    <row r="771">
      <c r="A771" s="131"/>
      <c r="B771" s="131"/>
      <c r="C771" s="131"/>
      <c r="D771" s="131"/>
      <c r="E771" s="96"/>
      <c r="F771" s="96"/>
    </row>
    <row r="772">
      <c r="A772" s="131"/>
      <c r="B772" s="131"/>
      <c r="C772" s="131"/>
      <c r="D772" s="131"/>
      <c r="E772" s="96"/>
      <c r="F772" s="96"/>
    </row>
    <row r="773">
      <c r="A773" s="131"/>
      <c r="B773" s="131"/>
      <c r="C773" s="131"/>
      <c r="D773" s="131"/>
      <c r="E773" s="96"/>
      <c r="F773" s="96"/>
    </row>
    <row r="774">
      <c r="A774" s="131"/>
      <c r="B774" s="131"/>
      <c r="C774" s="131"/>
      <c r="D774" s="131"/>
      <c r="E774" s="96"/>
      <c r="F774" s="96"/>
    </row>
    <row r="775">
      <c r="A775" s="131"/>
      <c r="B775" s="131"/>
      <c r="C775" s="131"/>
      <c r="D775" s="131"/>
      <c r="E775" s="98"/>
      <c r="F775" s="96"/>
    </row>
    <row r="776">
      <c r="A776" s="131"/>
      <c r="B776" s="131"/>
      <c r="C776" s="131"/>
      <c r="D776" s="131"/>
      <c r="E776" s="99"/>
      <c r="F776" s="99"/>
    </row>
    <row r="777">
      <c r="A777" s="131"/>
      <c r="B777" s="131"/>
      <c r="C777" s="131"/>
      <c r="D777" s="131"/>
      <c r="E777" s="100"/>
      <c r="F777" s="100"/>
    </row>
    <row r="778">
      <c r="A778" s="131"/>
      <c r="B778" s="131"/>
      <c r="C778" s="131"/>
      <c r="D778" s="131"/>
      <c r="E778" s="100"/>
      <c r="F778" s="100"/>
    </row>
    <row r="779">
      <c r="A779" s="131"/>
      <c r="B779" s="131"/>
      <c r="C779" s="131"/>
      <c r="D779" s="131"/>
      <c r="E779" s="100"/>
      <c r="F779" s="100"/>
    </row>
    <row r="780">
      <c r="A780" s="131"/>
      <c r="B780" s="131"/>
      <c r="C780" s="131"/>
      <c r="D780" s="131"/>
      <c r="E780" s="100"/>
      <c r="F780" s="100"/>
    </row>
    <row r="781">
      <c r="A781" s="131"/>
      <c r="B781" s="131"/>
      <c r="C781" s="131"/>
      <c r="D781" s="131"/>
      <c r="E781" s="100"/>
      <c r="F781" s="100"/>
    </row>
    <row r="782">
      <c r="A782" s="131"/>
      <c r="B782" s="131"/>
      <c r="C782" s="131"/>
      <c r="D782" s="131"/>
      <c r="E782" s="100"/>
      <c r="F782" s="100"/>
    </row>
    <row r="783">
      <c r="A783" s="131"/>
      <c r="B783" s="131"/>
      <c r="C783" s="131"/>
      <c r="D783" s="131"/>
      <c r="E783" s="100"/>
      <c r="F783" s="100"/>
    </row>
    <row r="784">
      <c r="A784" s="131"/>
      <c r="B784" s="131"/>
      <c r="C784" s="131"/>
      <c r="D784" s="131"/>
      <c r="E784" s="101"/>
      <c r="F784" s="101"/>
    </row>
    <row r="785">
      <c r="A785" s="131"/>
      <c r="B785" s="131"/>
      <c r="C785" s="131"/>
      <c r="D785" s="131"/>
      <c r="E785" s="100"/>
      <c r="F785" s="100"/>
    </row>
    <row r="786">
      <c r="A786" s="131"/>
      <c r="B786" s="131"/>
      <c r="C786" s="131"/>
      <c r="D786" s="131"/>
      <c r="E786" s="100"/>
      <c r="F786" s="100"/>
    </row>
    <row r="787">
      <c r="A787" s="131"/>
      <c r="B787" s="131"/>
      <c r="C787" s="131"/>
      <c r="D787" s="131"/>
      <c r="E787" s="102"/>
      <c r="F787" s="102"/>
    </row>
    <row r="788">
      <c r="A788" s="131"/>
      <c r="B788" s="131"/>
      <c r="C788" s="131"/>
      <c r="D788" s="131"/>
      <c r="E788" s="103"/>
      <c r="F788" s="103"/>
    </row>
    <row r="789">
      <c r="A789" s="131"/>
      <c r="B789" s="131"/>
      <c r="C789" s="131"/>
      <c r="D789" s="131"/>
      <c r="E789" s="103"/>
      <c r="F789" s="103"/>
    </row>
    <row r="790">
      <c r="A790" s="131"/>
      <c r="B790" s="131"/>
      <c r="C790" s="131"/>
      <c r="D790" s="131"/>
      <c r="E790" s="102"/>
      <c r="F790" s="103"/>
    </row>
    <row r="791">
      <c r="A791" s="131"/>
      <c r="B791" s="131"/>
      <c r="C791" s="131"/>
      <c r="D791" s="131"/>
      <c r="E791" s="103"/>
      <c r="F791" s="103"/>
    </row>
    <row r="792">
      <c r="A792" s="131"/>
      <c r="B792" s="131"/>
      <c r="C792" s="131"/>
      <c r="D792" s="131"/>
      <c r="E792" s="103"/>
      <c r="F792" s="103"/>
    </row>
    <row r="793">
      <c r="A793" s="131"/>
      <c r="B793" s="131"/>
      <c r="C793" s="131"/>
      <c r="D793" s="131"/>
      <c r="E793" s="103"/>
      <c r="F793" s="103"/>
    </row>
    <row r="794">
      <c r="A794" s="131"/>
      <c r="B794" s="131"/>
      <c r="C794" s="131"/>
      <c r="D794" s="131"/>
      <c r="E794" s="103"/>
      <c r="F794" s="103"/>
    </row>
    <row r="795">
      <c r="A795" s="131"/>
      <c r="B795" s="131"/>
      <c r="C795" s="131"/>
      <c r="D795" s="131"/>
      <c r="E795" s="103"/>
      <c r="F795" s="103"/>
    </row>
    <row r="796">
      <c r="A796" s="131"/>
      <c r="B796" s="131"/>
      <c r="C796" s="131"/>
      <c r="D796" s="131"/>
      <c r="E796" s="103"/>
      <c r="F796" s="103"/>
    </row>
    <row r="797">
      <c r="A797" s="131"/>
      <c r="B797" s="131"/>
      <c r="C797" s="131"/>
      <c r="D797" s="131"/>
      <c r="E797" s="103"/>
      <c r="F797" s="103"/>
    </row>
    <row r="798">
      <c r="A798" s="131"/>
      <c r="B798" s="131"/>
      <c r="C798" s="131"/>
      <c r="D798" s="131"/>
      <c r="E798" s="103"/>
      <c r="F798" s="103"/>
    </row>
    <row r="799">
      <c r="A799" s="131"/>
      <c r="B799" s="131"/>
      <c r="C799" s="131"/>
      <c r="D799" s="131"/>
      <c r="E799" s="103"/>
      <c r="F799" s="103"/>
    </row>
    <row r="800">
      <c r="A800" s="131"/>
      <c r="B800" s="131"/>
      <c r="C800" s="131"/>
      <c r="D800" s="131"/>
      <c r="E800" s="103"/>
      <c r="F800" s="103"/>
    </row>
    <row r="801">
      <c r="A801" s="131"/>
      <c r="B801" s="131"/>
      <c r="C801" s="131"/>
      <c r="D801" s="131"/>
      <c r="E801" s="103"/>
      <c r="F801" s="103"/>
    </row>
    <row r="802">
      <c r="A802" s="131"/>
      <c r="B802" s="131"/>
      <c r="C802" s="131"/>
      <c r="D802" s="131"/>
      <c r="E802" s="103"/>
      <c r="F802" s="103"/>
    </row>
    <row r="803">
      <c r="A803" s="131"/>
      <c r="B803" s="131"/>
      <c r="C803" s="131"/>
      <c r="D803" s="131"/>
      <c r="E803" s="103"/>
      <c r="F803" s="103"/>
    </row>
    <row r="804">
      <c r="A804" s="131"/>
      <c r="B804" s="131"/>
      <c r="C804" s="131"/>
      <c r="D804" s="131"/>
      <c r="E804" s="103"/>
      <c r="F804" s="103"/>
    </row>
    <row r="805">
      <c r="A805" s="131"/>
      <c r="B805" s="131"/>
      <c r="C805" s="131"/>
      <c r="D805" s="131"/>
      <c r="E805" s="99"/>
      <c r="F805" s="99"/>
    </row>
    <row r="806">
      <c r="A806" s="131"/>
      <c r="B806" s="131"/>
      <c r="C806" s="131"/>
      <c r="D806" s="131"/>
      <c r="E806" s="100"/>
      <c r="F806" s="100"/>
    </row>
    <row r="807">
      <c r="A807" s="131"/>
      <c r="B807" s="131"/>
      <c r="C807" s="131"/>
      <c r="D807" s="131"/>
      <c r="E807" s="100"/>
      <c r="F807" s="100"/>
    </row>
    <row r="808">
      <c r="A808" s="131"/>
      <c r="B808" s="131"/>
      <c r="C808" s="131"/>
      <c r="D808" s="131"/>
      <c r="E808" s="100"/>
      <c r="F808" s="100"/>
    </row>
    <row r="809">
      <c r="A809" s="131"/>
      <c r="B809" s="131"/>
      <c r="C809" s="131"/>
      <c r="D809" s="131"/>
      <c r="E809" s="100"/>
      <c r="F809" s="100"/>
    </row>
    <row r="810">
      <c r="A810" s="131"/>
      <c r="B810" s="131"/>
      <c r="C810" s="131"/>
      <c r="D810" s="131"/>
      <c r="E810" s="100"/>
      <c r="F810" s="100"/>
    </row>
    <row r="811">
      <c r="A811" s="131"/>
      <c r="B811" s="131"/>
      <c r="C811" s="131"/>
      <c r="D811" s="131"/>
      <c r="E811" s="100"/>
      <c r="F811" s="100"/>
    </row>
    <row r="812">
      <c r="A812" s="131"/>
      <c r="B812" s="131"/>
      <c r="C812" s="131"/>
      <c r="D812" s="131"/>
      <c r="E812" s="100"/>
      <c r="F812" s="100"/>
    </row>
    <row r="813">
      <c r="A813" s="131"/>
      <c r="B813" s="131"/>
      <c r="C813" s="131"/>
      <c r="D813" s="131"/>
      <c r="E813" s="100"/>
      <c r="F813" s="100"/>
    </row>
    <row r="814">
      <c r="A814" s="131"/>
      <c r="B814" s="131"/>
      <c r="C814" s="131"/>
      <c r="D814" s="131"/>
      <c r="E814" s="100"/>
      <c r="F814" s="100"/>
    </row>
    <row r="815">
      <c r="A815" s="131"/>
      <c r="B815" s="131"/>
      <c r="C815" s="131"/>
      <c r="D815" s="131"/>
      <c r="E815" s="100"/>
      <c r="F815" s="100"/>
    </row>
    <row r="816">
      <c r="A816" s="131"/>
      <c r="B816" s="131"/>
      <c r="C816" s="131"/>
      <c r="D816" s="131"/>
      <c r="E816" s="99"/>
      <c r="F816" s="99"/>
    </row>
    <row r="817">
      <c r="A817" s="131"/>
      <c r="B817" s="131"/>
      <c r="C817" s="131"/>
      <c r="D817" s="131"/>
      <c r="E817" s="100"/>
      <c r="F817" s="100"/>
    </row>
    <row r="818">
      <c r="A818" s="131"/>
      <c r="B818" s="131"/>
      <c r="C818" s="131"/>
      <c r="D818" s="131"/>
      <c r="E818" s="100"/>
      <c r="F818" s="100"/>
    </row>
    <row r="819">
      <c r="A819" s="131"/>
      <c r="B819" s="131"/>
      <c r="C819" s="131"/>
      <c r="D819" s="131"/>
      <c r="E819" s="100"/>
      <c r="F819" s="100"/>
    </row>
    <row r="820">
      <c r="A820" s="131"/>
      <c r="B820" s="131"/>
      <c r="C820" s="131"/>
      <c r="D820" s="131"/>
      <c r="E820" s="100"/>
      <c r="F820" s="100"/>
    </row>
    <row r="821">
      <c r="A821" s="131"/>
      <c r="B821" s="131"/>
      <c r="C821" s="131"/>
      <c r="D821" s="131"/>
      <c r="E821" s="100"/>
      <c r="F821" s="100"/>
    </row>
    <row r="822">
      <c r="A822" s="131"/>
      <c r="B822" s="131"/>
      <c r="C822" s="131"/>
      <c r="D822" s="131"/>
      <c r="E822" s="100"/>
      <c r="F822" s="100"/>
    </row>
    <row r="823">
      <c r="A823" s="131"/>
      <c r="B823" s="131"/>
      <c r="C823" s="131"/>
      <c r="D823" s="131"/>
      <c r="E823" s="101"/>
      <c r="F823" s="101"/>
    </row>
    <row r="824">
      <c r="A824" s="131"/>
      <c r="B824" s="131"/>
      <c r="C824" s="131"/>
      <c r="D824" s="131"/>
      <c r="E824" s="101"/>
      <c r="F824" s="101"/>
    </row>
    <row r="825">
      <c r="A825" s="131"/>
      <c r="B825" s="131"/>
      <c r="C825" s="131"/>
      <c r="D825" s="131"/>
      <c r="E825" s="101"/>
      <c r="F825" s="101"/>
    </row>
    <row r="826">
      <c r="A826" s="131"/>
      <c r="B826" s="131"/>
      <c r="C826" s="131"/>
      <c r="D826" s="131"/>
      <c r="E826" s="101"/>
      <c r="F826" s="101"/>
    </row>
    <row r="827">
      <c r="A827" s="131"/>
      <c r="B827" s="131"/>
      <c r="C827" s="131"/>
      <c r="D827" s="131"/>
      <c r="E827" s="101"/>
      <c r="F827" s="101"/>
    </row>
    <row r="828">
      <c r="A828" s="131"/>
      <c r="B828" s="131"/>
      <c r="C828" s="131"/>
      <c r="D828" s="131"/>
      <c r="E828" s="101"/>
      <c r="F828" s="101"/>
    </row>
    <row r="829">
      <c r="A829" s="131"/>
      <c r="B829" s="131"/>
      <c r="C829" s="131"/>
      <c r="D829" s="131"/>
      <c r="E829" s="105"/>
      <c r="F829" s="105"/>
    </row>
    <row r="830">
      <c r="A830" s="131"/>
      <c r="B830" s="131"/>
      <c r="C830" s="131"/>
      <c r="D830" s="131"/>
      <c r="E830" s="106"/>
      <c r="F830" s="106"/>
    </row>
    <row r="831">
      <c r="A831" s="131"/>
      <c r="B831" s="131"/>
      <c r="C831" s="131"/>
      <c r="D831" s="131"/>
      <c r="E831" s="107"/>
      <c r="F831" s="107"/>
    </row>
    <row r="832">
      <c r="A832" s="131"/>
      <c r="B832" s="131"/>
      <c r="C832" s="131"/>
      <c r="D832" s="131"/>
      <c r="E832" s="107"/>
      <c r="F832" s="107"/>
    </row>
    <row r="833">
      <c r="A833" s="131"/>
      <c r="B833" s="131"/>
      <c r="C833" s="131"/>
      <c r="D833" s="131"/>
      <c r="E833" s="108"/>
      <c r="F833" s="108"/>
    </row>
    <row r="834">
      <c r="A834" s="131"/>
      <c r="B834" s="131"/>
      <c r="C834" s="131"/>
      <c r="D834" s="131"/>
      <c r="E834" s="107"/>
      <c r="F834" s="107"/>
    </row>
    <row r="835">
      <c r="A835" s="131"/>
      <c r="B835" s="131"/>
      <c r="C835" s="131"/>
      <c r="D835" s="131"/>
      <c r="E835" s="106"/>
      <c r="F835" s="106"/>
    </row>
    <row r="836">
      <c r="A836" s="131"/>
      <c r="B836" s="131"/>
      <c r="C836" s="131"/>
      <c r="D836" s="131"/>
      <c r="E836" s="107"/>
      <c r="F836" s="107"/>
    </row>
    <row r="837">
      <c r="A837" s="131"/>
      <c r="B837" s="131"/>
      <c r="C837" s="131"/>
      <c r="D837" s="131"/>
      <c r="E837" s="107"/>
      <c r="F837" s="107"/>
    </row>
    <row r="838">
      <c r="A838" s="131"/>
      <c r="B838" s="131"/>
      <c r="C838" s="131"/>
      <c r="D838" s="131"/>
      <c r="E838" s="107"/>
      <c r="F838" s="107"/>
    </row>
    <row r="839">
      <c r="A839" s="131"/>
      <c r="B839" s="131"/>
      <c r="C839" s="131"/>
      <c r="D839" s="131"/>
      <c r="E839" s="107"/>
      <c r="F839" s="107"/>
    </row>
    <row r="840">
      <c r="A840" s="131"/>
      <c r="B840" s="131"/>
      <c r="C840" s="131"/>
      <c r="D840" s="131"/>
      <c r="E840" s="106"/>
      <c r="F840" s="106"/>
    </row>
    <row r="841">
      <c r="A841" s="131"/>
      <c r="B841" s="131"/>
      <c r="C841" s="131"/>
      <c r="D841" s="131"/>
      <c r="E841" s="107"/>
      <c r="F841" s="107"/>
    </row>
    <row r="842">
      <c r="A842" s="131"/>
      <c r="B842" s="131"/>
      <c r="C842" s="131"/>
      <c r="D842" s="131"/>
      <c r="E842" s="109"/>
      <c r="F842" s="109"/>
    </row>
    <row r="843">
      <c r="A843" s="131"/>
      <c r="B843" s="131"/>
      <c r="C843" s="131"/>
      <c r="D843" s="131"/>
      <c r="E843" s="110"/>
      <c r="F843" s="110"/>
    </row>
    <row r="844">
      <c r="A844" s="131"/>
      <c r="B844" s="131"/>
      <c r="C844" s="131"/>
      <c r="D844" s="131"/>
      <c r="E844" s="110"/>
      <c r="F844" s="110"/>
    </row>
    <row r="845">
      <c r="A845" s="131"/>
      <c r="B845" s="131"/>
      <c r="C845" s="131"/>
      <c r="D845" s="131"/>
      <c r="E845" s="111"/>
      <c r="F845" s="111"/>
    </row>
    <row r="846">
      <c r="A846" s="86"/>
      <c r="B846" s="87"/>
      <c r="C846" s="131"/>
      <c r="D846" s="131"/>
      <c r="E846" s="131"/>
      <c r="F846" s="131"/>
      <c r="G846" s="121"/>
      <c r="H846" s="13"/>
      <c r="I846" s="13"/>
      <c r="J846" s="13"/>
      <c r="K846" s="14"/>
      <c r="L846" s="121"/>
      <c r="M846" s="13"/>
      <c r="N846" s="13"/>
      <c r="O846" s="13"/>
      <c r="P846" s="14"/>
      <c r="Q846" s="122"/>
      <c r="R846" s="13"/>
      <c r="S846" s="13"/>
      <c r="T846" s="13"/>
      <c r="U846" s="13"/>
      <c r="V846" s="13"/>
      <c r="W846" s="14"/>
    </row>
    <row r="847">
      <c r="A847" s="131"/>
      <c r="B847" s="131"/>
      <c r="C847" s="131"/>
      <c r="D847" s="131"/>
      <c r="E847" s="131"/>
      <c r="F847" s="131"/>
      <c r="G847" s="123"/>
      <c r="H847" s="124"/>
      <c r="I847" s="124"/>
      <c r="J847" s="125"/>
      <c r="K847" s="125"/>
      <c r="L847" s="126"/>
      <c r="M847" s="125"/>
      <c r="N847" s="125"/>
      <c r="O847" s="125"/>
      <c r="P847" s="127"/>
      <c r="Q847" s="128"/>
      <c r="R847" s="129"/>
      <c r="S847" s="129"/>
      <c r="T847" s="129"/>
      <c r="U847" s="129"/>
      <c r="V847" s="129"/>
      <c r="W847" s="130"/>
    </row>
    <row r="848">
      <c r="A848" s="131"/>
      <c r="B848" s="131"/>
      <c r="C848" s="131"/>
      <c r="D848" s="131"/>
      <c r="E848" s="94"/>
      <c r="F848" s="94"/>
    </row>
    <row r="849">
      <c r="A849" s="131"/>
      <c r="B849" s="131"/>
      <c r="C849" s="131"/>
      <c r="D849" s="131"/>
      <c r="E849" s="95"/>
      <c r="F849" s="96"/>
    </row>
    <row r="850">
      <c r="A850" s="131"/>
      <c r="B850" s="131"/>
      <c r="C850" s="131"/>
      <c r="D850" s="131"/>
      <c r="E850" s="95"/>
      <c r="F850" s="96"/>
    </row>
    <row r="851">
      <c r="A851" s="131"/>
      <c r="B851" s="131"/>
      <c r="C851" s="131"/>
      <c r="D851" s="131"/>
      <c r="E851" s="96"/>
      <c r="F851" s="96"/>
    </row>
    <row r="852">
      <c r="A852" s="131"/>
      <c r="B852" s="131"/>
      <c r="C852" s="131"/>
      <c r="D852" s="131"/>
      <c r="E852" s="96"/>
      <c r="F852" s="96"/>
    </row>
    <row r="853">
      <c r="A853" s="131"/>
      <c r="B853" s="131"/>
      <c r="C853" s="131"/>
      <c r="D853" s="131"/>
      <c r="E853" s="96"/>
      <c r="F853" s="96"/>
    </row>
    <row r="854">
      <c r="A854" s="131"/>
      <c r="B854" s="131"/>
      <c r="C854" s="131"/>
      <c r="D854" s="131"/>
      <c r="E854" s="96"/>
      <c r="F854" s="96"/>
    </row>
    <row r="855">
      <c r="A855" s="131"/>
      <c r="B855" s="131"/>
      <c r="C855" s="131"/>
      <c r="D855" s="131"/>
      <c r="E855" s="96"/>
      <c r="F855" s="96"/>
    </row>
    <row r="856">
      <c r="A856" s="131"/>
      <c r="B856" s="131"/>
      <c r="C856" s="131"/>
      <c r="D856" s="131"/>
      <c r="E856" s="96"/>
      <c r="F856" s="96"/>
    </row>
    <row r="857">
      <c r="A857" s="131"/>
      <c r="B857" s="131"/>
      <c r="C857" s="131"/>
      <c r="D857" s="131"/>
      <c r="E857" s="96"/>
      <c r="F857" s="96"/>
    </row>
    <row r="858">
      <c r="A858" s="131"/>
      <c r="B858" s="131"/>
      <c r="C858" s="131"/>
      <c r="D858" s="131"/>
      <c r="E858" s="96"/>
      <c r="F858" s="96"/>
    </row>
    <row r="859">
      <c r="A859" s="131"/>
      <c r="B859" s="131"/>
      <c r="C859" s="131"/>
      <c r="D859" s="131"/>
      <c r="E859" s="96"/>
      <c r="F859" s="96"/>
    </row>
    <row r="860">
      <c r="A860" s="131"/>
      <c r="B860" s="131"/>
      <c r="C860" s="131"/>
      <c r="D860" s="131"/>
      <c r="E860" s="96"/>
      <c r="F860" s="96"/>
    </row>
    <row r="861">
      <c r="A861" s="131"/>
      <c r="B861" s="131"/>
      <c r="C861" s="131"/>
      <c r="D861" s="131"/>
      <c r="E861" s="96"/>
      <c r="F861" s="96"/>
    </row>
    <row r="862">
      <c r="A862" s="131"/>
      <c r="B862" s="131"/>
      <c r="C862" s="131"/>
      <c r="D862" s="131"/>
      <c r="E862" s="97"/>
      <c r="F862" s="97"/>
    </row>
    <row r="863">
      <c r="A863" s="131"/>
      <c r="B863" s="131"/>
      <c r="C863" s="131"/>
      <c r="D863" s="131"/>
      <c r="E863" s="96"/>
      <c r="F863" s="96"/>
    </row>
    <row r="864">
      <c r="A864" s="131"/>
      <c r="B864" s="131"/>
      <c r="C864" s="131"/>
      <c r="D864" s="131"/>
      <c r="E864" s="96"/>
      <c r="F864" s="96"/>
    </row>
    <row r="865">
      <c r="A865" s="131"/>
      <c r="B865" s="131"/>
      <c r="C865" s="131"/>
      <c r="D865" s="131"/>
      <c r="E865" s="96"/>
      <c r="F865" s="96"/>
    </row>
    <row r="866">
      <c r="A866" s="131"/>
      <c r="B866" s="131"/>
      <c r="C866" s="131"/>
      <c r="D866" s="131"/>
      <c r="E866" s="96"/>
      <c r="F866" s="96"/>
    </row>
    <row r="867">
      <c r="A867" s="131"/>
      <c r="B867" s="131"/>
      <c r="C867" s="131"/>
      <c r="D867" s="131"/>
      <c r="E867" s="96"/>
      <c r="F867" s="96"/>
    </row>
    <row r="868">
      <c r="A868" s="131"/>
      <c r="B868" s="131"/>
      <c r="C868" s="131"/>
      <c r="D868" s="131"/>
      <c r="E868" s="96"/>
      <c r="F868" s="96"/>
    </row>
    <row r="869">
      <c r="A869" s="131"/>
      <c r="B869" s="131"/>
      <c r="C869" s="131"/>
      <c r="D869" s="131"/>
      <c r="E869" s="98"/>
      <c r="F869" s="96"/>
    </row>
    <row r="870">
      <c r="A870" s="131"/>
      <c r="B870" s="131"/>
      <c r="C870" s="131"/>
      <c r="D870" s="131"/>
      <c r="E870" s="99"/>
      <c r="F870" s="99"/>
    </row>
    <row r="871">
      <c r="A871" s="131"/>
      <c r="B871" s="131"/>
      <c r="C871" s="131"/>
      <c r="D871" s="131"/>
      <c r="E871" s="100"/>
      <c r="F871" s="100"/>
    </row>
    <row r="872">
      <c r="A872" s="131"/>
      <c r="B872" s="131"/>
      <c r="C872" s="131"/>
      <c r="D872" s="131"/>
      <c r="E872" s="100"/>
      <c r="F872" s="100"/>
    </row>
    <row r="873">
      <c r="A873" s="131"/>
      <c r="B873" s="131"/>
      <c r="C873" s="131"/>
      <c r="D873" s="131"/>
      <c r="E873" s="100"/>
      <c r="F873" s="100"/>
    </row>
    <row r="874">
      <c r="A874" s="131"/>
      <c r="B874" s="131"/>
      <c r="C874" s="131"/>
      <c r="D874" s="131"/>
      <c r="E874" s="100"/>
      <c r="F874" s="100"/>
    </row>
    <row r="875">
      <c r="A875" s="131"/>
      <c r="B875" s="131"/>
      <c r="C875" s="131"/>
      <c r="D875" s="131"/>
      <c r="E875" s="100"/>
      <c r="F875" s="100"/>
    </row>
    <row r="876">
      <c r="A876" s="131"/>
      <c r="B876" s="131"/>
      <c r="C876" s="131"/>
      <c r="D876" s="131"/>
      <c r="E876" s="100"/>
      <c r="F876" s="100"/>
    </row>
    <row r="877">
      <c r="A877" s="131"/>
      <c r="B877" s="131"/>
      <c r="C877" s="131"/>
      <c r="D877" s="131"/>
      <c r="E877" s="100"/>
      <c r="F877" s="100"/>
    </row>
    <row r="878">
      <c r="A878" s="131"/>
      <c r="B878" s="131"/>
      <c r="C878" s="131"/>
      <c r="D878" s="131"/>
      <c r="E878" s="101"/>
      <c r="F878" s="101"/>
    </row>
    <row r="879">
      <c r="A879" s="131"/>
      <c r="B879" s="131"/>
      <c r="C879" s="131"/>
      <c r="D879" s="131"/>
      <c r="E879" s="100"/>
      <c r="F879" s="100"/>
    </row>
    <row r="880">
      <c r="A880" s="131"/>
      <c r="B880" s="131"/>
      <c r="C880" s="131"/>
      <c r="D880" s="131"/>
      <c r="E880" s="100"/>
      <c r="F880" s="100"/>
    </row>
    <row r="881">
      <c r="A881" s="131"/>
      <c r="B881" s="131"/>
      <c r="C881" s="131"/>
      <c r="D881" s="131"/>
      <c r="E881" s="102"/>
      <c r="F881" s="102"/>
    </row>
    <row r="882">
      <c r="A882" s="131"/>
      <c r="B882" s="131"/>
      <c r="C882" s="131"/>
      <c r="D882" s="131"/>
      <c r="E882" s="103"/>
      <c r="F882" s="103"/>
    </row>
    <row r="883">
      <c r="A883" s="131"/>
      <c r="B883" s="131"/>
      <c r="C883" s="131"/>
      <c r="D883" s="131"/>
      <c r="E883" s="103"/>
      <c r="F883" s="103"/>
    </row>
    <row r="884">
      <c r="A884" s="131"/>
      <c r="B884" s="131"/>
      <c r="C884" s="131"/>
      <c r="D884" s="131"/>
      <c r="E884" s="102"/>
      <c r="F884" s="103"/>
    </row>
    <row r="885">
      <c r="A885" s="131"/>
      <c r="B885" s="131"/>
      <c r="C885" s="131"/>
      <c r="D885" s="131"/>
      <c r="E885" s="103"/>
      <c r="F885" s="103"/>
    </row>
    <row r="886">
      <c r="A886" s="131"/>
      <c r="B886" s="131"/>
      <c r="C886" s="131"/>
      <c r="D886" s="131"/>
      <c r="E886" s="103"/>
      <c r="F886" s="103"/>
    </row>
    <row r="887">
      <c r="A887" s="131"/>
      <c r="B887" s="131"/>
      <c r="C887" s="131"/>
      <c r="D887" s="131"/>
      <c r="E887" s="103"/>
      <c r="F887" s="103"/>
    </row>
    <row r="888">
      <c r="A888" s="131"/>
      <c r="B888" s="131"/>
      <c r="C888" s="131"/>
      <c r="D888" s="131"/>
      <c r="E888" s="103"/>
      <c r="F888" s="103"/>
    </row>
    <row r="889">
      <c r="A889" s="131"/>
      <c r="B889" s="131"/>
      <c r="C889" s="131"/>
      <c r="D889" s="131"/>
      <c r="E889" s="103"/>
      <c r="F889" s="103"/>
    </row>
    <row r="890">
      <c r="A890" s="131"/>
      <c r="B890" s="131"/>
      <c r="C890" s="131"/>
      <c r="D890" s="131"/>
      <c r="E890" s="103"/>
      <c r="F890" s="103"/>
    </row>
    <row r="891">
      <c r="A891" s="131"/>
      <c r="B891" s="131"/>
      <c r="C891" s="131"/>
      <c r="D891" s="131"/>
      <c r="E891" s="103"/>
      <c r="F891" s="103"/>
    </row>
    <row r="892">
      <c r="A892" s="131"/>
      <c r="B892" s="131"/>
      <c r="C892" s="131"/>
      <c r="D892" s="131"/>
      <c r="E892" s="103"/>
      <c r="F892" s="103"/>
    </row>
    <row r="893">
      <c r="A893" s="131"/>
      <c r="B893" s="131"/>
      <c r="C893" s="131"/>
      <c r="D893" s="131"/>
      <c r="E893" s="103"/>
      <c r="F893" s="103"/>
    </row>
    <row r="894">
      <c r="A894" s="131"/>
      <c r="B894" s="131"/>
      <c r="C894" s="131"/>
      <c r="D894" s="131"/>
      <c r="E894" s="103"/>
      <c r="F894" s="103"/>
    </row>
    <row r="895">
      <c r="A895" s="131"/>
      <c r="B895" s="131"/>
      <c r="C895" s="131"/>
      <c r="D895" s="131"/>
      <c r="E895" s="103"/>
      <c r="F895" s="103"/>
    </row>
    <row r="896">
      <c r="A896" s="131"/>
      <c r="B896" s="131"/>
      <c r="C896" s="131"/>
      <c r="D896" s="131"/>
      <c r="E896" s="103"/>
      <c r="F896" s="103"/>
    </row>
    <row r="897">
      <c r="A897" s="131"/>
      <c r="B897" s="131"/>
      <c r="C897" s="131"/>
      <c r="D897" s="131"/>
      <c r="E897" s="103"/>
      <c r="F897" s="103"/>
    </row>
    <row r="898">
      <c r="A898" s="131"/>
      <c r="B898" s="131"/>
      <c r="C898" s="131"/>
      <c r="D898" s="131"/>
      <c r="E898" s="103"/>
      <c r="F898" s="103"/>
    </row>
    <row r="899">
      <c r="A899" s="131"/>
      <c r="B899" s="131"/>
      <c r="C899" s="131"/>
      <c r="D899" s="131"/>
      <c r="E899" s="99"/>
      <c r="F899" s="99"/>
    </row>
    <row r="900">
      <c r="A900" s="131"/>
      <c r="B900" s="131"/>
      <c r="C900" s="131"/>
      <c r="D900" s="131"/>
      <c r="E900" s="100"/>
      <c r="F900" s="100"/>
    </row>
    <row r="901">
      <c r="A901" s="131"/>
      <c r="B901" s="131"/>
      <c r="C901" s="131"/>
      <c r="D901" s="131"/>
      <c r="E901" s="100"/>
      <c r="F901" s="100"/>
    </row>
    <row r="902">
      <c r="A902" s="131"/>
      <c r="B902" s="131"/>
      <c r="C902" s="131"/>
      <c r="D902" s="131"/>
      <c r="E902" s="100"/>
      <c r="F902" s="100"/>
    </row>
    <row r="903">
      <c r="A903" s="131"/>
      <c r="B903" s="131"/>
      <c r="C903" s="131"/>
      <c r="D903" s="131"/>
      <c r="E903" s="100"/>
      <c r="F903" s="100"/>
    </row>
    <row r="904">
      <c r="A904" s="131"/>
      <c r="B904" s="131"/>
      <c r="C904" s="131"/>
      <c r="D904" s="131"/>
      <c r="E904" s="100"/>
      <c r="F904" s="100"/>
    </row>
    <row r="905">
      <c r="A905" s="131"/>
      <c r="B905" s="131"/>
      <c r="C905" s="131"/>
      <c r="D905" s="131"/>
      <c r="E905" s="100"/>
      <c r="F905" s="100"/>
    </row>
    <row r="906">
      <c r="A906" s="131"/>
      <c r="B906" s="131"/>
      <c r="C906" s="131"/>
      <c r="D906" s="131"/>
      <c r="E906" s="100"/>
      <c r="F906" s="100"/>
    </row>
    <row r="907">
      <c r="A907" s="131"/>
      <c r="B907" s="131"/>
      <c r="C907" s="131"/>
      <c r="D907" s="131"/>
      <c r="E907" s="100"/>
      <c r="F907" s="100"/>
    </row>
    <row r="908">
      <c r="A908" s="131"/>
      <c r="B908" s="131"/>
      <c r="C908" s="131"/>
      <c r="D908" s="131"/>
      <c r="E908" s="100"/>
      <c r="F908" s="100"/>
    </row>
    <row r="909">
      <c r="A909" s="131"/>
      <c r="B909" s="131"/>
      <c r="C909" s="131"/>
      <c r="D909" s="131"/>
      <c r="E909" s="100"/>
      <c r="F909" s="100"/>
    </row>
    <row r="910">
      <c r="A910" s="131"/>
      <c r="B910" s="131"/>
      <c r="C910" s="131"/>
      <c r="D910" s="131"/>
      <c r="E910" s="99"/>
      <c r="F910" s="99"/>
    </row>
    <row r="911">
      <c r="A911" s="131"/>
      <c r="B911" s="131"/>
      <c r="C911" s="131"/>
      <c r="D911" s="131"/>
      <c r="E911" s="100"/>
      <c r="F911" s="100"/>
    </row>
    <row r="912">
      <c r="A912" s="131"/>
      <c r="B912" s="131"/>
      <c r="C912" s="131"/>
      <c r="D912" s="131"/>
      <c r="E912" s="100"/>
      <c r="F912" s="100"/>
    </row>
    <row r="913">
      <c r="A913" s="131"/>
      <c r="B913" s="131"/>
      <c r="C913" s="131"/>
      <c r="D913" s="131"/>
      <c r="E913" s="100"/>
      <c r="F913" s="100"/>
    </row>
    <row r="914">
      <c r="A914" s="131"/>
      <c r="B914" s="131"/>
      <c r="C914" s="131"/>
      <c r="D914" s="131"/>
      <c r="E914" s="100"/>
      <c r="F914" s="100"/>
    </row>
    <row r="915">
      <c r="A915" s="131"/>
      <c r="B915" s="131"/>
      <c r="C915" s="131"/>
      <c r="D915" s="131"/>
      <c r="E915" s="100"/>
      <c r="F915" s="100"/>
    </row>
    <row r="916">
      <c r="A916" s="131"/>
      <c r="B916" s="131"/>
      <c r="C916" s="131"/>
      <c r="D916" s="131"/>
      <c r="E916" s="100"/>
      <c r="F916" s="100"/>
    </row>
    <row r="917">
      <c r="A917" s="131"/>
      <c r="B917" s="131"/>
      <c r="C917" s="131"/>
      <c r="D917" s="131"/>
      <c r="E917" s="101"/>
      <c r="F917" s="101"/>
    </row>
    <row r="918">
      <c r="A918" s="131"/>
      <c r="B918" s="131"/>
      <c r="C918" s="131"/>
      <c r="D918" s="131"/>
      <c r="E918" s="101"/>
      <c r="F918" s="101"/>
    </row>
    <row r="919">
      <c r="A919" s="131"/>
      <c r="B919" s="131"/>
      <c r="C919" s="131"/>
      <c r="D919" s="131"/>
      <c r="E919" s="101"/>
      <c r="F919" s="101"/>
    </row>
    <row r="920">
      <c r="A920" s="131"/>
      <c r="B920" s="131"/>
      <c r="C920" s="131"/>
      <c r="D920" s="131"/>
      <c r="E920" s="101"/>
      <c r="F920" s="101"/>
    </row>
    <row r="921">
      <c r="A921" s="131"/>
      <c r="B921" s="131"/>
      <c r="C921" s="131"/>
      <c r="D921" s="131"/>
      <c r="E921" s="101"/>
      <c r="F921" s="101"/>
    </row>
    <row r="922">
      <c r="A922" s="131"/>
      <c r="B922" s="131"/>
      <c r="C922" s="131"/>
      <c r="D922" s="131"/>
      <c r="E922" s="101"/>
      <c r="F922" s="101"/>
    </row>
    <row r="923">
      <c r="A923" s="131"/>
      <c r="B923" s="131"/>
      <c r="C923" s="131"/>
      <c r="D923" s="131"/>
      <c r="E923" s="105"/>
      <c r="F923" s="105"/>
    </row>
    <row r="924">
      <c r="A924" s="131"/>
      <c r="B924" s="131"/>
      <c r="C924" s="131"/>
      <c r="D924" s="131"/>
      <c r="E924" s="106"/>
      <c r="F924" s="106"/>
    </row>
    <row r="925">
      <c r="A925" s="131"/>
      <c r="B925" s="131"/>
      <c r="C925" s="131"/>
      <c r="D925" s="131"/>
      <c r="E925" s="107"/>
      <c r="F925" s="107"/>
    </row>
    <row r="926">
      <c r="A926" s="131"/>
      <c r="B926" s="131"/>
      <c r="C926" s="131"/>
      <c r="D926" s="131"/>
      <c r="E926" s="107"/>
      <c r="F926" s="107"/>
    </row>
    <row r="927">
      <c r="A927" s="131"/>
      <c r="B927" s="131"/>
      <c r="C927" s="131"/>
      <c r="D927" s="131"/>
      <c r="E927" s="108"/>
      <c r="F927" s="108"/>
    </row>
    <row r="928">
      <c r="A928" s="131"/>
      <c r="B928" s="131"/>
      <c r="C928" s="131"/>
      <c r="D928" s="131"/>
      <c r="E928" s="107"/>
      <c r="F928" s="107"/>
    </row>
    <row r="929">
      <c r="A929" s="131"/>
      <c r="B929" s="131"/>
      <c r="C929" s="131"/>
      <c r="D929" s="131"/>
      <c r="E929" s="106"/>
      <c r="F929" s="106"/>
    </row>
    <row r="930">
      <c r="A930" s="131"/>
      <c r="B930" s="131"/>
      <c r="C930" s="131"/>
      <c r="D930" s="131"/>
      <c r="E930" s="107"/>
      <c r="F930" s="107"/>
    </row>
    <row r="931">
      <c r="A931" s="131"/>
      <c r="B931" s="131"/>
      <c r="C931" s="131"/>
      <c r="D931" s="131"/>
      <c r="E931" s="107"/>
      <c r="F931" s="107"/>
    </row>
    <row r="932">
      <c r="A932" s="131"/>
      <c r="B932" s="131"/>
      <c r="C932" s="131"/>
      <c r="D932" s="131"/>
      <c r="E932" s="107"/>
      <c r="F932" s="107"/>
    </row>
    <row r="933">
      <c r="A933" s="131"/>
      <c r="B933" s="131"/>
      <c r="C933" s="131"/>
      <c r="D933" s="131"/>
      <c r="E933" s="107"/>
      <c r="F933" s="107"/>
    </row>
    <row r="934">
      <c r="A934" s="131"/>
      <c r="B934" s="131"/>
      <c r="C934" s="131"/>
      <c r="D934" s="131"/>
      <c r="E934" s="106"/>
      <c r="F934" s="106"/>
    </row>
    <row r="935">
      <c r="A935" s="131"/>
      <c r="B935" s="131"/>
      <c r="C935" s="131"/>
      <c r="D935" s="131"/>
      <c r="E935" s="107"/>
      <c r="F935" s="107"/>
    </row>
    <row r="936">
      <c r="A936" s="131"/>
      <c r="B936" s="131"/>
      <c r="C936" s="131"/>
      <c r="D936" s="131"/>
      <c r="E936" s="109"/>
      <c r="F936" s="109"/>
    </row>
    <row r="937">
      <c r="A937" s="131"/>
      <c r="B937" s="131"/>
      <c r="C937" s="131"/>
      <c r="D937" s="131"/>
      <c r="E937" s="110"/>
      <c r="F937" s="110"/>
    </row>
    <row r="938">
      <c r="A938" s="131"/>
      <c r="B938" s="131"/>
      <c r="C938" s="131"/>
      <c r="D938" s="131"/>
      <c r="E938" s="110"/>
      <c r="F938" s="110"/>
    </row>
    <row r="939">
      <c r="A939" s="131"/>
      <c r="B939" s="131"/>
      <c r="C939" s="131"/>
      <c r="D939" s="131"/>
      <c r="E939" s="111"/>
      <c r="F939" s="111"/>
    </row>
    <row r="940">
      <c r="A940" s="131"/>
      <c r="B940" s="131"/>
      <c r="C940" s="131"/>
      <c r="D940" s="131"/>
      <c r="E940" s="131"/>
      <c r="F940" s="131"/>
    </row>
    <row r="941">
      <c r="A941" s="131"/>
      <c r="B941" s="131"/>
      <c r="C941" s="131"/>
      <c r="D941" s="131"/>
      <c r="E941" s="131"/>
      <c r="F941" s="131"/>
    </row>
    <row r="942">
      <c r="A942" s="131"/>
      <c r="B942" s="131"/>
      <c r="C942" s="131"/>
      <c r="D942" s="131"/>
      <c r="E942" s="131"/>
      <c r="F942" s="131"/>
    </row>
    <row r="943">
      <c r="A943" s="131"/>
      <c r="B943" s="131"/>
      <c r="C943" s="131"/>
      <c r="D943" s="131"/>
      <c r="E943" s="131"/>
      <c r="F943" s="131"/>
    </row>
    <row r="944">
      <c r="A944" s="131"/>
      <c r="B944" s="131"/>
      <c r="C944" s="131"/>
      <c r="D944" s="131"/>
      <c r="E944" s="131"/>
      <c r="F944" s="131"/>
    </row>
    <row r="945">
      <c r="A945" s="131"/>
      <c r="B945" s="131"/>
      <c r="C945" s="131"/>
      <c r="D945" s="131"/>
      <c r="E945" s="131"/>
      <c r="F945" s="131"/>
    </row>
    <row r="946">
      <c r="A946" s="131"/>
      <c r="B946" s="131"/>
      <c r="C946" s="131"/>
      <c r="D946" s="131"/>
      <c r="E946" s="131"/>
      <c r="F946" s="131"/>
    </row>
    <row r="947">
      <c r="A947" s="131"/>
      <c r="B947" s="131"/>
      <c r="C947" s="131"/>
      <c r="D947" s="131"/>
      <c r="E947" s="131"/>
      <c r="F947" s="131"/>
    </row>
    <row r="948">
      <c r="A948" s="131"/>
      <c r="B948" s="131"/>
      <c r="C948" s="131"/>
      <c r="D948" s="131"/>
      <c r="E948" s="131"/>
      <c r="F948" s="131"/>
    </row>
    <row r="949">
      <c r="A949" s="131"/>
      <c r="B949" s="131"/>
      <c r="C949" s="131"/>
      <c r="D949" s="131"/>
      <c r="E949" s="131"/>
      <c r="F949" s="131"/>
    </row>
    <row r="950">
      <c r="A950" s="131"/>
      <c r="B950" s="131"/>
      <c r="C950" s="131"/>
      <c r="D950" s="131"/>
      <c r="E950" s="131"/>
      <c r="F950" s="131"/>
    </row>
    <row r="951">
      <c r="A951" s="131"/>
      <c r="B951" s="131"/>
      <c r="C951" s="131"/>
      <c r="D951" s="131"/>
      <c r="E951" s="131"/>
      <c r="F951" s="131"/>
    </row>
    <row r="952">
      <c r="A952" s="131"/>
      <c r="B952" s="131"/>
      <c r="C952" s="131"/>
      <c r="D952" s="131"/>
      <c r="E952" s="131"/>
      <c r="F952" s="131"/>
    </row>
    <row r="953">
      <c r="A953" s="131"/>
      <c r="B953" s="131"/>
      <c r="C953" s="131"/>
      <c r="D953" s="131"/>
      <c r="E953" s="131"/>
      <c r="F953" s="131"/>
    </row>
    <row r="954">
      <c r="A954" s="131"/>
      <c r="B954" s="131"/>
      <c r="C954" s="131"/>
      <c r="D954" s="131"/>
      <c r="E954" s="131"/>
      <c r="F954" s="131"/>
    </row>
    <row r="955">
      <c r="A955" s="131"/>
      <c r="B955" s="131"/>
      <c r="C955" s="131"/>
      <c r="D955" s="131"/>
      <c r="E955" s="131"/>
      <c r="F955" s="131"/>
    </row>
    <row r="956">
      <c r="A956" s="131"/>
      <c r="B956" s="131"/>
      <c r="C956" s="131"/>
      <c r="D956" s="131"/>
      <c r="E956" s="131"/>
      <c r="F956" s="131"/>
    </row>
    <row r="957">
      <c r="A957" s="131"/>
      <c r="B957" s="131"/>
      <c r="C957" s="131"/>
      <c r="D957" s="131"/>
      <c r="E957" s="131"/>
      <c r="F957" s="131"/>
    </row>
    <row r="958">
      <c r="A958" s="131"/>
      <c r="B958" s="131"/>
      <c r="C958" s="131"/>
      <c r="D958" s="131"/>
      <c r="E958" s="131"/>
      <c r="F958" s="131"/>
    </row>
    <row r="959">
      <c r="A959" s="131"/>
      <c r="B959" s="131"/>
      <c r="C959" s="131"/>
      <c r="D959" s="131"/>
      <c r="E959" s="131"/>
      <c r="F959" s="131"/>
    </row>
    <row r="960">
      <c r="A960" s="131"/>
      <c r="B960" s="131"/>
      <c r="C960" s="131"/>
      <c r="D960" s="131"/>
      <c r="E960" s="131"/>
      <c r="F960" s="131"/>
    </row>
    <row r="961">
      <c r="A961" s="131"/>
      <c r="B961" s="131"/>
      <c r="C961" s="131"/>
      <c r="D961" s="131"/>
      <c r="E961" s="131"/>
      <c r="F961" s="131"/>
    </row>
    <row r="962">
      <c r="A962" s="131"/>
      <c r="B962" s="131"/>
      <c r="C962" s="131"/>
      <c r="D962" s="131"/>
      <c r="E962" s="131"/>
      <c r="F962" s="131"/>
    </row>
    <row r="963">
      <c r="A963" s="131"/>
      <c r="B963" s="131"/>
      <c r="C963" s="131"/>
      <c r="D963" s="131"/>
      <c r="E963" s="131"/>
      <c r="F963" s="131"/>
    </row>
    <row r="964">
      <c r="A964" s="131"/>
      <c r="B964" s="131"/>
      <c r="C964" s="131"/>
      <c r="D964" s="131"/>
      <c r="E964" s="131"/>
      <c r="F964" s="131"/>
    </row>
    <row r="965">
      <c r="A965" s="131"/>
      <c r="B965" s="131"/>
      <c r="C965" s="131"/>
      <c r="D965" s="131"/>
      <c r="E965" s="131"/>
      <c r="F965" s="131"/>
    </row>
    <row r="966">
      <c r="A966" s="131"/>
      <c r="B966" s="131"/>
      <c r="C966" s="131"/>
      <c r="D966" s="131"/>
      <c r="E966" s="131"/>
      <c r="F966" s="131"/>
    </row>
    <row r="967">
      <c r="A967" s="131"/>
      <c r="B967" s="131"/>
      <c r="C967" s="131"/>
      <c r="D967" s="131"/>
      <c r="E967" s="131"/>
      <c r="F967" s="131"/>
    </row>
    <row r="968">
      <c r="A968" s="131"/>
      <c r="B968" s="131"/>
      <c r="C968" s="131"/>
      <c r="D968" s="131"/>
      <c r="E968" s="131"/>
      <c r="F968" s="131"/>
    </row>
    <row r="969">
      <c r="A969" s="131"/>
      <c r="B969" s="131"/>
      <c r="C969" s="131"/>
      <c r="D969" s="131"/>
      <c r="E969" s="131"/>
      <c r="F969" s="131"/>
    </row>
    <row r="970">
      <c r="A970" s="131"/>
      <c r="B970" s="131"/>
      <c r="C970" s="131"/>
      <c r="D970" s="131"/>
      <c r="E970" s="131"/>
      <c r="F970" s="131"/>
    </row>
    <row r="971">
      <c r="A971" s="131"/>
      <c r="B971" s="131"/>
      <c r="C971" s="131"/>
      <c r="D971" s="131"/>
      <c r="E971" s="131"/>
      <c r="F971" s="131"/>
    </row>
    <row r="972">
      <c r="A972" s="131"/>
      <c r="B972" s="131"/>
      <c r="C972" s="131"/>
      <c r="D972" s="131"/>
      <c r="E972" s="131"/>
      <c r="F972" s="131"/>
    </row>
    <row r="973">
      <c r="A973" s="131"/>
      <c r="B973" s="131"/>
      <c r="C973" s="131"/>
      <c r="D973" s="131"/>
      <c r="E973" s="131"/>
      <c r="F973" s="131"/>
    </row>
    <row r="974">
      <c r="A974" s="131"/>
      <c r="B974" s="131"/>
      <c r="C974" s="131"/>
      <c r="D974" s="131"/>
      <c r="E974" s="131"/>
      <c r="F974" s="131"/>
    </row>
    <row r="975">
      <c r="A975" s="131"/>
      <c r="B975" s="131"/>
      <c r="C975" s="131"/>
      <c r="D975" s="131"/>
      <c r="E975" s="131"/>
      <c r="F975" s="131"/>
    </row>
    <row r="976">
      <c r="A976" s="131"/>
      <c r="B976" s="131"/>
      <c r="C976" s="131"/>
      <c r="D976" s="131"/>
      <c r="E976" s="131"/>
      <c r="F976" s="131"/>
    </row>
    <row r="977">
      <c r="A977" s="131"/>
      <c r="B977" s="131"/>
      <c r="C977" s="131"/>
      <c r="D977" s="131"/>
      <c r="E977" s="131"/>
      <c r="F977" s="131"/>
    </row>
    <row r="978">
      <c r="A978" s="131"/>
      <c r="B978" s="131"/>
      <c r="C978" s="131"/>
      <c r="D978" s="131"/>
      <c r="E978" s="131"/>
      <c r="F978" s="131"/>
    </row>
    <row r="979">
      <c r="A979" s="131"/>
      <c r="B979" s="131"/>
      <c r="C979" s="131"/>
      <c r="D979" s="131"/>
      <c r="E979" s="131"/>
      <c r="F979" s="131"/>
    </row>
    <row r="980">
      <c r="A980" s="131"/>
      <c r="B980" s="131"/>
      <c r="C980" s="131"/>
      <c r="D980" s="131"/>
      <c r="E980" s="131"/>
      <c r="F980" s="131"/>
    </row>
    <row r="981">
      <c r="A981" s="131"/>
      <c r="B981" s="131"/>
      <c r="C981" s="131"/>
      <c r="D981" s="131"/>
      <c r="E981" s="131"/>
      <c r="F981" s="131"/>
    </row>
    <row r="982">
      <c r="A982" s="131"/>
      <c r="B982" s="131"/>
      <c r="C982" s="131"/>
      <c r="D982" s="131"/>
      <c r="E982" s="131"/>
      <c r="F982" s="131"/>
    </row>
    <row r="983">
      <c r="A983" s="131"/>
      <c r="B983" s="131"/>
      <c r="C983" s="131"/>
      <c r="D983" s="131"/>
      <c r="E983" s="131"/>
      <c r="F983" s="131"/>
    </row>
    <row r="984">
      <c r="A984" s="131"/>
      <c r="B984" s="131"/>
      <c r="C984" s="131"/>
      <c r="D984" s="131"/>
      <c r="E984" s="131"/>
      <c r="F984" s="131"/>
    </row>
    <row r="985">
      <c r="A985" s="131"/>
      <c r="B985" s="131"/>
      <c r="C985" s="131"/>
      <c r="D985" s="131"/>
      <c r="E985" s="131"/>
      <c r="F985" s="131"/>
    </row>
    <row r="986">
      <c r="A986" s="131"/>
      <c r="B986" s="131"/>
      <c r="C986" s="131"/>
      <c r="D986" s="131"/>
      <c r="E986" s="131"/>
      <c r="F986" s="131"/>
    </row>
    <row r="987">
      <c r="A987" s="131"/>
      <c r="B987" s="131"/>
      <c r="C987" s="131"/>
      <c r="D987" s="131"/>
      <c r="E987" s="131"/>
      <c r="F987" s="131"/>
    </row>
    <row r="988">
      <c r="A988" s="131"/>
      <c r="B988" s="131"/>
      <c r="C988" s="131"/>
      <c r="D988" s="131"/>
      <c r="E988" s="131"/>
      <c r="F988" s="131"/>
    </row>
    <row r="989">
      <c r="A989" s="131"/>
      <c r="B989" s="131"/>
      <c r="C989" s="131"/>
      <c r="D989" s="131"/>
      <c r="E989" s="131"/>
      <c r="F989" s="131"/>
    </row>
    <row r="990">
      <c r="A990" s="131"/>
      <c r="B990" s="131"/>
      <c r="C990" s="131"/>
      <c r="D990" s="131"/>
      <c r="E990" s="131"/>
      <c r="F990" s="131"/>
    </row>
    <row r="991">
      <c r="A991" s="131"/>
      <c r="B991" s="131"/>
      <c r="C991" s="131"/>
      <c r="D991" s="131"/>
      <c r="E991" s="131"/>
      <c r="F991" s="131"/>
    </row>
    <row r="992">
      <c r="A992" s="131"/>
      <c r="B992" s="131"/>
      <c r="C992" s="131"/>
      <c r="D992" s="131"/>
      <c r="E992" s="131"/>
      <c r="F992" s="131"/>
    </row>
    <row r="993">
      <c r="A993" s="131"/>
      <c r="B993" s="131"/>
      <c r="C993" s="131"/>
      <c r="D993" s="131"/>
      <c r="E993" s="131"/>
      <c r="F993" s="131"/>
    </row>
    <row r="994">
      <c r="A994" s="131"/>
      <c r="B994" s="131"/>
      <c r="C994" s="131"/>
      <c r="D994" s="131"/>
      <c r="E994" s="131"/>
      <c r="F994" s="131"/>
    </row>
  </sheetData>
  <mergeCells count="12">
    <mergeCell ref="L752:P752"/>
    <mergeCell ref="Q752:W752"/>
    <mergeCell ref="G846:K846"/>
    <mergeCell ref="L846:P846"/>
    <mergeCell ref="Q846:W846"/>
    <mergeCell ref="G1:K1"/>
    <mergeCell ref="L1:P1"/>
    <mergeCell ref="Q1:W1"/>
    <mergeCell ref="G500:K500"/>
    <mergeCell ref="L500:P500"/>
    <mergeCell ref="Q500:W500"/>
    <mergeCell ref="G752:K75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2" max="22" width="16.29"/>
    <col customWidth="1" min="23" max="23" width="16.14"/>
  </cols>
  <sheetData>
    <row r="1">
      <c r="A1" s="86" t="s">
        <v>554</v>
      </c>
      <c r="B1" s="87" t="s">
        <v>27</v>
      </c>
      <c r="G1" s="121" t="s">
        <v>555</v>
      </c>
      <c r="H1" s="13"/>
      <c r="I1" s="13"/>
      <c r="J1" s="13"/>
      <c r="K1" s="14"/>
      <c r="L1" s="121" t="s">
        <v>556</v>
      </c>
      <c r="M1" s="13"/>
      <c r="N1" s="13"/>
      <c r="O1" s="13"/>
      <c r="P1" s="14"/>
      <c r="Q1" s="122" t="s">
        <v>33</v>
      </c>
      <c r="R1" s="13"/>
      <c r="S1" s="13"/>
      <c r="T1" s="13"/>
      <c r="U1" s="13"/>
      <c r="V1" s="13"/>
      <c r="W1" s="14"/>
    </row>
    <row r="2">
      <c r="A2" s="90" t="s">
        <v>41</v>
      </c>
      <c r="B2" s="90" t="s">
        <v>42</v>
      </c>
      <c r="C2" s="90" t="s">
        <v>43</v>
      </c>
      <c r="D2" s="90" t="s">
        <v>44</v>
      </c>
      <c r="E2" s="90" t="s">
        <v>45</v>
      </c>
      <c r="F2" s="90" t="s">
        <v>46</v>
      </c>
      <c r="G2" s="123" t="s">
        <v>557</v>
      </c>
      <c r="H2" s="124" t="s">
        <v>558</v>
      </c>
      <c r="I2" s="124" t="s">
        <v>559</v>
      </c>
      <c r="J2" s="125" t="s">
        <v>560</v>
      </c>
      <c r="K2" s="125" t="s">
        <v>561</v>
      </c>
      <c r="L2" s="126" t="s">
        <v>562</v>
      </c>
      <c r="M2" s="125" t="s">
        <v>563</v>
      </c>
      <c r="N2" s="125" t="s">
        <v>564</v>
      </c>
      <c r="O2" s="125" t="s">
        <v>565</v>
      </c>
      <c r="P2" s="127" t="s">
        <v>566</v>
      </c>
      <c r="Q2" s="128" t="s">
        <v>567</v>
      </c>
      <c r="R2" s="129" t="s">
        <v>568</v>
      </c>
      <c r="S2" s="129" t="s">
        <v>569</v>
      </c>
      <c r="T2" s="129" t="s">
        <v>570</v>
      </c>
      <c r="U2" s="129" t="s">
        <v>571</v>
      </c>
      <c r="V2" s="129" t="s">
        <v>572</v>
      </c>
      <c r="W2" s="130" t="s">
        <v>573</v>
      </c>
    </row>
    <row r="3">
      <c r="A3" s="131">
        <f>IFERROR(__xludf.DUMMYFUNCTION("QUERY(MASTERLIST!A3:F997, ""SELECT *"", 0)"),1.0)</f>
        <v>1</v>
      </c>
      <c r="B3" s="131"/>
      <c r="C3" s="131">
        <f>IFERROR(__xludf.DUMMYFUNCTION("""COMPUTED_VALUE"""),1.0)</f>
        <v>1</v>
      </c>
      <c r="D3" s="131" t="b">
        <f>IFERROR(__xludf.DUMMYFUNCTION("""COMPUTED_VALUE"""),TRUE)</f>
        <v>1</v>
      </c>
      <c r="E3" s="94" t="str">
        <f>IFERROR(__xludf.DUMMYFUNCTION("""COMPUTED_VALUE"""),"ARANDA")</f>
        <v>ARANDA</v>
      </c>
      <c r="F3" s="94" t="str">
        <f>IFERROR(__xludf.DUMMYFUNCTION("""COMPUTED_VALUE"""),"KAI")</f>
        <v>KAI</v>
      </c>
    </row>
    <row r="4">
      <c r="A4" s="131">
        <f>IFERROR(__xludf.DUMMYFUNCTION("""COMPUTED_VALUE"""),2.0)</f>
        <v>2</v>
      </c>
      <c r="B4" s="131"/>
      <c r="C4" s="131">
        <f>IFERROR(__xludf.DUMMYFUNCTION("""COMPUTED_VALUE"""),1.0)</f>
        <v>1</v>
      </c>
      <c r="D4" s="131" t="b">
        <f>IFERROR(__xludf.DUMMYFUNCTION("""COMPUTED_VALUE"""),FALSE)</f>
        <v>0</v>
      </c>
      <c r="E4" s="95" t="str">
        <f>IFERROR(__xludf.DUMMYFUNCTION("""COMPUTED_VALUE"""),"ARCILLA")</f>
        <v>ARCILLA</v>
      </c>
      <c r="F4" s="96" t="str">
        <f>IFERROR(__xludf.DUMMYFUNCTION("""COMPUTED_VALUE"""),"DANIELA")</f>
        <v>DANIELA</v>
      </c>
    </row>
    <row r="5">
      <c r="A5" s="131">
        <f>IFERROR(__xludf.DUMMYFUNCTION("""COMPUTED_VALUE"""),3.0)</f>
        <v>3</v>
      </c>
      <c r="B5" s="131"/>
      <c r="C5" s="131">
        <f>IFERROR(__xludf.DUMMYFUNCTION("""COMPUTED_VALUE"""),1.0)</f>
        <v>1</v>
      </c>
      <c r="D5" s="131" t="b">
        <f>IFERROR(__xludf.DUMMYFUNCTION("""COMPUTED_VALUE"""),FALSE)</f>
        <v>0</v>
      </c>
      <c r="E5" s="95" t="str">
        <f>IFERROR(__xludf.DUMMYFUNCTION("""COMPUTED_VALUE"""),"ANDRE")</f>
        <v>ANDRE</v>
      </c>
      <c r="F5" s="96" t="str">
        <f>IFERROR(__xludf.DUMMYFUNCTION("""COMPUTED_VALUE"""),"CARLA")</f>
        <v>CARLA</v>
      </c>
    </row>
    <row r="6">
      <c r="A6" s="131">
        <f>IFERROR(__xludf.DUMMYFUNCTION("""COMPUTED_VALUE"""),4.0)</f>
        <v>4</v>
      </c>
      <c r="B6" s="131"/>
      <c r="C6" s="131">
        <f>IFERROR(__xludf.DUMMYFUNCTION("""COMPUTED_VALUE"""),1.0)</f>
        <v>1</v>
      </c>
      <c r="D6" s="131" t="b">
        <f>IFERROR(__xludf.DUMMYFUNCTION("""COMPUTED_VALUE"""),FALSE)</f>
        <v>0</v>
      </c>
      <c r="E6" s="96" t="str">
        <f>IFERROR(__xludf.DUMMYFUNCTION("""COMPUTED_VALUE"""),"BALDELOVAR")</f>
        <v>BALDELOVAR</v>
      </c>
      <c r="F6" s="96" t="str">
        <f>IFERROR(__xludf.DUMMYFUNCTION("""COMPUTED_VALUE"""),"LEANNE")</f>
        <v>LEANNE</v>
      </c>
    </row>
    <row r="7">
      <c r="A7" s="131">
        <f>IFERROR(__xludf.DUMMYFUNCTION("""COMPUTED_VALUE"""),5.0)</f>
        <v>5</v>
      </c>
      <c r="B7" s="131"/>
      <c r="C7" s="131">
        <f>IFERROR(__xludf.DUMMYFUNCTION("""COMPUTED_VALUE"""),1.0)</f>
        <v>1</v>
      </c>
      <c r="D7" s="131" t="b">
        <f>IFERROR(__xludf.DUMMYFUNCTION("""COMPUTED_VALUE"""),FALSE)</f>
        <v>0</v>
      </c>
      <c r="E7" s="96" t="str">
        <f>IFERROR(__xludf.DUMMYFUNCTION("""COMPUTED_VALUE"""),"BANTAYAN")</f>
        <v>BANTAYAN</v>
      </c>
      <c r="F7" s="96" t="str">
        <f>IFERROR(__xludf.DUMMYFUNCTION("""COMPUTED_VALUE"""),"EURASIA")</f>
        <v>EURASIA</v>
      </c>
    </row>
    <row r="8">
      <c r="A8" s="131">
        <f>IFERROR(__xludf.DUMMYFUNCTION("""COMPUTED_VALUE"""),6.0)</f>
        <v>6</v>
      </c>
      <c r="B8" s="131"/>
      <c r="C8" s="131">
        <f>IFERROR(__xludf.DUMMYFUNCTION("""COMPUTED_VALUE"""),1.0)</f>
        <v>1</v>
      </c>
      <c r="D8" s="131" t="b">
        <f>IFERROR(__xludf.DUMMYFUNCTION("""COMPUTED_VALUE"""),FALSE)</f>
        <v>0</v>
      </c>
      <c r="E8" s="96" t="str">
        <f>IFERROR(__xludf.DUMMYFUNCTION("""COMPUTED_VALUE"""),"BUCTOT")</f>
        <v>BUCTOT</v>
      </c>
      <c r="F8" s="96" t="str">
        <f>IFERROR(__xludf.DUMMYFUNCTION("""COMPUTED_VALUE"""),"JEZEBEL")</f>
        <v>JEZEBEL</v>
      </c>
    </row>
    <row r="9">
      <c r="A9" s="131">
        <f>IFERROR(__xludf.DUMMYFUNCTION("""COMPUTED_VALUE"""),7.0)</f>
        <v>7</v>
      </c>
      <c r="B9" s="131"/>
      <c r="C9" s="131">
        <f>IFERROR(__xludf.DUMMYFUNCTION("""COMPUTED_VALUE"""),1.0)</f>
        <v>1</v>
      </c>
      <c r="D9" s="131" t="b">
        <f>IFERROR(__xludf.DUMMYFUNCTION("""COMPUTED_VALUE"""),FALSE)</f>
        <v>0</v>
      </c>
      <c r="E9" s="96" t="str">
        <f>IFERROR(__xludf.DUMMYFUNCTION("""COMPUTED_VALUE"""),"ENCARNACION")</f>
        <v>ENCARNACION</v>
      </c>
      <c r="F9" s="96" t="str">
        <f>IFERROR(__xludf.DUMMYFUNCTION("""COMPUTED_VALUE"""),"KRISTEL")</f>
        <v>KRISTEL</v>
      </c>
    </row>
    <row r="10">
      <c r="A10" s="131">
        <f>IFERROR(__xludf.DUMMYFUNCTION("""COMPUTED_VALUE"""),8.0)</f>
        <v>8</v>
      </c>
      <c r="B10" s="131"/>
      <c r="C10" s="131">
        <f>IFERROR(__xludf.DUMMYFUNCTION("""COMPUTED_VALUE"""),1.0)</f>
        <v>1</v>
      </c>
      <c r="D10" s="131" t="b">
        <f>IFERROR(__xludf.DUMMYFUNCTION("""COMPUTED_VALUE"""),FALSE)</f>
        <v>0</v>
      </c>
      <c r="E10" s="96" t="str">
        <f>IFERROR(__xludf.DUMMYFUNCTION("""COMPUTED_VALUE"""),"GUTIERREZ")</f>
        <v>GUTIERREZ</v>
      </c>
      <c r="F10" s="96" t="str">
        <f>IFERROR(__xludf.DUMMYFUNCTION("""COMPUTED_VALUE"""),"PAOLA")</f>
        <v>PAOLA</v>
      </c>
    </row>
    <row r="11">
      <c r="A11" s="131">
        <f>IFERROR(__xludf.DUMMYFUNCTION("""COMPUTED_VALUE"""),9.0)</f>
        <v>9</v>
      </c>
      <c r="B11" s="131"/>
      <c r="C11" s="131">
        <f>IFERROR(__xludf.DUMMYFUNCTION("""COMPUTED_VALUE"""),1.0)</f>
        <v>1</v>
      </c>
      <c r="D11" s="131" t="b">
        <f>IFERROR(__xludf.DUMMYFUNCTION("""COMPUTED_VALUE"""),FALSE)</f>
        <v>0</v>
      </c>
      <c r="E11" s="96" t="str">
        <f>IFERROR(__xludf.DUMMYFUNCTION("""COMPUTED_VALUE"""),"HISPANO")</f>
        <v>HISPANO</v>
      </c>
      <c r="F11" s="96" t="str">
        <f>IFERROR(__xludf.DUMMYFUNCTION("""COMPUTED_VALUE"""),"HANNA")</f>
        <v>HANNA</v>
      </c>
    </row>
    <row r="12">
      <c r="A12" s="131">
        <f>IFERROR(__xludf.DUMMYFUNCTION("""COMPUTED_VALUE"""),10.0)</f>
        <v>10</v>
      </c>
      <c r="B12" s="131"/>
      <c r="C12" s="131">
        <f>IFERROR(__xludf.DUMMYFUNCTION("""COMPUTED_VALUE"""),1.0)</f>
        <v>1</v>
      </c>
      <c r="D12" s="131" t="b">
        <f>IFERROR(__xludf.DUMMYFUNCTION("""COMPUTED_VALUE"""),FALSE)</f>
        <v>0</v>
      </c>
      <c r="E12" s="96" t="str">
        <f>IFERROR(__xludf.DUMMYFUNCTION("""COMPUTED_VALUE"""),"MALOLOY-ON")</f>
        <v>MALOLOY-ON</v>
      </c>
      <c r="F12" s="96" t="str">
        <f>IFERROR(__xludf.DUMMYFUNCTION("""COMPUTED_VALUE"""),"MARIANA")</f>
        <v>MARIANA</v>
      </c>
    </row>
    <row r="13">
      <c r="A13" s="131">
        <f>IFERROR(__xludf.DUMMYFUNCTION("""COMPUTED_VALUE"""),11.0)</f>
        <v>11</v>
      </c>
      <c r="B13" s="131"/>
      <c r="C13" s="131">
        <f>IFERROR(__xludf.DUMMYFUNCTION("""COMPUTED_VALUE"""),1.0)</f>
        <v>1</v>
      </c>
      <c r="D13" s="131" t="b">
        <f>IFERROR(__xludf.DUMMYFUNCTION("""COMPUTED_VALUE"""),FALSE)</f>
        <v>0</v>
      </c>
      <c r="E13" s="96" t="str">
        <f>IFERROR(__xludf.DUMMYFUNCTION("""COMPUTED_VALUE"""),"MALOLOY-ON")</f>
        <v>MALOLOY-ON</v>
      </c>
      <c r="F13" s="96" t="str">
        <f>IFERROR(__xludf.DUMMYFUNCTION("""COMPUTED_VALUE"""),"JOISEALAY")</f>
        <v>JOISEALAY</v>
      </c>
    </row>
    <row r="14">
      <c r="A14" s="131">
        <f>IFERROR(__xludf.DUMMYFUNCTION("""COMPUTED_VALUE"""),12.0)</f>
        <v>12</v>
      </c>
      <c r="B14" s="131"/>
      <c r="C14" s="131">
        <f>IFERROR(__xludf.DUMMYFUNCTION("""COMPUTED_VALUE"""),1.0)</f>
        <v>1</v>
      </c>
      <c r="D14" s="131" t="b">
        <f>IFERROR(__xludf.DUMMYFUNCTION("""COMPUTED_VALUE"""),FALSE)</f>
        <v>0</v>
      </c>
      <c r="E14" s="96" t="str">
        <f>IFERROR(__xludf.DUMMYFUNCTION("""COMPUTED_VALUE"""),"ORQUIA")</f>
        <v>ORQUIA</v>
      </c>
      <c r="F14" s="96" t="str">
        <f>IFERROR(__xludf.DUMMYFUNCTION("""COMPUTED_VALUE"""),"KAYLA")</f>
        <v>KAYLA</v>
      </c>
    </row>
    <row r="15">
      <c r="A15" s="131">
        <f>IFERROR(__xludf.DUMMYFUNCTION("""COMPUTED_VALUE"""),13.0)</f>
        <v>13</v>
      </c>
      <c r="B15" s="131"/>
      <c r="C15" s="131">
        <f>IFERROR(__xludf.DUMMYFUNCTION("""COMPUTED_VALUE"""),1.0)</f>
        <v>1</v>
      </c>
      <c r="D15" s="131" t="b">
        <f>IFERROR(__xludf.DUMMYFUNCTION("""COMPUTED_VALUE"""),FALSE)</f>
        <v>0</v>
      </c>
      <c r="E15" s="96" t="str">
        <f>IFERROR(__xludf.DUMMYFUNCTION("""COMPUTED_VALUE"""),"PIGAO")</f>
        <v>PIGAO</v>
      </c>
      <c r="F15" s="96" t="str">
        <f>IFERROR(__xludf.DUMMYFUNCTION("""COMPUTED_VALUE"""),"HANNAH")</f>
        <v>HANNAH</v>
      </c>
    </row>
    <row r="16">
      <c r="A16" s="131">
        <f>IFERROR(__xludf.DUMMYFUNCTION("""COMPUTED_VALUE"""),14.0)</f>
        <v>14</v>
      </c>
      <c r="B16" s="131"/>
      <c r="C16" s="131">
        <f>IFERROR(__xludf.DUMMYFUNCTION("""COMPUTED_VALUE"""),1.0)</f>
        <v>1</v>
      </c>
      <c r="D16" s="131" t="b">
        <f>IFERROR(__xludf.DUMMYFUNCTION("""COMPUTED_VALUE"""),FALSE)</f>
        <v>0</v>
      </c>
      <c r="E16" s="96" t="str">
        <f>IFERROR(__xludf.DUMMYFUNCTION("""COMPUTED_VALUE"""),"RELEVO")</f>
        <v>RELEVO</v>
      </c>
      <c r="F16" s="96" t="str">
        <f>IFERROR(__xludf.DUMMYFUNCTION("""COMPUTED_VALUE"""),"RICA")</f>
        <v>RICA</v>
      </c>
    </row>
    <row r="17">
      <c r="A17" s="131">
        <f>IFERROR(__xludf.DUMMYFUNCTION("""COMPUTED_VALUE"""),15.0)</f>
        <v>15</v>
      </c>
      <c r="B17" s="131"/>
      <c r="C17" s="131">
        <f>IFERROR(__xludf.DUMMYFUNCTION("""COMPUTED_VALUE"""),1.0)</f>
        <v>1</v>
      </c>
      <c r="D17" s="131" t="b">
        <f>IFERROR(__xludf.DUMMYFUNCTION("""COMPUTED_VALUE"""),FALSE)</f>
        <v>0</v>
      </c>
      <c r="E17" s="97" t="str">
        <f>IFERROR(__xludf.DUMMYFUNCTION("""COMPUTED_VALUE"""),"REYES")</f>
        <v>REYES</v>
      </c>
      <c r="F17" s="97" t="str">
        <f>IFERROR(__xludf.DUMMYFUNCTION("""COMPUTED_VALUE"""),"ARIANNE")</f>
        <v>ARIANNE</v>
      </c>
    </row>
    <row r="18">
      <c r="A18" s="131">
        <f>IFERROR(__xludf.DUMMYFUNCTION("""COMPUTED_VALUE"""),16.0)</f>
        <v>16</v>
      </c>
      <c r="B18" s="131"/>
      <c r="C18" s="131">
        <f>IFERROR(__xludf.DUMMYFUNCTION("""COMPUTED_VALUE"""),1.0)</f>
        <v>1</v>
      </c>
      <c r="D18" s="131" t="b">
        <f>IFERROR(__xludf.DUMMYFUNCTION("""COMPUTED_VALUE"""),FALSE)</f>
        <v>0</v>
      </c>
      <c r="E18" s="96" t="str">
        <f>IFERROR(__xludf.DUMMYFUNCTION("""COMPUTED_VALUE"""),"ROMANO")</f>
        <v>ROMANO</v>
      </c>
      <c r="F18" s="96" t="str">
        <f>IFERROR(__xludf.DUMMYFUNCTION("""COMPUTED_VALUE"""),"ROZANE")</f>
        <v>ROZANE</v>
      </c>
    </row>
    <row r="19">
      <c r="A19" s="131">
        <f>IFERROR(__xludf.DUMMYFUNCTION("""COMPUTED_VALUE"""),17.0)</f>
        <v>17</v>
      </c>
      <c r="B19" s="131"/>
      <c r="C19" s="131">
        <f>IFERROR(__xludf.DUMMYFUNCTION("""COMPUTED_VALUE"""),1.0)</f>
        <v>1</v>
      </c>
      <c r="D19" s="131" t="b">
        <f>IFERROR(__xludf.DUMMYFUNCTION("""COMPUTED_VALUE"""),FALSE)</f>
        <v>0</v>
      </c>
      <c r="E19" s="96" t="str">
        <f>IFERROR(__xludf.DUMMYFUNCTION("""COMPUTED_VALUE"""),"SEBASTIAN")</f>
        <v>SEBASTIAN</v>
      </c>
      <c r="F19" s="96" t="str">
        <f>IFERROR(__xludf.DUMMYFUNCTION("""COMPUTED_VALUE"""),"JENNIFER")</f>
        <v>JENNIFER</v>
      </c>
    </row>
    <row r="20">
      <c r="A20" s="131">
        <f>IFERROR(__xludf.DUMMYFUNCTION("""COMPUTED_VALUE"""),18.0)</f>
        <v>18</v>
      </c>
      <c r="B20" s="131"/>
      <c r="C20" s="131">
        <f>IFERROR(__xludf.DUMMYFUNCTION("""COMPUTED_VALUE"""),1.0)</f>
        <v>1</v>
      </c>
      <c r="D20" s="131" t="b">
        <f>IFERROR(__xludf.DUMMYFUNCTION("""COMPUTED_VALUE"""),FALSE)</f>
        <v>0</v>
      </c>
      <c r="E20" s="96" t="str">
        <f>IFERROR(__xludf.DUMMYFUNCTION("""COMPUTED_VALUE"""),"SIMON")</f>
        <v>SIMON</v>
      </c>
      <c r="F20" s="96" t="str">
        <f>IFERROR(__xludf.DUMMYFUNCTION("""COMPUTED_VALUE"""),"SHERRIE")</f>
        <v>SHERRIE</v>
      </c>
    </row>
    <row r="21">
      <c r="A21" s="131">
        <f>IFERROR(__xludf.DUMMYFUNCTION("""COMPUTED_VALUE"""),19.0)</f>
        <v>19</v>
      </c>
      <c r="B21" s="131">
        <f>IFERROR(__xludf.DUMMYFUNCTION("""COMPUTED_VALUE"""),15.0)</f>
        <v>15</v>
      </c>
      <c r="C21" s="131">
        <f>IFERROR(__xludf.DUMMYFUNCTION("""COMPUTED_VALUE"""),1.0)</f>
        <v>1</v>
      </c>
      <c r="D21" s="131" t="b">
        <f>IFERROR(__xludf.DUMMYFUNCTION("""COMPUTED_VALUE"""),FALSE)</f>
        <v>0</v>
      </c>
      <c r="E21" s="96" t="str">
        <f>IFERROR(__xludf.DUMMYFUNCTION("""COMPUTED_VALUE"""),"TAMIDLES")</f>
        <v>TAMIDLES</v>
      </c>
      <c r="F21" s="96" t="str">
        <f>IFERROR(__xludf.DUMMYFUNCTION("""COMPUTED_VALUE"""),"CZARINA")</f>
        <v>CZARINA</v>
      </c>
    </row>
    <row r="22">
      <c r="A22" s="131">
        <f>IFERROR(__xludf.DUMMYFUNCTION("""COMPUTED_VALUE"""),20.0)</f>
        <v>20</v>
      </c>
      <c r="B22" s="131">
        <f>IFERROR(__xludf.DUMMYFUNCTION("""COMPUTED_VALUE"""),15.0)</f>
        <v>15</v>
      </c>
      <c r="C22" s="131">
        <f>IFERROR(__xludf.DUMMYFUNCTION("""COMPUTED_VALUE"""),1.0)</f>
        <v>1</v>
      </c>
      <c r="D22" s="131" t="b">
        <f>IFERROR(__xludf.DUMMYFUNCTION("""COMPUTED_VALUE"""),FALSE)</f>
        <v>0</v>
      </c>
      <c r="E22" s="96" t="str">
        <f>IFERROR(__xludf.DUMMYFUNCTION("""COMPUTED_VALUE"""),"ULAN")</f>
        <v>ULAN</v>
      </c>
      <c r="F22" s="96" t="str">
        <f>IFERROR(__xludf.DUMMYFUNCTION("""COMPUTED_VALUE"""),"MCWAYNE")</f>
        <v>MCWAYNE</v>
      </c>
    </row>
    <row r="23">
      <c r="A23" s="131">
        <f>IFERROR(__xludf.DUMMYFUNCTION("""COMPUTED_VALUE"""),21.0)</f>
        <v>21</v>
      </c>
      <c r="B23" s="131"/>
      <c r="C23" s="131">
        <f>IFERROR(__xludf.DUMMYFUNCTION("""COMPUTED_VALUE"""),1.0)</f>
        <v>1</v>
      </c>
      <c r="D23" s="131" t="b">
        <f>IFERROR(__xludf.DUMMYFUNCTION("""COMPUTED_VALUE"""),FALSE)</f>
        <v>0</v>
      </c>
      <c r="E23" s="96" t="str">
        <f>IFERROR(__xludf.DUMMYFUNCTION("""COMPUTED_VALUE"""),"VILLARTA")</f>
        <v>VILLARTA</v>
      </c>
      <c r="F23" s="96" t="str">
        <f>IFERROR(__xludf.DUMMYFUNCTION("""COMPUTED_VALUE"""),"JERICKA")</f>
        <v>JERICKA</v>
      </c>
    </row>
    <row r="24">
      <c r="A24" s="131">
        <f>IFERROR(__xludf.DUMMYFUNCTION("""COMPUTED_VALUE"""),22.0)</f>
        <v>22</v>
      </c>
      <c r="B24" s="131"/>
      <c r="C24" s="131"/>
      <c r="D24" s="131" t="b">
        <f>IFERROR(__xludf.DUMMYFUNCTION("""COMPUTED_VALUE"""),FALSE)</f>
        <v>0</v>
      </c>
      <c r="E24" s="98"/>
      <c r="F24" s="96" t="str">
        <f>IFERROR(__xludf.DUMMYFUNCTION("""COMPUTED_VALUE"""),"ANGEL")</f>
        <v>ANGEL</v>
      </c>
    </row>
    <row r="25">
      <c r="A25" s="131">
        <f>IFERROR(__xludf.DUMMYFUNCTION("""COMPUTED_VALUE"""),23.0)</f>
        <v>23</v>
      </c>
      <c r="B25" s="131"/>
      <c r="C25" s="131">
        <f>IFERROR(__xludf.DUMMYFUNCTION("""COMPUTED_VALUE"""),23.0)</f>
        <v>23</v>
      </c>
      <c r="D25" s="131" t="b">
        <f>IFERROR(__xludf.DUMMYFUNCTION("""COMPUTED_VALUE"""),TRUE)</f>
        <v>1</v>
      </c>
      <c r="E25" s="99" t="str">
        <f>IFERROR(__xludf.DUMMYFUNCTION("""COMPUTED_VALUE"""),"AVANCENA")</f>
        <v>AVANCENA</v>
      </c>
      <c r="F25" s="99" t="str">
        <f>IFERROR(__xludf.DUMMYFUNCTION("""COMPUTED_VALUE"""),"AIMEE")</f>
        <v>AIMEE</v>
      </c>
    </row>
    <row r="26">
      <c r="A26" s="131">
        <f>IFERROR(__xludf.DUMMYFUNCTION("""COMPUTED_VALUE"""),24.0)</f>
        <v>24</v>
      </c>
      <c r="B26" s="131"/>
      <c r="C26" s="131">
        <f>IFERROR(__xludf.DUMMYFUNCTION("""COMPUTED_VALUE"""),23.0)</f>
        <v>23</v>
      </c>
      <c r="D26" s="131" t="b">
        <f>IFERROR(__xludf.DUMMYFUNCTION("""COMPUTED_VALUE"""),FALSE)</f>
        <v>0</v>
      </c>
      <c r="E26" s="100" t="str">
        <f>IFERROR(__xludf.DUMMYFUNCTION("""COMPUTED_VALUE"""),"CABO")</f>
        <v>CABO</v>
      </c>
      <c r="F26" s="100" t="str">
        <f>IFERROR(__xludf.DUMMYFUNCTION("""COMPUTED_VALUE"""),"MELANIE")</f>
        <v>MELANIE</v>
      </c>
    </row>
    <row r="27">
      <c r="A27" s="131">
        <f>IFERROR(__xludf.DUMMYFUNCTION("""COMPUTED_VALUE"""),25.0)</f>
        <v>25</v>
      </c>
      <c r="B27" s="131">
        <f>IFERROR(__xludf.DUMMYFUNCTION("""COMPUTED_VALUE"""),24.0)</f>
        <v>24</v>
      </c>
      <c r="C27" s="131">
        <f>IFERROR(__xludf.DUMMYFUNCTION("""COMPUTED_VALUE"""),23.0)</f>
        <v>23</v>
      </c>
      <c r="D27" s="131" t="b">
        <f>IFERROR(__xludf.DUMMYFUNCTION("""COMPUTED_VALUE"""),FALSE)</f>
        <v>0</v>
      </c>
      <c r="E27" s="100" t="str">
        <f>IFERROR(__xludf.DUMMYFUNCTION("""COMPUTED_VALUE"""),"CARLOS")</f>
        <v>CARLOS</v>
      </c>
      <c r="F27" s="100" t="str">
        <f>IFERROR(__xludf.DUMMYFUNCTION("""COMPUTED_VALUE"""),"FRANCINE")</f>
        <v>FRANCINE</v>
      </c>
    </row>
    <row r="28">
      <c r="A28" s="131">
        <f>IFERROR(__xludf.DUMMYFUNCTION("""COMPUTED_VALUE"""),26.0)</f>
        <v>26</v>
      </c>
      <c r="B28" s="131"/>
      <c r="C28" s="131">
        <f>IFERROR(__xludf.DUMMYFUNCTION("""COMPUTED_VALUE"""),23.0)</f>
        <v>23</v>
      </c>
      <c r="D28" s="131" t="b">
        <f>IFERROR(__xludf.DUMMYFUNCTION("""COMPUTED_VALUE"""),FALSE)</f>
        <v>0</v>
      </c>
      <c r="E28" s="100" t="str">
        <f>IFERROR(__xludf.DUMMYFUNCTION("""COMPUTED_VALUE"""),"DALIOAN")</f>
        <v>DALIOAN</v>
      </c>
      <c r="F28" s="100" t="str">
        <f>IFERROR(__xludf.DUMMYFUNCTION("""COMPUTED_VALUE"""),"MONIQUE")</f>
        <v>MONIQUE</v>
      </c>
    </row>
    <row r="29">
      <c r="A29" s="131">
        <f>IFERROR(__xludf.DUMMYFUNCTION("""COMPUTED_VALUE"""),27.0)</f>
        <v>27</v>
      </c>
      <c r="B29" s="131"/>
      <c r="C29" s="131">
        <f>IFERROR(__xludf.DUMMYFUNCTION("""COMPUTED_VALUE"""),23.0)</f>
        <v>23</v>
      </c>
      <c r="D29" s="131" t="b">
        <f>IFERROR(__xludf.DUMMYFUNCTION("""COMPUTED_VALUE"""),FALSE)</f>
        <v>0</v>
      </c>
      <c r="E29" s="100" t="str">
        <f>IFERROR(__xludf.DUMMYFUNCTION("""COMPUTED_VALUE"""),"GELICAME")</f>
        <v>GELICAME</v>
      </c>
      <c r="F29" s="100" t="str">
        <f>IFERROR(__xludf.DUMMYFUNCTION("""COMPUTED_VALUE"""),"ARYHANA")</f>
        <v>ARYHANA</v>
      </c>
    </row>
    <row r="30">
      <c r="A30" s="131">
        <f>IFERROR(__xludf.DUMMYFUNCTION("""COMPUTED_VALUE"""),28.0)</f>
        <v>28</v>
      </c>
      <c r="B30" s="131"/>
      <c r="C30" s="131">
        <f>IFERROR(__xludf.DUMMYFUNCTION("""COMPUTED_VALUE"""),23.0)</f>
        <v>23</v>
      </c>
      <c r="D30" s="131" t="b">
        <f>IFERROR(__xludf.DUMMYFUNCTION("""COMPUTED_VALUE"""),FALSE)</f>
        <v>0</v>
      </c>
      <c r="E30" s="100" t="str">
        <f>IFERROR(__xludf.DUMMYFUNCTION("""COMPUTED_VALUE"""),"GUIMONG")</f>
        <v>GUIMONG</v>
      </c>
      <c r="F30" s="100" t="str">
        <f>IFERROR(__xludf.DUMMYFUNCTION("""COMPUTED_VALUE"""),"FAITH")</f>
        <v>FAITH</v>
      </c>
    </row>
    <row r="31">
      <c r="A31" s="131">
        <f>IFERROR(__xludf.DUMMYFUNCTION("""COMPUTED_VALUE"""),29.0)</f>
        <v>29</v>
      </c>
      <c r="B31" s="131"/>
      <c r="C31" s="131">
        <f>IFERROR(__xludf.DUMMYFUNCTION("""COMPUTED_VALUE"""),23.0)</f>
        <v>23</v>
      </c>
      <c r="D31" s="131" t="b">
        <f>IFERROR(__xludf.DUMMYFUNCTION("""COMPUTED_VALUE"""),FALSE)</f>
        <v>0</v>
      </c>
      <c r="E31" s="100" t="str">
        <f>IFERROR(__xludf.DUMMYFUNCTION("""COMPUTED_VALUE"""),"MANALOTO")</f>
        <v>MANALOTO</v>
      </c>
      <c r="F31" s="100" t="str">
        <f>IFERROR(__xludf.DUMMYFUNCTION("""COMPUTED_VALUE"""),"YOSHA")</f>
        <v>YOSHA</v>
      </c>
    </row>
    <row r="32">
      <c r="A32" s="131">
        <f>IFERROR(__xludf.DUMMYFUNCTION("""COMPUTED_VALUE"""),30.0)</f>
        <v>30</v>
      </c>
      <c r="B32" s="131"/>
      <c r="C32" s="131">
        <f>IFERROR(__xludf.DUMMYFUNCTION("""COMPUTED_VALUE"""),23.0)</f>
        <v>23</v>
      </c>
      <c r="D32" s="131" t="b">
        <f>IFERROR(__xludf.DUMMYFUNCTION("""COMPUTED_VALUE"""),FALSE)</f>
        <v>0</v>
      </c>
      <c r="E32" s="100" t="str">
        <f>IFERROR(__xludf.DUMMYFUNCTION("""COMPUTED_VALUE"""),"MARINAS")</f>
        <v>MARINAS</v>
      </c>
      <c r="F32" s="100" t="str">
        <f>IFERROR(__xludf.DUMMYFUNCTION("""COMPUTED_VALUE"""),"CHERRY")</f>
        <v>CHERRY</v>
      </c>
    </row>
    <row r="33">
      <c r="A33" s="131">
        <f>IFERROR(__xludf.DUMMYFUNCTION("""COMPUTED_VALUE"""),31.0)</f>
        <v>31</v>
      </c>
      <c r="B33" s="131"/>
      <c r="C33" s="131">
        <f>IFERROR(__xludf.DUMMYFUNCTION("""COMPUTED_VALUE"""),23.0)</f>
        <v>23</v>
      </c>
      <c r="D33" s="131" t="b">
        <f>IFERROR(__xludf.DUMMYFUNCTION("""COMPUTED_VALUE"""),FALSE)</f>
        <v>0</v>
      </c>
      <c r="E33" s="101" t="str">
        <f>IFERROR(__xludf.DUMMYFUNCTION("""COMPUTED_VALUE"""),"JIMENEZ")</f>
        <v>JIMENEZ</v>
      </c>
      <c r="F33" s="101" t="str">
        <f>IFERROR(__xludf.DUMMYFUNCTION("""COMPUTED_VALUE"""),"RUTH JHAMELA")</f>
        <v>RUTH JHAMELA</v>
      </c>
    </row>
    <row r="34">
      <c r="A34" s="131">
        <f>IFERROR(__xludf.DUMMYFUNCTION("""COMPUTED_VALUE"""),32.0)</f>
        <v>32</v>
      </c>
      <c r="B34" s="131"/>
      <c r="C34" s="131">
        <f>IFERROR(__xludf.DUMMYFUNCTION("""COMPUTED_VALUE"""),23.0)</f>
        <v>23</v>
      </c>
      <c r="D34" s="131" t="b">
        <f>IFERROR(__xludf.DUMMYFUNCTION("""COMPUTED_VALUE"""),FALSE)</f>
        <v>0</v>
      </c>
      <c r="E34" s="100" t="str">
        <f>IFERROR(__xludf.DUMMYFUNCTION("""COMPUTED_VALUE"""),"GUILLERMO")</f>
        <v>GUILLERMO</v>
      </c>
      <c r="F34" s="100" t="str">
        <f>IFERROR(__xludf.DUMMYFUNCTION("""COMPUTED_VALUE"""),"STAR")</f>
        <v>STAR</v>
      </c>
    </row>
    <row r="35">
      <c r="A35" s="131">
        <f>IFERROR(__xludf.DUMMYFUNCTION("""COMPUTED_VALUE"""),33.0)</f>
        <v>33</v>
      </c>
      <c r="B35" s="131"/>
      <c r="C35" s="131">
        <f>IFERROR(__xludf.DUMMYFUNCTION("""COMPUTED_VALUE"""),23.0)</f>
        <v>23</v>
      </c>
      <c r="D35" s="131" t="b">
        <f>IFERROR(__xludf.DUMMYFUNCTION("""COMPUTED_VALUE"""),FALSE)</f>
        <v>0</v>
      </c>
      <c r="E35" s="100" t="str">
        <f>IFERROR(__xludf.DUMMYFUNCTION("""COMPUTED_VALUE"""),"CATENZA")</f>
        <v>CATENZA</v>
      </c>
      <c r="F35" s="100" t="str">
        <f>IFERROR(__xludf.DUMMYFUNCTION("""COMPUTED_VALUE"""),"PRINCESS")</f>
        <v>PRINCESS</v>
      </c>
    </row>
    <row r="36">
      <c r="A36" s="131">
        <f>IFERROR(__xludf.DUMMYFUNCTION("""COMPUTED_VALUE"""),34.0)</f>
        <v>34</v>
      </c>
      <c r="B36" s="131"/>
      <c r="C36" s="131">
        <f>IFERROR(__xludf.DUMMYFUNCTION("""COMPUTED_VALUE"""),23.0)</f>
        <v>23</v>
      </c>
      <c r="D36" s="131" t="b">
        <f>IFERROR(__xludf.DUMMYFUNCTION("""COMPUTED_VALUE"""),FALSE)</f>
        <v>0</v>
      </c>
      <c r="E36" s="102" t="str">
        <f>IFERROR(__xludf.DUMMYFUNCTION("""COMPUTED_VALUE"""),"GORDON")</f>
        <v>GORDON</v>
      </c>
      <c r="F36" s="102" t="str">
        <f>IFERROR(__xludf.DUMMYFUNCTION("""COMPUTED_VALUE"""),"HARRY")</f>
        <v>HARRY</v>
      </c>
    </row>
    <row r="37">
      <c r="A37" s="131">
        <f>IFERROR(__xludf.DUMMYFUNCTION("""COMPUTED_VALUE"""),35.0)</f>
        <v>35</v>
      </c>
      <c r="B37" s="131"/>
      <c r="C37" s="131">
        <f>IFERROR(__xludf.DUMMYFUNCTION("""COMPUTED_VALUE"""),23.0)</f>
        <v>23</v>
      </c>
      <c r="D37" s="131" t="b">
        <f>IFERROR(__xludf.DUMMYFUNCTION("""COMPUTED_VALUE"""),FALSE)</f>
        <v>0</v>
      </c>
      <c r="E37" s="103" t="str">
        <f>IFERROR(__xludf.DUMMYFUNCTION("""COMPUTED_VALUE"""),"AVILLANO")</f>
        <v>AVILLANO</v>
      </c>
      <c r="F37" s="103" t="str">
        <f>IFERROR(__xludf.DUMMYFUNCTION("""COMPUTED_VALUE"""),"ANGEL DIANNE")</f>
        <v>ANGEL DIANNE</v>
      </c>
    </row>
    <row r="38">
      <c r="A38" s="131">
        <f>IFERROR(__xludf.DUMMYFUNCTION("""COMPUTED_VALUE"""),36.0)</f>
        <v>36</v>
      </c>
      <c r="B38" s="131"/>
      <c r="C38" s="131">
        <f>IFERROR(__xludf.DUMMYFUNCTION("""COMPUTED_VALUE"""),23.0)</f>
        <v>23</v>
      </c>
      <c r="D38" s="131" t="b">
        <f>IFERROR(__xludf.DUMMYFUNCTION("""COMPUTED_VALUE"""),FALSE)</f>
        <v>0</v>
      </c>
      <c r="E38" s="103" t="str">
        <f>IFERROR(__xludf.DUMMYFUNCTION("""COMPUTED_VALUE"""),"BALTAZAR")</f>
        <v>BALTAZAR</v>
      </c>
      <c r="F38" s="103" t="str">
        <f>IFERROR(__xludf.DUMMYFUNCTION("""COMPUTED_VALUE"""),"ARSTON")</f>
        <v>ARSTON</v>
      </c>
    </row>
    <row r="39">
      <c r="A39" s="131">
        <f>IFERROR(__xludf.DUMMYFUNCTION("""COMPUTED_VALUE"""),37.0)</f>
        <v>37</v>
      </c>
      <c r="B39" s="131"/>
      <c r="C39" s="131">
        <f>IFERROR(__xludf.DUMMYFUNCTION("""COMPUTED_VALUE"""),23.0)</f>
        <v>23</v>
      </c>
      <c r="D39" s="131" t="b">
        <f>IFERROR(__xludf.DUMMYFUNCTION("""COMPUTED_VALUE"""),FALSE)</f>
        <v>0</v>
      </c>
      <c r="E39" s="102" t="str">
        <f>IFERROR(__xludf.DUMMYFUNCTION("""COMPUTED_VALUE"""),"SISON")</f>
        <v>SISON</v>
      </c>
      <c r="F39" s="103" t="str">
        <f>IFERROR(__xludf.DUMMYFUNCTION("""COMPUTED_VALUE"""),"KRISTA MAE")</f>
        <v>KRISTA MAE</v>
      </c>
    </row>
    <row r="40">
      <c r="A40" s="131">
        <f>IFERROR(__xludf.DUMMYFUNCTION("""COMPUTED_VALUE"""),38.0)</f>
        <v>38</v>
      </c>
      <c r="B40" s="131"/>
      <c r="C40" s="131">
        <f>IFERROR(__xludf.DUMMYFUNCTION("""COMPUTED_VALUE"""),23.0)</f>
        <v>23</v>
      </c>
      <c r="D40" s="131" t="b">
        <f>IFERROR(__xludf.DUMMYFUNCTION("""COMPUTED_VALUE"""),FALSE)</f>
        <v>0</v>
      </c>
      <c r="E40" s="103" t="str">
        <f>IFERROR(__xludf.DUMMYFUNCTION("""COMPUTED_VALUE"""),"GARCIA")</f>
        <v>GARCIA</v>
      </c>
      <c r="F40" s="103" t="str">
        <f>IFERROR(__xludf.DUMMYFUNCTION("""COMPUTED_VALUE"""),"SELTHIEL")</f>
        <v>SELTHIEL</v>
      </c>
    </row>
    <row r="41">
      <c r="A41" s="131">
        <f>IFERROR(__xludf.DUMMYFUNCTION("""COMPUTED_VALUE"""),39.0)</f>
        <v>39</v>
      </c>
      <c r="B41" s="131"/>
      <c r="C41" s="131">
        <f>IFERROR(__xludf.DUMMYFUNCTION("""COMPUTED_VALUE"""),23.0)</f>
        <v>23</v>
      </c>
      <c r="D41" s="131" t="b">
        <f>IFERROR(__xludf.DUMMYFUNCTION("""COMPUTED_VALUE"""),FALSE)</f>
        <v>0</v>
      </c>
      <c r="E41" s="103" t="str">
        <f>IFERROR(__xludf.DUMMYFUNCTION("""COMPUTED_VALUE"""),"HIJARA")</f>
        <v>HIJARA</v>
      </c>
      <c r="F41" s="103" t="str">
        <f>IFERROR(__xludf.DUMMYFUNCTION("""COMPUTED_VALUE"""),"JAIHMIER VIELLE")</f>
        <v>JAIHMIER VIELLE</v>
      </c>
    </row>
    <row r="42">
      <c r="A42" s="131">
        <f>IFERROR(__xludf.DUMMYFUNCTION("""COMPUTED_VALUE"""),40.0)</f>
        <v>40</v>
      </c>
      <c r="B42" s="131"/>
      <c r="C42" s="131">
        <f>IFERROR(__xludf.DUMMYFUNCTION("""COMPUTED_VALUE"""),23.0)</f>
        <v>23</v>
      </c>
      <c r="D42" s="131" t="b">
        <f>IFERROR(__xludf.DUMMYFUNCTION("""COMPUTED_VALUE"""),FALSE)</f>
        <v>0</v>
      </c>
      <c r="E42" s="103" t="str">
        <f>IFERROR(__xludf.DUMMYFUNCTION("""COMPUTED_VALUE"""),"MAGBANUA")</f>
        <v>MAGBANUA</v>
      </c>
      <c r="F42" s="103" t="str">
        <f>IFERROR(__xludf.DUMMYFUNCTION("""COMPUTED_VALUE"""),"MANUEL HARVEY")</f>
        <v>MANUEL HARVEY</v>
      </c>
    </row>
    <row r="43">
      <c r="A43" s="131">
        <f>IFERROR(__xludf.DUMMYFUNCTION("""COMPUTED_VALUE"""),41.0)</f>
        <v>41</v>
      </c>
      <c r="B43" s="131"/>
      <c r="C43" s="131">
        <f>IFERROR(__xludf.DUMMYFUNCTION("""COMPUTED_VALUE"""),23.0)</f>
        <v>23</v>
      </c>
      <c r="D43" s="131" t="b">
        <f>IFERROR(__xludf.DUMMYFUNCTION("""COMPUTED_VALUE"""),FALSE)</f>
        <v>0</v>
      </c>
      <c r="E43" s="103" t="str">
        <f>IFERROR(__xludf.DUMMYFUNCTION("""COMPUTED_VALUE"""),"TABOY")</f>
        <v>TABOY</v>
      </c>
      <c r="F43" s="103" t="str">
        <f>IFERROR(__xludf.DUMMYFUNCTION("""COMPUTED_VALUE"""),"PRIMO KLYDE")</f>
        <v>PRIMO KLYDE</v>
      </c>
    </row>
    <row r="44">
      <c r="A44" s="131">
        <f>IFERROR(__xludf.DUMMYFUNCTION("""COMPUTED_VALUE"""),42.0)</f>
        <v>42</v>
      </c>
      <c r="B44" s="131"/>
      <c r="C44" s="131"/>
      <c r="D44" s="131" t="b">
        <f>IFERROR(__xludf.DUMMYFUNCTION("""COMPUTED_VALUE"""),FALSE)</f>
        <v>0</v>
      </c>
      <c r="E44" s="103"/>
      <c r="F44" s="103"/>
    </row>
    <row r="45">
      <c r="A45" s="131">
        <f>IFERROR(__xludf.DUMMYFUNCTION("""COMPUTED_VALUE"""),43.0)</f>
        <v>43</v>
      </c>
      <c r="B45" s="131"/>
      <c r="C45" s="131">
        <f>IFERROR(__xludf.DUMMYFUNCTION("""COMPUTED_VALUE"""),23.0)</f>
        <v>23</v>
      </c>
      <c r="D45" s="131" t="b">
        <f>IFERROR(__xludf.DUMMYFUNCTION("""COMPUTED_VALUE"""),FALSE)</f>
        <v>0</v>
      </c>
      <c r="E45" s="103" t="str">
        <f>IFERROR(__xludf.DUMMYFUNCTION("""COMPUTED_VALUE"""),"SABEJON")</f>
        <v>SABEJON</v>
      </c>
      <c r="F45" s="103" t="str">
        <f>IFERROR(__xludf.DUMMYFUNCTION("""COMPUTED_VALUE"""),"KENNETH")</f>
        <v>KENNETH</v>
      </c>
    </row>
    <row r="46">
      <c r="A46" s="131">
        <f>IFERROR(__xludf.DUMMYFUNCTION("""COMPUTED_VALUE"""),44.0)</f>
        <v>44</v>
      </c>
      <c r="B46" s="131"/>
      <c r="C46" s="131">
        <f>IFERROR(__xludf.DUMMYFUNCTION("""COMPUTED_VALUE"""),23.0)</f>
        <v>23</v>
      </c>
      <c r="D46" s="131" t="b">
        <f>IFERROR(__xludf.DUMMYFUNCTION("""COMPUTED_VALUE"""),FALSE)</f>
        <v>0</v>
      </c>
      <c r="E46" s="103" t="str">
        <f>IFERROR(__xludf.DUMMYFUNCTION("""COMPUTED_VALUE"""),"LIRRAG")</f>
        <v>LIRRAG</v>
      </c>
      <c r="F46" s="103" t="str">
        <f>IFERROR(__xludf.DUMMYFUNCTION("""COMPUTED_VALUE"""),"DAN EDRIK")</f>
        <v>DAN EDRIK</v>
      </c>
    </row>
    <row r="47">
      <c r="A47" s="131">
        <f>IFERROR(__xludf.DUMMYFUNCTION("""COMPUTED_VALUE"""),45.0)</f>
        <v>45</v>
      </c>
      <c r="B47" s="131"/>
      <c r="C47" s="131">
        <f>IFERROR(__xludf.DUMMYFUNCTION("""COMPUTED_VALUE"""),23.0)</f>
        <v>23</v>
      </c>
      <c r="D47" s="131" t="b">
        <f>IFERROR(__xludf.DUMMYFUNCTION("""COMPUTED_VALUE"""),FALSE)</f>
        <v>0</v>
      </c>
      <c r="E47" s="103" t="str">
        <f>IFERROR(__xludf.DUMMYFUNCTION("""COMPUTED_VALUE"""),"DELA ROSA")</f>
        <v>DELA ROSA</v>
      </c>
      <c r="F47" s="103" t="str">
        <f>IFERROR(__xludf.DUMMYFUNCTION("""COMPUTED_VALUE"""),"JOREVE")</f>
        <v>JOREVE</v>
      </c>
    </row>
    <row r="48">
      <c r="A48" s="131">
        <f>IFERROR(__xludf.DUMMYFUNCTION("""COMPUTED_VALUE"""),46.0)</f>
        <v>46</v>
      </c>
      <c r="B48" s="131"/>
      <c r="C48" s="131">
        <f>IFERROR(__xludf.DUMMYFUNCTION("""COMPUTED_VALUE"""),23.0)</f>
        <v>23</v>
      </c>
      <c r="D48" s="131" t="b">
        <f>IFERROR(__xludf.DUMMYFUNCTION("""COMPUTED_VALUE"""),FALSE)</f>
        <v>0</v>
      </c>
      <c r="E48" s="103" t="str">
        <f>IFERROR(__xludf.DUMMYFUNCTION("""COMPUTED_VALUE"""),"KOI")</f>
        <v>KOI</v>
      </c>
      <c r="F48" s="103" t="str">
        <f>IFERROR(__xludf.DUMMYFUNCTION("""COMPUTED_VALUE"""),"HERMYLYN")</f>
        <v>HERMYLYN</v>
      </c>
    </row>
    <row r="49">
      <c r="A49" s="131">
        <f>IFERROR(__xludf.DUMMYFUNCTION("""COMPUTED_VALUE"""),47.0)</f>
        <v>47</v>
      </c>
      <c r="B49" s="131"/>
      <c r="C49" s="131">
        <f>IFERROR(__xludf.DUMMYFUNCTION("""COMPUTED_VALUE"""),23.0)</f>
        <v>23</v>
      </c>
      <c r="D49" s="131" t="b">
        <f>IFERROR(__xludf.DUMMYFUNCTION("""COMPUTED_VALUE"""),FALSE)</f>
        <v>0</v>
      </c>
      <c r="E49" s="103" t="str">
        <f>IFERROR(__xludf.DUMMYFUNCTION("""COMPUTED_VALUE"""),"SILVANO")</f>
        <v>SILVANO</v>
      </c>
      <c r="F49" s="103" t="str">
        <f>IFERROR(__xludf.DUMMYFUNCTION("""COMPUTED_VALUE"""),"CRISJARED")</f>
        <v>CRISJARED</v>
      </c>
    </row>
    <row r="50">
      <c r="A50" s="131">
        <f>IFERROR(__xludf.DUMMYFUNCTION("""COMPUTED_VALUE"""),48.0)</f>
        <v>48</v>
      </c>
      <c r="B50" s="131"/>
      <c r="C50" s="131">
        <f>IFERROR(__xludf.DUMMYFUNCTION("""COMPUTED_VALUE"""),23.0)</f>
        <v>23</v>
      </c>
      <c r="D50" s="131" t="b">
        <f>IFERROR(__xludf.DUMMYFUNCTION("""COMPUTED_VALUE"""),FALSE)</f>
        <v>0</v>
      </c>
      <c r="E50" s="103" t="str">
        <f>IFERROR(__xludf.DUMMYFUNCTION("""COMPUTED_VALUE"""),"CORONEL")</f>
        <v>CORONEL</v>
      </c>
      <c r="F50" s="103" t="str">
        <f>IFERROR(__xludf.DUMMYFUNCTION("""COMPUTED_VALUE"""),"CARL CEDRICK")</f>
        <v>CARL CEDRICK</v>
      </c>
    </row>
    <row r="51">
      <c r="A51" s="131">
        <f>IFERROR(__xludf.DUMMYFUNCTION("""COMPUTED_VALUE"""),49.0)</f>
        <v>49</v>
      </c>
      <c r="B51" s="131"/>
      <c r="C51" s="131">
        <f>IFERROR(__xludf.DUMMYFUNCTION("""COMPUTED_VALUE"""),23.0)</f>
        <v>23</v>
      </c>
      <c r="D51" s="131" t="b">
        <f>IFERROR(__xludf.DUMMYFUNCTION("""COMPUTED_VALUE"""),FALSE)</f>
        <v>0</v>
      </c>
      <c r="E51" s="103" t="str">
        <f>IFERROR(__xludf.DUMMYFUNCTION("""COMPUTED_VALUE"""),"ORTALEZA")</f>
        <v>ORTALEZA</v>
      </c>
      <c r="F51" s="103" t="str">
        <f>IFERROR(__xludf.DUMMYFUNCTION("""COMPUTED_VALUE"""),"FROI FANCIS")</f>
        <v>FROI FANCIS</v>
      </c>
    </row>
    <row r="52">
      <c r="A52" s="131">
        <f>IFERROR(__xludf.DUMMYFUNCTION("""COMPUTED_VALUE"""),50.0)</f>
        <v>50</v>
      </c>
      <c r="B52" s="131"/>
      <c r="C52" s="131">
        <f>IFERROR(__xludf.DUMMYFUNCTION("""COMPUTED_VALUE"""),23.0)</f>
        <v>23</v>
      </c>
      <c r="D52" s="131" t="b">
        <f>IFERROR(__xludf.DUMMYFUNCTION("""COMPUTED_VALUE"""),FALSE)</f>
        <v>0</v>
      </c>
      <c r="E52" s="103" t="str">
        <f>IFERROR(__xludf.DUMMYFUNCTION("""COMPUTED_VALUE"""),"ESPOZO")</f>
        <v>ESPOZO</v>
      </c>
      <c r="F52" s="103" t="str">
        <f>IFERROR(__xludf.DUMMYFUNCTION("""COMPUTED_VALUE"""),"MAICA ELLA")</f>
        <v>MAICA ELLA</v>
      </c>
    </row>
    <row r="53">
      <c r="A53" s="131">
        <f>IFERROR(__xludf.DUMMYFUNCTION("""COMPUTED_VALUE"""),51.0)</f>
        <v>51</v>
      </c>
      <c r="B53" s="131"/>
      <c r="C53" s="131">
        <f>IFERROR(__xludf.DUMMYFUNCTION("""COMPUTED_VALUE"""),23.0)</f>
        <v>23</v>
      </c>
      <c r="D53" s="131" t="b">
        <f>IFERROR(__xludf.DUMMYFUNCTION("""COMPUTED_VALUE"""),FALSE)</f>
        <v>0</v>
      </c>
      <c r="E53" s="103" t="str">
        <f>IFERROR(__xludf.DUMMYFUNCTION("""COMPUTED_VALUE"""),"SOBERANO")</f>
        <v>SOBERANO</v>
      </c>
      <c r="F53" s="103" t="str">
        <f>IFERROR(__xludf.DUMMYFUNCTION("""COMPUTED_VALUE"""),"ZAIRUS")</f>
        <v>ZAIRUS</v>
      </c>
    </row>
    <row r="54">
      <c r="A54" s="131">
        <f>IFERROR(__xludf.DUMMYFUNCTION("""COMPUTED_VALUE"""),52.0)</f>
        <v>52</v>
      </c>
      <c r="B54" s="131"/>
      <c r="C54" s="131">
        <f>IFERROR(__xludf.DUMMYFUNCTION("""COMPUTED_VALUE"""),23.0)</f>
        <v>23</v>
      </c>
      <c r="D54" s="131" t="b">
        <f>IFERROR(__xludf.DUMMYFUNCTION("""COMPUTED_VALUE"""),FALSE)</f>
        <v>0</v>
      </c>
      <c r="E54" s="99" t="str">
        <f>IFERROR(__xludf.DUMMYFUNCTION("""COMPUTED_VALUE"""),"ERA")</f>
        <v>ERA</v>
      </c>
      <c r="F54" s="99" t="str">
        <f>IFERROR(__xludf.DUMMYFUNCTION("""COMPUTED_VALUE"""),"ANALEZA")</f>
        <v>ANALEZA</v>
      </c>
    </row>
    <row r="55">
      <c r="A55" s="131">
        <f>IFERROR(__xludf.DUMMYFUNCTION("""COMPUTED_VALUE"""),53.0)</f>
        <v>53</v>
      </c>
      <c r="B55" s="131"/>
      <c r="C55" s="131">
        <f>IFERROR(__xludf.DUMMYFUNCTION("""COMPUTED_VALUE"""),23.0)</f>
        <v>23</v>
      </c>
      <c r="D55" s="131" t="b">
        <f>IFERROR(__xludf.DUMMYFUNCTION("""COMPUTED_VALUE"""),FALSE)</f>
        <v>0</v>
      </c>
      <c r="E55" s="100" t="str">
        <f>IFERROR(__xludf.DUMMYFUNCTION("""COMPUTED_VALUE"""),"ARANA")</f>
        <v>ARANA</v>
      </c>
      <c r="F55" s="100" t="str">
        <f>IFERROR(__xludf.DUMMYFUNCTION("""COMPUTED_VALUE"""),"RHEANA")</f>
        <v>RHEANA</v>
      </c>
    </row>
    <row r="56">
      <c r="A56" s="131">
        <f>IFERROR(__xludf.DUMMYFUNCTION("""COMPUTED_VALUE"""),54.0)</f>
        <v>54</v>
      </c>
      <c r="B56" s="131"/>
      <c r="C56" s="131">
        <f>IFERROR(__xludf.DUMMYFUNCTION("""COMPUTED_VALUE"""),23.0)</f>
        <v>23</v>
      </c>
      <c r="D56" s="131" t="b">
        <f>IFERROR(__xludf.DUMMYFUNCTION("""COMPUTED_VALUE"""),FALSE)</f>
        <v>0</v>
      </c>
      <c r="E56" s="100" t="str">
        <f>IFERROR(__xludf.DUMMYFUNCTION("""COMPUTED_VALUE"""),"BANDE")</f>
        <v>BANDE</v>
      </c>
      <c r="F56" s="100" t="str">
        <f>IFERROR(__xludf.DUMMYFUNCTION("""COMPUTED_VALUE"""),"ERICA")</f>
        <v>ERICA</v>
      </c>
    </row>
    <row r="57">
      <c r="A57" s="131">
        <f>IFERROR(__xludf.DUMMYFUNCTION("""COMPUTED_VALUE"""),55.0)</f>
        <v>55</v>
      </c>
      <c r="B57" s="131"/>
      <c r="C57" s="131">
        <f>IFERROR(__xludf.DUMMYFUNCTION("""COMPUTED_VALUE"""),23.0)</f>
        <v>23</v>
      </c>
      <c r="D57" s="131" t="b">
        <f>IFERROR(__xludf.DUMMYFUNCTION("""COMPUTED_VALUE"""),FALSE)</f>
        <v>0</v>
      </c>
      <c r="E57" s="100" t="str">
        <f>IFERROR(__xludf.DUMMYFUNCTION("""COMPUTED_VALUE"""),"DEL ROSARIO")</f>
        <v>DEL ROSARIO</v>
      </c>
      <c r="F57" s="100" t="str">
        <f>IFERROR(__xludf.DUMMYFUNCTION("""COMPUTED_VALUE"""),"JOY")</f>
        <v>JOY</v>
      </c>
    </row>
    <row r="58">
      <c r="A58" s="131">
        <f>IFERROR(__xludf.DUMMYFUNCTION("""COMPUTED_VALUE"""),56.0)</f>
        <v>56</v>
      </c>
      <c r="B58" s="131"/>
      <c r="C58" s="131">
        <f>IFERROR(__xludf.DUMMYFUNCTION("""COMPUTED_VALUE"""),23.0)</f>
        <v>23</v>
      </c>
      <c r="D58" s="131" t="b">
        <f>IFERROR(__xludf.DUMMYFUNCTION("""COMPUTED_VALUE"""),FALSE)</f>
        <v>0</v>
      </c>
      <c r="E58" s="100" t="str">
        <f>IFERROR(__xludf.DUMMYFUNCTION("""COMPUTED_VALUE"""),"GUETA")</f>
        <v>GUETA</v>
      </c>
      <c r="F58" s="100" t="str">
        <f>IFERROR(__xludf.DUMMYFUNCTION("""COMPUTED_VALUE"""),"SEYVEL")</f>
        <v>SEYVEL</v>
      </c>
    </row>
    <row r="59">
      <c r="A59" s="131">
        <f>IFERROR(__xludf.DUMMYFUNCTION("""COMPUTED_VALUE"""),57.0)</f>
        <v>57</v>
      </c>
      <c r="B59" s="131"/>
      <c r="C59" s="131">
        <f>IFERROR(__xludf.DUMMYFUNCTION("""COMPUTED_VALUE"""),23.0)</f>
        <v>23</v>
      </c>
      <c r="D59" s="131" t="b">
        <f>IFERROR(__xludf.DUMMYFUNCTION("""COMPUTED_VALUE"""),FALSE)</f>
        <v>0</v>
      </c>
      <c r="E59" s="100" t="str">
        <f>IFERROR(__xludf.DUMMYFUNCTION("""COMPUTED_VALUE"""),"MALIPOT")</f>
        <v>MALIPOT</v>
      </c>
      <c r="F59" s="100" t="str">
        <f>IFERROR(__xludf.DUMMYFUNCTION("""COMPUTED_VALUE"""),"JUSTINE")</f>
        <v>JUSTINE</v>
      </c>
    </row>
    <row r="60">
      <c r="A60" s="131">
        <f>IFERROR(__xludf.DUMMYFUNCTION("""COMPUTED_VALUE"""),58.0)</f>
        <v>58</v>
      </c>
      <c r="B60" s="131"/>
      <c r="C60" s="131">
        <f>IFERROR(__xludf.DUMMYFUNCTION("""COMPUTED_VALUE"""),23.0)</f>
        <v>23</v>
      </c>
      <c r="D60" s="131" t="b">
        <f>IFERROR(__xludf.DUMMYFUNCTION("""COMPUTED_VALUE"""),FALSE)</f>
        <v>0</v>
      </c>
      <c r="E60" s="100" t="str">
        <f>IFERROR(__xludf.DUMMYFUNCTION("""COMPUTED_VALUE"""),"PATRICIO")</f>
        <v>PATRICIO</v>
      </c>
      <c r="F60" s="100" t="str">
        <f>IFERROR(__xludf.DUMMYFUNCTION("""COMPUTED_VALUE"""),"VANESSA")</f>
        <v>VANESSA</v>
      </c>
    </row>
    <row r="61">
      <c r="A61" s="131">
        <f>IFERROR(__xludf.DUMMYFUNCTION("""COMPUTED_VALUE"""),59.0)</f>
        <v>59</v>
      </c>
      <c r="B61" s="131"/>
      <c r="C61" s="131">
        <f>IFERROR(__xludf.DUMMYFUNCTION("""COMPUTED_VALUE"""),23.0)</f>
        <v>23</v>
      </c>
      <c r="D61" s="131" t="b">
        <f>IFERROR(__xludf.DUMMYFUNCTION("""COMPUTED_VALUE"""),FALSE)</f>
        <v>0</v>
      </c>
      <c r="E61" s="100" t="str">
        <f>IFERROR(__xludf.DUMMYFUNCTION("""COMPUTED_VALUE"""),"PONCE")</f>
        <v>PONCE</v>
      </c>
      <c r="F61" s="100" t="str">
        <f>IFERROR(__xludf.DUMMYFUNCTION("""COMPUTED_VALUE"""),"SHEENA")</f>
        <v>SHEENA</v>
      </c>
    </row>
    <row r="62">
      <c r="A62" s="131">
        <f>IFERROR(__xludf.DUMMYFUNCTION("""COMPUTED_VALUE"""),60.0)</f>
        <v>60</v>
      </c>
      <c r="B62" s="131"/>
      <c r="C62" s="131">
        <f>IFERROR(__xludf.DUMMYFUNCTION("""COMPUTED_VALUE"""),23.0)</f>
        <v>23</v>
      </c>
      <c r="D62" s="131" t="b">
        <f>IFERROR(__xludf.DUMMYFUNCTION("""COMPUTED_VALUE"""),FALSE)</f>
        <v>0</v>
      </c>
      <c r="E62" s="100" t="str">
        <f>IFERROR(__xludf.DUMMYFUNCTION("""COMPUTED_VALUE"""),"RAMOS")</f>
        <v>RAMOS</v>
      </c>
      <c r="F62" s="100" t="str">
        <f>IFERROR(__xludf.DUMMYFUNCTION("""COMPUTED_VALUE"""),"AA")</f>
        <v>AA</v>
      </c>
    </row>
    <row r="63">
      <c r="A63" s="131">
        <f>IFERROR(__xludf.DUMMYFUNCTION("""COMPUTED_VALUE"""),61.0)</f>
        <v>61</v>
      </c>
      <c r="B63" s="131"/>
      <c r="C63" s="131">
        <f>IFERROR(__xludf.DUMMYFUNCTION("""COMPUTED_VALUE"""),23.0)</f>
        <v>23</v>
      </c>
      <c r="D63" s="131" t="b">
        <f>IFERROR(__xludf.DUMMYFUNCTION("""COMPUTED_VALUE"""),FALSE)</f>
        <v>0</v>
      </c>
      <c r="E63" s="100" t="str">
        <f>IFERROR(__xludf.DUMMYFUNCTION("""COMPUTED_VALUE"""),"REPUBLO")</f>
        <v>REPUBLO</v>
      </c>
      <c r="F63" s="100" t="str">
        <f>IFERROR(__xludf.DUMMYFUNCTION("""COMPUTED_VALUE"""),"CLARISSA")</f>
        <v>CLARISSA</v>
      </c>
    </row>
    <row r="64">
      <c r="A64" s="131">
        <f>IFERROR(__xludf.DUMMYFUNCTION("""COMPUTED_VALUE"""),62.0)</f>
        <v>62</v>
      </c>
      <c r="B64" s="131"/>
      <c r="C64" s="131">
        <f>IFERROR(__xludf.DUMMYFUNCTION("""COMPUTED_VALUE"""),23.0)</f>
        <v>23</v>
      </c>
      <c r="D64" s="131" t="b">
        <f>IFERROR(__xludf.DUMMYFUNCTION("""COMPUTED_VALUE"""),FALSE)</f>
        <v>0</v>
      </c>
      <c r="E64" s="100"/>
      <c r="F64" s="100" t="str">
        <f>IFERROR(__xludf.DUMMYFUNCTION("""COMPUTED_VALUE"""),"JENNY")</f>
        <v>JENNY</v>
      </c>
    </row>
    <row r="65">
      <c r="A65" s="131">
        <f>IFERROR(__xludf.DUMMYFUNCTION("""COMPUTED_VALUE"""),63.0)</f>
        <v>63</v>
      </c>
      <c r="B65" s="131"/>
      <c r="C65" s="131">
        <f>IFERROR(__xludf.DUMMYFUNCTION("""COMPUTED_VALUE"""),23.0)</f>
        <v>23</v>
      </c>
      <c r="D65" s="131" t="b">
        <f>IFERROR(__xludf.DUMMYFUNCTION("""COMPUTED_VALUE"""),FALSE)</f>
        <v>0</v>
      </c>
      <c r="E65" s="99" t="str">
        <f>IFERROR(__xludf.DUMMYFUNCTION("""COMPUTED_VALUE"""),"MAGISTRADO")</f>
        <v>MAGISTRADO</v>
      </c>
      <c r="F65" s="99" t="str">
        <f>IFERROR(__xludf.DUMMYFUNCTION("""COMPUTED_VALUE"""),"ERICA")</f>
        <v>ERICA</v>
      </c>
    </row>
    <row r="66">
      <c r="A66" s="131">
        <f>IFERROR(__xludf.DUMMYFUNCTION("""COMPUTED_VALUE"""),64.0)</f>
        <v>64</v>
      </c>
      <c r="B66" s="131"/>
      <c r="C66" s="131">
        <f>IFERROR(__xludf.DUMMYFUNCTION("""COMPUTED_VALUE"""),23.0)</f>
        <v>23</v>
      </c>
      <c r="D66" s="131" t="b">
        <f>IFERROR(__xludf.DUMMYFUNCTION("""COMPUTED_VALUE"""),FALSE)</f>
        <v>0</v>
      </c>
      <c r="E66" s="100" t="str">
        <f>IFERROR(__xludf.DUMMYFUNCTION("""COMPUTED_VALUE"""),"CARANGUIAN")</f>
        <v>CARANGUIAN</v>
      </c>
      <c r="F66" s="100" t="str">
        <f>IFERROR(__xludf.DUMMYFUNCTION("""COMPUTED_VALUE"""),"DIVINA GRACE")</f>
        <v>DIVINA GRACE</v>
      </c>
    </row>
    <row r="67">
      <c r="A67" s="131">
        <f>IFERROR(__xludf.DUMMYFUNCTION("""COMPUTED_VALUE"""),65.0)</f>
        <v>65</v>
      </c>
      <c r="B67" s="131"/>
      <c r="C67" s="131">
        <f>IFERROR(__xludf.DUMMYFUNCTION("""COMPUTED_VALUE"""),23.0)</f>
        <v>23</v>
      </c>
      <c r="D67" s="131" t="b">
        <f>IFERROR(__xludf.DUMMYFUNCTION("""COMPUTED_VALUE"""),FALSE)</f>
        <v>0</v>
      </c>
      <c r="E67" s="100" t="str">
        <f>IFERROR(__xludf.DUMMYFUNCTION("""COMPUTED_VALUE"""),"ERA")</f>
        <v>ERA</v>
      </c>
      <c r="F67" s="100" t="str">
        <f>IFERROR(__xludf.DUMMYFUNCTION("""COMPUTED_VALUE"""),"CHRISTINA")</f>
        <v>CHRISTINA</v>
      </c>
    </row>
    <row r="68">
      <c r="A68" s="131">
        <f>IFERROR(__xludf.DUMMYFUNCTION("""COMPUTED_VALUE"""),66.0)</f>
        <v>66</v>
      </c>
      <c r="B68" s="131"/>
      <c r="C68" s="131">
        <f>IFERROR(__xludf.DUMMYFUNCTION("""COMPUTED_VALUE"""),23.0)</f>
        <v>23</v>
      </c>
      <c r="D68" s="131" t="b">
        <f>IFERROR(__xludf.DUMMYFUNCTION("""COMPUTED_VALUE"""),FALSE)</f>
        <v>0</v>
      </c>
      <c r="E68" s="100" t="str">
        <f>IFERROR(__xludf.DUMMYFUNCTION("""COMPUTED_VALUE"""),"MAGISTRADO")</f>
        <v>MAGISTRADO</v>
      </c>
      <c r="F68" s="100" t="str">
        <f>IFERROR(__xludf.DUMMYFUNCTION("""COMPUTED_VALUE"""),"LOVELY")</f>
        <v>LOVELY</v>
      </c>
    </row>
    <row r="69">
      <c r="A69" s="131">
        <f>IFERROR(__xludf.DUMMYFUNCTION("""COMPUTED_VALUE"""),67.0)</f>
        <v>67</v>
      </c>
      <c r="B69" s="131"/>
      <c r="C69" s="131">
        <f>IFERROR(__xludf.DUMMYFUNCTION("""COMPUTED_VALUE"""),23.0)</f>
        <v>23</v>
      </c>
      <c r="D69" s="131" t="b">
        <f>IFERROR(__xludf.DUMMYFUNCTION("""COMPUTED_VALUE"""),FALSE)</f>
        <v>0</v>
      </c>
      <c r="E69" s="100" t="str">
        <f>IFERROR(__xludf.DUMMYFUNCTION("""COMPUTED_VALUE"""),"PACLITA")</f>
        <v>PACLITA</v>
      </c>
      <c r="F69" s="100" t="str">
        <f>IFERROR(__xludf.DUMMYFUNCTION("""COMPUTED_VALUE"""),"CHERRY ANN")</f>
        <v>CHERRY ANN</v>
      </c>
    </row>
    <row r="70">
      <c r="A70" s="131">
        <f>IFERROR(__xludf.DUMMYFUNCTION("""COMPUTED_VALUE"""),68.0)</f>
        <v>68</v>
      </c>
      <c r="B70" s="131"/>
      <c r="C70" s="131">
        <f>IFERROR(__xludf.DUMMYFUNCTION("""COMPUTED_VALUE"""),23.0)</f>
        <v>23</v>
      </c>
      <c r="D70" s="131" t="b">
        <f>IFERROR(__xludf.DUMMYFUNCTION("""COMPUTED_VALUE"""),FALSE)</f>
        <v>0</v>
      </c>
      <c r="E70" s="100" t="str">
        <f>IFERROR(__xludf.DUMMYFUNCTION("""COMPUTED_VALUE"""),"PALOMA")</f>
        <v>PALOMA</v>
      </c>
      <c r="F70" s="100" t="str">
        <f>IFERROR(__xludf.DUMMYFUNCTION("""COMPUTED_VALUE"""),"ALEAH")</f>
        <v>ALEAH</v>
      </c>
    </row>
    <row r="71">
      <c r="A71" s="131">
        <f>IFERROR(__xludf.DUMMYFUNCTION("""COMPUTED_VALUE"""),69.0)</f>
        <v>69</v>
      </c>
      <c r="B71" s="131"/>
      <c r="C71" s="131">
        <f>IFERROR(__xludf.DUMMYFUNCTION("""COMPUTED_VALUE"""),23.0)</f>
        <v>23</v>
      </c>
      <c r="D71" s="131" t="b">
        <f>IFERROR(__xludf.DUMMYFUNCTION("""COMPUTED_VALUE"""),FALSE)</f>
        <v>0</v>
      </c>
      <c r="E71" s="100" t="str">
        <f>IFERROR(__xludf.DUMMYFUNCTION("""COMPUTED_VALUE"""),"SATURINAS")</f>
        <v>SATURINAS</v>
      </c>
      <c r="F71" s="100" t="str">
        <f>IFERROR(__xludf.DUMMYFUNCTION("""COMPUTED_VALUE"""),"ALEXANDRA GRACE")</f>
        <v>ALEXANDRA GRACE</v>
      </c>
    </row>
    <row r="72">
      <c r="A72" s="131">
        <f>IFERROR(__xludf.DUMMYFUNCTION("""COMPUTED_VALUE"""),70.0)</f>
        <v>70</v>
      </c>
      <c r="B72" s="131"/>
      <c r="C72" s="131">
        <f>IFERROR(__xludf.DUMMYFUNCTION("""COMPUTED_VALUE"""),23.0)</f>
        <v>23</v>
      </c>
      <c r="D72" s="131" t="b">
        <f>IFERROR(__xludf.DUMMYFUNCTION("""COMPUTED_VALUE"""),FALSE)</f>
        <v>0</v>
      </c>
      <c r="E72" s="101" t="str">
        <f>IFERROR(__xludf.DUMMYFUNCTION("""COMPUTED_VALUE"""),"RONQUILLO")</f>
        <v>RONQUILLO</v>
      </c>
      <c r="F72" s="101" t="str">
        <f>IFERROR(__xludf.DUMMYFUNCTION("""COMPUTED_VALUE"""),"SHANE")</f>
        <v>SHANE</v>
      </c>
    </row>
    <row r="73">
      <c r="A73" s="131">
        <f>IFERROR(__xludf.DUMMYFUNCTION("""COMPUTED_VALUE"""),71.0)</f>
        <v>71</v>
      </c>
      <c r="B73" s="131"/>
      <c r="C73" s="131">
        <f>IFERROR(__xludf.DUMMYFUNCTION("""COMPUTED_VALUE"""),23.0)</f>
        <v>23</v>
      </c>
      <c r="D73" s="131" t="b">
        <f>IFERROR(__xludf.DUMMYFUNCTION("""COMPUTED_VALUE"""),FALSE)</f>
        <v>0</v>
      </c>
      <c r="E73" s="101" t="str">
        <f>IFERROR(__xludf.DUMMYFUNCTION("""COMPUTED_VALUE"""),"MARFIL")</f>
        <v>MARFIL</v>
      </c>
      <c r="F73" s="104" t="str">
        <f>IFERROR(__xludf.DUMMYFUNCTION("""COMPUTED_VALUE"""),"ADELAIZA")</f>
        <v>ADELAIZA</v>
      </c>
    </row>
    <row r="74">
      <c r="A74" s="131">
        <f>IFERROR(__xludf.DUMMYFUNCTION("""COMPUTED_VALUE"""),72.0)</f>
        <v>72</v>
      </c>
      <c r="B74" s="131"/>
      <c r="C74" s="131">
        <f>IFERROR(__xludf.DUMMYFUNCTION("""COMPUTED_VALUE"""),23.0)</f>
        <v>23</v>
      </c>
      <c r="D74" s="131" t="b">
        <f>IFERROR(__xludf.DUMMYFUNCTION("""COMPUTED_VALUE"""),FALSE)</f>
        <v>0</v>
      </c>
      <c r="E74" s="101" t="str">
        <f>IFERROR(__xludf.DUMMYFUNCTION("""COMPUTED_VALUE"""),"PERALTA")</f>
        <v>PERALTA</v>
      </c>
      <c r="F74" s="101" t="str">
        <f>IFERROR(__xludf.DUMMYFUNCTION("""COMPUTED_VALUE"""),"ALAICA")</f>
        <v>ALAICA</v>
      </c>
    </row>
    <row r="75">
      <c r="A75" s="131">
        <f>IFERROR(__xludf.DUMMYFUNCTION("""COMPUTED_VALUE"""),73.0)</f>
        <v>73</v>
      </c>
      <c r="B75" s="131"/>
      <c r="C75" s="131">
        <f>IFERROR(__xludf.DUMMYFUNCTION("""COMPUTED_VALUE"""),23.0)</f>
        <v>23</v>
      </c>
      <c r="D75" s="131" t="b">
        <f>IFERROR(__xludf.DUMMYFUNCTION("""COMPUTED_VALUE"""),FALSE)</f>
        <v>0</v>
      </c>
      <c r="E75" s="101"/>
      <c r="F75" s="101" t="str">
        <f>IFERROR(__xludf.DUMMYFUNCTION("""COMPUTED_VALUE"""),"ALISA")</f>
        <v>ALISA</v>
      </c>
    </row>
    <row r="76">
      <c r="A76" s="131">
        <f>IFERROR(__xludf.DUMMYFUNCTION("""COMPUTED_VALUE"""),74.0)</f>
        <v>74</v>
      </c>
      <c r="B76" s="131"/>
      <c r="C76" s="131">
        <f>IFERROR(__xludf.DUMMYFUNCTION("""COMPUTED_VALUE"""),23.0)</f>
        <v>23</v>
      </c>
      <c r="D76" s="131" t="b">
        <f>IFERROR(__xludf.DUMMYFUNCTION("""COMPUTED_VALUE"""),FALSE)</f>
        <v>0</v>
      </c>
      <c r="E76" s="101" t="str">
        <f>IFERROR(__xludf.DUMMYFUNCTION("""COMPUTED_VALUE"""),"VILLANUEVA")</f>
        <v>VILLANUEVA</v>
      </c>
      <c r="F76" s="101" t="str">
        <f>IFERROR(__xludf.DUMMYFUNCTION("""COMPUTED_VALUE"""),"SOFIA")</f>
        <v>SOFIA</v>
      </c>
    </row>
    <row r="77">
      <c r="A77" s="131">
        <f>IFERROR(__xludf.DUMMYFUNCTION("""COMPUTED_VALUE"""),75.0)</f>
        <v>75</v>
      </c>
      <c r="B77" s="131"/>
      <c r="C77" s="131">
        <f>IFERROR(__xludf.DUMMYFUNCTION("""COMPUTED_VALUE"""),23.0)</f>
        <v>23</v>
      </c>
      <c r="D77" s="131" t="b">
        <f>IFERROR(__xludf.DUMMYFUNCTION("""COMPUTED_VALUE"""),FALSE)</f>
        <v>0</v>
      </c>
      <c r="E77" s="101" t="str">
        <f>IFERROR(__xludf.DUMMYFUNCTION("""COMPUTED_VALUE"""),"TAKEYAMA")</f>
        <v>TAKEYAMA</v>
      </c>
      <c r="F77" s="101" t="str">
        <f>IFERROR(__xludf.DUMMYFUNCTION("""COMPUTED_VALUE"""),"YUKA")</f>
        <v>YUKA</v>
      </c>
    </row>
    <row r="78">
      <c r="A78" s="131">
        <f>IFERROR(__xludf.DUMMYFUNCTION("""COMPUTED_VALUE"""),76.0)</f>
        <v>76</v>
      </c>
      <c r="B78" s="131"/>
      <c r="C78" s="131">
        <f>IFERROR(__xludf.DUMMYFUNCTION("""COMPUTED_VALUE"""),76.0)</f>
        <v>76</v>
      </c>
      <c r="D78" s="131" t="b">
        <f>IFERROR(__xludf.DUMMYFUNCTION("""COMPUTED_VALUE"""),TRUE)</f>
        <v>1</v>
      </c>
      <c r="E78" s="105" t="str">
        <f>IFERROR(__xludf.DUMMYFUNCTION("""COMPUTED_VALUE"""),"ANTONIO")</f>
        <v>ANTONIO</v>
      </c>
      <c r="F78" s="105" t="str">
        <f>IFERROR(__xludf.DUMMYFUNCTION("""COMPUTED_VALUE"""),"CHOLO MIGUEL")</f>
        <v>CHOLO MIGUEL</v>
      </c>
    </row>
    <row r="79">
      <c r="A79" s="131">
        <f>IFERROR(__xludf.DUMMYFUNCTION("""COMPUTED_VALUE"""),77.0)</f>
        <v>77</v>
      </c>
      <c r="B79" s="131"/>
      <c r="C79" s="131">
        <f>IFERROR(__xludf.DUMMYFUNCTION("""COMPUTED_VALUE"""),76.0)</f>
        <v>76</v>
      </c>
      <c r="D79" s="131" t="b">
        <f>IFERROR(__xludf.DUMMYFUNCTION("""COMPUTED_VALUE"""),FALSE)</f>
        <v>0</v>
      </c>
      <c r="E79" s="106" t="str">
        <f>IFERROR(__xludf.DUMMYFUNCTION("""COMPUTED_VALUE"""),"ELCANA")</f>
        <v>ELCANA</v>
      </c>
      <c r="F79" s="106" t="str">
        <f>IFERROR(__xludf.DUMMYFUNCTION("""COMPUTED_VALUE"""),"JOAQUIN")</f>
        <v>JOAQUIN</v>
      </c>
    </row>
    <row r="80">
      <c r="A80" s="131">
        <f>IFERROR(__xludf.DUMMYFUNCTION("""COMPUTED_VALUE"""),78.0)</f>
        <v>78</v>
      </c>
      <c r="B80" s="131"/>
      <c r="C80" s="131">
        <f>IFERROR(__xludf.DUMMYFUNCTION("""COMPUTED_VALUE"""),76.0)</f>
        <v>76</v>
      </c>
      <c r="D80" s="131" t="b">
        <f>IFERROR(__xludf.DUMMYFUNCTION("""COMPUTED_VALUE"""),FALSE)</f>
        <v>0</v>
      </c>
      <c r="E80" s="107" t="str">
        <f>IFERROR(__xludf.DUMMYFUNCTION("""COMPUTED_VALUE"""),"VILLARTA")</f>
        <v>VILLARTA</v>
      </c>
      <c r="F80" s="107" t="str">
        <f>IFERROR(__xludf.DUMMYFUNCTION("""COMPUTED_VALUE"""),"JEXTER")</f>
        <v>JEXTER</v>
      </c>
    </row>
    <row r="81">
      <c r="A81" s="131">
        <f>IFERROR(__xludf.DUMMYFUNCTION("""COMPUTED_VALUE"""),79.0)</f>
        <v>79</v>
      </c>
      <c r="B81" s="131"/>
      <c r="C81" s="131">
        <f>IFERROR(__xludf.DUMMYFUNCTION("""COMPUTED_VALUE"""),76.0)</f>
        <v>76</v>
      </c>
      <c r="D81" s="131" t="b">
        <f>IFERROR(__xludf.DUMMYFUNCTION("""COMPUTED_VALUE"""),FALSE)</f>
        <v>0</v>
      </c>
      <c r="E81" s="107" t="str">
        <f>IFERROR(__xludf.DUMMYFUNCTION("""COMPUTED_VALUE"""),"MANUYAG")</f>
        <v>MANUYAG</v>
      </c>
      <c r="F81" s="107" t="str">
        <f>IFERROR(__xludf.DUMMYFUNCTION("""COMPUTED_VALUE"""),"RAYVER")</f>
        <v>RAYVER</v>
      </c>
    </row>
    <row r="82">
      <c r="A82" s="131">
        <f>IFERROR(__xludf.DUMMYFUNCTION("""COMPUTED_VALUE"""),80.0)</f>
        <v>80</v>
      </c>
      <c r="B82" s="131"/>
      <c r="C82" s="131">
        <f>IFERROR(__xludf.DUMMYFUNCTION("""COMPUTED_VALUE"""),76.0)</f>
        <v>76</v>
      </c>
      <c r="D82" s="131" t="b">
        <f>IFERROR(__xludf.DUMMYFUNCTION("""COMPUTED_VALUE"""),FALSE)</f>
        <v>0</v>
      </c>
      <c r="E82" s="108" t="str">
        <f>IFERROR(__xludf.DUMMYFUNCTION("""COMPUTED_VALUE"""),"RAAGAS")</f>
        <v>RAAGAS</v>
      </c>
      <c r="F82" s="108" t="str">
        <f>IFERROR(__xludf.DUMMYFUNCTION("""COMPUTED_VALUE"""),"PRINCE JHAMIR (YOHAN)")</f>
        <v>PRINCE JHAMIR (YOHAN)</v>
      </c>
    </row>
    <row r="83">
      <c r="A83" s="131">
        <f>IFERROR(__xludf.DUMMYFUNCTION("""COMPUTED_VALUE"""),81.0)</f>
        <v>81</v>
      </c>
      <c r="B83" s="131"/>
      <c r="C83" s="131">
        <f>IFERROR(__xludf.DUMMYFUNCTION("""COMPUTED_VALUE"""),76.0)</f>
        <v>76</v>
      </c>
      <c r="D83" s="131" t="b">
        <f>IFERROR(__xludf.DUMMYFUNCTION("""COMPUTED_VALUE"""),FALSE)</f>
        <v>0</v>
      </c>
      <c r="E83" s="107" t="str">
        <f>IFERROR(__xludf.DUMMYFUNCTION("""COMPUTED_VALUE"""),"MALOLOY-ON")</f>
        <v>MALOLOY-ON</v>
      </c>
      <c r="F83" s="107" t="str">
        <f>IFERROR(__xludf.DUMMYFUNCTION("""COMPUTED_VALUE"""),"HARLEY")</f>
        <v>HARLEY</v>
      </c>
    </row>
    <row r="84">
      <c r="A84" s="131">
        <f>IFERROR(__xludf.DUMMYFUNCTION("""COMPUTED_VALUE"""),82.0)</f>
        <v>82</v>
      </c>
      <c r="B84" s="131"/>
      <c r="C84" s="131">
        <f>IFERROR(__xludf.DUMMYFUNCTION("""COMPUTED_VALUE"""),76.0)</f>
        <v>76</v>
      </c>
      <c r="D84" s="131" t="b">
        <f>IFERROR(__xludf.DUMMYFUNCTION("""COMPUTED_VALUE"""),FALSE)</f>
        <v>0</v>
      </c>
      <c r="E84" s="106" t="str">
        <f>IFERROR(__xludf.DUMMYFUNCTION("""COMPUTED_VALUE"""),"MEDINA")</f>
        <v>MEDINA</v>
      </c>
      <c r="F84" s="106" t="str">
        <f>IFERROR(__xludf.DUMMYFUNCTION("""COMPUTED_VALUE"""),"JOHN PAUL")</f>
        <v>JOHN PAUL</v>
      </c>
    </row>
    <row r="85">
      <c r="A85" s="131">
        <f>IFERROR(__xludf.DUMMYFUNCTION("""COMPUTED_VALUE"""),83.0)</f>
        <v>83</v>
      </c>
      <c r="B85" s="131"/>
      <c r="C85" s="131">
        <f>IFERROR(__xludf.DUMMYFUNCTION("""COMPUTED_VALUE"""),76.0)</f>
        <v>76</v>
      </c>
      <c r="D85" s="131" t="b">
        <f>IFERROR(__xludf.DUMMYFUNCTION("""COMPUTED_VALUE"""),FALSE)</f>
        <v>0</v>
      </c>
      <c r="E85" s="107" t="str">
        <f>IFERROR(__xludf.DUMMYFUNCTION("""COMPUTED_VALUE"""),"SALTA")</f>
        <v>SALTA</v>
      </c>
      <c r="F85" s="107" t="str">
        <f>IFERROR(__xludf.DUMMYFUNCTION("""COMPUTED_VALUE"""),"KARL")</f>
        <v>KARL</v>
      </c>
    </row>
    <row r="86">
      <c r="A86" s="131">
        <f>IFERROR(__xludf.DUMMYFUNCTION("""COMPUTED_VALUE"""),84.0)</f>
        <v>84</v>
      </c>
      <c r="B86" s="131"/>
      <c r="C86" s="131">
        <f>IFERROR(__xludf.DUMMYFUNCTION("""COMPUTED_VALUE"""),76.0)</f>
        <v>76</v>
      </c>
      <c r="D86" s="131" t="b">
        <f>IFERROR(__xludf.DUMMYFUNCTION("""COMPUTED_VALUE"""),FALSE)</f>
        <v>0</v>
      </c>
      <c r="E86" s="107" t="str">
        <f>IFERROR(__xludf.DUMMYFUNCTION("""COMPUTED_VALUE"""),"ROBLOS")</f>
        <v>ROBLOS</v>
      </c>
      <c r="F86" s="107" t="str">
        <f>IFERROR(__xludf.DUMMYFUNCTION("""COMPUTED_VALUE"""),"CEDRIC")</f>
        <v>CEDRIC</v>
      </c>
    </row>
    <row r="87">
      <c r="A87" s="131">
        <f>IFERROR(__xludf.DUMMYFUNCTION("""COMPUTED_VALUE"""),85.0)</f>
        <v>85</v>
      </c>
      <c r="B87" s="131"/>
      <c r="C87" s="131">
        <f>IFERROR(__xludf.DUMMYFUNCTION("""COMPUTED_VALUE"""),76.0)</f>
        <v>76</v>
      </c>
      <c r="D87" s="131" t="b">
        <f>IFERROR(__xludf.DUMMYFUNCTION("""COMPUTED_VALUE"""),FALSE)</f>
        <v>0</v>
      </c>
      <c r="E87" s="107" t="str">
        <f>IFERROR(__xludf.DUMMYFUNCTION("""COMPUTED_VALUE"""),"RIVAS")</f>
        <v>RIVAS</v>
      </c>
      <c r="F87" s="107" t="str">
        <f>IFERROR(__xludf.DUMMYFUNCTION("""COMPUTED_VALUE"""),"RAY ALLEN")</f>
        <v>RAY ALLEN</v>
      </c>
    </row>
    <row r="88">
      <c r="A88" s="131">
        <f>IFERROR(__xludf.DUMMYFUNCTION("""COMPUTED_VALUE"""),86.0)</f>
        <v>86</v>
      </c>
      <c r="B88" s="131"/>
      <c r="C88" s="131">
        <f>IFERROR(__xludf.DUMMYFUNCTION("""COMPUTED_VALUE"""),76.0)</f>
        <v>76</v>
      </c>
      <c r="D88" s="131" t="b">
        <f>IFERROR(__xludf.DUMMYFUNCTION("""COMPUTED_VALUE"""),FALSE)</f>
        <v>0</v>
      </c>
      <c r="E88" s="107" t="str">
        <f>IFERROR(__xludf.DUMMYFUNCTION("""COMPUTED_VALUE"""),"MAGDANGAN")</f>
        <v>MAGDANGAN</v>
      </c>
      <c r="F88" s="107" t="str">
        <f>IFERROR(__xludf.DUMMYFUNCTION("""COMPUTED_VALUE"""),"DENMARK")</f>
        <v>DENMARK</v>
      </c>
    </row>
    <row r="89">
      <c r="A89" s="131">
        <f>IFERROR(__xludf.DUMMYFUNCTION("""COMPUTED_VALUE"""),87.0)</f>
        <v>87</v>
      </c>
      <c r="B89" s="131"/>
      <c r="C89" s="131">
        <f>IFERROR(__xludf.DUMMYFUNCTION("""COMPUTED_VALUE"""),76.0)</f>
        <v>76</v>
      </c>
      <c r="D89" s="131" t="b">
        <f>IFERROR(__xludf.DUMMYFUNCTION("""COMPUTED_VALUE"""),FALSE)</f>
        <v>0</v>
      </c>
      <c r="E89" s="106" t="str">
        <f>IFERROR(__xludf.DUMMYFUNCTION("""COMPUTED_VALUE"""),"SABONG")</f>
        <v>SABONG</v>
      </c>
      <c r="F89" s="106" t="str">
        <f>IFERROR(__xludf.DUMMYFUNCTION("""COMPUTED_VALUE"""),"VINCE")</f>
        <v>VINCE</v>
      </c>
    </row>
    <row r="90">
      <c r="A90" s="131">
        <f>IFERROR(__xludf.DUMMYFUNCTION("""COMPUTED_VALUE"""),88.0)</f>
        <v>88</v>
      </c>
      <c r="B90" s="131"/>
      <c r="C90" s="131">
        <f>IFERROR(__xludf.DUMMYFUNCTION("""COMPUTED_VALUE"""),76.0)</f>
        <v>76</v>
      </c>
      <c r="D90" s="131" t="b">
        <f>IFERROR(__xludf.DUMMYFUNCTION("""COMPUTED_VALUE"""),FALSE)</f>
        <v>0</v>
      </c>
      <c r="E90" s="107" t="str">
        <f>IFERROR(__xludf.DUMMYFUNCTION("""COMPUTED_VALUE"""),"AQUINO")</f>
        <v>AQUINO</v>
      </c>
      <c r="F90" s="107" t="str">
        <f>IFERROR(__xludf.DUMMYFUNCTION("""COMPUTED_VALUE"""),"MARVIN")</f>
        <v>MARVIN</v>
      </c>
    </row>
    <row r="91">
      <c r="A91" s="131">
        <f>IFERROR(__xludf.DUMMYFUNCTION("""COMPUTED_VALUE"""),89.0)</f>
        <v>89</v>
      </c>
      <c r="B91" s="131"/>
      <c r="C91" s="131">
        <f>IFERROR(__xludf.DUMMYFUNCTION("""COMPUTED_VALUE"""),76.0)</f>
        <v>76</v>
      </c>
      <c r="D91" s="131" t="b">
        <f>IFERROR(__xludf.DUMMYFUNCTION("""COMPUTED_VALUE"""),FALSE)</f>
        <v>0</v>
      </c>
      <c r="E91" s="109" t="str">
        <f>IFERROR(__xludf.DUMMYFUNCTION("""COMPUTED_VALUE"""),"LANOZO")</f>
        <v>LANOZO</v>
      </c>
      <c r="F91" s="109" t="str">
        <f>IFERROR(__xludf.DUMMYFUNCTION("""COMPUTED_VALUE"""),"REGGIENALD")</f>
        <v>REGGIENALD</v>
      </c>
    </row>
    <row r="92">
      <c r="A92" s="131">
        <f>IFERROR(__xludf.DUMMYFUNCTION("""COMPUTED_VALUE"""),90.0)</f>
        <v>90</v>
      </c>
      <c r="B92" s="131"/>
      <c r="C92" s="131">
        <f>IFERROR(__xludf.DUMMYFUNCTION("""COMPUTED_VALUE"""),76.0)</f>
        <v>76</v>
      </c>
      <c r="D92" s="131" t="b">
        <f>IFERROR(__xludf.DUMMYFUNCTION("""COMPUTED_VALUE"""),FALSE)</f>
        <v>0</v>
      </c>
      <c r="E92" s="110" t="str">
        <f>IFERROR(__xludf.DUMMYFUNCTION("""COMPUTED_VALUE"""),"QUIRONA")</f>
        <v>QUIRONA</v>
      </c>
      <c r="F92" s="110" t="str">
        <f>IFERROR(__xludf.DUMMYFUNCTION("""COMPUTED_VALUE"""),"IAN CHRISTOPHER")</f>
        <v>IAN CHRISTOPHER</v>
      </c>
    </row>
    <row r="93">
      <c r="A93" s="131">
        <f>IFERROR(__xludf.DUMMYFUNCTION("""COMPUTED_VALUE"""),91.0)</f>
        <v>91</v>
      </c>
      <c r="B93" s="131"/>
      <c r="C93" s="131">
        <f>IFERROR(__xludf.DUMMYFUNCTION("""COMPUTED_VALUE"""),76.0)</f>
        <v>76</v>
      </c>
      <c r="D93" s="131" t="b">
        <f>IFERROR(__xludf.DUMMYFUNCTION("""COMPUTED_VALUE"""),FALSE)</f>
        <v>0</v>
      </c>
      <c r="E93" s="110" t="str">
        <f>IFERROR(__xludf.DUMMYFUNCTION("""COMPUTED_VALUE"""),"BAUYON")</f>
        <v>BAUYON</v>
      </c>
      <c r="F93" s="110" t="str">
        <f>IFERROR(__xludf.DUMMYFUNCTION("""COMPUTED_VALUE"""),"JOHN CARLO")</f>
        <v>JOHN CARLO</v>
      </c>
    </row>
    <row r="94">
      <c r="A94" s="131">
        <f>IFERROR(__xludf.DUMMYFUNCTION("""COMPUTED_VALUE"""),92.0)</f>
        <v>92</v>
      </c>
      <c r="B94" s="131"/>
      <c r="C94" s="131">
        <f>IFERROR(__xludf.DUMMYFUNCTION("""COMPUTED_VALUE"""),76.0)</f>
        <v>76</v>
      </c>
      <c r="D94" s="131" t="b">
        <f>IFERROR(__xludf.DUMMYFUNCTION("""COMPUTED_VALUE"""),FALSE)</f>
        <v>0</v>
      </c>
      <c r="E94" s="111" t="str">
        <f>IFERROR(__xludf.DUMMYFUNCTION("""COMPUTED_VALUE"""),"FIGUEROA")</f>
        <v>FIGUEROA</v>
      </c>
      <c r="F94" s="111" t="str">
        <f>IFERROR(__xludf.DUMMYFUNCTION("""COMPUTED_VALUE"""),"RONALD")</f>
        <v>RONALD</v>
      </c>
    </row>
    <row r="95">
      <c r="A95" s="131"/>
      <c r="B95" s="131"/>
      <c r="C95" s="131"/>
      <c r="D95" s="131"/>
      <c r="E95" s="112"/>
      <c r="F95" s="112"/>
    </row>
    <row r="96">
      <c r="A96" s="131"/>
      <c r="B96" s="131"/>
      <c r="C96" s="131"/>
      <c r="D96" s="131"/>
      <c r="E96" s="112"/>
      <c r="F96" s="112"/>
    </row>
    <row r="97">
      <c r="A97" s="131"/>
      <c r="B97" s="131"/>
      <c r="C97" s="131"/>
      <c r="D97" s="131"/>
      <c r="E97" s="112"/>
      <c r="F97" s="112"/>
    </row>
    <row r="98">
      <c r="A98" s="131"/>
      <c r="B98" s="131"/>
      <c r="C98" s="131"/>
      <c r="D98" s="131"/>
      <c r="E98" s="112"/>
      <c r="F98" s="112"/>
    </row>
    <row r="99">
      <c r="A99" s="131"/>
      <c r="B99" s="131"/>
      <c r="C99" s="131">
        <f>IFERROR(__xludf.DUMMYFUNCTION("""COMPUTED_VALUE"""),76.0)</f>
        <v>76</v>
      </c>
      <c r="D99" s="131" t="b">
        <f>IFERROR(__xludf.DUMMYFUNCTION("""COMPUTED_VALUE"""),FALSE)</f>
        <v>0</v>
      </c>
      <c r="E99" s="113" t="str">
        <f>IFERROR(__xludf.DUMMYFUNCTION("""COMPUTED_VALUE"""),"INACTIVE")</f>
        <v>INACTIVE</v>
      </c>
      <c r="F99" s="110"/>
    </row>
    <row r="100">
      <c r="A100" s="131">
        <f>IFERROR(__xludf.DUMMYFUNCTION("""COMPUTED_VALUE"""),99.0)</f>
        <v>99</v>
      </c>
      <c r="B100" s="131"/>
      <c r="C100" s="131">
        <f>IFERROR(__xludf.DUMMYFUNCTION("""COMPUTED_VALUE"""),76.0)</f>
        <v>76</v>
      </c>
      <c r="D100" s="131" t="b">
        <f>IFERROR(__xludf.DUMMYFUNCTION("""COMPUTED_VALUE"""),FALSE)</f>
        <v>0</v>
      </c>
      <c r="E100" s="114" t="str">
        <f>IFERROR(__xludf.DUMMYFUNCTION("""COMPUTED_VALUE"""),"BONIFACIO")</f>
        <v>BONIFACIO</v>
      </c>
      <c r="F100" s="114" t="str">
        <f>IFERROR(__xludf.DUMMYFUNCTION("""COMPUTED_VALUE"""),"JUNIOR")</f>
        <v>JUNIOR</v>
      </c>
    </row>
    <row r="101">
      <c r="A101" s="131">
        <f>IFERROR(__xludf.DUMMYFUNCTION("""COMPUTED_VALUE"""),100.0)</f>
        <v>100</v>
      </c>
      <c r="B101" s="131"/>
      <c r="C101" s="131">
        <f>IFERROR(__xludf.DUMMYFUNCTION("""COMPUTED_VALUE"""),76.0)</f>
        <v>76</v>
      </c>
      <c r="D101" s="131" t="b">
        <f>IFERROR(__xludf.DUMMYFUNCTION("""COMPUTED_VALUE"""),FALSE)</f>
        <v>0</v>
      </c>
      <c r="E101" s="114" t="str">
        <f>IFERROR(__xludf.DUMMYFUNCTION("""COMPUTED_VALUE"""),"CASTILLO")</f>
        <v>CASTILLO</v>
      </c>
      <c r="F101" s="114" t="str">
        <f>IFERROR(__xludf.DUMMYFUNCTION("""COMPUTED_VALUE"""),"JOHNREY")</f>
        <v>JOHNREY</v>
      </c>
    </row>
    <row r="102">
      <c r="A102" s="131">
        <f>IFERROR(__xludf.DUMMYFUNCTION("""COMPUTED_VALUE"""),101.0)</f>
        <v>101</v>
      </c>
      <c r="B102" s="131"/>
      <c r="C102" s="131">
        <f>IFERROR(__xludf.DUMMYFUNCTION("""COMPUTED_VALUE"""),76.0)</f>
        <v>76</v>
      </c>
      <c r="D102" s="131" t="b">
        <f>IFERROR(__xludf.DUMMYFUNCTION("""COMPUTED_VALUE"""),FALSE)</f>
        <v>0</v>
      </c>
      <c r="E102" s="114" t="str">
        <f>IFERROR(__xludf.DUMMYFUNCTION("""COMPUTED_VALUE"""),"MENDOZA")</f>
        <v>MENDOZA</v>
      </c>
      <c r="F102" s="114" t="str">
        <f>IFERROR(__xludf.DUMMYFUNCTION("""COMPUTED_VALUE"""),"JUSTINE IAN")</f>
        <v>JUSTINE IAN</v>
      </c>
    </row>
    <row r="103">
      <c r="A103" s="131">
        <f>IFERROR(__xludf.DUMMYFUNCTION("""COMPUTED_VALUE"""),102.0)</f>
        <v>102</v>
      </c>
      <c r="B103" s="131"/>
      <c r="C103" s="131">
        <f>IFERROR(__xludf.DUMMYFUNCTION("""COMPUTED_VALUE"""),76.0)</f>
        <v>76</v>
      </c>
      <c r="D103" s="131" t="b">
        <f>IFERROR(__xludf.DUMMYFUNCTION("""COMPUTED_VALUE"""),FALSE)</f>
        <v>0</v>
      </c>
      <c r="E103" s="114" t="str">
        <f>IFERROR(__xludf.DUMMYFUNCTION("""COMPUTED_VALUE"""),"FERMIN")</f>
        <v>FERMIN</v>
      </c>
      <c r="F103" s="114" t="str">
        <f>IFERROR(__xludf.DUMMYFUNCTION("""COMPUTED_VALUE"""),"HARIMAR")</f>
        <v>HARIMAR</v>
      </c>
    </row>
    <row r="104">
      <c r="A104" s="131">
        <f>IFERROR(__xludf.DUMMYFUNCTION("""COMPUTED_VALUE"""),103.0)</f>
        <v>103</v>
      </c>
      <c r="B104" s="131"/>
      <c r="C104" s="131">
        <f>IFERROR(__xludf.DUMMYFUNCTION("""COMPUTED_VALUE"""),76.0)</f>
        <v>76</v>
      </c>
      <c r="D104" s="131" t="b">
        <f>IFERROR(__xludf.DUMMYFUNCTION("""COMPUTED_VALUE"""),FALSE)</f>
        <v>0</v>
      </c>
      <c r="E104" s="114" t="str">
        <f>IFERROR(__xludf.DUMMYFUNCTION("""COMPUTED_VALUE"""),"ADEME")</f>
        <v>ADEME</v>
      </c>
      <c r="F104" s="114" t="str">
        <f>IFERROR(__xludf.DUMMYFUNCTION("""COMPUTED_VALUE"""),"JOHN EVO")</f>
        <v>JOHN EVO</v>
      </c>
    </row>
    <row r="105">
      <c r="A105" s="131">
        <f>IFERROR(__xludf.DUMMYFUNCTION("""COMPUTED_VALUE"""),104.0)</f>
        <v>104</v>
      </c>
      <c r="B105" s="131"/>
      <c r="C105" s="131">
        <f>IFERROR(__xludf.DUMMYFUNCTION("""COMPUTED_VALUE"""),76.0)</f>
        <v>76</v>
      </c>
      <c r="D105" s="131" t="b">
        <f>IFERROR(__xludf.DUMMYFUNCTION("""COMPUTED_VALUE"""),FALSE)</f>
        <v>0</v>
      </c>
      <c r="E105" s="114" t="str">
        <f>IFERROR(__xludf.DUMMYFUNCTION("""COMPUTED_VALUE"""),"FLAGNE")</f>
        <v>FLAGNE</v>
      </c>
      <c r="F105" s="114" t="str">
        <f>IFERROR(__xludf.DUMMYFUNCTION("""COMPUTED_VALUE"""),"JHANDY")</f>
        <v>JHANDY</v>
      </c>
    </row>
    <row r="106">
      <c r="A106" s="131">
        <f>IFERROR(__xludf.DUMMYFUNCTION("""COMPUTED_VALUE"""),105.0)</f>
        <v>105</v>
      </c>
      <c r="B106" s="131"/>
      <c r="C106" s="131">
        <f>IFERROR(__xludf.DUMMYFUNCTION("""COMPUTED_VALUE"""),76.0)</f>
        <v>76</v>
      </c>
      <c r="D106" s="131" t="b">
        <f>IFERROR(__xludf.DUMMYFUNCTION("""COMPUTED_VALUE"""),FALSE)</f>
        <v>0</v>
      </c>
      <c r="E106" s="114" t="str">
        <f>IFERROR(__xludf.DUMMYFUNCTION("""COMPUTED_VALUE"""),"GURION")</f>
        <v>GURION</v>
      </c>
      <c r="F106" s="114" t="str">
        <f>IFERROR(__xludf.DUMMYFUNCTION("""COMPUTED_VALUE"""),"ARJIE")</f>
        <v>ARJIE</v>
      </c>
    </row>
    <row r="107">
      <c r="A107" s="131">
        <f>IFERROR(__xludf.DUMMYFUNCTION("""COMPUTED_VALUE"""),106.0)</f>
        <v>106</v>
      </c>
      <c r="B107" s="131"/>
      <c r="C107" s="131">
        <f>IFERROR(__xludf.DUMMYFUNCTION("""COMPUTED_VALUE"""),76.0)</f>
        <v>76</v>
      </c>
      <c r="D107" s="131" t="b">
        <f>IFERROR(__xludf.DUMMYFUNCTION("""COMPUTED_VALUE"""),FALSE)</f>
        <v>0</v>
      </c>
      <c r="E107" s="114" t="str">
        <f>IFERROR(__xludf.DUMMYFUNCTION("""COMPUTED_VALUE"""),"INAJE")</f>
        <v>INAJE</v>
      </c>
      <c r="F107" s="114" t="str">
        <f>IFERROR(__xludf.DUMMYFUNCTION("""COMPUTED_VALUE"""),"JAYSON")</f>
        <v>JAYSON</v>
      </c>
    </row>
    <row r="108">
      <c r="A108" s="131">
        <f>IFERROR(__xludf.DUMMYFUNCTION("""COMPUTED_VALUE"""),107.0)</f>
        <v>107</v>
      </c>
      <c r="B108" s="131"/>
      <c r="C108" s="131">
        <f>IFERROR(__xludf.DUMMYFUNCTION("""COMPUTED_VALUE"""),76.0)</f>
        <v>76</v>
      </c>
      <c r="D108" s="131" t="b">
        <f>IFERROR(__xludf.DUMMYFUNCTION("""COMPUTED_VALUE"""),FALSE)</f>
        <v>0</v>
      </c>
      <c r="E108" s="114" t="str">
        <f>IFERROR(__xludf.DUMMYFUNCTION("""COMPUTED_VALUE"""),"LUANGCO")</f>
        <v>LUANGCO</v>
      </c>
      <c r="F108" s="114" t="str">
        <f>IFERROR(__xludf.DUMMYFUNCTION("""COMPUTED_VALUE"""),"MARKHIEL")</f>
        <v>MARKHIEL</v>
      </c>
    </row>
    <row r="109">
      <c r="A109" s="131">
        <f>IFERROR(__xludf.DUMMYFUNCTION("""COMPUTED_VALUE"""),108.0)</f>
        <v>108</v>
      </c>
      <c r="B109" s="131"/>
      <c r="C109" s="131">
        <f>IFERROR(__xludf.DUMMYFUNCTION("""COMPUTED_VALUE"""),76.0)</f>
        <v>76</v>
      </c>
      <c r="D109" s="131" t="b">
        <f>IFERROR(__xludf.DUMMYFUNCTION("""COMPUTED_VALUE"""),FALSE)</f>
        <v>0</v>
      </c>
      <c r="E109" s="114" t="str">
        <f>IFERROR(__xludf.DUMMYFUNCTION("""COMPUTED_VALUE"""),"NAPARATO")</f>
        <v>NAPARATO</v>
      </c>
      <c r="F109" s="114" t="str">
        <f>IFERROR(__xludf.DUMMYFUNCTION("""COMPUTED_VALUE"""),"JONEL")</f>
        <v>JONEL</v>
      </c>
    </row>
    <row r="110">
      <c r="A110" s="131">
        <f>IFERROR(__xludf.DUMMYFUNCTION("""COMPUTED_VALUE"""),109.0)</f>
        <v>109</v>
      </c>
      <c r="B110" s="131"/>
      <c r="C110" s="131">
        <f>IFERROR(__xludf.DUMMYFUNCTION("""COMPUTED_VALUE"""),76.0)</f>
        <v>76</v>
      </c>
      <c r="D110" s="131" t="b">
        <f>IFERROR(__xludf.DUMMYFUNCTION("""COMPUTED_VALUE"""),FALSE)</f>
        <v>0</v>
      </c>
      <c r="E110" s="114" t="str">
        <f>IFERROR(__xludf.DUMMYFUNCTION("""COMPUTED_VALUE"""),"NAPARATO")</f>
        <v>NAPARATO</v>
      </c>
      <c r="F110" s="114" t="str">
        <f>IFERROR(__xludf.DUMMYFUNCTION("""COMPUTED_VALUE"""),"JEFF")</f>
        <v>JEFF</v>
      </c>
    </row>
    <row r="111">
      <c r="A111" s="131">
        <f>IFERROR(__xludf.DUMMYFUNCTION("""COMPUTED_VALUE"""),110.0)</f>
        <v>110</v>
      </c>
      <c r="B111" s="131"/>
      <c r="C111" s="131">
        <f>IFERROR(__xludf.DUMMYFUNCTION("""COMPUTED_VALUE"""),76.0)</f>
        <v>76</v>
      </c>
      <c r="D111" s="131" t="b">
        <f>IFERROR(__xludf.DUMMYFUNCTION("""COMPUTED_VALUE"""),FALSE)</f>
        <v>0</v>
      </c>
      <c r="E111" s="114" t="str">
        <f>IFERROR(__xludf.DUMMYFUNCTION("""COMPUTED_VALUE"""),"PABILLO")</f>
        <v>PABILLO</v>
      </c>
      <c r="F111" s="114" t="str">
        <f>IFERROR(__xludf.DUMMYFUNCTION("""COMPUTED_VALUE"""),"PRINCE ALECK")</f>
        <v>PRINCE ALECK</v>
      </c>
    </row>
    <row r="112">
      <c r="A112" s="131">
        <f>IFERROR(__xludf.DUMMYFUNCTION("""COMPUTED_VALUE"""),111.0)</f>
        <v>111</v>
      </c>
      <c r="B112" s="131"/>
      <c r="C112" s="131">
        <f>IFERROR(__xludf.DUMMYFUNCTION("""COMPUTED_VALUE"""),76.0)</f>
        <v>76</v>
      </c>
      <c r="D112" s="131" t="b">
        <f>IFERROR(__xludf.DUMMYFUNCTION("""COMPUTED_VALUE"""),FALSE)</f>
        <v>0</v>
      </c>
      <c r="E112" s="114" t="str">
        <f>IFERROR(__xludf.DUMMYFUNCTION("""COMPUTED_VALUE"""),"PRINCESA")</f>
        <v>PRINCESA</v>
      </c>
      <c r="F112" s="114" t="str">
        <f>IFERROR(__xludf.DUMMYFUNCTION("""COMPUTED_VALUE"""),"ADRIAN CARL")</f>
        <v>ADRIAN CARL</v>
      </c>
    </row>
    <row r="113">
      <c r="A113" s="131">
        <f>IFERROR(__xludf.DUMMYFUNCTION("""COMPUTED_VALUE"""),112.0)</f>
        <v>112</v>
      </c>
      <c r="B113" s="131"/>
      <c r="C113" s="131">
        <f>IFERROR(__xludf.DUMMYFUNCTION("""COMPUTED_VALUE"""),76.0)</f>
        <v>76</v>
      </c>
      <c r="D113" s="131" t="b">
        <f>IFERROR(__xludf.DUMMYFUNCTION("""COMPUTED_VALUE"""),FALSE)</f>
        <v>0</v>
      </c>
      <c r="E113" s="114" t="str">
        <f>IFERROR(__xludf.DUMMYFUNCTION("""COMPUTED_VALUE"""),"RAMOS")</f>
        <v>RAMOS</v>
      </c>
      <c r="F113" s="114" t="str">
        <f>IFERROR(__xludf.DUMMYFUNCTION("""COMPUTED_VALUE"""),"JEREMIAH")</f>
        <v>JEREMIAH</v>
      </c>
    </row>
    <row r="114">
      <c r="A114" s="131">
        <f>IFERROR(__xludf.DUMMYFUNCTION("""COMPUTED_VALUE"""),113.0)</f>
        <v>113</v>
      </c>
      <c r="B114" s="131"/>
      <c r="C114" s="131">
        <f>IFERROR(__xludf.DUMMYFUNCTION("""COMPUTED_VALUE"""),76.0)</f>
        <v>76</v>
      </c>
      <c r="D114" s="131" t="b">
        <f>IFERROR(__xludf.DUMMYFUNCTION("""COMPUTED_VALUE"""),FALSE)</f>
        <v>0</v>
      </c>
      <c r="E114" s="114" t="str">
        <f>IFERROR(__xludf.DUMMYFUNCTION("""COMPUTED_VALUE"""),"RAMOS")</f>
        <v>RAMOS</v>
      </c>
      <c r="F114" s="114" t="str">
        <f>IFERROR(__xludf.DUMMYFUNCTION("""COMPUTED_VALUE"""),"MATTHEW")</f>
        <v>MATTHEW</v>
      </c>
    </row>
    <row r="115">
      <c r="A115" s="131">
        <f>IFERROR(__xludf.DUMMYFUNCTION("""COMPUTED_VALUE"""),114.0)</f>
        <v>114</v>
      </c>
      <c r="B115" s="131"/>
      <c r="C115" s="131">
        <f>IFERROR(__xludf.DUMMYFUNCTION("""COMPUTED_VALUE"""),76.0)</f>
        <v>76</v>
      </c>
      <c r="D115" s="131" t="b">
        <f>IFERROR(__xludf.DUMMYFUNCTION("""COMPUTED_VALUE"""),FALSE)</f>
        <v>0</v>
      </c>
      <c r="E115" s="114" t="str">
        <f>IFERROR(__xludf.DUMMYFUNCTION("""COMPUTED_VALUE"""),"RAMOS")</f>
        <v>RAMOS</v>
      </c>
      <c r="F115" s="114" t="str">
        <f>IFERROR(__xludf.DUMMYFUNCTION("""COMPUTED_VALUE"""),"JONAS")</f>
        <v>JONAS</v>
      </c>
    </row>
    <row r="116">
      <c r="A116" s="131">
        <f>IFERROR(__xludf.DUMMYFUNCTION("""COMPUTED_VALUE"""),115.0)</f>
        <v>115</v>
      </c>
      <c r="B116" s="131"/>
      <c r="C116" s="131">
        <f>IFERROR(__xludf.DUMMYFUNCTION("""COMPUTED_VALUE"""),76.0)</f>
        <v>76</v>
      </c>
      <c r="D116" s="131" t="b">
        <f>IFERROR(__xludf.DUMMYFUNCTION("""COMPUTED_VALUE"""),FALSE)</f>
        <v>0</v>
      </c>
      <c r="E116" s="114" t="str">
        <f>IFERROR(__xludf.DUMMYFUNCTION("""COMPUTED_VALUE"""),"ROMANO")</f>
        <v>ROMANO</v>
      </c>
      <c r="F116" s="114" t="str">
        <f>IFERROR(__xludf.DUMMYFUNCTION("""COMPUTED_VALUE"""),"XIANREY")</f>
        <v>XIANREY</v>
      </c>
    </row>
    <row r="117">
      <c r="A117" s="131">
        <f>IFERROR(__xludf.DUMMYFUNCTION("""COMPUTED_VALUE"""),116.0)</f>
        <v>116</v>
      </c>
      <c r="B117" s="131"/>
      <c r="C117" s="131">
        <f>IFERROR(__xludf.DUMMYFUNCTION("""COMPUTED_VALUE"""),76.0)</f>
        <v>76</v>
      </c>
      <c r="D117" s="131" t="b">
        <f>IFERROR(__xludf.DUMMYFUNCTION("""COMPUTED_VALUE"""),FALSE)</f>
        <v>0</v>
      </c>
      <c r="E117" s="114" t="str">
        <f>IFERROR(__xludf.DUMMYFUNCTION("""COMPUTED_VALUE"""),"AMBROCIO")</f>
        <v>AMBROCIO</v>
      </c>
      <c r="F117" s="114" t="str">
        <f>IFERROR(__xludf.DUMMYFUNCTION("""COMPUTED_VALUE"""),"JAMES")</f>
        <v>JAMES</v>
      </c>
    </row>
    <row r="118">
      <c r="A118" s="131">
        <f>IFERROR(__xludf.DUMMYFUNCTION("""COMPUTED_VALUE"""),117.0)</f>
        <v>117</v>
      </c>
      <c r="B118" s="131"/>
      <c r="C118" s="131">
        <f>IFERROR(__xludf.DUMMYFUNCTION("""COMPUTED_VALUE"""),76.0)</f>
        <v>76</v>
      </c>
      <c r="D118" s="131" t="b">
        <f>IFERROR(__xludf.DUMMYFUNCTION("""COMPUTED_VALUE"""),FALSE)</f>
        <v>0</v>
      </c>
      <c r="E118" s="114" t="str">
        <f>IFERROR(__xludf.DUMMYFUNCTION("""COMPUTED_VALUE"""),"PANADO")</f>
        <v>PANADO</v>
      </c>
      <c r="F118" s="114" t="str">
        <f>IFERROR(__xludf.DUMMYFUNCTION("""COMPUTED_VALUE"""),"JAMES")</f>
        <v>JAMES</v>
      </c>
    </row>
    <row r="119">
      <c r="A119" s="131">
        <f>IFERROR(__xludf.DUMMYFUNCTION("""COMPUTED_VALUE"""),118.0)</f>
        <v>118</v>
      </c>
      <c r="B119" s="131"/>
      <c r="C119" s="131">
        <f>IFERROR(__xludf.DUMMYFUNCTION("""COMPUTED_VALUE"""),76.0)</f>
        <v>76</v>
      </c>
      <c r="D119" s="131" t="b">
        <f>IFERROR(__xludf.DUMMYFUNCTION("""COMPUTED_VALUE"""),FALSE)</f>
        <v>0</v>
      </c>
      <c r="E119" s="114" t="str">
        <f>IFERROR(__xludf.DUMMYFUNCTION("""COMPUTED_VALUE"""),"MALLARI")</f>
        <v>MALLARI</v>
      </c>
      <c r="F119" s="114" t="str">
        <f>IFERROR(__xludf.DUMMYFUNCTION("""COMPUTED_VALUE"""),"JAY IAN")</f>
        <v>JAY IAN</v>
      </c>
    </row>
    <row r="120">
      <c r="A120" s="131"/>
      <c r="B120" s="131"/>
      <c r="C120" s="131"/>
      <c r="D120" s="131"/>
      <c r="E120" s="131"/>
      <c r="F120" s="131"/>
    </row>
    <row r="121">
      <c r="A121" s="131">
        <f>IFERROR(__xludf.DUMMYFUNCTION("""COMPUTED_VALUE"""),120.0)</f>
        <v>120</v>
      </c>
      <c r="B121" s="131"/>
      <c r="C121" s="131">
        <f>IFERROR(__xludf.DUMMYFUNCTION("""COMPUTED_VALUE"""),120.0)</f>
        <v>120</v>
      </c>
      <c r="D121" s="131" t="b">
        <f>IFERROR(__xludf.DUMMYFUNCTION("""COMPUTED_VALUE"""),TRUE)</f>
        <v>1</v>
      </c>
      <c r="E121" s="105" t="str">
        <f>IFERROR(__xludf.DUMMYFUNCTION("""COMPUTED_VALUE"""),"MACASA")</f>
        <v>MACASA</v>
      </c>
      <c r="F121" s="105" t="str">
        <f>IFERROR(__xludf.DUMMYFUNCTION("""COMPUTED_VALUE"""),"POLO")</f>
        <v>POLO</v>
      </c>
    </row>
    <row r="122">
      <c r="A122" s="131">
        <f>IFERROR(__xludf.DUMMYFUNCTION("""COMPUTED_VALUE"""),121.0)</f>
        <v>121</v>
      </c>
      <c r="B122" s="131"/>
      <c r="C122" s="131">
        <f>IFERROR(__xludf.DUMMYFUNCTION("""COMPUTED_VALUE"""),120.0)</f>
        <v>120</v>
      </c>
      <c r="D122" s="131" t="b">
        <f>IFERROR(__xludf.DUMMYFUNCTION("""COMPUTED_VALUE"""),FALSE)</f>
        <v>0</v>
      </c>
      <c r="E122" s="115" t="str">
        <f>IFERROR(__xludf.DUMMYFUNCTION("""COMPUTED_VALUE"""),"ALCANTARA")</f>
        <v>ALCANTARA</v>
      </c>
      <c r="F122" s="107" t="str">
        <f>IFERROR(__xludf.DUMMYFUNCTION("""COMPUTED_VALUE"""),"GERALD")</f>
        <v>GERALD</v>
      </c>
    </row>
    <row r="123">
      <c r="A123" s="131">
        <f>IFERROR(__xludf.DUMMYFUNCTION("""COMPUTED_VALUE"""),122.0)</f>
        <v>122</v>
      </c>
      <c r="B123" s="131"/>
      <c r="C123" s="131">
        <f>IFERROR(__xludf.DUMMYFUNCTION("""COMPUTED_VALUE"""),120.0)</f>
        <v>120</v>
      </c>
      <c r="D123" s="131" t="b">
        <f>IFERROR(__xludf.DUMMYFUNCTION("""COMPUTED_VALUE"""),FALSE)</f>
        <v>0</v>
      </c>
      <c r="E123" s="107" t="str">
        <f>IFERROR(__xludf.DUMMYFUNCTION("""COMPUTED_VALUE"""),"ALVIAR")</f>
        <v>ALVIAR</v>
      </c>
      <c r="F123" s="107" t="str">
        <f>IFERROR(__xludf.DUMMYFUNCTION("""COMPUTED_VALUE"""),"PETER")</f>
        <v>PETER</v>
      </c>
    </row>
    <row r="124">
      <c r="A124" s="131">
        <f>IFERROR(__xludf.DUMMYFUNCTION("""COMPUTED_VALUE"""),123.0)</f>
        <v>123</v>
      </c>
      <c r="B124" s="131"/>
      <c r="C124" s="131">
        <f>IFERROR(__xludf.DUMMYFUNCTION("""COMPUTED_VALUE"""),120.0)</f>
        <v>120</v>
      </c>
      <c r="D124" s="131" t="b">
        <f>IFERROR(__xludf.DUMMYFUNCTION("""COMPUTED_VALUE"""),FALSE)</f>
        <v>0</v>
      </c>
      <c r="E124" s="116" t="str">
        <f>IFERROR(__xludf.DUMMYFUNCTION("""COMPUTED_VALUE"""),"BUCTOT")</f>
        <v>BUCTOT</v>
      </c>
      <c r="F124" s="107" t="str">
        <f>IFERROR(__xludf.DUMMYFUNCTION("""COMPUTED_VALUE"""),"JEFFREY")</f>
        <v>JEFFREY</v>
      </c>
    </row>
    <row r="125">
      <c r="A125" s="131">
        <f>IFERROR(__xludf.DUMMYFUNCTION("""COMPUTED_VALUE"""),124.0)</f>
        <v>124</v>
      </c>
      <c r="B125" s="131"/>
      <c r="C125" s="131">
        <f>IFERROR(__xludf.DUMMYFUNCTION("""COMPUTED_VALUE"""),120.0)</f>
        <v>120</v>
      </c>
      <c r="D125" s="131" t="b">
        <f>IFERROR(__xludf.DUMMYFUNCTION("""COMPUTED_VALUE"""),FALSE)</f>
        <v>0</v>
      </c>
      <c r="E125" s="107" t="str">
        <f>IFERROR(__xludf.DUMMYFUNCTION("""COMPUTED_VALUE"""),"CABRERA")</f>
        <v>CABRERA</v>
      </c>
      <c r="F125" s="107" t="str">
        <f>IFERROR(__xludf.DUMMYFUNCTION("""COMPUTED_VALUE"""),"LANCE")</f>
        <v>LANCE</v>
      </c>
    </row>
    <row r="126">
      <c r="A126" s="131">
        <f>IFERROR(__xludf.DUMMYFUNCTION("""COMPUTED_VALUE"""),125.0)</f>
        <v>125</v>
      </c>
      <c r="B126" s="131"/>
      <c r="C126" s="131">
        <f>IFERROR(__xludf.DUMMYFUNCTION("""COMPUTED_VALUE"""),120.0)</f>
        <v>120</v>
      </c>
      <c r="D126" s="131" t="b">
        <f>IFERROR(__xludf.DUMMYFUNCTION("""COMPUTED_VALUE"""),FALSE)</f>
        <v>0</v>
      </c>
      <c r="E126" s="107" t="str">
        <f>IFERROR(__xludf.DUMMYFUNCTION("""COMPUTED_VALUE"""),"CANDIDO")</f>
        <v>CANDIDO</v>
      </c>
      <c r="F126" s="107" t="str">
        <f>IFERROR(__xludf.DUMMYFUNCTION("""COMPUTED_VALUE"""),"PRINCE")</f>
        <v>PRINCE</v>
      </c>
    </row>
    <row r="127">
      <c r="A127" s="131">
        <f>IFERROR(__xludf.DUMMYFUNCTION("""COMPUTED_VALUE"""),126.0)</f>
        <v>126</v>
      </c>
      <c r="B127" s="131"/>
      <c r="C127" s="131">
        <f>IFERROR(__xludf.DUMMYFUNCTION("""COMPUTED_VALUE"""),120.0)</f>
        <v>120</v>
      </c>
      <c r="D127" s="131" t="b">
        <f>IFERROR(__xludf.DUMMYFUNCTION("""COMPUTED_VALUE"""),FALSE)</f>
        <v>0</v>
      </c>
      <c r="E127" s="107" t="str">
        <f>IFERROR(__xludf.DUMMYFUNCTION("""COMPUTED_VALUE"""),"LOUIE")</f>
        <v>LOUIE</v>
      </c>
      <c r="F127" s="107" t="str">
        <f>IFERROR(__xludf.DUMMYFUNCTION("""COMPUTED_VALUE"""),"JAMES")</f>
        <v>JAMES</v>
      </c>
    </row>
    <row r="128">
      <c r="A128" s="131">
        <f>IFERROR(__xludf.DUMMYFUNCTION("""COMPUTED_VALUE"""),127.0)</f>
        <v>127</v>
      </c>
      <c r="B128" s="131"/>
      <c r="C128" s="131">
        <f>IFERROR(__xludf.DUMMYFUNCTION("""COMPUTED_VALUE"""),120.0)</f>
        <v>120</v>
      </c>
      <c r="D128" s="131" t="b">
        <f>IFERROR(__xludf.DUMMYFUNCTION("""COMPUTED_VALUE"""),FALSE)</f>
        <v>0</v>
      </c>
      <c r="E128" s="107" t="str">
        <f>IFERROR(__xludf.DUMMYFUNCTION("""COMPUTED_VALUE"""),"MALIGTAS")</f>
        <v>MALIGTAS</v>
      </c>
      <c r="F128" s="107" t="str">
        <f>IFERROR(__xludf.DUMMYFUNCTION("""COMPUTED_VALUE"""),"SKYE")</f>
        <v>SKYE</v>
      </c>
    </row>
    <row r="129">
      <c r="A129" s="131">
        <f>IFERROR(__xludf.DUMMYFUNCTION("""COMPUTED_VALUE"""),128.0)</f>
        <v>128</v>
      </c>
      <c r="B129" s="131"/>
      <c r="C129" s="131">
        <f>IFERROR(__xludf.DUMMYFUNCTION("""COMPUTED_VALUE"""),120.0)</f>
        <v>120</v>
      </c>
      <c r="D129" s="131" t="b">
        <f>IFERROR(__xludf.DUMMYFUNCTION("""COMPUTED_VALUE"""),FALSE)</f>
        <v>0</v>
      </c>
      <c r="E129" s="107" t="str">
        <f>IFERROR(__xludf.DUMMYFUNCTION("""COMPUTED_VALUE"""),"NEHEMIAH")</f>
        <v>NEHEMIAH</v>
      </c>
      <c r="F129" s="107" t="str">
        <f>IFERROR(__xludf.DUMMYFUNCTION("""COMPUTED_VALUE"""),"ARKHEL")</f>
        <v>ARKHEL</v>
      </c>
    </row>
    <row r="130">
      <c r="A130" s="131">
        <f>IFERROR(__xludf.DUMMYFUNCTION("""COMPUTED_VALUE"""),129.0)</f>
        <v>129</v>
      </c>
      <c r="B130" s="131"/>
      <c r="C130" s="131">
        <f>IFERROR(__xludf.DUMMYFUNCTION("""COMPUTED_VALUE"""),120.0)</f>
        <v>120</v>
      </c>
      <c r="D130" s="131" t="b">
        <f>IFERROR(__xludf.DUMMYFUNCTION("""COMPUTED_VALUE"""),FALSE)</f>
        <v>0</v>
      </c>
      <c r="E130" s="107" t="str">
        <f>IFERROR(__xludf.DUMMYFUNCTION("""COMPUTED_VALUE"""),"OLASO")</f>
        <v>OLASO</v>
      </c>
      <c r="F130" s="107" t="str">
        <f>IFERROR(__xludf.DUMMYFUNCTION("""COMPUTED_VALUE"""),"CHARLES")</f>
        <v>CHARLES</v>
      </c>
    </row>
    <row r="131">
      <c r="A131" s="131">
        <f>IFERROR(__xludf.DUMMYFUNCTION("""COMPUTED_VALUE"""),130.0)</f>
        <v>130</v>
      </c>
      <c r="B131" s="131"/>
      <c r="C131" s="131">
        <f>IFERROR(__xludf.DUMMYFUNCTION("""COMPUTED_VALUE"""),120.0)</f>
        <v>120</v>
      </c>
      <c r="D131" s="131" t="b">
        <f>IFERROR(__xludf.DUMMYFUNCTION("""COMPUTED_VALUE"""),FALSE)</f>
        <v>0</v>
      </c>
      <c r="E131" s="107" t="str">
        <f>IFERROR(__xludf.DUMMYFUNCTION("""COMPUTED_VALUE"""),"PASCUA")</f>
        <v>PASCUA</v>
      </c>
      <c r="F131" s="107" t="str">
        <f>IFERROR(__xludf.DUMMYFUNCTION("""COMPUTED_VALUE"""),"JOHN MICHAEL")</f>
        <v>JOHN MICHAEL</v>
      </c>
    </row>
    <row r="132">
      <c r="A132" s="131">
        <f>IFERROR(__xludf.DUMMYFUNCTION("""COMPUTED_VALUE"""),131.0)</f>
        <v>131</v>
      </c>
      <c r="B132" s="131"/>
      <c r="C132" s="131">
        <f>IFERROR(__xludf.DUMMYFUNCTION("""COMPUTED_VALUE"""),120.0)</f>
        <v>120</v>
      </c>
      <c r="D132" s="131" t="b">
        <f>IFERROR(__xludf.DUMMYFUNCTION("""COMPUTED_VALUE"""),FALSE)</f>
        <v>0</v>
      </c>
      <c r="E132" s="107" t="str">
        <f>IFERROR(__xludf.DUMMYFUNCTION("""COMPUTED_VALUE"""),"PERALTA")</f>
        <v>PERALTA</v>
      </c>
      <c r="F132" s="107" t="str">
        <f>IFERROR(__xludf.DUMMYFUNCTION("""COMPUTED_VALUE"""),"MARLON")</f>
        <v>MARLON</v>
      </c>
    </row>
    <row r="133">
      <c r="A133" s="131">
        <f>IFERROR(__xludf.DUMMYFUNCTION("""COMPUTED_VALUE"""),132.0)</f>
        <v>132</v>
      </c>
      <c r="B133" s="131"/>
      <c r="C133" s="131">
        <f>IFERROR(__xludf.DUMMYFUNCTION("""COMPUTED_VALUE"""),120.0)</f>
        <v>120</v>
      </c>
      <c r="D133" s="131" t="b">
        <f>IFERROR(__xludf.DUMMYFUNCTION("""COMPUTED_VALUE"""),FALSE)</f>
        <v>0</v>
      </c>
      <c r="E133" s="107" t="str">
        <f>IFERROR(__xludf.DUMMYFUNCTION("""COMPUTED_VALUE"""),"PESAYCO")</f>
        <v>PESAYCO</v>
      </c>
      <c r="F133" s="107" t="str">
        <f>IFERROR(__xludf.DUMMYFUNCTION("""COMPUTED_VALUE"""),"KEITH")</f>
        <v>KEITH</v>
      </c>
    </row>
    <row r="134">
      <c r="A134" s="131">
        <f>IFERROR(__xludf.DUMMYFUNCTION("""COMPUTED_VALUE"""),133.0)</f>
        <v>133</v>
      </c>
      <c r="B134" s="131"/>
      <c r="C134" s="131">
        <f>IFERROR(__xludf.DUMMYFUNCTION("""COMPUTED_VALUE"""),120.0)</f>
        <v>120</v>
      </c>
      <c r="D134" s="131" t="b">
        <f>IFERROR(__xludf.DUMMYFUNCTION("""COMPUTED_VALUE"""),FALSE)</f>
        <v>0</v>
      </c>
      <c r="E134" s="107" t="str">
        <f>IFERROR(__xludf.DUMMYFUNCTION("""COMPUTED_VALUE"""),"RAZON")</f>
        <v>RAZON</v>
      </c>
      <c r="F134" s="107" t="str">
        <f>IFERROR(__xludf.DUMMYFUNCTION("""COMPUTED_VALUE"""),"JOSHUA")</f>
        <v>JOSHUA</v>
      </c>
    </row>
    <row r="135">
      <c r="A135" s="131">
        <f>IFERROR(__xludf.DUMMYFUNCTION("""COMPUTED_VALUE"""),134.0)</f>
        <v>134</v>
      </c>
      <c r="B135" s="131"/>
      <c r="C135" s="131">
        <f>IFERROR(__xludf.DUMMYFUNCTION("""COMPUTED_VALUE"""),120.0)</f>
        <v>120</v>
      </c>
      <c r="D135" s="131" t="b">
        <f>IFERROR(__xludf.DUMMYFUNCTION("""COMPUTED_VALUE"""),FALSE)</f>
        <v>0</v>
      </c>
      <c r="E135" s="107" t="str">
        <f>IFERROR(__xludf.DUMMYFUNCTION("""COMPUTED_VALUE"""),"ROCCO")</f>
        <v>ROCCO</v>
      </c>
      <c r="F135" s="107" t="str">
        <f>IFERROR(__xludf.DUMMYFUNCTION("""COMPUTED_VALUE"""),"MARK")</f>
        <v>MARK</v>
      </c>
    </row>
    <row r="136">
      <c r="A136" s="131">
        <f>IFERROR(__xludf.DUMMYFUNCTION("""COMPUTED_VALUE"""),135.0)</f>
        <v>135</v>
      </c>
      <c r="B136" s="131"/>
      <c r="C136" s="131">
        <f>IFERROR(__xludf.DUMMYFUNCTION("""COMPUTED_VALUE"""),120.0)</f>
        <v>120</v>
      </c>
      <c r="D136" s="131" t="b">
        <f>IFERROR(__xludf.DUMMYFUNCTION("""COMPUTED_VALUE"""),FALSE)</f>
        <v>0</v>
      </c>
      <c r="E136" s="107" t="str">
        <f>IFERROR(__xludf.DUMMYFUNCTION("""COMPUTED_VALUE"""),"ROME")</f>
        <v>ROME</v>
      </c>
      <c r="F136" s="107" t="str">
        <f>IFERROR(__xludf.DUMMYFUNCTION("""COMPUTED_VALUE"""),"ZAYIN")</f>
        <v>ZAYIN</v>
      </c>
    </row>
    <row r="137">
      <c r="A137" s="131">
        <f>IFERROR(__xludf.DUMMYFUNCTION("""COMPUTED_VALUE"""),136.0)</f>
        <v>136</v>
      </c>
      <c r="B137" s="131"/>
      <c r="C137" s="131">
        <f>IFERROR(__xludf.DUMMYFUNCTION("""COMPUTED_VALUE"""),120.0)</f>
        <v>120</v>
      </c>
      <c r="D137" s="131" t="b">
        <f>IFERROR(__xludf.DUMMYFUNCTION("""COMPUTED_VALUE"""),FALSE)</f>
        <v>0</v>
      </c>
      <c r="E137" s="107" t="str">
        <f>IFERROR(__xludf.DUMMYFUNCTION("""COMPUTED_VALUE"""),"ROME")</f>
        <v>ROME</v>
      </c>
      <c r="F137" s="107" t="str">
        <f>IFERROR(__xludf.DUMMYFUNCTION("""COMPUTED_VALUE"""),"ZACH")</f>
        <v>ZACH</v>
      </c>
    </row>
    <row r="138">
      <c r="A138" s="131">
        <f>IFERROR(__xludf.DUMMYFUNCTION("""COMPUTED_VALUE"""),137.0)</f>
        <v>137</v>
      </c>
      <c r="B138" s="131"/>
      <c r="C138" s="131">
        <f>IFERROR(__xludf.DUMMYFUNCTION("""COMPUTED_VALUE"""),120.0)</f>
        <v>120</v>
      </c>
      <c r="D138" s="131" t="b">
        <f>IFERROR(__xludf.DUMMYFUNCTION("""COMPUTED_VALUE"""),FALSE)</f>
        <v>0</v>
      </c>
      <c r="E138" s="107" t="str">
        <f>IFERROR(__xludf.DUMMYFUNCTION("""COMPUTED_VALUE"""),"SERRANO")</f>
        <v>SERRANO</v>
      </c>
      <c r="F138" s="107" t="str">
        <f>IFERROR(__xludf.DUMMYFUNCTION("""COMPUTED_VALUE"""),"MICO")</f>
        <v>MICO</v>
      </c>
    </row>
    <row r="139">
      <c r="A139" s="131">
        <f>IFERROR(__xludf.DUMMYFUNCTION("""COMPUTED_VALUE"""),138.0)</f>
        <v>138</v>
      </c>
      <c r="B139" s="131"/>
      <c r="C139" s="131">
        <f>IFERROR(__xludf.DUMMYFUNCTION("""COMPUTED_VALUE"""),120.0)</f>
        <v>120</v>
      </c>
      <c r="D139" s="131" t="b">
        <f>IFERROR(__xludf.DUMMYFUNCTION("""COMPUTED_VALUE"""),FALSE)</f>
        <v>0</v>
      </c>
      <c r="E139" s="98"/>
      <c r="F139" s="107" t="str">
        <f>IFERROR(__xludf.DUMMYFUNCTION("""COMPUTED_VALUE"""),"PAUL")</f>
        <v>PAUL</v>
      </c>
    </row>
    <row r="140">
      <c r="A140" s="131"/>
      <c r="B140" s="131"/>
      <c r="C140" s="131"/>
      <c r="D140" s="131"/>
      <c r="E140" s="131"/>
      <c r="F140" s="131"/>
    </row>
    <row r="141">
      <c r="A141" s="131">
        <f>IFERROR(__xludf.DUMMYFUNCTION("""COMPUTED_VALUE"""),140.0)</f>
        <v>140</v>
      </c>
      <c r="B141" s="131"/>
      <c r="C141" s="131">
        <f>IFERROR(__xludf.DUMMYFUNCTION("""COMPUTED_VALUE"""),140.0)</f>
        <v>140</v>
      </c>
      <c r="D141" s="131" t="b">
        <f>IFERROR(__xludf.DUMMYFUNCTION("""COMPUTED_VALUE"""),TRUE)</f>
        <v>1</v>
      </c>
      <c r="E141" s="105" t="str">
        <f>IFERROR(__xludf.DUMMYFUNCTION("""COMPUTED_VALUE"""),"ARANDA")</f>
        <v>ARANDA</v>
      </c>
      <c r="F141" s="105" t="str">
        <f>IFERROR(__xludf.DUMMYFUNCTION("""COMPUTED_VALUE"""),"IYA")</f>
        <v>IYA</v>
      </c>
    </row>
    <row r="142">
      <c r="A142" s="131">
        <f>IFERROR(__xludf.DUMMYFUNCTION("""COMPUTED_VALUE"""),141.0)</f>
        <v>141</v>
      </c>
      <c r="B142" s="131"/>
      <c r="C142" s="131">
        <f>IFERROR(__xludf.DUMMYFUNCTION("""COMPUTED_VALUE"""),140.0)</f>
        <v>140</v>
      </c>
      <c r="D142" s="131" t="b">
        <f>IFERROR(__xludf.DUMMYFUNCTION("""COMPUTED_VALUE"""),FALSE)</f>
        <v>0</v>
      </c>
      <c r="E142" s="109" t="str">
        <f>IFERROR(__xludf.DUMMYFUNCTION("""COMPUTED_VALUE"""),"ALIANZA")</f>
        <v>ALIANZA</v>
      </c>
      <c r="F142" s="109" t="str">
        <f>IFERROR(__xludf.DUMMYFUNCTION("""COMPUTED_VALUE"""),"JESEMIL")</f>
        <v>JESEMIL</v>
      </c>
    </row>
    <row r="143">
      <c r="A143" s="131">
        <f>IFERROR(__xludf.DUMMYFUNCTION("""COMPUTED_VALUE"""),142.0)</f>
        <v>142</v>
      </c>
      <c r="B143" s="131"/>
      <c r="C143" s="131">
        <f>IFERROR(__xludf.DUMMYFUNCTION("""COMPUTED_VALUE"""),140.0)</f>
        <v>140</v>
      </c>
      <c r="D143" s="131" t="b">
        <f>IFERROR(__xludf.DUMMYFUNCTION("""COMPUTED_VALUE"""),FALSE)</f>
        <v>0</v>
      </c>
      <c r="E143" s="109" t="str">
        <f>IFERROR(__xludf.DUMMYFUNCTION("""COMPUTED_VALUE"""),"ANTONIO")</f>
        <v>ANTONIO</v>
      </c>
      <c r="F143" s="109" t="str">
        <f>IFERROR(__xludf.DUMMYFUNCTION("""COMPUTED_VALUE"""),"CHAM")</f>
        <v>CHAM</v>
      </c>
    </row>
    <row r="144">
      <c r="A144" s="131">
        <f>IFERROR(__xludf.DUMMYFUNCTION("""COMPUTED_VALUE"""),143.0)</f>
        <v>143</v>
      </c>
      <c r="B144" s="131"/>
      <c r="C144" s="131">
        <f>IFERROR(__xludf.DUMMYFUNCTION("""COMPUTED_VALUE"""),140.0)</f>
        <v>140</v>
      </c>
      <c r="D144" s="131" t="b">
        <f>IFERROR(__xludf.DUMMYFUNCTION("""COMPUTED_VALUE"""),FALSE)</f>
        <v>0</v>
      </c>
      <c r="E144" s="109" t="str">
        <f>IFERROR(__xludf.DUMMYFUNCTION("""COMPUTED_VALUE"""),"AQUINO")</f>
        <v>AQUINO</v>
      </c>
      <c r="F144" s="109" t="str">
        <f>IFERROR(__xludf.DUMMYFUNCTION("""COMPUTED_VALUE"""),"JOANNA")</f>
        <v>JOANNA</v>
      </c>
    </row>
    <row r="145">
      <c r="A145" s="131">
        <f>IFERROR(__xludf.DUMMYFUNCTION("""COMPUTED_VALUE"""),144.0)</f>
        <v>144</v>
      </c>
      <c r="B145" s="131"/>
      <c r="C145" s="131">
        <f>IFERROR(__xludf.DUMMYFUNCTION("""COMPUTED_VALUE"""),140.0)</f>
        <v>140</v>
      </c>
      <c r="D145" s="131" t="b">
        <f>IFERROR(__xludf.DUMMYFUNCTION("""COMPUTED_VALUE"""),FALSE)</f>
        <v>0</v>
      </c>
      <c r="E145" s="109" t="str">
        <f>IFERROR(__xludf.DUMMYFUNCTION("""COMPUTED_VALUE"""),"ARANDA")</f>
        <v>ARANDA</v>
      </c>
      <c r="F145" s="109" t="str">
        <f>IFERROR(__xludf.DUMMYFUNCTION("""COMPUTED_VALUE"""),"ALEXANDRA")</f>
        <v>ALEXANDRA</v>
      </c>
    </row>
    <row r="146">
      <c r="A146" s="131">
        <f>IFERROR(__xludf.DUMMYFUNCTION("""COMPUTED_VALUE"""),145.0)</f>
        <v>145</v>
      </c>
      <c r="B146" s="131"/>
      <c r="C146" s="131">
        <f>IFERROR(__xludf.DUMMYFUNCTION("""COMPUTED_VALUE"""),140.0)</f>
        <v>140</v>
      </c>
      <c r="D146" s="131" t="b">
        <f>IFERROR(__xludf.DUMMYFUNCTION("""COMPUTED_VALUE"""),FALSE)</f>
        <v>0</v>
      </c>
      <c r="E146" s="109" t="str">
        <f>IFERROR(__xludf.DUMMYFUNCTION("""COMPUTED_VALUE"""),"CARAAN")</f>
        <v>CARAAN</v>
      </c>
      <c r="F146" s="109" t="str">
        <f>IFERROR(__xludf.DUMMYFUNCTION("""COMPUTED_VALUE"""),"CATHLINE")</f>
        <v>CATHLINE</v>
      </c>
    </row>
    <row r="147">
      <c r="A147" s="131">
        <f>IFERROR(__xludf.DUMMYFUNCTION("""COMPUTED_VALUE"""),146.0)</f>
        <v>146</v>
      </c>
      <c r="B147" s="131"/>
      <c r="C147" s="131">
        <f>IFERROR(__xludf.DUMMYFUNCTION("""COMPUTED_VALUE"""),140.0)</f>
        <v>140</v>
      </c>
      <c r="D147" s="131" t="b">
        <f>IFERROR(__xludf.DUMMYFUNCTION("""COMPUTED_VALUE"""),FALSE)</f>
        <v>0</v>
      </c>
      <c r="E147" s="109" t="str">
        <f>IFERROR(__xludf.DUMMYFUNCTION("""COMPUTED_VALUE"""),"CASTILLO")</f>
        <v>CASTILLO</v>
      </c>
      <c r="F147" s="109" t="str">
        <f>IFERROR(__xludf.DUMMYFUNCTION("""COMPUTED_VALUE"""),"JASIEL")</f>
        <v>JASIEL</v>
      </c>
    </row>
    <row r="148">
      <c r="A148" s="131">
        <f>IFERROR(__xludf.DUMMYFUNCTION("""COMPUTED_VALUE"""),147.0)</f>
        <v>147</v>
      </c>
      <c r="B148" s="131"/>
      <c r="C148" s="131">
        <f>IFERROR(__xludf.DUMMYFUNCTION("""COMPUTED_VALUE"""),140.0)</f>
        <v>140</v>
      </c>
      <c r="D148" s="131" t="b">
        <f>IFERROR(__xludf.DUMMYFUNCTION("""COMPUTED_VALUE"""),FALSE)</f>
        <v>0</v>
      </c>
      <c r="E148" s="109" t="str">
        <f>IFERROR(__xludf.DUMMYFUNCTION("""COMPUTED_VALUE"""),"CEA")</f>
        <v>CEA</v>
      </c>
      <c r="F148" s="109" t="str">
        <f>IFERROR(__xludf.DUMMYFUNCTION("""COMPUTED_VALUE"""),"DIANA")</f>
        <v>DIANA</v>
      </c>
    </row>
    <row r="149">
      <c r="A149" s="131">
        <f>IFERROR(__xludf.DUMMYFUNCTION("""COMPUTED_VALUE"""),148.0)</f>
        <v>148</v>
      </c>
      <c r="B149" s="131"/>
      <c r="C149" s="131">
        <f>IFERROR(__xludf.DUMMYFUNCTION("""COMPUTED_VALUE"""),140.0)</f>
        <v>140</v>
      </c>
      <c r="D149" s="131" t="b">
        <f>IFERROR(__xludf.DUMMYFUNCTION("""COMPUTED_VALUE"""),FALSE)</f>
        <v>0</v>
      </c>
      <c r="E149" s="109" t="str">
        <f>IFERROR(__xludf.DUMMYFUNCTION("""COMPUTED_VALUE"""),"CHUA")</f>
        <v>CHUA</v>
      </c>
      <c r="F149" s="109" t="str">
        <f>IFERROR(__xludf.DUMMYFUNCTION("""COMPUTED_VALUE"""),"PJ")</f>
        <v>PJ</v>
      </c>
    </row>
    <row r="150">
      <c r="A150" s="131">
        <f>IFERROR(__xludf.DUMMYFUNCTION("""COMPUTED_VALUE"""),149.0)</f>
        <v>149</v>
      </c>
      <c r="B150" s="131"/>
      <c r="C150" s="131">
        <f>IFERROR(__xludf.DUMMYFUNCTION("""COMPUTED_VALUE"""),140.0)</f>
        <v>140</v>
      </c>
      <c r="D150" s="131" t="b">
        <f>IFERROR(__xludf.DUMMYFUNCTION("""COMPUTED_VALUE"""),FALSE)</f>
        <v>0</v>
      </c>
      <c r="E150" s="109" t="str">
        <f>IFERROR(__xludf.DUMMYFUNCTION("""COMPUTED_VALUE"""),"DIZON")</f>
        <v>DIZON</v>
      </c>
      <c r="F150" s="109" t="str">
        <f>IFERROR(__xludf.DUMMYFUNCTION("""COMPUTED_VALUE"""),"ARRA")</f>
        <v>ARRA</v>
      </c>
    </row>
    <row r="151">
      <c r="A151" s="131">
        <f>IFERROR(__xludf.DUMMYFUNCTION("""COMPUTED_VALUE"""),150.0)</f>
        <v>150</v>
      </c>
      <c r="B151" s="131"/>
      <c r="C151" s="131">
        <f>IFERROR(__xludf.DUMMYFUNCTION("""COMPUTED_VALUE"""),140.0)</f>
        <v>140</v>
      </c>
      <c r="D151" s="131" t="b">
        <f>IFERROR(__xludf.DUMMYFUNCTION("""COMPUTED_VALUE"""),FALSE)</f>
        <v>0</v>
      </c>
      <c r="E151" s="109" t="str">
        <f>IFERROR(__xludf.DUMMYFUNCTION("""COMPUTED_VALUE"""),"ECLEVIA")</f>
        <v>ECLEVIA</v>
      </c>
      <c r="F151" s="109" t="str">
        <f>IFERROR(__xludf.DUMMYFUNCTION("""COMPUTED_VALUE"""),"ANGELICA")</f>
        <v>ANGELICA</v>
      </c>
    </row>
    <row r="152">
      <c r="A152" s="131">
        <f>IFERROR(__xludf.DUMMYFUNCTION("""COMPUTED_VALUE"""),151.0)</f>
        <v>151</v>
      </c>
      <c r="B152" s="131"/>
      <c r="C152" s="131">
        <f>IFERROR(__xludf.DUMMYFUNCTION("""COMPUTED_VALUE"""),140.0)</f>
        <v>140</v>
      </c>
      <c r="D152" s="131" t="b">
        <f>IFERROR(__xludf.DUMMYFUNCTION("""COMPUTED_VALUE"""),FALSE)</f>
        <v>0</v>
      </c>
      <c r="E152" s="109" t="str">
        <f>IFERROR(__xludf.DUMMYFUNCTION("""COMPUTED_VALUE"""),"FELIPE")</f>
        <v>FELIPE</v>
      </c>
      <c r="F152" s="109" t="str">
        <f>IFERROR(__xludf.DUMMYFUNCTION("""COMPUTED_VALUE"""),"JAIMIE")</f>
        <v>JAIMIE</v>
      </c>
    </row>
    <row r="153">
      <c r="A153" s="131">
        <f>IFERROR(__xludf.DUMMYFUNCTION("""COMPUTED_VALUE"""),152.0)</f>
        <v>152</v>
      </c>
      <c r="B153" s="131"/>
      <c r="C153" s="131">
        <f>IFERROR(__xludf.DUMMYFUNCTION("""COMPUTED_VALUE"""),140.0)</f>
        <v>140</v>
      </c>
      <c r="D153" s="131" t="b">
        <f>IFERROR(__xludf.DUMMYFUNCTION("""COMPUTED_VALUE"""),FALSE)</f>
        <v>0</v>
      </c>
      <c r="E153" s="109" t="str">
        <f>IFERROR(__xludf.DUMMYFUNCTION("""COMPUTED_VALUE"""),"FERNANDEZ")</f>
        <v>FERNANDEZ</v>
      </c>
      <c r="F153" s="109" t="str">
        <f>IFERROR(__xludf.DUMMYFUNCTION("""COMPUTED_VALUE"""),"SHARMAINE")</f>
        <v>SHARMAINE</v>
      </c>
    </row>
    <row r="154">
      <c r="A154" s="131">
        <f>IFERROR(__xludf.DUMMYFUNCTION("""COMPUTED_VALUE"""),153.0)</f>
        <v>153</v>
      </c>
      <c r="B154" s="131"/>
      <c r="C154" s="131">
        <f>IFERROR(__xludf.DUMMYFUNCTION("""COMPUTED_VALUE"""),140.0)</f>
        <v>140</v>
      </c>
      <c r="D154" s="131" t="b">
        <f>IFERROR(__xludf.DUMMYFUNCTION("""COMPUTED_VALUE"""),FALSE)</f>
        <v>0</v>
      </c>
      <c r="E154" s="109" t="str">
        <f>IFERROR(__xludf.DUMMYFUNCTION("""COMPUTED_VALUE"""),"FILIO")</f>
        <v>FILIO</v>
      </c>
      <c r="F154" s="109" t="str">
        <f>IFERROR(__xludf.DUMMYFUNCTION("""COMPUTED_VALUE"""),"DAISY")</f>
        <v>DAISY</v>
      </c>
    </row>
    <row r="155">
      <c r="A155" s="131">
        <f>IFERROR(__xludf.DUMMYFUNCTION("""COMPUTED_VALUE"""),154.0)</f>
        <v>154</v>
      </c>
      <c r="B155" s="131"/>
      <c r="C155" s="131">
        <f>IFERROR(__xludf.DUMMYFUNCTION("""COMPUTED_VALUE"""),140.0)</f>
        <v>140</v>
      </c>
      <c r="D155" s="131" t="b">
        <f>IFERROR(__xludf.DUMMYFUNCTION("""COMPUTED_VALUE"""),FALSE)</f>
        <v>0</v>
      </c>
      <c r="E155" s="109" t="str">
        <f>IFERROR(__xludf.DUMMYFUNCTION("""COMPUTED_VALUE"""),"FILIO")</f>
        <v>FILIO</v>
      </c>
      <c r="F155" s="109" t="str">
        <f>IFERROR(__xludf.DUMMYFUNCTION("""COMPUTED_VALUE"""),"JENNY")</f>
        <v>JENNY</v>
      </c>
    </row>
    <row r="156">
      <c r="A156" s="131">
        <f>IFERROR(__xludf.DUMMYFUNCTION("""COMPUTED_VALUE"""),155.0)</f>
        <v>155</v>
      </c>
      <c r="B156" s="131"/>
      <c r="C156" s="131">
        <f>IFERROR(__xludf.DUMMYFUNCTION("""COMPUTED_VALUE"""),140.0)</f>
        <v>140</v>
      </c>
      <c r="D156" s="131" t="b">
        <f>IFERROR(__xludf.DUMMYFUNCTION("""COMPUTED_VALUE"""),FALSE)</f>
        <v>0</v>
      </c>
      <c r="E156" s="109" t="str">
        <f>IFERROR(__xludf.DUMMYFUNCTION("""COMPUTED_VALUE"""),"FLORO")</f>
        <v>FLORO</v>
      </c>
      <c r="F156" s="109" t="str">
        <f>IFERROR(__xludf.DUMMYFUNCTION("""COMPUTED_VALUE"""),"JUSTINE")</f>
        <v>JUSTINE</v>
      </c>
    </row>
    <row r="157">
      <c r="A157" s="131">
        <f>IFERROR(__xludf.DUMMYFUNCTION("""COMPUTED_VALUE"""),156.0)</f>
        <v>156</v>
      </c>
      <c r="B157" s="131"/>
      <c r="C157" s="131">
        <f>IFERROR(__xludf.DUMMYFUNCTION("""COMPUTED_VALUE"""),140.0)</f>
        <v>140</v>
      </c>
      <c r="D157" s="131" t="b">
        <f>IFERROR(__xludf.DUMMYFUNCTION("""COMPUTED_VALUE"""),FALSE)</f>
        <v>0</v>
      </c>
      <c r="E157" s="109" t="str">
        <f>IFERROR(__xludf.DUMMYFUNCTION("""COMPUTED_VALUE"""),"FLORO")</f>
        <v>FLORO</v>
      </c>
      <c r="F157" s="109" t="str">
        <f>IFERROR(__xludf.DUMMYFUNCTION("""COMPUTED_VALUE"""),"MICA")</f>
        <v>MICA</v>
      </c>
    </row>
    <row r="158">
      <c r="A158" s="131">
        <f>IFERROR(__xludf.DUMMYFUNCTION("""COMPUTED_VALUE"""),157.0)</f>
        <v>157</v>
      </c>
      <c r="B158" s="131"/>
      <c r="C158" s="131">
        <f>IFERROR(__xludf.DUMMYFUNCTION("""COMPUTED_VALUE"""),140.0)</f>
        <v>140</v>
      </c>
      <c r="D158" s="131" t="b">
        <f>IFERROR(__xludf.DUMMYFUNCTION("""COMPUTED_VALUE"""),FALSE)</f>
        <v>0</v>
      </c>
      <c r="E158" s="109" t="str">
        <f>IFERROR(__xludf.DUMMYFUNCTION("""COMPUTED_VALUE"""),"FRANCISCO")</f>
        <v>FRANCISCO</v>
      </c>
      <c r="F158" s="109" t="str">
        <f>IFERROR(__xludf.DUMMYFUNCTION("""COMPUTED_VALUE"""),"RAMILYN")</f>
        <v>RAMILYN</v>
      </c>
    </row>
    <row r="159">
      <c r="A159" s="131">
        <f>IFERROR(__xludf.DUMMYFUNCTION("""COMPUTED_VALUE"""),158.0)</f>
        <v>158</v>
      </c>
      <c r="B159" s="131"/>
      <c r="C159" s="131">
        <f>IFERROR(__xludf.DUMMYFUNCTION("""COMPUTED_VALUE"""),140.0)</f>
        <v>140</v>
      </c>
      <c r="D159" s="131" t="b">
        <f>IFERROR(__xludf.DUMMYFUNCTION("""COMPUTED_VALUE"""),FALSE)</f>
        <v>0</v>
      </c>
      <c r="E159" s="109" t="str">
        <f>IFERROR(__xludf.DUMMYFUNCTION("""COMPUTED_VALUE"""),"GEMOTO")</f>
        <v>GEMOTO</v>
      </c>
      <c r="F159" s="109" t="str">
        <f>IFERROR(__xludf.DUMMYFUNCTION("""COMPUTED_VALUE"""),"JASMINE")</f>
        <v>JASMINE</v>
      </c>
    </row>
    <row r="160">
      <c r="A160" s="131">
        <f>IFERROR(__xludf.DUMMYFUNCTION("""COMPUTED_VALUE"""),159.0)</f>
        <v>159</v>
      </c>
      <c r="B160" s="131"/>
      <c r="C160" s="131">
        <f>IFERROR(__xludf.DUMMYFUNCTION("""COMPUTED_VALUE"""),140.0)</f>
        <v>140</v>
      </c>
      <c r="D160" s="131" t="b">
        <f>IFERROR(__xludf.DUMMYFUNCTION("""COMPUTED_VALUE"""),FALSE)</f>
        <v>0</v>
      </c>
      <c r="E160" s="109" t="str">
        <f>IFERROR(__xludf.DUMMYFUNCTION("""COMPUTED_VALUE"""),"LABAYNE")</f>
        <v>LABAYNE</v>
      </c>
      <c r="F160" s="109" t="str">
        <f>IFERROR(__xludf.DUMMYFUNCTION("""COMPUTED_VALUE"""),"GRACE")</f>
        <v>GRACE</v>
      </c>
    </row>
    <row r="161">
      <c r="A161" s="131">
        <f>IFERROR(__xludf.DUMMYFUNCTION("""COMPUTED_VALUE"""),160.0)</f>
        <v>160</v>
      </c>
      <c r="B161" s="131"/>
      <c r="C161" s="131">
        <f>IFERROR(__xludf.DUMMYFUNCTION("""COMPUTED_VALUE"""),140.0)</f>
        <v>140</v>
      </c>
      <c r="D161" s="131" t="b">
        <f>IFERROR(__xludf.DUMMYFUNCTION("""COMPUTED_VALUE"""),FALSE)</f>
        <v>0</v>
      </c>
      <c r="E161" s="109" t="str">
        <f>IFERROR(__xludf.DUMMYFUNCTION("""COMPUTED_VALUE"""),"OCEMAN")</f>
        <v>OCEMAN</v>
      </c>
      <c r="F161" s="109" t="str">
        <f>IFERROR(__xludf.DUMMYFUNCTION("""COMPUTED_VALUE"""),"RAI-RAI")</f>
        <v>RAI-RAI</v>
      </c>
    </row>
    <row r="162">
      <c r="A162" s="131">
        <f>IFERROR(__xludf.DUMMYFUNCTION("""COMPUTED_VALUE"""),161.0)</f>
        <v>161</v>
      </c>
      <c r="B162" s="131"/>
      <c r="C162" s="131">
        <f>IFERROR(__xludf.DUMMYFUNCTION("""COMPUTED_VALUE"""),140.0)</f>
        <v>140</v>
      </c>
      <c r="D162" s="131" t="b">
        <f>IFERROR(__xludf.DUMMYFUNCTION("""COMPUTED_VALUE"""),FALSE)</f>
        <v>0</v>
      </c>
      <c r="E162" s="109" t="str">
        <f>IFERROR(__xludf.DUMMYFUNCTION("""COMPUTED_VALUE"""),"ORQUIA")</f>
        <v>ORQUIA</v>
      </c>
      <c r="F162" s="109" t="str">
        <f>IFERROR(__xludf.DUMMYFUNCTION("""COMPUTED_VALUE"""),"KEZA")</f>
        <v>KEZA</v>
      </c>
    </row>
    <row r="163">
      <c r="A163" s="131">
        <f>IFERROR(__xludf.DUMMYFUNCTION("""COMPUTED_VALUE"""),162.0)</f>
        <v>162</v>
      </c>
      <c r="B163" s="131"/>
      <c r="C163" s="131">
        <f>IFERROR(__xludf.DUMMYFUNCTION("""COMPUTED_VALUE"""),140.0)</f>
        <v>140</v>
      </c>
      <c r="D163" s="131" t="b">
        <f>IFERROR(__xludf.DUMMYFUNCTION("""COMPUTED_VALUE"""),FALSE)</f>
        <v>0</v>
      </c>
      <c r="E163" s="109" t="str">
        <f>IFERROR(__xludf.DUMMYFUNCTION("""COMPUTED_VALUE"""),"PERALTA")</f>
        <v>PERALTA</v>
      </c>
      <c r="F163" s="109" t="str">
        <f>IFERROR(__xludf.DUMMYFUNCTION("""COMPUTED_VALUE"""),"YEN")</f>
        <v>YEN</v>
      </c>
    </row>
    <row r="164">
      <c r="A164" s="131">
        <f>IFERROR(__xludf.DUMMYFUNCTION("""COMPUTED_VALUE"""),163.0)</f>
        <v>163</v>
      </c>
      <c r="B164" s="131"/>
      <c r="C164" s="131">
        <f>IFERROR(__xludf.DUMMYFUNCTION("""COMPUTED_VALUE"""),140.0)</f>
        <v>140</v>
      </c>
      <c r="D164" s="131" t="b">
        <f>IFERROR(__xludf.DUMMYFUNCTION("""COMPUTED_VALUE"""),FALSE)</f>
        <v>0</v>
      </c>
      <c r="E164" s="109" t="str">
        <f>IFERROR(__xludf.DUMMYFUNCTION("""COMPUTED_VALUE"""),"TAN SANCHEZ")</f>
        <v>TAN SANCHEZ</v>
      </c>
      <c r="F164" s="109" t="str">
        <f>IFERROR(__xludf.DUMMYFUNCTION("""COMPUTED_VALUE"""),"MARY KHAYE")</f>
        <v>MARY KHAYE</v>
      </c>
    </row>
    <row r="165">
      <c r="A165" s="131">
        <f>IFERROR(__xludf.DUMMYFUNCTION("""COMPUTED_VALUE"""),164.0)</f>
        <v>164</v>
      </c>
      <c r="B165" s="131"/>
      <c r="C165" s="131">
        <f>IFERROR(__xludf.DUMMYFUNCTION("""COMPUTED_VALUE"""),140.0)</f>
        <v>140</v>
      </c>
      <c r="D165" s="131" t="b">
        <f>IFERROR(__xludf.DUMMYFUNCTION("""COMPUTED_VALUE"""),FALSE)</f>
        <v>0</v>
      </c>
      <c r="E165" s="109" t="str">
        <f>IFERROR(__xludf.DUMMYFUNCTION("""COMPUTED_VALUE"""),"TANDUL")</f>
        <v>TANDUL</v>
      </c>
      <c r="F165" s="109" t="str">
        <f>IFERROR(__xludf.DUMMYFUNCTION("""COMPUTED_VALUE"""),"ELAIJAH")</f>
        <v>ELAIJAH</v>
      </c>
    </row>
    <row r="166">
      <c r="A166" s="131">
        <f>IFERROR(__xludf.DUMMYFUNCTION("""COMPUTED_VALUE"""),165.0)</f>
        <v>165</v>
      </c>
      <c r="B166" s="131"/>
      <c r="C166" s="131">
        <f>IFERROR(__xludf.DUMMYFUNCTION("""COMPUTED_VALUE"""),140.0)</f>
        <v>140</v>
      </c>
      <c r="D166" s="131" t="b">
        <f>IFERROR(__xludf.DUMMYFUNCTION("""COMPUTED_VALUE"""),FALSE)</f>
        <v>0</v>
      </c>
      <c r="E166" s="109" t="str">
        <f>IFERROR(__xludf.DUMMYFUNCTION("""COMPUTED_VALUE"""),"VILLONES")</f>
        <v>VILLONES</v>
      </c>
      <c r="F166" s="109" t="str">
        <f>IFERROR(__xludf.DUMMYFUNCTION("""COMPUTED_VALUE"""),"RHEA")</f>
        <v>RHEA</v>
      </c>
    </row>
    <row r="167">
      <c r="A167" s="131">
        <f>IFERROR(__xludf.DUMMYFUNCTION("""COMPUTED_VALUE"""),166.0)</f>
        <v>166</v>
      </c>
      <c r="B167" s="131"/>
      <c r="C167" s="131"/>
      <c r="D167" s="131" t="b">
        <f>IFERROR(__xludf.DUMMYFUNCTION("""COMPUTED_VALUE"""),FALSE)</f>
        <v>0</v>
      </c>
      <c r="E167" s="131"/>
      <c r="F167" s="131"/>
    </row>
    <row r="168">
      <c r="A168" s="131">
        <f>IFERROR(__xludf.DUMMYFUNCTION("""COMPUTED_VALUE"""),167.0)</f>
        <v>167</v>
      </c>
      <c r="B168" s="131"/>
      <c r="C168" s="131">
        <f>IFERROR(__xludf.DUMMYFUNCTION("""COMPUTED_VALUE"""),167.0)</f>
        <v>167</v>
      </c>
      <c r="D168" s="131" t="b">
        <f>IFERROR(__xludf.DUMMYFUNCTION("""COMPUTED_VALUE"""),TRUE)</f>
        <v>1</v>
      </c>
      <c r="E168" s="105" t="str">
        <f>IFERROR(__xludf.DUMMYFUNCTION("""COMPUTED_VALUE"""),"DE-DIOS")</f>
        <v>DE-DIOS</v>
      </c>
      <c r="F168" s="105" t="str">
        <f>IFERROR(__xludf.DUMMYFUNCTION("""COMPUTED_VALUE"""),"JAY-EL")</f>
        <v>JAY-EL</v>
      </c>
    </row>
    <row r="169">
      <c r="A169" s="131">
        <f>IFERROR(__xludf.DUMMYFUNCTION("""COMPUTED_VALUE"""),168.0)</f>
        <v>168</v>
      </c>
      <c r="B169" s="131"/>
      <c r="C169" s="131">
        <f>IFERROR(__xludf.DUMMYFUNCTION("""COMPUTED_VALUE"""),167.0)</f>
        <v>167</v>
      </c>
      <c r="D169" s="131" t="b">
        <f>IFERROR(__xludf.DUMMYFUNCTION("""COMPUTED_VALUE"""),FALSE)</f>
        <v>0</v>
      </c>
      <c r="E169" s="107" t="str">
        <f>IFERROR(__xludf.DUMMYFUNCTION("""COMPUTED_VALUE"""),"BARONGGO")</f>
        <v>BARONGGO</v>
      </c>
      <c r="F169" s="107" t="str">
        <f>IFERROR(__xludf.DUMMYFUNCTION("""COMPUTED_VALUE"""),"FRANK")</f>
        <v>FRANK</v>
      </c>
    </row>
    <row r="170">
      <c r="A170" s="131">
        <f>IFERROR(__xludf.DUMMYFUNCTION("""COMPUTED_VALUE"""),169.0)</f>
        <v>169</v>
      </c>
      <c r="B170" s="131"/>
      <c r="C170" s="131">
        <f>IFERROR(__xludf.DUMMYFUNCTION("""COMPUTED_VALUE"""),167.0)</f>
        <v>167</v>
      </c>
      <c r="D170" s="131" t="b">
        <f>IFERROR(__xludf.DUMMYFUNCTION("""COMPUTED_VALUE"""),FALSE)</f>
        <v>0</v>
      </c>
      <c r="E170" s="107" t="str">
        <f>IFERROR(__xludf.DUMMYFUNCTION("""COMPUTED_VALUE"""),"ABENOJAR")</f>
        <v>ABENOJAR</v>
      </c>
      <c r="F170" s="107" t="str">
        <f>IFERROR(__xludf.DUMMYFUNCTION("""COMPUTED_VALUE"""),"CLIFFORD")</f>
        <v>CLIFFORD</v>
      </c>
    </row>
    <row r="171">
      <c r="A171" s="131">
        <f>IFERROR(__xludf.DUMMYFUNCTION("""COMPUTED_VALUE"""),170.0)</f>
        <v>170</v>
      </c>
      <c r="B171" s="131"/>
      <c r="C171" s="131">
        <f>IFERROR(__xludf.DUMMYFUNCTION("""COMPUTED_VALUE"""),167.0)</f>
        <v>167</v>
      </c>
      <c r="D171" s="131" t="b">
        <f>IFERROR(__xludf.DUMMYFUNCTION("""COMPUTED_VALUE"""),FALSE)</f>
        <v>0</v>
      </c>
      <c r="E171" s="107" t="str">
        <f>IFERROR(__xludf.DUMMYFUNCTION("""COMPUTED_VALUE"""),"ABUS")</f>
        <v>ABUS</v>
      </c>
      <c r="F171" s="107" t="str">
        <f>IFERROR(__xludf.DUMMYFUNCTION("""COMPUTED_VALUE"""),"RV PETER")</f>
        <v>RV PETER</v>
      </c>
    </row>
    <row r="172">
      <c r="A172" s="131">
        <f>IFERROR(__xludf.DUMMYFUNCTION("""COMPUTED_VALUE"""),171.0)</f>
        <v>171</v>
      </c>
      <c r="B172" s="131"/>
      <c r="C172" s="131">
        <f>IFERROR(__xludf.DUMMYFUNCTION("""COMPUTED_VALUE"""),167.0)</f>
        <v>167</v>
      </c>
      <c r="D172" s="131" t="b">
        <f>IFERROR(__xludf.DUMMYFUNCTION("""COMPUTED_VALUE"""),FALSE)</f>
        <v>0</v>
      </c>
      <c r="E172" s="107" t="str">
        <f>IFERROR(__xludf.DUMMYFUNCTION("""COMPUTED_VALUE"""),"ANTONIO")</f>
        <v>ANTONIO</v>
      </c>
      <c r="F172" s="107" t="str">
        <f>IFERROR(__xludf.DUMMYFUNCTION("""COMPUTED_VALUE"""),"DON")</f>
        <v>DON</v>
      </c>
    </row>
    <row r="173">
      <c r="A173" s="131">
        <f>IFERROR(__xludf.DUMMYFUNCTION("""COMPUTED_VALUE"""),172.0)</f>
        <v>172</v>
      </c>
      <c r="B173" s="131"/>
      <c r="C173" s="131">
        <f>IFERROR(__xludf.DUMMYFUNCTION("""COMPUTED_VALUE"""),167.0)</f>
        <v>167</v>
      </c>
      <c r="D173" s="131" t="b">
        <f>IFERROR(__xludf.DUMMYFUNCTION("""COMPUTED_VALUE"""),FALSE)</f>
        <v>0</v>
      </c>
      <c r="E173" s="107" t="str">
        <f>IFERROR(__xludf.DUMMYFUNCTION("""COMPUTED_VALUE"""),"BERDIN")</f>
        <v>BERDIN</v>
      </c>
      <c r="F173" s="107" t="str">
        <f>IFERROR(__xludf.DUMMYFUNCTION("""COMPUTED_VALUE"""),"KURT")</f>
        <v>KURT</v>
      </c>
    </row>
    <row r="174">
      <c r="A174" s="131">
        <f>IFERROR(__xludf.DUMMYFUNCTION("""COMPUTED_VALUE"""),173.0)</f>
        <v>173</v>
      </c>
      <c r="B174" s="131"/>
      <c r="C174" s="131">
        <f>IFERROR(__xludf.DUMMYFUNCTION("""COMPUTED_VALUE"""),167.0)</f>
        <v>167</v>
      </c>
      <c r="D174" s="131" t="b">
        <f>IFERROR(__xludf.DUMMYFUNCTION("""COMPUTED_VALUE"""),FALSE)</f>
        <v>0</v>
      </c>
      <c r="E174" s="107" t="str">
        <f>IFERROR(__xludf.DUMMYFUNCTION("""COMPUTED_VALUE"""),"CALUBIRAN")</f>
        <v>CALUBIRAN</v>
      </c>
      <c r="F174" s="107" t="str">
        <f>IFERROR(__xludf.DUMMYFUNCTION("""COMPUTED_VALUE"""),"JOEL")</f>
        <v>JOEL</v>
      </c>
    </row>
    <row r="175">
      <c r="A175" s="131">
        <f>IFERROR(__xludf.DUMMYFUNCTION("""COMPUTED_VALUE"""),174.0)</f>
        <v>174</v>
      </c>
      <c r="B175" s="131"/>
      <c r="C175" s="131">
        <f>IFERROR(__xludf.DUMMYFUNCTION("""COMPUTED_VALUE"""),167.0)</f>
        <v>167</v>
      </c>
      <c r="D175" s="131" t="b">
        <f>IFERROR(__xludf.DUMMYFUNCTION("""COMPUTED_VALUE"""),FALSE)</f>
        <v>0</v>
      </c>
      <c r="E175" s="107" t="str">
        <f>IFERROR(__xludf.DUMMYFUNCTION("""COMPUTED_VALUE"""),"CARANGAN")</f>
        <v>CARANGAN</v>
      </c>
      <c r="F175" s="107" t="str">
        <f>IFERROR(__xludf.DUMMYFUNCTION("""COMPUTED_VALUE"""),"LANCE")</f>
        <v>LANCE</v>
      </c>
    </row>
    <row r="176">
      <c r="A176" s="131">
        <f>IFERROR(__xludf.DUMMYFUNCTION("""COMPUTED_VALUE"""),175.0)</f>
        <v>175</v>
      </c>
      <c r="B176" s="131"/>
      <c r="C176" s="131">
        <f>IFERROR(__xludf.DUMMYFUNCTION("""COMPUTED_VALUE"""),167.0)</f>
        <v>167</v>
      </c>
      <c r="D176" s="131" t="b">
        <f>IFERROR(__xludf.DUMMYFUNCTION("""COMPUTED_VALUE"""),FALSE)</f>
        <v>0</v>
      </c>
      <c r="E176" s="107" t="str">
        <f>IFERROR(__xludf.DUMMYFUNCTION("""COMPUTED_VALUE"""),"CASINUSIMAN")</f>
        <v>CASINUSIMAN</v>
      </c>
      <c r="F176" s="107" t="str">
        <f>IFERROR(__xludf.DUMMYFUNCTION("""COMPUTED_VALUE"""),"RAINER")</f>
        <v>RAINER</v>
      </c>
    </row>
    <row r="177">
      <c r="A177" s="131">
        <f>IFERROR(__xludf.DUMMYFUNCTION("""COMPUTED_VALUE"""),176.0)</f>
        <v>176</v>
      </c>
      <c r="B177" s="131"/>
      <c r="C177" s="131">
        <f>IFERROR(__xludf.DUMMYFUNCTION("""COMPUTED_VALUE"""),167.0)</f>
        <v>167</v>
      </c>
      <c r="D177" s="131" t="b">
        <f>IFERROR(__xludf.DUMMYFUNCTION("""COMPUTED_VALUE"""),FALSE)</f>
        <v>0</v>
      </c>
      <c r="E177" s="107" t="str">
        <f>IFERROR(__xludf.DUMMYFUNCTION("""COMPUTED_VALUE"""),"CORVERA")</f>
        <v>CORVERA</v>
      </c>
      <c r="F177" s="107" t="str">
        <f>IFERROR(__xludf.DUMMYFUNCTION("""COMPUTED_VALUE"""),"FLORENCE")</f>
        <v>FLORENCE</v>
      </c>
    </row>
    <row r="178">
      <c r="A178" s="131">
        <f>IFERROR(__xludf.DUMMYFUNCTION("""COMPUTED_VALUE"""),177.0)</f>
        <v>177</v>
      </c>
      <c r="B178" s="131"/>
      <c r="C178" s="131">
        <f>IFERROR(__xludf.DUMMYFUNCTION("""COMPUTED_VALUE"""),167.0)</f>
        <v>167</v>
      </c>
      <c r="D178" s="131" t="b">
        <f>IFERROR(__xludf.DUMMYFUNCTION("""COMPUTED_VALUE"""),FALSE)</f>
        <v>0</v>
      </c>
      <c r="E178" s="107" t="str">
        <f>IFERROR(__xludf.DUMMYFUNCTION("""COMPUTED_VALUE"""),"DABALOS")</f>
        <v>DABALOS</v>
      </c>
      <c r="F178" s="107" t="str">
        <f>IFERROR(__xludf.DUMMYFUNCTION("""COMPUTED_VALUE"""),"MERVIN")</f>
        <v>MERVIN</v>
      </c>
    </row>
    <row r="179">
      <c r="A179" s="131">
        <f>IFERROR(__xludf.DUMMYFUNCTION("""COMPUTED_VALUE"""),178.0)</f>
        <v>178</v>
      </c>
      <c r="B179" s="131"/>
      <c r="C179" s="131">
        <f>IFERROR(__xludf.DUMMYFUNCTION("""COMPUTED_VALUE"""),167.0)</f>
        <v>167</v>
      </c>
      <c r="D179" s="131" t="b">
        <f>IFERROR(__xludf.DUMMYFUNCTION("""COMPUTED_VALUE"""),FALSE)</f>
        <v>0</v>
      </c>
      <c r="E179" s="107" t="str">
        <f>IFERROR(__xludf.DUMMYFUNCTION("""COMPUTED_VALUE"""),"DATO")</f>
        <v>DATO</v>
      </c>
      <c r="F179" s="107" t="str">
        <f>IFERROR(__xludf.DUMMYFUNCTION("""COMPUTED_VALUE"""),"JOHN AL")</f>
        <v>JOHN AL</v>
      </c>
    </row>
    <row r="180">
      <c r="A180" s="131">
        <f>IFERROR(__xludf.DUMMYFUNCTION("""COMPUTED_VALUE"""),179.0)</f>
        <v>179</v>
      </c>
      <c r="B180" s="131"/>
      <c r="C180" s="131">
        <f>IFERROR(__xludf.DUMMYFUNCTION("""COMPUTED_VALUE"""),167.0)</f>
        <v>167</v>
      </c>
      <c r="D180" s="131" t="b">
        <f>IFERROR(__xludf.DUMMYFUNCTION("""COMPUTED_VALUE"""),FALSE)</f>
        <v>0</v>
      </c>
      <c r="E180" s="107" t="str">
        <f>IFERROR(__xludf.DUMMYFUNCTION("""COMPUTED_VALUE"""),"DELA CRUZ")</f>
        <v>DELA CRUZ</v>
      </c>
      <c r="F180" s="107" t="str">
        <f>IFERROR(__xludf.DUMMYFUNCTION("""COMPUTED_VALUE"""),"DYLAN")</f>
        <v>DYLAN</v>
      </c>
    </row>
    <row r="181">
      <c r="A181" s="131">
        <f>IFERROR(__xludf.DUMMYFUNCTION("""COMPUTED_VALUE"""),180.0)</f>
        <v>180</v>
      </c>
      <c r="B181" s="131"/>
      <c r="C181" s="131">
        <f>IFERROR(__xludf.DUMMYFUNCTION("""COMPUTED_VALUE"""),167.0)</f>
        <v>167</v>
      </c>
      <c r="D181" s="131" t="b">
        <f>IFERROR(__xludf.DUMMYFUNCTION("""COMPUTED_VALUE"""),FALSE)</f>
        <v>0</v>
      </c>
      <c r="E181" s="107" t="str">
        <f>IFERROR(__xludf.DUMMYFUNCTION("""COMPUTED_VALUE"""),"DELA PEÑA")</f>
        <v>DELA PEÑA</v>
      </c>
      <c r="F181" s="107" t="str">
        <f>IFERROR(__xludf.DUMMYFUNCTION("""COMPUTED_VALUE"""),"ACEL")</f>
        <v>ACEL</v>
      </c>
    </row>
    <row r="182">
      <c r="A182" s="131">
        <f>IFERROR(__xludf.DUMMYFUNCTION("""COMPUTED_VALUE"""),181.0)</f>
        <v>181</v>
      </c>
      <c r="B182" s="131"/>
      <c r="C182" s="131">
        <f>IFERROR(__xludf.DUMMYFUNCTION("""COMPUTED_VALUE"""),167.0)</f>
        <v>167</v>
      </c>
      <c r="D182" s="131" t="b">
        <f>IFERROR(__xludf.DUMMYFUNCTION("""COMPUTED_VALUE"""),FALSE)</f>
        <v>0</v>
      </c>
      <c r="E182" s="107" t="str">
        <f>IFERROR(__xludf.DUMMYFUNCTION("""COMPUTED_VALUE"""),"DELECTOR")</f>
        <v>DELECTOR</v>
      </c>
      <c r="F182" s="107" t="str">
        <f>IFERROR(__xludf.DUMMYFUNCTION("""COMPUTED_VALUE"""),"FRANCIS CRISTEL")</f>
        <v>FRANCIS CRISTEL</v>
      </c>
    </row>
    <row r="183">
      <c r="A183" s="131">
        <f>IFERROR(__xludf.DUMMYFUNCTION("""COMPUTED_VALUE"""),182.0)</f>
        <v>182</v>
      </c>
      <c r="B183" s="131"/>
      <c r="C183" s="131">
        <f>IFERROR(__xludf.DUMMYFUNCTION("""COMPUTED_VALUE"""),167.0)</f>
        <v>167</v>
      </c>
      <c r="D183" s="131" t="b">
        <f>IFERROR(__xludf.DUMMYFUNCTION("""COMPUTED_VALUE"""),FALSE)</f>
        <v>0</v>
      </c>
      <c r="E183" s="107" t="str">
        <f>IFERROR(__xludf.DUMMYFUNCTION("""COMPUTED_VALUE"""),"DELECTOR")</f>
        <v>DELECTOR</v>
      </c>
      <c r="F183" s="107" t="str">
        <f>IFERROR(__xludf.DUMMYFUNCTION("""COMPUTED_VALUE"""),"FRANZINE CARLO")</f>
        <v>FRANZINE CARLO</v>
      </c>
    </row>
    <row r="184">
      <c r="A184" s="131">
        <f>IFERROR(__xludf.DUMMYFUNCTION("""COMPUTED_VALUE"""),183.0)</f>
        <v>183</v>
      </c>
      <c r="B184" s="131"/>
      <c r="C184" s="131">
        <f>IFERROR(__xludf.DUMMYFUNCTION("""COMPUTED_VALUE"""),167.0)</f>
        <v>167</v>
      </c>
      <c r="D184" s="131" t="b">
        <f>IFERROR(__xludf.DUMMYFUNCTION("""COMPUTED_VALUE"""),FALSE)</f>
        <v>0</v>
      </c>
      <c r="E184" s="107" t="str">
        <f>IFERROR(__xludf.DUMMYFUNCTION("""COMPUTED_VALUE"""),"FRONDA")</f>
        <v>FRONDA</v>
      </c>
      <c r="F184" s="107" t="str">
        <f>IFERROR(__xludf.DUMMYFUNCTION("""COMPUTED_VALUE"""),"ED")</f>
        <v>ED</v>
      </c>
    </row>
    <row r="185">
      <c r="A185" s="131">
        <f>IFERROR(__xludf.DUMMYFUNCTION("""COMPUTED_VALUE"""),184.0)</f>
        <v>184</v>
      </c>
      <c r="B185" s="131"/>
      <c r="C185" s="131">
        <f>IFERROR(__xludf.DUMMYFUNCTION("""COMPUTED_VALUE"""),167.0)</f>
        <v>167</v>
      </c>
      <c r="D185" s="131" t="b">
        <f>IFERROR(__xludf.DUMMYFUNCTION("""COMPUTED_VALUE"""),FALSE)</f>
        <v>0</v>
      </c>
      <c r="E185" s="107" t="str">
        <f>IFERROR(__xludf.DUMMYFUNCTION("""COMPUTED_VALUE"""),"GELICAME")</f>
        <v>GELICAME</v>
      </c>
      <c r="F185" s="107" t="str">
        <f>IFERROR(__xludf.DUMMYFUNCTION("""COMPUTED_VALUE"""),"ALJHUN")</f>
        <v>ALJHUN</v>
      </c>
    </row>
    <row r="186">
      <c r="A186" s="131">
        <f>IFERROR(__xludf.DUMMYFUNCTION("""COMPUTED_VALUE"""),185.0)</f>
        <v>185</v>
      </c>
      <c r="B186" s="131"/>
      <c r="C186" s="131">
        <f>IFERROR(__xludf.DUMMYFUNCTION("""COMPUTED_VALUE"""),167.0)</f>
        <v>167</v>
      </c>
      <c r="D186" s="131" t="b">
        <f>IFERROR(__xludf.DUMMYFUNCTION("""COMPUTED_VALUE"""),FALSE)</f>
        <v>0</v>
      </c>
      <c r="E186" s="107" t="str">
        <f>IFERROR(__xludf.DUMMYFUNCTION("""COMPUTED_VALUE"""),"LABAYNE")</f>
        <v>LABAYNE</v>
      </c>
      <c r="F186" s="107" t="str">
        <f>IFERROR(__xludf.DUMMYFUNCTION("""COMPUTED_VALUE"""),"JOSHUA")</f>
        <v>JOSHUA</v>
      </c>
    </row>
    <row r="187">
      <c r="A187" s="131">
        <f>IFERROR(__xludf.DUMMYFUNCTION("""COMPUTED_VALUE"""),186.0)</f>
        <v>186</v>
      </c>
      <c r="B187" s="131"/>
      <c r="C187" s="131">
        <f>IFERROR(__xludf.DUMMYFUNCTION("""COMPUTED_VALUE"""),167.0)</f>
        <v>167</v>
      </c>
      <c r="D187" s="131" t="b">
        <f>IFERROR(__xludf.DUMMYFUNCTION("""COMPUTED_VALUE"""),FALSE)</f>
        <v>0</v>
      </c>
      <c r="E187" s="107" t="str">
        <f>IFERROR(__xludf.DUMMYFUNCTION("""COMPUTED_VALUE"""),"LABAYNE")</f>
        <v>LABAYNE</v>
      </c>
      <c r="F187" s="107" t="str">
        <f>IFERROR(__xludf.DUMMYFUNCTION("""COMPUTED_VALUE"""),"MARK")</f>
        <v>MARK</v>
      </c>
    </row>
    <row r="188">
      <c r="A188" s="131">
        <f>IFERROR(__xludf.DUMMYFUNCTION("""COMPUTED_VALUE"""),187.0)</f>
        <v>187</v>
      </c>
      <c r="B188" s="131"/>
      <c r="C188" s="131">
        <f>IFERROR(__xludf.DUMMYFUNCTION("""COMPUTED_VALUE"""),167.0)</f>
        <v>167</v>
      </c>
      <c r="D188" s="131" t="b">
        <f>IFERROR(__xludf.DUMMYFUNCTION("""COMPUTED_VALUE"""),FALSE)</f>
        <v>0</v>
      </c>
      <c r="E188" s="107" t="str">
        <f>IFERROR(__xludf.DUMMYFUNCTION("""COMPUTED_VALUE"""),"LABAYNE")</f>
        <v>LABAYNE</v>
      </c>
      <c r="F188" s="107" t="str">
        <f>IFERROR(__xludf.DUMMYFUNCTION("""COMPUTED_VALUE"""),"JAMES")</f>
        <v>JAMES</v>
      </c>
    </row>
    <row r="189">
      <c r="A189" s="131">
        <f>IFERROR(__xludf.DUMMYFUNCTION("""COMPUTED_VALUE"""),188.0)</f>
        <v>188</v>
      </c>
      <c r="B189" s="131"/>
      <c r="C189" s="131">
        <f>IFERROR(__xludf.DUMMYFUNCTION("""COMPUTED_VALUE"""),167.0)</f>
        <v>167</v>
      </c>
      <c r="D189" s="131" t="b">
        <f>IFERROR(__xludf.DUMMYFUNCTION("""COMPUTED_VALUE"""),FALSE)</f>
        <v>0</v>
      </c>
      <c r="E189" s="107" t="str">
        <f>IFERROR(__xludf.DUMMYFUNCTION("""COMPUTED_VALUE"""),"LLORENTE")</f>
        <v>LLORENTE</v>
      </c>
      <c r="F189" s="107" t="str">
        <f>IFERROR(__xludf.DUMMYFUNCTION("""COMPUTED_VALUE"""),"MILLS")</f>
        <v>MILLS</v>
      </c>
    </row>
    <row r="190">
      <c r="A190" s="131">
        <f>IFERROR(__xludf.DUMMYFUNCTION("""COMPUTED_VALUE"""),189.0)</f>
        <v>189</v>
      </c>
      <c r="B190" s="131"/>
      <c r="C190" s="131">
        <f>IFERROR(__xludf.DUMMYFUNCTION("""COMPUTED_VALUE"""),167.0)</f>
        <v>167</v>
      </c>
      <c r="D190" s="131" t="b">
        <f>IFERROR(__xludf.DUMMYFUNCTION("""COMPUTED_VALUE"""),FALSE)</f>
        <v>0</v>
      </c>
      <c r="E190" s="107" t="str">
        <f>IFERROR(__xludf.DUMMYFUNCTION("""COMPUTED_VALUE"""),"MANUEL")</f>
        <v>MANUEL</v>
      </c>
      <c r="F190" s="107" t="str">
        <f>IFERROR(__xludf.DUMMYFUNCTION("""COMPUTED_VALUE"""),"JOHN MARK")</f>
        <v>JOHN MARK</v>
      </c>
    </row>
    <row r="191">
      <c r="A191" s="131">
        <f>IFERROR(__xludf.DUMMYFUNCTION("""COMPUTED_VALUE"""),190.0)</f>
        <v>190</v>
      </c>
      <c r="B191" s="131"/>
      <c r="C191" s="131">
        <f>IFERROR(__xludf.DUMMYFUNCTION("""COMPUTED_VALUE"""),167.0)</f>
        <v>167</v>
      </c>
      <c r="D191" s="131" t="b">
        <f>IFERROR(__xludf.DUMMYFUNCTION("""COMPUTED_VALUE"""),FALSE)</f>
        <v>0</v>
      </c>
      <c r="E191" s="107" t="str">
        <f>IFERROR(__xludf.DUMMYFUNCTION("""COMPUTED_VALUE"""),"MENDOZA")</f>
        <v>MENDOZA</v>
      </c>
      <c r="F191" s="107" t="str">
        <f>IFERROR(__xludf.DUMMYFUNCTION("""COMPUTED_VALUE"""),"JM")</f>
        <v>JM</v>
      </c>
    </row>
    <row r="192">
      <c r="A192" s="131">
        <f>IFERROR(__xludf.DUMMYFUNCTION("""COMPUTED_VALUE"""),191.0)</f>
        <v>191</v>
      </c>
      <c r="B192" s="131"/>
      <c r="C192" s="131">
        <f>IFERROR(__xludf.DUMMYFUNCTION("""COMPUTED_VALUE"""),167.0)</f>
        <v>167</v>
      </c>
      <c r="D192" s="131" t="b">
        <f>IFERROR(__xludf.DUMMYFUNCTION("""COMPUTED_VALUE"""),FALSE)</f>
        <v>0</v>
      </c>
      <c r="E192" s="107" t="str">
        <f>IFERROR(__xludf.DUMMYFUNCTION("""COMPUTED_VALUE"""),"MOLINA")</f>
        <v>MOLINA</v>
      </c>
      <c r="F192" s="107" t="str">
        <f>IFERROR(__xludf.DUMMYFUNCTION("""COMPUTED_VALUE"""),"ADRIAN")</f>
        <v>ADRIAN</v>
      </c>
    </row>
    <row r="193">
      <c r="A193" s="131">
        <f>IFERROR(__xludf.DUMMYFUNCTION("""COMPUTED_VALUE"""),192.0)</f>
        <v>192</v>
      </c>
      <c r="B193" s="131"/>
      <c r="C193" s="131">
        <f>IFERROR(__xludf.DUMMYFUNCTION("""COMPUTED_VALUE"""),167.0)</f>
        <v>167</v>
      </c>
      <c r="D193" s="131" t="b">
        <f>IFERROR(__xludf.DUMMYFUNCTION("""COMPUTED_VALUE"""),FALSE)</f>
        <v>0</v>
      </c>
      <c r="E193" s="107" t="str">
        <f>IFERROR(__xludf.DUMMYFUNCTION("""COMPUTED_VALUE"""),"MONTECER")</f>
        <v>MONTECER</v>
      </c>
      <c r="F193" s="107" t="str">
        <f>IFERROR(__xludf.DUMMYFUNCTION("""COMPUTED_VALUE"""),"RYAN")</f>
        <v>RYAN</v>
      </c>
    </row>
    <row r="194">
      <c r="A194" s="131">
        <f>IFERROR(__xludf.DUMMYFUNCTION("""COMPUTED_VALUE"""),193.0)</f>
        <v>193</v>
      </c>
      <c r="B194" s="131"/>
      <c r="C194" s="131">
        <f>IFERROR(__xludf.DUMMYFUNCTION("""COMPUTED_VALUE"""),167.0)</f>
        <v>167</v>
      </c>
      <c r="D194" s="131" t="b">
        <f>IFERROR(__xludf.DUMMYFUNCTION("""COMPUTED_VALUE"""),FALSE)</f>
        <v>0</v>
      </c>
      <c r="E194" s="107" t="str">
        <f>IFERROR(__xludf.DUMMYFUNCTION("""COMPUTED_VALUE"""),"MOSQUITO")</f>
        <v>MOSQUITO</v>
      </c>
      <c r="F194" s="107" t="str">
        <f>IFERROR(__xludf.DUMMYFUNCTION("""COMPUTED_VALUE"""),"JOHN MARK")</f>
        <v>JOHN MARK</v>
      </c>
    </row>
    <row r="195">
      <c r="A195" s="131">
        <f>IFERROR(__xludf.DUMMYFUNCTION("""COMPUTED_VALUE"""),194.0)</f>
        <v>194</v>
      </c>
      <c r="B195" s="131"/>
      <c r="C195" s="131">
        <f>IFERROR(__xludf.DUMMYFUNCTION("""COMPUTED_VALUE"""),167.0)</f>
        <v>167</v>
      </c>
      <c r="D195" s="131" t="b">
        <f>IFERROR(__xludf.DUMMYFUNCTION("""COMPUTED_VALUE"""),FALSE)</f>
        <v>0</v>
      </c>
      <c r="E195" s="107" t="str">
        <f>IFERROR(__xludf.DUMMYFUNCTION("""COMPUTED_VALUE"""),"PASCUAL")</f>
        <v>PASCUAL</v>
      </c>
      <c r="F195" s="107" t="str">
        <f>IFERROR(__xludf.DUMMYFUNCTION("""COMPUTED_VALUE"""),"KIOSKE")</f>
        <v>KIOSKE</v>
      </c>
    </row>
    <row r="196">
      <c r="A196" s="131">
        <f>IFERROR(__xludf.DUMMYFUNCTION("""COMPUTED_VALUE"""),195.0)</f>
        <v>195</v>
      </c>
      <c r="B196" s="131"/>
      <c r="C196" s="131">
        <f>IFERROR(__xludf.DUMMYFUNCTION("""COMPUTED_VALUE"""),167.0)</f>
        <v>167</v>
      </c>
      <c r="D196" s="131" t="b">
        <f>IFERROR(__xludf.DUMMYFUNCTION("""COMPUTED_VALUE"""),FALSE)</f>
        <v>0</v>
      </c>
      <c r="E196" s="107" t="str">
        <f>IFERROR(__xludf.DUMMYFUNCTION("""COMPUTED_VALUE"""),"PERALTA")</f>
        <v>PERALTA</v>
      </c>
      <c r="F196" s="107" t="str">
        <f>IFERROR(__xludf.DUMMYFUNCTION("""COMPUTED_VALUE"""),"MARION")</f>
        <v>MARION</v>
      </c>
    </row>
    <row r="197">
      <c r="A197" s="131">
        <f>IFERROR(__xludf.DUMMYFUNCTION("""COMPUTED_VALUE"""),196.0)</f>
        <v>196</v>
      </c>
      <c r="B197" s="131"/>
      <c r="C197" s="131">
        <f>IFERROR(__xludf.DUMMYFUNCTION("""COMPUTED_VALUE"""),167.0)</f>
        <v>167</v>
      </c>
      <c r="D197" s="131" t="b">
        <f>IFERROR(__xludf.DUMMYFUNCTION("""COMPUTED_VALUE"""),FALSE)</f>
        <v>0</v>
      </c>
      <c r="E197" s="107" t="str">
        <f>IFERROR(__xludf.DUMMYFUNCTION("""COMPUTED_VALUE"""),"RANOLA")</f>
        <v>RANOLA</v>
      </c>
      <c r="F197" s="107" t="str">
        <f>IFERROR(__xludf.DUMMYFUNCTION("""COMPUTED_VALUE"""),"JOHN GABRIELLE P.")</f>
        <v>JOHN GABRIELLE P.</v>
      </c>
    </row>
    <row r="198">
      <c r="A198" s="131">
        <f>IFERROR(__xludf.DUMMYFUNCTION("""COMPUTED_VALUE"""),197.0)</f>
        <v>197</v>
      </c>
      <c r="B198" s="131"/>
      <c r="C198" s="131">
        <f>IFERROR(__xludf.DUMMYFUNCTION("""COMPUTED_VALUE"""),167.0)</f>
        <v>167</v>
      </c>
      <c r="D198" s="131" t="b">
        <f>IFERROR(__xludf.DUMMYFUNCTION("""COMPUTED_VALUE"""),FALSE)</f>
        <v>0</v>
      </c>
      <c r="E198" s="107" t="str">
        <f>IFERROR(__xludf.DUMMYFUNCTION("""COMPUTED_VALUE"""),"REMOPALOS")</f>
        <v>REMOPALOS</v>
      </c>
      <c r="F198" s="107" t="str">
        <f>IFERROR(__xludf.DUMMYFUNCTION("""COMPUTED_VALUE"""),"ZION")</f>
        <v>ZION</v>
      </c>
    </row>
    <row r="199">
      <c r="A199" s="131">
        <f>IFERROR(__xludf.DUMMYFUNCTION("""COMPUTED_VALUE"""),198.0)</f>
        <v>198</v>
      </c>
      <c r="B199" s="131"/>
      <c r="C199" s="131">
        <f>IFERROR(__xludf.DUMMYFUNCTION("""COMPUTED_VALUE"""),167.0)</f>
        <v>167</v>
      </c>
      <c r="D199" s="131" t="b">
        <f>IFERROR(__xludf.DUMMYFUNCTION("""COMPUTED_VALUE"""),FALSE)</f>
        <v>0</v>
      </c>
      <c r="E199" s="107" t="str">
        <f>IFERROR(__xludf.DUMMYFUNCTION("""COMPUTED_VALUE"""),"ROSAL")</f>
        <v>ROSAL</v>
      </c>
      <c r="F199" s="107" t="str">
        <f>IFERROR(__xludf.DUMMYFUNCTION("""COMPUTED_VALUE"""),"CYRUS JOSEPH")</f>
        <v>CYRUS JOSEPH</v>
      </c>
    </row>
    <row r="200">
      <c r="A200" s="131">
        <f>IFERROR(__xludf.DUMMYFUNCTION("""COMPUTED_VALUE"""),199.0)</f>
        <v>199</v>
      </c>
      <c r="B200" s="131"/>
      <c r="C200" s="131">
        <f>IFERROR(__xludf.DUMMYFUNCTION("""COMPUTED_VALUE"""),167.0)</f>
        <v>167</v>
      </c>
      <c r="D200" s="131" t="b">
        <f>IFERROR(__xludf.DUMMYFUNCTION("""COMPUTED_VALUE"""),FALSE)</f>
        <v>0</v>
      </c>
      <c r="E200" s="107" t="str">
        <f>IFERROR(__xludf.DUMMYFUNCTION("""COMPUTED_VALUE"""),"SAMONTANES")</f>
        <v>SAMONTANES</v>
      </c>
      <c r="F200" s="107" t="str">
        <f>IFERROR(__xludf.DUMMYFUNCTION("""COMPUTED_VALUE"""),"DAVID")</f>
        <v>DAVID</v>
      </c>
    </row>
    <row r="201">
      <c r="A201" s="131">
        <f>IFERROR(__xludf.DUMMYFUNCTION("""COMPUTED_VALUE"""),200.0)</f>
        <v>200</v>
      </c>
      <c r="B201" s="131"/>
      <c r="C201" s="131">
        <f>IFERROR(__xludf.DUMMYFUNCTION("""COMPUTED_VALUE"""),167.0)</f>
        <v>167</v>
      </c>
      <c r="D201" s="131" t="b">
        <f>IFERROR(__xludf.DUMMYFUNCTION("""COMPUTED_VALUE"""),FALSE)</f>
        <v>0</v>
      </c>
      <c r="E201" s="107" t="str">
        <f>IFERROR(__xludf.DUMMYFUNCTION("""COMPUTED_VALUE"""),"SISON")</f>
        <v>SISON</v>
      </c>
      <c r="F201" s="107" t="str">
        <f>IFERROR(__xludf.DUMMYFUNCTION("""COMPUTED_VALUE"""),"RAVEN JAZZ")</f>
        <v>RAVEN JAZZ</v>
      </c>
    </row>
    <row r="202">
      <c r="A202" s="131">
        <f>IFERROR(__xludf.DUMMYFUNCTION("""COMPUTED_VALUE"""),201.0)</f>
        <v>201</v>
      </c>
      <c r="B202" s="131"/>
      <c r="C202" s="131">
        <f>IFERROR(__xludf.DUMMYFUNCTION("""COMPUTED_VALUE"""),167.0)</f>
        <v>167</v>
      </c>
      <c r="D202" s="131" t="b">
        <f>IFERROR(__xludf.DUMMYFUNCTION("""COMPUTED_VALUE"""),FALSE)</f>
        <v>0</v>
      </c>
      <c r="E202" s="107" t="str">
        <f>IFERROR(__xludf.DUMMYFUNCTION("""COMPUTED_VALUE"""),"SOMERA")</f>
        <v>SOMERA</v>
      </c>
      <c r="F202" s="107" t="str">
        <f>IFERROR(__xludf.DUMMYFUNCTION("""COMPUTED_VALUE"""),"MICHAEL")</f>
        <v>MICHAEL</v>
      </c>
    </row>
    <row r="203">
      <c r="A203" s="131">
        <f>IFERROR(__xludf.DUMMYFUNCTION("""COMPUTED_VALUE"""),202.0)</f>
        <v>202</v>
      </c>
      <c r="B203" s="131"/>
      <c r="C203" s="131">
        <f>IFERROR(__xludf.DUMMYFUNCTION("""COMPUTED_VALUE"""),167.0)</f>
        <v>167</v>
      </c>
      <c r="D203" s="131" t="b">
        <f>IFERROR(__xludf.DUMMYFUNCTION("""COMPUTED_VALUE"""),FALSE)</f>
        <v>0</v>
      </c>
      <c r="E203" s="107" t="str">
        <f>IFERROR(__xludf.DUMMYFUNCTION("""COMPUTED_VALUE"""),"TAMIDLES")</f>
        <v>TAMIDLES</v>
      </c>
      <c r="F203" s="107" t="str">
        <f>IFERROR(__xludf.DUMMYFUNCTION("""COMPUTED_VALUE"""),"KARL")</f>
        <v>KARL</v>
      </c>
    </row>
    <row r="204">
      <c r="A204" s="131">
        <f>IFERROR(__xludf.DUMMYFUNCTION("""COMPUTED_VALUE"""),203.0)</f>
        <v>203</v>
      </c>
      <c r="B204" s="131"/>
      <c r="C204" s="131">
        <f>IFERROR(__xludf.DUMMYFUNCTION("""COMPUTED_VALUE"""),167.0)</f>
        <v>167</v>
      </c>
      <c r="D204" s="131" t="b">
        <f>IFERROR(__xludf.DUMMYFUNCTION("""COMPUTED_VALUE"""),FALSE)</f>
        <v>0</v>
      </c>
      <c r="E204" s="107" t="str">
        <f>IFERROR(__xludf.DUMMYFUNCTION("""COMPUTED_VALUE"""),"TAN")</f>
        <v>TAN</v>
      </c>
      <c r="F204" s="107" t="str">
        <f>IFERROR(__xludf.DUMMYFUNCTION("""COMPUTED_VALUE"""),"RAMON")</f>
        <v>RAMON</v>
      </c>
    </row>
    <row r="205">
      <c r="A205" s="131">
        <f>IFERROR(__xludf.DUMMYFUNCTION("""COMPUTED_VALUE"""),204.0)</f>
        <v>204</v>
      </c>
      <c r="B205" s="131"/>
      <c r="C205" s="131">
        <f>IFERROR(__xludf.DUMMYFUNCTION("""COMPUTED_VALUE"""),167.0)</f>
        <v>167</v>
      </c>
      <c r="D205" s="131" t="b">
        <f>IFERROR(__xludf.DUMMYFUNCTION("""COMPUTED_VALUE"""),FALSE)</f>
        <v>0</v>
      </c>
      <c r="E205" s="116" t="str">
        <f>IFERROR(__xludf.DUMMYFUNCTION("""COMPUTED_VALUE"""),"TOLEDO")</f>
        <v>TOLEDO</v>
      </c>
      <c r="F205" s="115" t="str">
        <f>IFERROR(__xludf.DUMMYFUNCTION("""COMPUTED_VALUE"""),"ASZHER")</f>
        <v>ASZHER</v>
      </c>
    </row>
    <row r="206">
      <c r="A206" s="131">
        <f>IFERROR(__xludf.DUMMYFUNCTION("""COMPUTED_VALUE"""),205.0)</f>
        <v>205</v>
      </c>
      <c r="B206" s="131"/>
      <c r="C206" s="131">
        <f>IFERROR(__xludf.DUMMYFUNCTION("""COMPUTED_VALUE"""),167.0)</f>
        <v>167</v>
      </c>
      <c r="D206" s="131" t="b">
        <f>IFERROR(__xludf.DUMMYFUNCTION("""COMPUTED_VALUE"""),FALSE)</f>
        <v>0</v>
      </c>
      <c r="E206" s="115" t="str">
        <f>IFERROR(__xludf.DUMMYFUNCTION("""COMPUTED_VALUE"""),"TAMIDLES")</f>
        <v>TAMIDLES</v>
      </c>
      <c r="F206" s="107" t="str">
        <f>IFERROR(__xludf.DUMMYFUNCTION("""COMPUTED_VALUE"""),"ZHAIRON")</f>
        <v>ZHAIRON</v>
      </c>
    </row>
    <row r="207">
      <c r="A207" s="131">
        <f>IFERROR(__xludf.DUMMYFUNCTION("""COMPUTED_VALUE"""),206.0)</f>
        <v>206</v>
      </c>
      <c r="B207" s="131"/>
      <c r="C207" s="131">
        <f>IFERROR(__xludf.DUMMYFUNCTION("""COMPUTED_VALUE"""),167.0)</f>
        <v>167</v>
      </c>
      <c r="D207" s="131" t="b">
        <f>IFERROR(__xludf.DUMMYFUNCTION("""COMPUTED_VALUE"""),FALSE)</f>
        <v>0</v>
      </c>
      <c r="E207" s="107" t="str">
        <f>IFERROR(__xludf.DUMMYFUNCTION("""COMPUTED_VALUE"""),"VERTUDAZO")</f>
        <v>VERTUDAZO</v>
      </c>
      <c r="F207" s="107" t="str">
        <f>IFERROR(__xludf.DUMMYFUNCTION("""COMPUTED_VALUE"""),"KENNETH")</f>
        <v>KENNETH</v>
      </c>
    </row>
    <row r="208">
      <c r="A208" s="131">
        <f>IFERROR(__xludf.DUMMYFUNCTION("""COMPUTED_VALUE"""),207.0)</f>
        <v>207</v>
      </c>
      <c r="B208" s="131"/>
      <c r="C208" s="131">
        <f>IFERROR(__xludf.DUMMYFUNCTION("""COMPUTED_VALUE"""),167.0)</f>
        <v>167</v>
      </c>
      <c r="D208" s="131" t="b">
        <f>IFERROR(__xludf.DUMMYFUNCTION("""COMPUTED_VALUE"""),FALSE)</f>
        <v>0</v>
      </c>
      <c r="E208" s="107" t="str">
        <f>IFERROR(__xludf.DUMMYFUNCTION("""COMPUTED_VALUE"""),"VILLARUEL")</f>
        <v>VILLARUEL</v>
      </c>
      <c r="F208" s="107" t="str">
        <f>IFERROR(__xludf.DUMMYFUNCTION("""COMPUTED_VALUE"""),"KIAN")</f>
        <v>KIAN</v>
      </c>
    </row>
    <row r="209">
      <c r="A209" s="131">
        <f>IFERROR(__xludf.DUMMYFUNCTION("""COMPUTED_VALUE"""),208.0)</f>
        <v>208</v>
      </c>
      <c r="B209" s="131"/>
      <c r="C209" s="131">
        <f>IFERROR(__xludf.DUMMYFUNCTION("""COMPUTED_VALUE"""),167.0)</f>
        <v>167</v>
      </c>
      <c r="D209" s="131" t="b">
        <f>IFERROR(__xludf.DUMMYFUNCTION("""COMPUTED_VALUE"""),FALSE)</f>
        <v>0</v>
      </c>
      <c r="E209" s="107" t="str">
        <f>IFERROR(__xludf.DUMMYFUNCTION("""COMPUTED_VALUE"""),"VILLARUEL")</f>
        <v>VILLARUEL</v>
      </c>
      <c r="F209" s="107" t="str">
        <f>IFERROR(__xludf.DUMMYFUNCTION("""COMPUTED_VALUE"""),"KYLE")</f>
        <v>KYLE</v>
      </c>
    </row>
    <row r="210">
      <c r="A210" s="131">
        <f>IFERROR(__xludf.DUMMYFUNCTION("""COMPUTED_VALUE"""),209.0)</f>
        <v>209</v>
      </c>
      <c r="B210" s="131"/>
      <c r="C210" s="131">
        <f>IFERROR(__xludf.DUMMYFUNCTION("""COMPUTED_VALUE"""),167.0)</f>
        <v>167</v>
      </c>
      <c r="D210" s="131" t="b">
        <f>IFERROR(__xludf.DUMMYFUNCTION("""COMPUTED_VALUE"""),FALSE)</f>
        <v>0</v>
      </c>
      <c r="E210" s="117" t="str">
        <f>IFERROR(__xludf.DUMMYFUNCTION("""COMPUTED_VALUE"""),"PADLAN")</f>
        <v>PADLAN</v>
      </c>
      <c r="F210" s="107" t="str">
        <f>IFERROR(__xludf.DUMMYFUNCTION("""COMPUTED_VALUE"""),"STEPHEN")</f>
        <v>STEPHEN</v>
      </c>
    </row>
    <row r="211">
      <c r="A211" s="131">
        <f>IFERROR(__xludf.DUMMYFUNCTION("""COMPUTED_VALUE"""),210.0)</f>
        <v>210</v>
      </c>
      <c r="B211" s="131"/>
      <c r="C211" s="131">
        <f>IFERROR(__xludf.DUMMYFUNCTION("""COMPUTED_VALUE"""),167.0)</f>
        <v>167</v>
      </c>
      <c r="D211" s="131" t="b">
        <f>IFERROR(__xludf.DUMMYFUNCTION("""COMPUTED_VALUE"""),FALSE)</f>
        <v>0</v>
      </c>
      <c r="E211" s="118"/>
      <c r="F211" s="107" t="str">
        <f>IFERROR(__xludf.DUMMYFUNCTION("""COMPUTED_VALUE"""),"SIMON")</f>
        <v>SIMON</v>
      </c>
    </row>
    <row r="212">
      <c r="A212" s="131">
        <f>IFERROR(__xludf.DUMMYFUNCTION("""COMPUTED_VALUE"""),211.0)</f>
        <v>211</v>
      </c>
      <c r="B212" s="131"/>
      <c r="C212" s="131">
        <f>IFERROR(__xludf.DUMMYFUNCTION("""COMPUTED_VALUE"""),167.0)</f>
        <v>167</v>
      </c>
      <c r="D212" s="131" t="b">
        <f>IFERROR(__xludf.DUMMYFUNCTION("""COMPUTED_VALUE"""),FALSE)</f>
        <v>0</v>
      </c>
      <c r="E212" s="118"/>
      <c r="F212" s="107" t="str">
        <f>IFERROR(__xludf.DUMMYFUNCTION("""COMPUTED_VALUE"""),"NICO")</f>
        <v>NICO</v>
      </c>
    </row>
    <row r="213">
      <c r="A213" s="131">
        <f>IFERROR(__xludf.DUMMYFUNCTION("""COMPUTED_VALUE"""),212.0)</f>
        <v>212</v>
      </c>
      <c r="B213" s="131"/>
      <c r="C213" s="131">
        <f>IFERROR(__xludf.DUMMYFUNCTION("""COMPUTED_VALUE"""),167.0)</f>
        <v>167</v>
      </c>
      <c r="D213" s="131" t="b">
        <f>IFERROR(__xludf.DUMMYFUNCTION("""COMPUTED_VALUE"""),FALSE)</f>
        <v>0</v>
      </c>
      <c r="E213" s="118"/>
      <c r="F213" s="107" t="str">
        <f>IFERROR(__xludf.DUMMYFUNCTION("""COMPUTED_VALUE"""),"JERVISH")</f>
        <v>JERVISH</v>
      </c>
    </row>
    <row r="214">
      <c r="A214" s="131">
        <f>IFERROR(__xludf.DUMMYFUNCTION("""COMPUTED_VALUE"""),213.0)</f>
        <v>213</v>
      </c>
      <c r="B214" s="131"/>
      <c r="C214" s="131">
        <f>IFERROR(__xludf.DUMMYFUNCTION("""COMPUTED_VALUE"""),23.0)</f>
        <v>23</v>
      </c>
      <c r="D214" s="131" t="b">
        <f>IFERROR(__xludf.DUMMYFUNCTION("""COMPUTED_VALUE"""),TRUE)</f>
        <v>1</v>
      </c>
      <c r="E214" s="119" t="str">
        <f>IFERROR(__xludf.DUMMYFUNCTION("""COMPUTED_VALUE"""),"UDAUNDO")</f>
        <v>UDAUNDO</v>
      </c>
      <c r="F214" s="119" t="str">
        <f>IFERROR(__xludf.DUMMYFUNCTION("""COMPUTED_VALUE"""),"RINOA MAE")</f>
        <v>RINOA MAE</v>
      </c>
    </row>
    <row r="215">
      <c r="A215" s="131">
        <f>IFERROR(__xludf.DUMMYFUNCTION("""COMPUTED_VALUE"""),214.0)</f>
        <v>214</v>
      </c>
      <c r="B215" s="131"/>
      <c r="C215" s="131">
        <f>IFERROR(__xludf.DUMMYFUNCTION("""COMPUTED_VALUE"""),23.0)</f>
        <v>23</v>
      </c>
      <c r="D215" s="131" t="b">
        <f>IFERROR(__xludf.DUMMYFUNCTION("""COMPUTED_VALUE"""),FALSE)</f>
        <v>0</v>
      </c>
      <c r="E215" s="107" t="str">
        <f>IFERROR(__xludf.DUMMYFUNCTION("""COMPUTED_VALUE"""),"CASERO")</f>
        <v>CASERO</v>
      </c>
      <c r="F215" s="107" t="str">
        <f>IFERROR(__xludf.DUMMYFUNCTION("""COMPUTED_VALUE"""),"AALIYAH")</f>
        <v>AALIYAH</v>
      </c>
    </row>
    <row r="216">
      <c r="A216" s="131">
        <f>IFERROR(__xludf.DUMMYFUNCTION("""COMPUTED_VALUE"""),215.0)</f>
        <v>215</v>
      </c>
      <c r="B216" s="131"/>
      <c r="C216" s="131">
        <f>IFERROR(__xludf.DUMMYFUNCTION("""COMPUTED_VALUE"""),23.0)</f>
        <v>23</v>
      </c>
      <c r="D216" s="131" t="b">
        <f>IFERROR(__xludf.DUMMYFUNCTION("""COMPUTED_VALUE"""),FALSE)</f>
        <v>0</v>
      </c>
      <c r="E216" s="107" t="str">
        <f>IFERROR(__xludf.DUMMYFUNCTION("""COMPUTED_VALUE"""),"CELASES")</f>
        <v>CELASES</v>
      </c>
      <c r="F216" s="107" t="str">
        <f>IFERROR(__xludf.DUMMYFUNCTION("""COMPUTED_VALUE"""),"SOFIA")</f>
        <v>SOFIA</v>
      </c>
    </row>
    <row r="217">
      <c r="A217" s="131">
        <f>IFERROR(__xludf.DUMMYFUNCTION("""COMPUTED_VALUE"""),216.0)</f>
        <v>216</v>
      </c>
      <c r="B217" s="131"/>
      <c r="C217" s="131">
        <f>IFERROR(__xludf.DUMMYFUNCTION("""COMPUTED_VALUE"""),23.0)</f>
        <v>23</v>
      </c>
      <c r="D217" s="131" t="b">
        <f>IFERROR(__xludf.DUMMYFUNCTION("""COMPUTED_VALUE"""),FALSE)</f>
        <v>0</v>
      </c>
      <c r="E217" s="107" t="str">
        <f>IFERROR(__xludf.DUMMYFUNCTION("""COMPUTED_VALUE"""),"LACONSAY")</f>
        <v>LACONSAY</v>
      </c>
      <c r="F217" s="107" t="str">
        <f>IFERROR(__xludf.DUMMYFUNCTION("""COMPUTED_VALUE"""),"MAIYA")</f>
        <v>MAIYA</v>
      </c>
    </row>
    <row r="218">
      <c r="A218" s="131">
        <f>IFERROR(__xludf.DUMMYFUNCTION("""COMPUTED_VALUE"""),217.0)</f>
        <v>217</v>
      </c>
      <c r="B218" s="131"/>
      <c r="C218" s="131">
        <f>IFERROR(__xludf.DUMMYFUNCTION("""COMPUTED_VALUE"""),23.0)</f>
        <v>23</v>
      </c>
      <c r="D218" s="131" t="b">
        <f>IFERROR(__xludf.DUMMYFUNCTION("""COMPUTED_VALUE"""),FALSE)</f>
        <v>0</v>
      </c>
      <c r="E218" s="107" t="str">
        <f>IFERROR(__xludf.DUMMYFUNCTION("""COMPUTED_VALUE"""),"MADLANGAWA")</f>
        <v>MADLANGAWA</v>
      </c>
      <c r="F218" s="107" t="str">
        <f>IFERROR(__xludf.DUMMYFUNCTION("""COMPUTED_VALUE"""),"INGRID")</f>
        <v>INGRID</v>
      </c>
    </row>
    <row r="219">
      <c r="A219" s="131">
        <f>IFERROR(__xludf.DUMMYFUNCTION("""COMPUTED_VALUE"""),218.0)</f>
        <v>218</v>
      </c>
      <c r="B219" s="131"/>
      <c r="C219" s="131">
        <f>IFERROR(__xludf.DUMMYFUNCTION("""COMPUTED_VALUE"""),23.0)</f>
        <v>23</v>
      </c>
      <c r="D219" s="131" t="b">
        <f>IFERROR(__xludf.DUMMYFUNCTION("""COMPUTED_VALUE"""),FALSE)</f>
        <v>0</v>
      </c>
      <c r="E219" s="107" t="str">
        <f>IFERROR(__xludf.DUMMYFUNCTION("""COMPUTED_VALUE"""),"MALAGOTNOT")</f>
        <v>MALAGOTNOT</v>
      </c>
      <c r="F219" s="107" t="str">
        <f>IFERROR(__xludf.DUMMYFUNCTION("""COMPUTED_VALUE"""),"PHOEBE")</f>
        <v>PHOEBE</v>
      </c>
    </row>
    <row r="220">
      <c r="A220" s="131">
        <f>IFERROR(__xludf.DUMMYFUNCTION("""COMPUTED_VALUE"""),219.0)</f>
        <v>219</v>
      </c>
      <c r="B220" s="131"/>
      <c r="C220" s="131">
        <f>IFERROR(__xludf.DUMMYFUNCTION("""COMPUTED_VALUE"""),23.0)</f>
        <v>23</v>
      </c>
      <c r="D220" s="131" t="b">
        <f>IFERROR(__xludf.DUMMYFUNCTION("""COMPUTED_VALUE"""),FALSE)</f>
        <v>0</v>
      </c>
      <c r="E220" s="107" t="str">
        <f>IFERROR(__xludf.DUMMYFUNCTION("""COMPUTED_VALUE"""),"MALOLOY-ON")</f>
        <v>MALOLOY-ON</v>
      </c>
      <c r="F220" s="107" t="str">
        <f>IFERROR(__xludf.DUMMYFUNCTION("""COMPUTED_VALUE"""),"EUNICE")</f>
        <v>EUNICE</v>
      </c>
    </row>
    <row r="221">
      <c r="A221" s="131">
        <f>IFERROR(__xludf.DUMMYFUNCTION("""COMPUTED_VALUE"""),220.0)</f>
        <v>220</v>
      </c>
      <c r="B221" s="131"/>
      <c r="C221" s="131">
        <f>IFERROR(__xludf.DUMMYFUNCTION("""COMPUTED_VALUE"""),23.0)</f>
        <v>23</v>
      </c>
      <c r="D221" s="131" t="b">
        <f>IFERROR(__xludf.DUMMYFUNCTION("""COMPUTED_VALUE"""),FALSE)</f>
        <v>0</v>
      </c>
      <c r="E221" s="107" t="str">
        <f>IFERROR(__xludf.DUMMYFUNCTION("""COMPUTED_VALUE"""),"OBASAN")</f>
        <v>OBASAN</v>
      </c>
      <c r="F221" s="107" t="str">
        <f>IFERROR(__xludf.DUMMYFUNCTION("""COMPUTED_VALUE"""),"AUDREY")</f>
        <v>AUDREY</v>
      </c>
    </row>
    <row r="222">
      <c r="A222" s="131">
        <f>IFERROR(__xludf.DUMMYFUNCTION("""COMPUTED_VALUE"""),221.0)</f>
        <v>221</v>
      </c>
      <c r="B222" s="131"/>
      <c r="C222" s="131">
        <f>IFERROR(__xludf.DUMMYFUNCTION("""COMPUTED_VALUE"""),23.0)</f>
        <v>23</v>
      </c>
      <c r="D222" s="131" t="b">
        <f>IFERROR(__xludf.DUMMYFUNCTION("""COMPUTED_VALUE"""),FALSE)</f>
        <v>0</v>
      </c>
      <c r="E222" s="107" t="str">
        <f>IFERROR(__xludf.DUMMYFUNCTION("""COMPUTED_VALUE"""),"OBASAN")</f>
        <v>OBASAN</v>
      </c>
      <c r="F222" s="107" t="str">
        <f>IFERROR(__xludf.DUMMYFUNCTION("""COMPUTED_VALUE"""),"ACEZZY")</f>
        <v>ACEZZY</v>
      </c>
    </row>
    <row r="223">
      <c r="A223" s="131">
        <f>IFERROR(__xludf.DUMMYFUNCTION("""COMPUTED_VALUE"""),222.0)</f>
        <v>222</v>
      </c>
      <c r="B223" s="131"/>
      <c r="C223" s="131">
        <f>IFERROR(__xludf.DUMMYFUNCTION("""COMPUTED_VALUE"""),23.0)</f>
        <v>23</v>
      </c>
      <c r="D223" s="131" t="b">
        <f>IFERROR(__xludf.DUMMYFUNCTION("""COMPUTED_VALUE"""),FALSE)</f>
        <v>0</v>
      </c>
      <c r="E223" s="107" t="str">
        <f>IFERROR(__xludf.DUMMYFUNCTION("""COMPUTED_VALUE"""),"OBASAN")</f>
        <v>OBASAN</v>
      </c>
      <c r="F223" s="107" t="str">
        <f>IFERROR(__xludf.DUMMYFUNCTION("""COMPUTED_VALUE"""),"AYESHA")</f>
        <v>AYESHA</v>
      </c>
    </row>
    <row r="224">
      <c r="A224" s="131">
        <f>IFERROR(__xludf.DUMMYFUNCTION("""COMPUTED_VALUE"""),223.0)</f>
        <v>223</v>
      </c>
      <c r="B224" s="131"/>
      <c r="C224" s="131">
        <f>IFERROR(__xludf.DUMMYFUNCTION("""COMPUTED_VALUE"""),23.0)</f>
        <v>23</v>
      </c>
      <c r="D224" s="131" t="b">
        <f>IFERROR(__xludf.DUMMYFUNCTION("""COMPUTED_VALUE"""),FALSE)</f>
        <v>0</v>
      </c>
      <c r="E224" s="107" t="str">
        <f>IFERROR(__xludf.DUMMYFUNCTION("""COMPUTED_VALUE"""),"PACSON")</f>
        <v>PACSON</v>
      </c>
      <c r="F224" s="107" t="str">
        <f>IFERROR(__xludf.DUMMYFUNCTION("""COMPUTED_VALUE"""),"KAYTE")</f>
        <v>KAYTE</v>
      </c>
    </row>
    <row r="225">
      <c r="A225" s="131">
        <f>IFERROR(__xludf.DUMMYFUNCTION("""COMPUTED_VALUE"""),224.0)</f>
        <v>224</v>
      </c>
      <c r="B225" s="131"/>
      <c r="C225" s="131">
        <f>IFERROR(__xludf.DUMMYFUNCTION("""COMPUTED_VALUE"""),23.0)</f>
        <v>23</v>
      </c>
      <c r="D225" s="131" t="b">
        <f>IFERROR(__xludf.DUMMYFUNCTION("""COMPUTED_VALUE"""),FALSE)</f>
        <v>0</v>
      </c>
      <c r="E225" s="107" t="str">
        <f>IFERROR(__xludf.DUMMYFUNCTION("""COMPUTED_VALUE"""),"PACSON")</f>
        <v>PACSON</v>
      </c>
      <c r="F225" s="107" t="str">
        <f>IFERROR(__xludf.DUMMYFUNCTION("""COMPUTED_VALUE"""),"MICAELLA")</f>
        <v>MICAELLA</v>
      </c>
    </row>
    <row r="226">
      <c r="A226" s="131">
        <f>IFERROR(__xludf.DUMMYFUNCTION("""COMPUTED_VALUE"""),225.0)</f>
        <v>225</v>
      </c>
      <c r="B226" s="131"/>
      <c r="C226" s="131">
        <f>IFERROR(__xludf.DUMMYFUNCTION("""COMPUTED_VALUE"""),23.0)</f>
        <v>23</v>
      </c>
      <c r="D226" s="131" t="b">
        <f>IFERROR(__xludf.DUMMYFUNCTION("""COMPUTED_VALUE"""),FALSE)</f>
        <v>0</v>
      </c>
      <c r="E226" s="107" t="str">
        <f>IFERROR(__xludf.DUMMYFUNCTION("""COMPUTED_VALUE"""),"RETAMAR")</f>
        <v>RETAMAR</v>
      </c>
      <c r="F226" s="107" t="str">
        <f>IFERROR(__xludf.DUMMYFUNCTION("""COMPUTED_VALUE"""),"JASMINE")</f>
        <v>JASMINE</v>
      </c>
    </row>
    <row r="227">
      <c r="A227" s="131">
        <f>IFERROR(__xludf.DUMMYFUNCTION("""COMPUTED_VALUE"""),226.0)</f>
        <v>226</v>
      </c>
      <c r="B227" s="131"/>
      <c r="C227" s="131">
        <f>IFERROR(__xludf.DUMMYFUNCTION("""COMPUTED_VALUE"""),23.0)</f>
        <v>23</v>
      </c>
      <c r="D227" s="131" t="b">
        <f>IFERROR(__xludf.DUMMYFUNCTION("""COMPUTED_VALUE"""),FALSE)</f>
        <v>0</v>
      </c>
      <c r="E227" s="107" t="str">
        <f>IFERROR(__xludf.DUMMYFUNCTION("""COMPUTED_VALUE"""),"ROGACION")</f>
        <v>ROGACION</v>
      </c>
      <c r="F227" s="107" t="str">
        <f>IFERROR(__xludf.DUMMYFUNCTION("""COMPUTED_VALUE"""),"LYKA")</f>
        <v>LYKA</v>
      </c>
    </row>
    <row r="228">
      <c r="A228" s="131">
        <f>IFERROR(__xludf.DUMMYFUNCTION("""COMPUTED_VALUE"""),227.0)</f>
        <v>227</v>
      </c>
      <c r="B228" s="131"/>
      <c r="C228" s="131">
        <f>IFERROR(__xludf.DUMMYFUNCTION("""COMPUTED_VALUE"""),23.0)</f>
        <v>23</v>
      </c>
      <c r="D228" s="131" t="b">
        <f>IFERROR(__xludf.DUMMYFUNCTION("""COMPUTED_VALUE"""),FALSE)</f>
        <v>0</v>
      </c>
      <c r="E228" s="107" t="str">
        <f>IFERROR(__xludf.DUMMYFUNCTION("""COMPUTED_VALUE"""),"TINGSON")</f>
        <v>TINGSON</v>
      </c>
      <c r="F228" s="107" t="str">
        <f>IFERROR(__xludf.DUMMYFUNCTION("""COMPUTED_VALUE"""),"JANELLE")</f>
        <v>JANELLE</v>
      </c>
    </row>
    <row r="229">
      <c r="A229" s="131">
        <f>IFERROR(__xludf.DUMMYFUNCTION("""COMPUTED_VALUE"""),228.0)</f>
        <v>228</v>
      </c>
      <c r="B229" s="131"/>
      <c r="C229" s="131">
        <f>IFERROR(__xludf.DUMMYFUNCTION("""COMPUTED_VALUE"""),23.0)</f>
        <v>23</v>
      </c>
      <c r="D229" s="131" t="b">
        <f>IFERROR(__xludf.DUMMYFUNCTION("""COMPUTED_VALUE"""),FALSE)</f>
        <v>0</v>
      </c>
      <c r="E229" s="107" t="str">
        <f>IFERROR(__xludf.DUMMYFUNCTION("""COMPUTED_VALUE"""),"TOLEDO")</f>
        <v>TOLEDO</v>
      </c>
      <c r="F229" s="115" t="str">
        <f>IFERROR(__xludf.DUMMYFUNCTION("""COMPUTED_VALUE"""),"AKIZSAH")</f>
        <v>AKIZSAH</v>
      </c>
    </row>
    <row r="230">
      <c r="A230" s="131">
        <f>IFERROR(__xludf.DUMMYFUNCTION("""COMPUTED_VALUE"""),229.0)</f>
        <v>229</v>
      </c>
      <c r="B230" s="131"/>
      <c r="C230" s="131">
        <f>IFERROR(__xludf.DUMMYFUNCTION("""COMPUTED_VALUE"""),23.0)</f>
        <v>23</v>
      </c>
      <c r="D230" s="131" t="b">
        <f>IFERROR(__xludf.DUMMYFUNCTION("""COMPUTED_VALUE"""),FALSE)</f>
        <v>0</v>
      </c>
      <c r="E230" s="107" t="str">
        <f>IFERROR(__xludf.DUMMYFUNCTION("""COMPUTED_VALUE"""),"UDAUNDO")</f>
        <v>UDAUNDO</v>
      </c>
      <c r="F230" s="107" t="str">
        <f>IFERROR(__xludf.DUMMYFUNCTION("""COMPUTED_VALUE"""),"ELLA")</f>
        <v>ELLA</v>
      </c>
    </row>
    <row r="231">
      <c r="A231" s="131">
        <f>IFERROR(__xludf.DUMMYFUNCTION("""COMPUTED_VALUE"""),230.0)</f>
        <v>230</v>
      </c>
      <c r="B231" s="131"/>
      <c r="C231" s="131">
        <f>IFERROR(__xludf.DUMMYFUNCTION("""COMPUTED_VALUE"""),1.0)</f>
        <v>1</v>
      </c>
      <c r="D231" s="131" t="b">
        <f>IFERROR(__xludf.DUMMYFUNCTION("""COMPUTED_VALUE"""),FALSE)</f>
        <v>0</v>
      </c>
      <c r="E231" s="131" t="str">
        <f>IFERROR(__xludf.DUMMYFUNCTION("""COMPUTED_VALUE"""),"ROMUALDO")</f>
        <v>ROMUALDO</v>
      </c>
      <c r="F231" s="131" t="str">
        <f>IFERROR(__xludf.DUMMYFUNCTION("""COMPUTED_VALUE"""),"AC")</f>
        <v>AC</v>
      </c>
    </row>
    <row r="232">
      <c r="A232" s="131">
        <f>IFERROR(__xludf.DUMMYFUNCTION("""COMPUTED_VALUE"""),231.0)</f>
        <v>231</v>
      </c>
      <c r="B232" s="131"/>
      <c r="C232" s="131">
        <f>IFERROR(__xludf.DUMMYFUNCTION("""COMPUTED_VALUE"""),1.0)</f>
        <v>1</v>
      </c>
      <c r="D232" s="131" t="b">
        <f>IFERROR(__xludf.DUMMYFUNCTION("""COMPUTED_VALUE"""),FALSE)</f>
        <v>0</v>
      </c>
      <c r="E232" s="131" t="str">
        <f>IFERROR(__xludf.DUMMYFUNCTION("""COMPUTED_VALUE"""),"SEBASTIAN")</f>
        <v>SEBASTIAN</v>
      </c>
      <c r="F232" s="131" t="str">
        <f>IFERROR(__xludf.DUMMYFUNCTION("""COMPUTED_VALUE"""),"NEHEMIAH")</f>
        <v>NEHEMIAH</v>
      </c>
    </row>
    <row r="233">
      <c r="A233" s="131">
        <f>IFERROR(__xludf.DUMMYFUNCTION("""COMPUTED_VALUE"""),232.0)</f>
        <v>232</v>
      </c>
      <c r="B233" s="131"/>
      <c r="C233" s="131">
        <f>IFERROR(__xludf.DUMMYFUNCTION("""COMPUTED_VALUE"""),1.0)</f>
        <v>1</v>
      </c>
      <c r="D233" s="131" t="b">
        <f>IFERROR(__xludf.DUMMYFUNCTION("""COMPUTED_VALUE"""),FALSE)</f>
        <v>0</v>
      </c>
      <c r="E233" s="131" t="str">
        <f>IFERROR(__xludf.DUMMYFUNCTION("""COMPUTED_VALUE"""),"GINONGALA")</f>
        <v>GINONGALA</v>
      </c>
      <c r="F233" s="131" t="str">
        <f>IFERROR(__xludf.DUMMYFUNCTION("""COMPUTED_VALUE"""),"HANNAH MAE")</f>
        <v>HANNAH MAE</v>
      </c>
    </row>
    <row r="234">
      <c r="A234" s="131">
        <f>IFERROR(__xludf.DUMMYFUNCTION("""COMPUTED_VALUE"""),233.0)</f>
        <v>233</v>
      </c>
      <c r="B234" s="131"/>
      <c r="C234" s="131">
        <f>IFERROR(__xludf.DUMMYFUNCTION("""COMPUTED_VALUE"""),76.0)</f>
        <v>76</v>
      </c>
      <c r="D234" s="131" t="b">
        <f>IFERROR(__xludf.DUMMYFUNCTION("""COMPUTED_VALUE"""),FALSE)</f>
        <v>0</v>
      </c>
      <c r="E234" s="131" t="str">
        <f>IFERROR(__xludf.DUMMYFUNCTION("""COMPUTED_VALUE"""),"NIONES")</f>
        <v>NIONES</v>
      </c>
      <c r="F234" s="131" t="str">
        <f>IFERROR(__xludf.DUMMYFUNCTION("""COMPUTED_VALUE"""),"LOUIS")</f>
        <v>LOUIS</v>
      </c>
    </row>
    <row r="235">
      <c r="A235" s="131">
        <f>IFERROR(__xludf.DUMMYFUNCTION("""COMPUTED_VALUE"""),234.0)</f>
        <v>234</v>
      </c>
      <c r="B235" s="131"/>
      <c r="C235" s="131">
        <f>IFERROR(__xludf.DUMMYFUNCTION("""COMPUTED_VALUE"""),76.0)</f>
        <v>76</v>
      </c>
      <c r="D235" s="131" t="b">
        <f>IFERROR(__xludf.DUMMYFUNCTION("""COMPUTED_VALUE"""),FALSE)</f>
        <v>0</v>
      </c>
      <c r="E235" s="131" t="str">
        <f>IFERROR(__xludf.DUMMYFUNCTION("""COMPUTED_VALUE"""),"ACA")</f>
        <v>ACA</v>
      </c>
      <c r="F235" s="131" t="str">
        <f>IFERROR(__xludf.DUMMYFUNCTION("""COMPUTED_VALUE"""),"ELIJAH")</f>
        <v>ELIJAH</v>
      </c>
    </row>
    <row r="236">
      <c r="A236" s="131">
        <f>IFERROR(__xludf.DUMMYFUNCTION("""COMPUTED_VALUE"""),235.0)</f>
        <v>235</v>
      </c>
      <c r="B236" s="131"/>
      <c r="C236" s="131">
        <f>IFERROR(__xludf.DUMMYFUNCTION("""COMPUTED_VALUE"""),120.0)</f>
        <v>120</v>
      </c>
      <c r="D236" s="131" t="b">
        <f>IFERROR(__xludf.DUMMYFUNCTION("""COMPUTED_VALUE"""),FALSE)</f>
        <v>0</v>
      </c>
      <c r="E236" s="131" t="str">
        <f>IFERROR(__xludf.DUMMYFUNCTION("""COMPUTED_VALUE"""),"CERBETO")</f>
        <v>CERBETO</v>
      </c>
      <c r="F236" s="131" t="str">
        <f>IFERROR(__xludf.DUMMYFUNCTION("""COMPUTED_VALUE"""),"AIVANNE")</f>
        <v>AIVANNE</v>
      </c>
    </row>
    <row r="237">
      <c r="A237" s="131">
        <f>IFERROR(__xludf.DUMMYFUNCTION("""COMPUTED_VALUE"""),236.0)</f>
        <v>236</v>
      </c>
      <c r="B237" s="131"/>
      <c r="C237" s="131">
        <f>IFERROR(__xludf.DUMMYFUNCTION("""COMPUTED_VALUE"""),120.0)</f>
        <v>120</v>
      </c>
      <c r="D237" s="131" t="b">
        <f>IFERROR(__xludf.DUMMYFUNCTION("""COMPUTED_VALUE"""),FALSE)</f>
        <v>0</v>
      </c>
      <c r="E237" s="131" t="str">
        <f>IFERROR(__xludf.DUMMYFUNCTION("""COMPUTED_VALUE"""),"PARAZO")</f>
        <v>PARAZO</v>
      </c>
      <c r="F237" s="131" t="str">
        <f>IFERROR(__xludf.DUMMYFUNCTION("""COMPUTED_VALUE"""),"CJ")</f>
        <v>CJ</v>
      </c>
    </row>
    <row r="238">
      <c r="A238" s="131">
        <f>IFERROR(__xludf.DUMMYFUNCTION("""COMPUTED_VALUE"""),237.0)</f>
        <v>237</v>
      </c>
      <c r="B238" s="131"/>
      <c r="C238" s="131">
        <f>IFERROR(__xludf.DUMMYFUNCTION("""COMPUTED_VALUE"""),120.0)</f>
        <v>120</v>
      </c>
      <c r="D238" s="131" t="b">
        <f>IFERROR(__xludf.DUMMYFUNCTION("""COMPUTED_VALUE"""),FALSE)</f>
        <v>0</v>
      </c>
      <c r="E238" s="131" t="str">
        <f>IFERROR(__xludf.DUMMYFUNCTION("""COMPUTED_VALUE"""),"AWA-AW")</f>
        <v>AWA-AW</v>
      </c>
      <c r="F238" s="131" t="str">
        <f>IFERROR(__xludf.DUMMYFUNCTION("""COMPUTED_VALUE"""),"CARL")</f>
        <v>CARL</v>
      </c>
    </row>
    <row r="239">
      <c r="A239" s="131">
        <f>IFERROR(__xludf.DUMMYFUNCTION("""COMPUTED_VALUE"""),238.0)</f>
        <v>238</v>
      </c>
      <c r="B239" s="131"/>
      <c r="C239" s="131">
        <f>IFERROR(__xludf.DUMMYFUNCTION("""COMPUTED_VALUE"""),23.0)</f>
        <v>23</v>
      </c>
      <c r="D239" s="131" t="b">
        <f>IFERROR(__xludf.DUMMYFUNCTION("""COMPUTED_VALUE"""),FALSE)</f>
        <v>0</v>
      </c>
      <c r="E239" s="131" t="str">
        <f>IFERROR(__xludf.DUMMYFUNCTION("""COMPUTED_VALUE"""),"ALAYON")</f>
        <v>ALAYON</v>
      </c>
      <c r="F239" s="131" t="str">
        <f>IFERROR(__xludf.DUMMYFUNCTION("""COMPUTED_VALUE"""),"PATRICIA")</f>
        <v>PATRICIA</v>
      </c>
    </row>
    <row r="240">
      <c r="A240" s="131">
        <f>IFERROR(__xludf.DUMMYFUNCTION("""COMPUTED_VALUE"""),239.0)</f>
        <v>239</v>
      </c>
      <c r="B240" s="131"/>
      <c r="C240" s="131">
        <f>IFERROR(__xludf.DUMMYFUNCTION("""COMPUTED_VALUE"""),23.0)</f>
        <v>23</v>
      </c>
      <c r="D240" s="131" t="b">
        <f>IFERROR(__xludf.DUMMYFUNCTION("""COMPUTED_VALUE"""),FALSE)</f>
        <v>0</v>
      </c>
      <c r="E240" s="131" t="str">
        <f>IFERROR(__xludf.DUMMYFUNCTION("""COMPUTED_VALUE"""),"UDAUNDO")</f>
        <v>UDAUNDO</v>
      </c>
      <c r="F240" s="131" t="str">
        <f>IFERROR(__xludf.DUMMYFUNCTION("""COMPUTED_VALUE"""),"MICA ELLA")</f>
        <v>MICA ELLA</v>
      </c>
    </row>
    <row r="241">
      <c r="A241" s="131">
        <f>IFERROR(__xludf.DUMMYFUNCTION("""COMPUTED_VALUE"""),240.0)</f>
        <v>240</v>
      </c>
      <c r="B241" s="131"/>
      <c r="C241" s="131">
        <f>IFERROR(__xludf.DUMMYFUNCTION("""COMPUTED_VALUE"""),23.0)</f>
        <v>23</v>
      </c>
      <c r="D241" s="131" t="b">
        <f>IFERROR(__xludf.DUMMYFUNCTION("""COMPUTED_VALUE"""),FALSE)</f>
        <v>0</v>
      </c>
      <c r="E241" s="131" t="str">
        <f>IFERROR(__xludf.DUMMYFUNCTION("""COMPUTED_VALUE"""),"CALUBIRAN")</f>
        <v>CALUBIRAN</v>
      </c>
      <c r="F241" s="131" t="str">
        <f>IFERROR(__xludf.DUMMYFUNCTION("""COMPUTED_VALUE"""),"JACKIELYN")</f>
        <v>JACKIELYN</v>
      </c>
    </row>
    <row r="242">
      <c r="A242" s="131">
        <f>IFERROR(__xludf.DUMMYFUNCTION("""COMPUTED_VALUE"""),241.0)</f>
        <v>241</v>
      </c>
      <c r="B242" s="131"/>
      <c r="C242" s="131">
        <f>IFERROR(__xludf.DUMMYFUNCTION("""COMPUTED_VALUE"""),23.0)</f>
        <v>23</v>
      </c>
      <c r="D242" s="131" t="b">
        <f>IFERROR(__xludf.DUMMYFUNCTION("""COMPUTED_VALUE"""),FALSE)</f>
        <v>0</v>
      </c>
      <c r="E242" s="131" t="str">
        <f>IFERROR(__xludf.DUMMYFUNCTION("""COMPUTED_VALUE"""),"MATAMIS")</f>
        <v>MATAMIS</v>
      </c>
      <c r="F242" s="131" t="str">
        <f>IFERROR(__xludf.DUMMYFUNCTION("""COMPUTED_VALUE"""),"JEAH G.")</f>
        <v>JEAH G.</v>
      </c>
    </row>
    <row r="243">
      <c r="A243" s="131">
        <f>IFERROR(__xludf.DUMMYFUNCTION("""COMPUTED_VALUE"""),242.0)</f>
        <v>242</v>
      </c>
      <c r="B243" s="131"/>
      <c r="C243" s="131">
        <f>IFERROR(__xludf.DUMMYFUNCTION("""COMPUTED_VALUE"""),23.0)</f>
        <v>23</v>
      </c>
      <c r="D243" s="131" t="b">
        <f>IFERROR(__xludf.DUMMYFUNCTION("""COMPUTED_VALUE"""),FALSE)</f>
        <v>0</v>
      </c>
      <c r="E243" s="131" t="str">
        <f>IFERROR(__xludf.DUMMYFUNCTION("""COMPUTED_VALUE"""),"MATAMIS")</f>
        <v>MATAMIS</v>
      </c>
      <c r="F243" s="131" t="str">
        <f>IFERROR(__xludf.DUMMYFUNCTION("""COMPUTED_VALUE"""),"JANELA")</f>
        <v>JANELA</v>
      </c>
    </row>
    <row r="244">
      <c r="A244" s="131">
        <f>IFERROR(__xludf.DUMMYFUNCTION("""COMPUTED_VALUE"""),243.0)</f>
        <v>243</v>
      </c>
      <c r="B244" s="131"/>
      <c r="C244" s="131">
        <f>IFERROR(__xludf.DUMMYFUNCTION("""COMPUTED_VALUE"""),23.0)</f>
        <v>23</v>
      </c>
      <c r="D244" s="131" t="b">
        <f>IFERROR(__xludf.DUMMYFUNCTION("""COMPUTED_VALUE"""),FALSE)</f>
        <v>0</v>
      </c>
      <c r="E244" s="131" t="str">
        <f>IFERROR(__xludf.DUMMYFUNCTION("""COMPUTED_VALUE"""),"GALANG")</f>
        <v>GALANG</v>
      </c>
      <c r="F244" s="131" t="str">
        <f>IFERROR(__xludf.DUMMYFUNCTION("""COMPUTED_VALUE"""),"MAGGA")</f>
        <v>MAGGA</v>
      </c>
    </row>
    <row r="245">
      <c r="A245" s="131">
        <f>IFERROR(__xludf.DUMMYFUNCTION("""COMPUTED_VALUE"""),244.0)</f>
        <v>244</v>
      </c>
      <c r="B245" s="131"/>
      <c r="C245" s="131">
        <f>IFERROR(__xludf.DUMMYFUNCTION("""COMPUTED_VALUE"""),244.0)</f>
        <v>244</v>
      </c>
      <c r="D245" s="131" t="b">
        <f>IFERROR(__xludf.DUMMYFUNCTION("""COMPUTED_VALUE"""),TRUE)</f>
        <v>1</v>
      </c>
      <c r="E245" s="131" t="str">
        <f>IFERROR(__xludf.DUMMYFUNCTION("""COMPUTED_VALUE"""),"ORQUIA")</f>
        <v>ORQUIA</v>
      </c>
      <c r="F245" s="131" t="str">
        <f>IFERROR(__xludf.DUMMYFUNCTION("""COMPUTED_VALUE"""),"HANNA ")</f>
        <v>HANNA </v>
      </c>
    </row>
    <row r="246">
      <c r="A246" s="131">
        <f>IFERROR(__xludf.DUMMYFUNCTION("""COMPUTED_VALUE"""),245.0)</f>
        <v>245</v>
      </c>
      <c r="B246" s="131"/>
      <c r="C246" s="131">
        <f>IFERROR(__xludf.DUMMYFUNCTION("""COMPUTED_VALUE"""),244.0)</f>
        <v>244</v>
      </c>
      <c r="D246" s="131" t="b">
        <f>IFERROR(__xludf.DUMMYFUNCTION("""COMPUTED_VALUE"""),FALSE)</f>
        <v>0</v>
      </c>
      <c r="E246" s="131" t="str">
        <f>IFERROR(__xludf.DUMMYFUNCTION("""COMPUTED_VALUE"""),"DEL ROSARIO")</f>
        <v>DEL ROSARIO</v>
      </c>
      <c r="F246" s="131" t="str">
        <f>IFERROR(__xludf.DUMMYFUNCTION("""COMPUTED_VALUE"""),"GRACE")</f>
        <v>GRACE</v>
      </c>
    </row>
    <row r="247">
      <c r="A247" s="131">
        <f>IFERROR(__xludf.DUMMYFUNCTION("""COMPUTED_VALUE"""),246.0)</f>
        <v>246</v>
      </c>
      <c r="B247" s="131"/>
      <c r="C247" s="131">
        <f>IFERROR(__xludf.DUMMYFUNCTION("""COMPUTED_VALUE"""),244.0)</f>
        <v>244</v>
      </c>
      <c r="D247" s="131" t="b">
        <f>IFERROR(__xludf.DUMMYFUNCTION("""COMPUTED_VALUE"""),FALSE)</f>
        <v>0</v>
      </c>
      <c r="E247" s="131" t="str">
        <f>IFERROR(__xludf.DUMMYFUNCTION("""COMPUTED_VALUE"""),"CODILLA")</f>
        <v>CODILLA</v>
      </c>
      <c r="F247" s="131" t="str">
        <f>IFERROR(__xludf.DUMMYFUNCTION("""COMPUTED_VALUE"""),"JANNA")</f>
        <v>JANNA</v>
      </c>
    </row>
    <row r="248">
      <c r="A248" s="131">
        <f>IFERROR(__xludf.DUMMYFUNCTION("""COMPUTED_VALUE"""),247.0)</f>
        <v>247</v>
      </c>
      <c r="B248" s="131"/>
      <c r="C248" s="131">
        <f>IFERROR(__xludf.DUMMYFUNCTION("""COMPUTED_VALUE"""),244.0)</f>
        <v>244</v>
      </c>
      <c r="D248" s="131" t="b">
        <f>IFERROR(__xludf.DUMMYFUNCTION("""COMPUTED_VALUE"""),FALSE)</f>
        <v>0</v>
      </c>
      <c r="E248" s="131" t="str">
        <f>IFERROR(__xludf.DUMMYFUNCTION("""COMPUTED_VALUE"""),"WALATH")</f>
        <v>WALATH</v>
      </c>
      <c r="F248" s="131" t="str">
        <f>IFERROR(__xludf.DUMMYFUNCTION("""COMPUTED_VALUE"""),"AILEEN")</f>
        <v>AILEEN</v>
      </c>
    </row>
    <row r="249">
      <c r="A249" s="131">
        <f>IFERROR(__xludf.DUMMYFUNCTION("""COMPUTED_VALUE"""),248.0)</f>
        <v>248</v>
      </c>
      <c r="B249" s="131"/>
      <c r="C249" s="131">
        <f>IFERROR(__xludf.DUMMYFUNCTION("""COMPUTED_VALUE"""),244.0)</f>
        <v>244</v>
      </c>
      <c r="D249" s="131" t="b">
        <f>IFERROR(__xludf.DUMMYFUNCTION("""COMPUTED_VALUE"""),FALSE)</f>
        <v>0</v>
      </c>
      <c r="E249" s="131" t="str">
        <f>IFERROR(__xludf.DUMMYFUNCTION("""COMPUTED_VALUE"""),"FULLON")</f>
        <v>FULLON</v>
      </c>
      <c r="F249" s="131" t="str">
        <f>IFERROR(__xludf.DUMMYFUNCTION("""COMPUTED_VALUE"""),"SARAH")</f>
        <v>SARAH</v>
      </c>
    </row>
    <row r="250">
      <c r="A250" s="131">
        <f>IFERROR(__xludf.DUMMYFUNCTION("""COMPUTED_VALUE"""),249.0)</f>
        <v>249</v>
      </c>
      <c r="B250" s="131"/>
      <c r="C250" s="131">
        <f>IFERROR(__xludf.DUMMYFUNCTION("""COMPUTED_VALUE"""),244.0)</f>
        <v>244</v>
      </c>
      <c r="D250" s="131" t="b">
        <f>IFERROR(__xludf.DUMMYFUNCTION("""COMPUTED_VALUE"""),FALSE)</f>
        <v>0</v>
      </c>
      <c r="E250" s="131" t="str">
        <f>IFERROR(__xludf.DUMMYFUNCTION("""COMPUTED_VALUE"""),"MONTERDE")</f>
        <v>MONTERDE</v>
      </c>
      <c r="F250" s="131" t="str">
        <f>IFERROR(__xludf.DUMMYFUNCTION("""COMPUTED_VALUE"""),"BELLE")</f>
        <v>BELLE</v>
      </c>
    </row>
    <row r="251">
      <c r="A251" s="86">
        <f>IFERROR(__xludf.DUMMYFUNCTION("""COMPUTED_VALUE"""),250.0)</f>
        <v>250</v>
      </c>
      <c r="B251" s="87"/>
      <c r="C251" s="131">
        <f>IFERROR(__xludf.DUMMYFUNCTION("""COMPUTED_VALUE"""),167.0)</f>
        <v>167</v>
      </c>
      <c r="D251" s="131"/>
      <c r="E251" s="131" t="str">
        <f>IFERROR(__xludf.DUMMYFUNCTION("""COMPUTED_VALUE"""),"RAUSO")</f>
        <v>RAUSO</v>
      </c>
      <c r="F251" s="131" t="str">
        <f>IFERROR(__xludf.DUMMYFUNCTION("""COMPUTED_VALUE"""),"STEVE")</f>
        <v>STEVE</v>
      </c>
      <c r="G251" s="133"/>
      <c r="H251" s="133"/>
      <c r="I251" s="133"/>
      <c r="J251" s="133"/>
      <c r="K251" s="133"/>
      <c r="L251" s="133"/>
      <c r="M251" s="133"/>
      <c r="N251" s="133"/>
      <c r="O251" s="133"/>
      <c r="P251" s="133"/>
      <c r="Q251" s="89"/>
      <c r="R251" s="89"/>
      <c r="S251" s="89"/>
      <c r="T251" s="89"/>
      <c r="U251" s="89"/>
      <c r="V251" s="89"/>
      <c r="W251" s="89"/>
    </row>
    <row r="252">
      <c r="A252" s="131">
        <f>IFERROR(__xludf.DUMMYFUNCTION("""COMPUTED_VALUE"""),251.0)</f>
        <v>251</v>
      </c>
      <c r="B252" s="131"/>
      <c r="C252" s="131">
        <f>IFERROR(__xludf.DUMMYFUNCTION("""COMPUTED_VALUE"""),167.0)</f>
        <v>167</v>
      </c>
      <c r="D252" s="131" t="b">
        <f>IFERROR(__xludf.DUMMYFUNCTION("""COMPUTED_VALUE"""),FALSE)</f>
        <v>0</v>
      </c>
      <c r="E252" s="131" t="str">
        <f>IFERROR(__xludf.DUMMYFUNCTION("""COMPUTED_VALUE"""),"LIBRES")</f>
        <v>LIBRES</v>
      </c>
      <c r="F252" s="131" t="str">
        <f>IFERROR(__xludf.DUMMYFUNCTION("""COMPUTED_VALUE"""),"GABRIEL")</f>
        <v>GABRIEL</v>
      </c>
      <c r="G252" s="93"/>
      <c r="H252" s="93"/>
      <c r="I252" s="93"/>
      <c r="J252" s="93"/>
      <c r="K252" s="93"/>
      <c r="L252" s="93"/>
      <c r="M252" s="93"/>
      <c r="N252" s="93"/>
      <c r="O252" s="93"/>
      <c r="P252" s="93"/>
    </row>
    <row r="253">
      <c r="A253" s="131">
        <f>IFERROR(__xludf.DUMMYFUNCTION("""COMPUTED_VALUE"""),252.0)</f>
        <v>252</v>
      </c>
      <c r="B253" s="131"/>
      <c r="C253" s="131">
        <f>IFERROR(__xludf.DUMMYFUNCTION("""COMPUTED_VALUE"""),167.0)</f>
        <v>167</v>
      </c>
      <c r="D253" s="131" t="b">
        <f>IFERROR(__xludf.DUMMYFUNCTION("""COMPUTED_VALUE"""),FALSE)</f>
        <v>0</v>
      </c>
      <c r="E253" s="94" t="str">
        <f>IFERROR(__xludf.DUMMYFUNCTION("""COMPUTED_VALUE"""),"PARONGAN")</f>
        <v>PARONGAN</v>
      </c>
      <c r="F253" s="94" t="str">
        <f>IFERROR(__xludf.DUMMYFUNCTION("""COMPUTED_VALUE"""),"KIAN")</f>
        <v>KIAN</v>
      </c>
    </row>
    <row r="254">
      <c r="A254" s="131">
        <f>IFERROR(__xludf.DUMMYFUNCTION("""COMPUTED_VALUE"""),253.0)</f>
        <v>253</v>
      </c>
      <c r="B254" s="131"/>
      <c r="C254" s="131">
        <f>IFERROR(__xludf.DUMMYFUNCTION("""COMPUTED_VALUE"""),167.0)</f>
        <v>167</v>
      </c>
      <c r="D254" s="131" t="b">
        <f>IFERROR(__xludf.DUMMYFUNCTION("""COMPUTED_VALUE"""),FALSE)</f>
        <v>0</v>
      </c>
      <c r="E254" s="95" t="str">
        <f>IFERROR(__xludf.DUMMYFUNCTION("""COMPUTED_VALUE"""),"RACCA")</f>
        <v>RACCA</v>
      </c>
      <c r="F254" s="95" t="str">
        <f>IFERROR(__xludf.DUMMYFUNCTION("""COMPUTED_VALUE"""),"GRANT EL")</f>
        <v>GRANT EL</v>
      </c>
    </row>
    <row r="255">
      <c r="A255" s="131">
        <f>IFERROR(__xludf.DUMMYFUNCTION("""COMPUTED_VALUE"""),254.0)</f>
        <v>254</v>
      </c>
      <c r="B255" s="131"/>
      <c r="C255" s="131">
        <f>IFERROR(__xludf.DUMMYFUNCTION("""COMPUTED_VALUE"""),23.0)</f>
        <v>23</v>
      </c>
      <c r="D255" s="131" t="b">
        <f>IFERROR(__xludf.DUMMYFUNCTION("""COMPUTED_VALUE"""),FALSE)</f>
        <v>0</v>
      </c>
      <c r="E255" s="95" t="str">
        <f>IFERROR(__xludf.DUMMYFUNCTION("""COMPUTED_VALUE"""),"MATAMIS")</f>
        <v>MATAMIS</v>
      </c>
      <c r="F255" s="95" t="str">
        <f>IFERROR(__xludf.DUMMYFUNCTION("""COMPUTED_VALUE"""),"SEYVEL")</f>
        <v>SEYVEL</v>
      </c>
    </row>
    <row r="256">
      <c r="A256" s="131">
        <f>IFERROR(__xludf.DUMMYFUNCTION("""COMPUTED_VALUE"""),257.0)</f>
        <v>257</v>
      </c>
      <c r="B256" s="131"/>
      <c r="C256" s="131">
        <f>IFERROR(__xludf.DUMMYFUNCTION("""COMPUTED_VALUE"""),23.0)</f>
        <v>23</v>
      </c>
      <c r="D256" s="131" t="b">
        <f>IFERROR(__xludf.DUMMYFUNCTION("""COMPUTED_VALUE"""),FALSE)</f>
        <v>0</v>
      </c>
      <c r="E256" s="95" t="str">
        <f>IFERROR(__xludf.DUMMYFUNCTION("""COMPUTED_VALUE"""),"PARCAREY")</f>
        <v>PARCAREY</v>
      </c>
      <c r="F256" s="95" t="str">
        <f>IFERROR(__xludf.DUMMYFUNCTION("""COMPUTED_VALUE"""),"MARZETTI")</f>
        <v>MARZETTI</v>
      </c>
    </row>
    <row r="257">
      <c r="A257" s="131">
        <f>IFERROR(__xludf.DUMMYFUNCTION("""COMPUTED_VALUE"""),256.0)</f>
        <v>256</v>
      </c>
      <c r="B257" s="131"/>
      <c r="C257" s="131">
        <f>IFERROR(__xludf.DUMMYFUNCTION("""COMPUTED_VALUE"""),23.0)</f>
        <v>23</v>
      </c>
      <c r="D257" s="131" t="b">
        <f>IFERROR(__xludf.DUMMYFUNCTION("""COMPUTED_VALUE"""),FALSE)</f>
        <v>0</v>
      </c>
      <c r="E257" s="95" t="str">
        <f>IFERROR(__xludf.DUMMYFUNCTION("""COMPUTED_VALUE"""),"AGSALUD")</f>
        <v>AGSALUD</v>
      </c>
      <c r="F257" s="95" t="str">
        <f>IFERROR(__xludf.DUMMYFUNCTION("""COMPUTED_VALUE"""),"ROSE MARIE")</f>
        <v>ROSE MARIE</v>
      </c>
    </row>
    <row r="258">
      <c r="A258" s="131">
        <f>IFERROR(__xludf.DUMMYFUNCTION("""COMPUTED_VALUE"""),259.0)</f>
        <v>259</v>
      </c>
      <c r="B258" s="131"/>
      <c r="C258" s="131">
        <f>IFERROR(__xludf.DUMMYFUNCTION("""COMPUTED_VALUE"""),167.0)</f>
        <v>167</v>
      </c>
      <c r="D258" s="131"/>
      <c r="E258" s="96" t="str">
        <f>IFERROR(__xludf.DUMMYFUNCTION("""COMPUTED_VALUE"""),"Gelicame")</f>
        <v>Gelicame</v>
      </c>
      <c r="F258" s="96" t="str">
        <f>IFERROR(__xludf.DUMMYFUNCTION("""COMPUTED_VALUE"""),"Aljun")</f>
        <v>Aljun</v>
      </c>
    </row>
    <row r="259">
      <c r="A259" s="131">
        <f>IFERROR(__xludf.DUMMYFUNCTION("""COMPUTED_VALUE"""),260.0)</f>
        <v>260</v>
      </c>
      <c r="B259" s="131"/>
      <c r="C259" s="131">
        <f>IFERROR(__xludf.DUMMYFUNCTION("""COMPUTED_VALUE"""),167.0)</f>
        <v>167</v>
      </c>
      <c r="D259" s="131"/>
      <c r="E259" s="95" t="str">
        <f>IFERROR(__xludf.DUMMYFUNCTION("""COMPUTED_VALUE"""),"Valera")</f>
        <v>Valera</v>
      </c>
      <c r="F259" s="95" t="str">
        <f>IFERROR(__xludf.DUMMYFUNCTION("""COMPUTED_VALUE"""),"Edward Luis")</f>
        <v>Edward Luis</v>
      </c>
    </row>
    <row r="260">
      <c r="A260" s="131">
        <f>IFERROR(__xludf.DUMMYFUNCTION("""COMPUTED_VALUE"""),261.0)</f>
        <v>261</v>
      </c>
      <c r="B260" s="131"/>
      <c r="C260" s="131">
        <f>IFERROR(__xludf.DUMMYFUNCTION("""COMPUTED_VALUE"""),23.0)</f>
        <v>23</v>
      </c>
      <c r="D260" s="131"/>
      <c r="E260" s="95" t="str">
        <f>IFERROR(__xludf.DUMMYFUNCTION("""COMPUTED_VALUE"""),"CERBETO")</f>
        <v>CERBETO</v>
      </c>
      <c r="F260" s="95" t="str">
        <f>IFERROR(__xludf.DUMMYFUNCTION("""COMPUTED_VALUE"""),"AIFHA")</f>
        <v>AIFHA</v>
      </c>
    </row>
    <row r="261">
      <c r="A261" s="131">
        <f>IFERROR(__xludf.DUMMYFUNCTION("""COMPUTED_VALUE"""),262.0)</f>
        <v>262</v>
      </c>
      <c r="B261" s="131"/>
      <c r="C261" s="131">
        <f>IFERROR(__xludf.DUMMYFUNCTION("""COMPUTED_VALUE"""),23.0)</f>
        <v>23</v>
      </c>
      <c r="D261" s="131"/>
      <c r="E261" s="95" t="str">
        <f>IFERROR(__xludf.DUMMYFUNCTION("""COMPUTED_VALUE"""),"PARCAREY")</f>
        <v>PARCAREY</v>
      </c>
      <c r="F261" s="95" t="str">
        <f>IFERROR(__xludf.DUMMYFUNCTION("""COMPUTED_VALUE"""),"MARZETTI")</f>
        <v>MARZETTI</v>
      </c>
    </row>
    <row r="262">
      <c r="A262" s="131">
        <f>IFERROR(__xludf.DUMMYFUNCTION("""COMPUTED_VALUE"""),263.0)</f>
        <v>263</v>
      </c>
      <c r="B262" s="131"/>
      <c r="C262" s="131">
        <f>IFERROR(__xludf.DUMMYFUNCTION("""COMPUTED_VALUE"""),1.0)</f>
        <v>1</v>
      </c>
      <c r="D262" s="131"/>
      <c r="E262" s="96" t="str">
        <f>IFERROR(__xludf.DUMMYFUNCTION("""COMPUTED_VALUE"""),"MABAO")</f>
        <v>MABAO</v>
      </c>
      <c r="F262" s="96" t="str">
        <f>IFERROR(__xludf.DUMMYFUNCTION("""COMPUTED_VALUE"""),"ROSELYN")</f>
        <v>ROSELYN</v>
      </c>
    </row>
    <row r="263">
      <c r="A263" s="131">
        <f>IFERROR(__xludf.DUMMYFUNCTION("""COMPUTED_VALUE"""),264.0)</f>
        <v>264</v>
      </c>
      <c r="B263" s="131"/>
      <c r="C263" s="131">
        <f>IFERROR(__xludf.DUMMYFUNCTION("""COMPUTED_VALUE"""),167.0)</f>
        <v>167</v>
      </c>
      <c r="D263" s="131"/>
      <c r="E263" s="96" t="str">
        <f>IFERROR(__xludf.DUMMYFUNCTION("""COMPUTED_VALUE"""),"VALERA")</f>
        <v>VALERA</v>
      </c>
      <c r="F263" s="96" t="str">
        <f>IFERROR(__xludf.DUMMYFUNCTION("""COMPUTED_VALUE"""),"ELY")</f>
        <v>ELY</v>
      </c>
    </row>
    <row r="264">
      <c r="A264" s="131">
        <f>IFERROR(__xludf.DUMMYFUNCTION("""COMPUTED_VALUE"""),265.0)</f>
        <v>265</v>
      </c>
      <c r="B264" s="131"/>
      <c r="C264" s="131">
        <f>IFERROR(__xludf.DUMMYFUNCTION("""COMPUTED_VALUE"""),167.0)</f>
        <v>167</v>
      </c>
      <c r="D264" s="131"/>
      <c r="E264" s="96" t="str">
        <f>IFERROR(__xludf.DUMMYFUNCTION("""COMPUTED_VALUE"""),"RAUSO")</f>
        <v>RAUSO</v>
      </c>
      <c r="F264" s="96" t="str">
        <f>IFERROR(__xludf.DUMMYFUNCTION("""COMPUTED_VALUE"""),"GABRIEL")</f>
        <v>GABRIEL</v>
      </c>
    </row>
    <row r="265">
      <c r="A265" s="131"/>
      <c r="B265" s="131"/>
      <c r="C265" s="131"/>
      <c r="D265" s="131"/>
      <c r="E265" s="96"/>
      <c r="F265" s="96"/>
    </row>
    <row r="266">
      <c r="A266" s="131">
        <f>IFERROR(__xludf.DUMMYFUNCTION("""COMPUTED_VALUE"""),1230.0)</f>
        <v>1230</v>
      </c>
      <c r="B266" s="131"/>
      <c r="C266" s="131">
        <f>IFERROR(__xludf.DUMMYFUNCTION("""COMPUTED_VALUE"""),1230.0)</f>
        <v>1230</v>
      </c>
      <c r="D266" s="131" t="b">
        <f>IFERROR(__xludf.DUMMYFUNCTION("""COMPUTED_VALUE"""),TRUE)</f>
        <v>1</v>
      </c>
      <c r="E266" s="96" t="str">
        <f>IFERROR(__xludf.DUMMYFUNCTION("""COMPUTED_VALUE"""),"CALUALHATIAN")</f>
        <v>CALUALHATIAN</v>
      </c>
      <c r="F266" s="96" t="str">
        <f>IFERROR(__xludf.DUMMYFUNCTION("""COMPUTED_VALUE"""),"DANTE")</f>
        <v>DANTE</v>
      </c>
    </row>
    <row r="267">
      <c r="A267" s="131">
        <f>IFERROR(__xludf.DUMMYFUNCTION("""COMPUTED_VALUE"""),1231.0)</f>
        <v>1231</v>
      </c>
      <c r="B267" s="131"/>
      <c r="C267" s="131">
        <f>IFERROR(__xludf.DUMMYFUNCTION("""COMPUTED_VALUE"""),1230.0)</f>
        <v>1230</v>
      </c>
      <c r="D267" s="131"/>
      <c r="E267" s="97" t="str">
        <f>IFERROR(__xludf.DUMMYFUNCTION("""COMPUTED_VALUE"""),"A.")</f>
        <v>A.</v>
      </c>
      <c r="F267" s="97" t="str">
        <f>IFERROR(__xludf.DUMMYFUNCTION("""COMPUTED_VALUE"""),"BONG")</f>
        <v>BONG</v>
      </c>
    </row>
    <row r="268">
      <c r="A268" s="131">
        <f>IFERROR(__xludf.DUMMYFUNCTION("""COMPUTED_VALUE"""),1232.0)</f>
        <v>1232</v>
      </c>
      <c r="B268" s="131"/>
      <c r="C268" s="131">
        <f>IFERROR(__xludf.DUMMYFUNCTION("""COMPUTED_VALUE"""),1230.0)</f>
        <v>1230</v>
      </c>
      <c r="D268" s="131"/>
      <c r="E268" s="96" t="str">
        <f>IFERROR(__xludf.DUMMYFUNCTION("""COMPUTED_VALUE"""),"SALAC")</f>
        <v>SALAC</v>
      </c>
      <c r="F268" s="96" t="str">
        <f>IFERROR(__xludf.DUMMYFUNCTION("""COMPUTED_VALUE"""),"ROMEO")</f>
        <v>ROMEO</v>
      </c>
    </row>
    <row r="269">
      <c r="A269" s="131">
        <f>IFERROR(__xludf.DUMMYFUNCTION("""COMPUTED_VALUE"""),1233.0)</f>
        <v>1233</v>
      </c>
      <c r="B269" s="131"/>
      <c r="C269" s="131">
        <f>IFERROR(__xludf.DUMMYFUNCTION("""COMPUTED_VALUE"""),1230.0)</f>
        <v>1230</v>
      </c>
      <c r="D269" s="131"/>
      <c r="E269" s="96" t="str">
        <f>IFERROR(__xludf.DUMMYFUNCTION("""COMPUTED_VALUE"""),"GREGORIO")</f>
        <v>GREGORIO</v>
      </c>
      <c r="F269" s="96" t="str">
        <f>IFERROR(__xludf.DUMMYFUNCTION("""COMPUTED_VALUE"""),"MARLOU")</f>
        <v>MARLOU</v>
      </c>
    </row>
    <row r="270">
      <c r="A270" s="131">
        <f>IFERROR(__xludf.DUMMYFUNCTION("""COMPUTED_VALUE"""),1234.0)</f>
        <v>1234</v>
      </c>
      <c r="B270" s="131"/>
      <c r="C270" s="131">
        <f>IFERROR(__xludf.DUMMYFUNCTION("""COMPUTED_VALUE"""),1230.0)</f>
        <v>1230</v>
      </c>
      <c r="D270" s="131"/>
      <c r="E270" s="96" t="str">
        <f>IFERROR(__xludf.DUMMYFUNCTION("""COMPUTED_VALUE"""),"SOMERA")</f>
        <v>SOMERA</v>
      </c>
      <c r="F270" s="96" t="str">
        <f>IFERROR(__xludf.DUMMYFUNCTION("""COMPUTED_VALUE"""),"JAY")</f>
        <v>JAY</v>
      </c>
    </row>
    <row r="271">
      <c r="A271" s="131">
        <f>IFERROR(__xludf.DUMMYFUNCTION("""COMPUTED_VALUE"""),1235.0)</f>
        <v>1235</v>
      </c>
      <c r="B271" s="131"/>
      <c r="C271" s="131">
        <f>IFERROR(__xludf.DUMMYFUNCTION("""COMPUTED_VALUE"""),1230.0)</f>
        <v>1230</v>
      </c>
      <c r="D271" s="131"/>
      <c r="E271" s="96" t="str">
        <f>IFERROR(__xludf.DUMMYFUNCTION("""COMPUTED_VALUE"""),"MALIWAT")</f>
        <v>MALIWAT</v>
      </c>
      <c r="F271" s="96" t="str">
        <f>IFERROR(__xludf.DUMMYFUNCTION("""COMPUTED_VALUE"""),"LEO")</f>
        <v>LEO</v>
      </c>
    </row>
    <row r="272">
      <c r="A272" s="131"/>
      <c r="B272" s="131"/>
      <c r="C272" s="131"/>
      <c r="D272" s="131"/>
      <c r="E272" s="96"/>
      <c r="F272" s="96"/>
    </row>
    <row r="273">
      <c r="A273" s="131">
        <f>IFERROR(__xludf.DUMMYFUNCTION("""COMPUTED_VALUE"""),1236.0)</f>
        <v>1236</v>
      </c>
      <c r="B273" s="131"/>
      <c r="C273" s="131">
        <f>IFERROR(__xludf.DUMMYFUNCTION("""COMPUTED_VALUE"""),1236.0)</f>
        <v>1236</v>
      </c>
      <c r="D273" s="131" t="b">
        <f>IFERROR(__xludf.DUMMYFUNCTION("""COMPUTED_VALUE"""),TRUE)</f>
        <v>1</v>
      </c>
      <c r="E273" s="96" t="str">
        <f>IFERROR(__xludf.DUMMYFUNCTION("""COMPUTED_VALUE"""),"RETAMAR")</f>
        <v>RETAMAR</v>
      </c>
      <c r="F273" s="96" t="str">
        <f>IFERROR(__xludf.DUMMYFUNCTION("""COMPUTED_VALUE"""),"ELENA")</f>
        <v>ELENA</v>
      </c>
    </row>
    <row r="274">
      <c r="A274" s="131">
        <f>IFERROR(__xludf.DUMMYFUNCTION("""COMPUTED_VALUE"""),1237.0)</f>
        <v>1237</v>
      </c>
      <c r="B274" s="131"/>
      <c r="C274" s="131">
        <f>IFERROR(__xludf.DUMMYFUNCTION("""COMPUTED_VALUE"""),1236.0)</f>
        <v>1236</v>
      </c>
      <c r="D274" s="131"/>
      <c r="E274" s="98" t="str">
        <f>IFERROR(__xludf.DUMMYFUNCTION("""COMPUTED_VALUE"""),"VILLA")</f>
        <v>VILLA</v>
      </c>
      <c r="F274" s="96" t="str">
        <f>IFERROR(__xludf.DUMMYFUNCTION("""COMPUTED_VALUE"""),"WENG NIONES")</f>
        <v>WENG NIONES</v>
      </c>
    </row>
    <row r="275">
      <c r="A275" s="131">
        <f>IFERROR(__xludf.DUMMYFUNCTION("""COMPUTED_VALUE"""),1238.0)</f>
        <v>1238</v>
      </c>
      <c r="B275" s="131"/>
      <c r="C275" s="131">
        <f>IFERROR(__xludf.DUMMYFUNCTION("""COMPUTED_VALUE"""),1236.0)</f>
        <v>1236</v>
      </c>
      <c r="D275" s="131"/>
      <c r="E275" s="99" t="str">
        <f>IFERROR(__xludf.DUMMYFUNCTION("""COMPUTED_VALUE"""),"V")</f>
        <v>V</v>
      </c>
      <c r="F275" s="99" t="str">
        <f>IFERROR(__xludf.DUMMYFUNCTION("""COMPUTED_VALUE"""),"ROSE")</f>
        <v>ROSE</v>
      </c>
    </row>
    <row r="276">
      <c r="A276" s="131">
        <f>IFERROR(__xludf.DUMMYFUNCTION("""COMPUTED_VALUE"""),1239.0)</f>
        <v>1239</v>
      </c>
      <c r="B276" s="131"/>
      <c r="C276" s="131">
        <f>IFERROR(__xludf.DUMMYFUNCTION("""COMPUTED_VALUE"""),1236.0)</f>
        <v>1236</v>
      </c>
      <c r="D276" s="131"/>
      <c r="E276" s="100" t="str">
        <f>IFERROR(__xludf.DUMMYFUNCTION("""COMPUTED_VALUE"""),"DATO")</f>
        <v>DATO</v>
      </c>
      <c r="F276" s="100" t="str">
        <f>IFERROR(__xludf.DUMMYFUNCTION("""COMPUTED_VALUE"""),"EVELYN")</f>
        <v>EVELYN</v>
      </c>
    </row>
    <row r="277">
      <c r="A277" s="131">
        <f>IFERROR(__xludf.DUMMYFUNCTION("""COMPUTED_VALUE"""),1240.0)</f>
        <v>1240</v>
      </c>
      <c r="B277" s="131"/>
      <c r="C277" s="131">
        <f>IFERROR(__xludf.DUMMYFUNCTION("""COMPUTED_VALUE"""),1236.0)</f>
        <v>1236</v>
      </c>
      <c r="D277" s="131"/>
      <c r="E277" s="100"/>
      <c r="F277" s="100" t="str">
        <f>IFERROR(__xludf.DUMMYFUNCTION("""COMPUTED_VALUE"""),"ELIZABETH")</f>
        <v>ELIZABETH</v>
      </c>
    </row>
    <row r="278">
      <c r="A278" s="131">
        <f>IFERROR(__xludf.DUMMYFUNCTION("""COMPUTED_VALUE"""),1241.0)</f>
        <v>1241</v>
      </c>
      <c r="B278" s="131"/>
      <c r="C278" s="131">
        <f>IFERROR(__xludf.DUMMYFUNCTION("""COMPUTED_VALUE"""),1236.0)</f>
        <v>1236</v>
      </c>
      <c r="D278" s="131"/>
      <c r="E278" s="100"/>
      <c r="F278" s="100" t="str">
        <f>IFERROR(__xludf.DUMMYFUNCTION("""COMPUTED_VALUE"""),"WINNIE")</f>
        <v>WINNIE</v>
      </c>
    </row>
    <row r="279">
      <c r="A279" s="131">
        <f>IFERROR(__xludf.DUMMYFUNCTION("""COMPUTED_VALUE"""),1242.0)</f>
        <v>1242</v>
      </c>
      <c r="B279" s="131"/>
      <c r="C279" s="131">
        <f>IFERROR(__xludf.DUMMYFUNCTION("""COMPUTED_VALUE"""),1236.0)</f>
        <v>1236</v>
      </c>
      <c r="D279" s="131"/>
      <c r="E279" s="100"/>
      <c r="F279" s="100" t="str">
        <f>IFERROR(__xludf.DUMMYFUNCTION("""COMPUTED_VALUE"""),"MALOU")</f>
        <v>MALOU</v>
      </c>
    </row>
    <row r="280">
      <c r="A280" s="131">
        <f>IFERROR(__xludf.DUMMYFUNCTION("""COMPUTED_VALUE"""),1243.0)</f>
        <v>1243</v>
      </c>
      <c r="B280" s="131"/>
      <c r="C280" s="131">
        <f>IFERROR(__xludf.DUMMYFUNCTION("""COMPUTED_VALUE"""),1236.0)</f>
        <v>1236</v>
      </c>
      <c r="D280" s="131"/>
      <c r="E280" s="100" t="str">
        <f>IFERROR(__xludf.DUMMYFUNCTION("""COMPUTED_VALUE"""),"TOLEDO")</f>
        <v>TOLEDO</v>
      </c>
      <c r="F280" s="100" t="str">
        <f>IFERROR(__xludf.DUMMYFUNCTION("""COMPUTED_VALUE"""),"MAYE")</f>
        <v>MAYE</v>
      </c>
    </row>
    <row r="281">
      <c r="A281" s="131">
        <f>IFERROR(__xludf.DUMMYFUNCTION("""COMPUTED_VALUE"""),1244.0)</f>
        <v>1244</v>
      </c>
      <c r="B281" s="131"/>
      <c r="C281" s="131">
        <f>IFERROR(__xludf.DUMMYFUNCTION("""COMPUTED_VALUE"""),1236.0)</f>
        <v>1236</v>
      </c>
      <c r="D281" s="131"/>
      <c r="E281" s="100" t="str">
        <f>IFERROR(__xludf.DUMMYFUNCTION("""COMPUTED_VALUE"""),"LIM")</f>
        <v>LIM</v>
      </c>
      <c r="F281" s="100" t="str">
        <f>IFERROR(__xludf.DUMMYFUNCTION("""COMPUTED_VALUE"""),"GRACE")</f>
        <v>GRACE</v>
      </c>
    </row>
    <row r="282">
      <c r="A282" s="131">
        <f>IFERROR(__xludf.DUMMYFUNCTION("""COMPUTED_VALUE"""),1245.0)</f>
        <v>1245</v>
      </c>
      <c r="B282" s="131"/>
      <c r="C282" s="131">
        <f>IFERROR(__xludf.DUMMYFUNCTION("""COMPUTED_VALUE"""),1236.0)</f>
        <v>1236</v>
      </c>
      <c r="D282" s="131"/>
      <c r="E282" s="100" t="str">
        <f>IFERROR(__xludf.DUMMYFUNCTION("""COMPUTED_VALUE"""),"CALUALHATIAN")</f>
        <v>CALUALHATIAN</v>
      </c>
      <c r="F282" s="100" t="str">
        <f>IFERROR(__xludf.DUMMYFUNCTION("""COMPUTED_VALUE"""),"ADELAIDA")</f>
        <v>ADELAIDA</v>
      </c>
    </row>
    <row r="283">
      <c r="A283" s="131">
        <f>IFERROR(__xludf.DUMMYFUNCTION("""COMPUTED_VALUE"""),1246.0)</f>
        <v>1246</v>
      </c>
      <c r="B283" s="131"/>
      <c r="C283" s="131">
        <f>IFERROR(__xludf.DUMMYFUNCTION("""COMPUTED_VALUE"""),1236.0)</f>
        <v>1236</v>
      </c>
      <c r="D283" s="131"/>
      <c r="E283" s="101" t="str">
        <f>IFERROR(__xludf.DUMMYFUNCTION("""COMPUTED_VALUE"""),"CALUALHATIAN")</f>
        <v>CALUALHATIAN</v>
      </c>
      <c r="F283" s="101" t="str">
        <f>IFERROR(__xludf.DUMMYFUNCTION("""COMPUTED_VALUE"""),"DAHNA")</f>
        <v>DAHNA</v>
      </c>
    </row>
    <row r="284">
      <c r="A284" s="131">
        <f>IFERROR(__xludf.DUMMYFUNCTION("""COMPUTED_VALUE"""),1247.0)</f>
        <v>1247</v>
      </c>
      <c r="B284" s="131"/>
      <c r="C284" s="131">
        <f>IFERROR(__xludf.DUMMYFUNCTION("""COMPUTED_VALUE"""),1236.0)</f>
        <v>1236</v>
      </c>
      <c r="D284" s="131"/>
      <c r="E284" s="100" t="str">
        <f>IFERROR(__xludf.DUMMYFUNCTION("""COMPUTED_VALUE"""),"SEXON")</f>
        <v>SEXON</v>
      </c>
      <c r="F284" s="100" t="str">
        <f>IFERROR(__xludf.DUMMYFUNCTION("""COMPUTED_VALUE"""),"MARILYN")</f>
        <v>MARILYN</v>
      </c>
    </row>
    <row r="285">
      <c r="A285" s="131">
        <f>IFERROR(__xludf.DUMMYFUNCTION("""COMPUTED_VALUE"""),1248.0)</f>
        <v>1248</v>
      </c>
      <c r="B285" s="131"/>
      <c r="C285" s="131">
        <f>IFERROR(__xludf.DUMMYFUNCTION("""COMPUTED_VALUE"""),1236.0)</f>
        <v>1236</v>
      </c>
      <c r="D285" s="131"/>
      <c r="E285" s="100" t="str">
        <f>IFERROR(__xludf.DUMMYFUNCTION("""COMPUTED_VALUE"""),"CALUALHATIAN")</f>
        <v>CALUALHATIAN</v>
      </c>
      <c r="F285" s="100" t="str">
        <f>IFERROR(__xludf.DUMMYFUNCTION("""COMPUTED_VALUE"""),"DANIKKA")</f>
        <v>DANIKKA</v>
      </c>
    </row>
    <row r="286">
      <c r="A286" s="131">
        <f>IFERROR(__xludf.DUMMYFUNCTION("""COMPUTED_VALUE"""),1249.0)</f>
        <v>1249</v>
      </c>
      <c r="B286" s="131"/>
      <c r="C286" s="131">
        <f>IFERROR(__xludf.DUMMYFUNCTION("""COMPUTED_VALUE"""),1236.0)</f>
        <v>1236</v>
      </c>
      <c r="D286" s="131"/>
      <c r="E286" s="102" t="str">
        <f>IFERROR(__xludf.DUMMYFUNCTION("""COMPUTED_VALUE"""),"CODILLA")</f>
        <v>CODILLA</v>
      </c>
      <c r="F286" s="102" t="str">
        <f>IFERROR(__xludf.DUMMYFUNCTION("""COMPUTED_VALUE"""),"CORY")</f>
        <v>CORY</v>
      </c>
    </row>
    <row r="287">
      <c r="A287" s="131">
        <f>IFERROR(__xludf.DUMMYFUNCTION("""COMPUTED_VALUE"""),1250.0)</f>
        <v>1250</v>
      </c>
      <c r="B287" s="131"/>
      <c r="C287" s="131">
        <f>IFERROR(__xludf.DUMMYFUNCTION("""COMPUTED_VALUE"""),1236.0)</f>
        <v>1236</v>
      </c>
      <c r="D287" s="131"/>
      <c r="E287" s="103" t="str">
        <f>IFERROR(__xludf.DUMMYFUNCTION("""COMPUTED_VALUE"""),"LANGITAN")</f>
        <v>LANGITAN</v>
      </c>
      <c r="F287" s="103" t="str">
        <f>IFERROR(__xludf.DUMMYFUNCTION("""COMPUTED_VALUE"""),"SARAH")</f>
        <v>SARAH</v>
      </c>
    </row>
    <row r="288">
      <c r="A288" s="131">
        <f>IFERROR(__xludf.DUMMYFUNCTION("""COMPUTED_VALUE"""),1251.0)</f>
        <v>1251</v>
      </c>
      <c r="B288" s="131"/>
      <c r="C288" s="131">
        <f>IFERROR(__xludf.DUMMYFUNCTION("""COMPUTED_VALUE"""),1236.0)</f>
        <v>1236</v>
      </c>
      <c r="D288" s="131"/>
      <c r="E288" s="103" t="str">
        <f>IFERROR(__xludf.DUMMYFUNCTION("""COMPUTED_VALUE"""),"LACONSAY")</f>
        <v>LACONSAY</v>
      </c>
      <c r="F288" s="103" t="str">
        <f>IFERROR(__xludf.DUMMYFUNCTION("""COMPUTED_VALUE"""),"MA. LOURDES")</f>
        <v>MA. LOURDES</v>
      </c>
    </row>
    <row r="289">
      <c r="A289" s="131">
        <f>IFERROR(__xludf.DUMMYFUNCTION("""COMPUTED_VALUE"""),1252.0)</f>
        <v>1252</v>
      </c>
      <c r="B289" s="131"/>
      <c r="C289" s="131">
        <f>IFERROR(__xludf.DUMMYFUNCTION("""COMPUTED_VALUE"""),1236.0)</f>
        <v>1236</v>
      </c>
      <c r="D289" s="131"/>
      <c r="E289" s="102" t="str">
        <f>IFERROR(__xludf.DUMMYFUNCTION("""COMPUTED_VALUE"""),"LACONSAY")</f>
        <v>LACONSAY</v>
      </c>
      <c r="F289" s="103" t="str">
        <f>IFERROR(__xludf.DUMMYFUNCTION("""COMPUTED_VALUE"""),"MA. ELENA")</f>
        <v>MA. ELENA</v>
      </c>
    </row>
    <row r="290">
      <c r="A290" s="131">
        <f>IFERROR(__xludf.DUMMYFUNCTION("""COMPUTED_VALUE"""),1253.0)</f>
        <v>1253</v>
      </c>
      <c r="B290" s="131"/>
      <c r="C290" s="131">
        <f>IFERROR(__xludf.DUMMYFUNCTION("""COMPUTED_VALUE"""),1236.0)</f>
        <v>1236</v>
      </c>
      <c r="D290" s="131"/>
      <c r="E290" s="103" t="str">
        <f>IFERROR(__xludf.DUMMYFUNCTION("""COMPUTED_VALUE"""),"MENOSO")</f>
        <v>MENOSO</v>
      </c>
      <c r="F290" s="103" t="str">
        <f>IFERROR(__xludf.DUMMYFUNCTION("""COMPUTED_VALUE"""),"DANICA")</f>
        <v>DANICA</v>
      </c>
    </row>
    <row r="291">
      <c r="A291" s="131">
        <f>IFERROR(__xludf.DUMMYFUNCTION("""COMPUTED_VALUE"""),1254.0)</f>
        <v>1254</v>
      </c>
      <c r="B291" s="131"/>
      <c r="C291" s="131">
        <f>IFERROR(__xludf.DUMMYFUNCTION("""COMPUTED_VALUE"""),1236.0)</f>
        <v>1236</v>
      </c>
      <c r="D291" s="131"/>
      <c r="E291" s="103"/>
      <c r="F291" s="103" t="str">
        <f>IFERROR(__xludf.DUMMYFUNCTION("""COMPUTED_VALUE"""),"AGNES")</f>
        <v>AGNES</v>
      </c>
    </row>
    <row r="292">
      <c r="A292" s="131"/>
      <c r="B292" s="131"/>
      <c r="C292" s="131"/>
      <c r="D292" s="131"/>
      <c r="E292" s="103"/>
      <c r="F292" s="103"/>
    </row>
    <row r="293">
      <c r="A293" s="131">
        <f>IFERROR(__xludf.DUMMYFUNCTION("""COMPUTED_VALUE"""),1255.0)</f>
        <v>1255</v>
      </c>
      <c r="B293" s="131"/>
      <c r="C293" s="131">
        <f>IFERROR(__xludf.DUMMYFUNCTION("""COMPUTED_VALUE"""),1255.0)</f>
        <v>1255</v>
      </c>
      <c r="D293" s="131" t="b">
        <f>IFERROR(__xludf.DUMMYFUNCTION("""COMPUTED_VALUE"""),TRUE)</f>
        <v>1</v>
      </c>
      <c r="E293" s="103" t="str">
        <f>IFERROR(__xludf.DUMMYFUNCTION("""COMPUTED_VALUE"""),"VERTODAZO")</f>
        <v>VERTODAZO</v>
      </c>
      <c r="F293" s="103" t="str">
        <f>IFERROR(__xludf.DUMMYFUNCTION("""COMPUTED_VALUE"""),"MONETH")</f>
        <v>MONETH</v>
      </c>
    </row>
    <row r="294">
      <c r="A294" s="131">
        <f>IFERROR(__xludf.DUMMYFUNCTION("""COMPUTED_VALUE"""),1256.0)</f>
        <v>1256</v>
      </c>
      <c r="B294" s="131"/>
      <c r="C294" s="131">
        <f>IFERROR(__xludf.DUMMYFUNCTION("""COMPUTED_VALUE"""),1255.0)</f>
        <v>1255</v>
      </c>
      <c r="D294" s="131"/>
      <c r="E294" s="103" t="str">
        <f>IFERROR(__xludf.DUMMYFUNCTION("""COMPUTED_VALUE"""),"SOMERA")</f>
        <v>SOMERA</v>
      </c>
      <c r="F294" s="103" t="str">
        <f>IFERROR(__xludf.DUMMYFUNCTION("""COMPUTED_VALUE"""),"CHA")</f>
        <v>CHA</v>
      </c>
    </row>
    <row r="295">
      <c r="A295" s="131">
        <f>IFERROR(__xludf.DUMMYFUNCTION("""COMPUTED_VALUE"""),1257.0)</f>
        <v>1257</v>
      </c>
      <c r="B295" s="131"/>
      <c r="C295" s="131">
        <f>IFERROR(__xludf.DUMMYFUNCTION("""COMPUTED_VALUE"""),1255.0)</f>
        <v>1255</v>
      </c>
      <c r="D295" s="131"/>
      <c r="E295" s="103" t="str">
        <f>IFERROR(__xludf.DUMMYFUNCTION("""COMPUTED_VALUE"""),"MAGDUAY")</f>
        <v>MAGDUAY</v>
      </c>
      <c r="F295" s="103" t="str">
        <f>IFERROR(__xludf.DUMMYFUNCTION("""COMPUTED_VALUE"""),"HEIDEE")</f>
        <v>HEIDEE</v>
      </c>
    </row>
    <row r="296">
      <c r="A296" s="131">
        <f>IFERROR(__xludf.DUMMYFUNCTION("""COMPUTED_VALUE"""),1258.0)</f>
        <v>1258</v>
      </c>
      <c r="B296" s="131"/>
      <c r="C296" s="131">
        <f>IFERROR(__xludf.DUMMYFUNCTION("""COMPUTED_VALUE"""),1255.0)</f>
        <v>1255</v>
      </c>
      <c r="D296" s="131"/>
      <c r="E296" s="103" t="str">
        <f>IFERROR(__xludf.DUMMYFUNCTION("""COMPUTED_VALUE"""),"TANDUL")</f>
        <v>TANDUL</v>
      </c>
      <c r="F296" s="103" t="str">
        <f>IFERROR(__xludf.DUMMYFUNCTION("""COMPUTED_VALUE"""),"RAQUEL")</f>
        <v>RAQUEL</v>
      </c>
    </row>
    <row r="297">
      <c r="A297" s="131">
        <f>IFERROR(__xludf.DUMMYFUNCTION("""COMPUTED_VALUE"""),1259.0)</f>
        <v>1259</v>
      </c>
      <c r="B297" s="131"/>
      <c r="C297" s="131">
        <f>IFERROR(__xludf.DUMMYFUNCTION("""COMPUTED_VALUE"""),1255.0)</f>
        <v>1255</v>
      </c>
      <c r="D297" s="131"/>
      <c r="E297" s="103" t="str">
        <f>IFERROR(__xludf.DUMMYFUNCTION("""COMPUTED_VALUE"""),"ARTICULO")</f>
        <v>ARTICULO</v>
      </c>
      <c r="F297" s="103" t="str">
        <f>IFERROR(__xludf.DUMMYFUNCTION("""COMPUTED_VALUE"""),"LEILA M.")</f>
        <v>LEILA M.</v>
      </c>
    </row>
    <row r="298">
      <c r="A298" s="131">
        <f>IFERROR(__xludf.DUMMYFUNCTION("""COMPUTED_VALUE"""),1260.0)</f>
        <v>1260</v>
      </c>
      <c r="B298" s="131"/>
      <c r="C298" s="131">
        <f>IFERROR(__xludf.DUMMYFUNCTION("""COMPUTED_VALUE"""),1255.0)</f>
        <v>1255</v>
      </c>
      <c r="D298" s="131"/>
      <c r="E298" s="103" t="str">
        <f>IFERROR(__xludf.DUMMYFUNCTION("""COMPUTED_VALUE"""),"BALDONADO")</f>
        <v>BALDONADO</v>
      </c>
      <c r="F298" s="103" t="str">
        <f>IFERROR(__xludf.DUMMYFUNCTION("""COMPUTED_VALUE"""),"JULIETA")</f>
        <v>JULIETA</v>
      </c>
    </row>
    <row r="299">
      <c r="A299" s="131">
        <f>IFERROR(__xludf.DUMMYFUNCTION("""COMPUTED_VALUE"""),1261.0)</f>
        <v>1261</v>
      </c>
      <c r="B299" s="131"/>
      <c r="C299" s="131">
        <f>IFERROR(__xludf.DUMMYFUNCTION("""COMPUTED_VALUE"""),1255.0)</f>
        <v>1255</v>
      </c>
      <c r="D299" s="131"/>
      <c r="E299" s="103" t="str">
        <f>IFERROR(__xludf.DUMMYFUNCTION("""COMPUTED_VALUE"""),"CARLOS")</f>
        <v>CARLOS</v>
      </c>
      <c r="F299" s="103" t="str">
        <f>IFERROR(__xludf.DUMMYFUNCTION("""COMPUTED_VALUE"""),"ANTONETTE M.")</f>
        <v>ANTONETTE M.</v>
      </c>
    </row>
    <row r="300">
      <c r="A300" s="131">
        <f>IFERROR(__xludf.DUMMYFUNCTION("""COMPUTED_VALUE"""),1262.0)</f>
        <v>1262</v>
      </c>
      <c r="B300" s="131"/>
      <c r="C300" s="131">
        <f>IFERROR(__xludf.DUMMYFUNCTION("""COMPUTED_VALUE"""),1255.0)</f>
        <v>1255</v>
      </c>
      <c r="D300" s="131"/>
      <c r="E300" s="103" t="str">
        <f>IFERROR(__xludf.DUMMYFUNCTION("""COMPUTED_VALUE"""),"INCARNATION")</f>
        <v>INCARNATION</v>
      </c>
      <c r="F300" s="103" t="str">
        <f>IFERROR(__xludf.DUMMYFUNCTION("""COMPUTED_VALUE"""),"LUCILA")</f>
        <v>LUCILA</v>
      </c>
    </row>
    <row r="301">
      <c r="A301" s="131">
        <f>IFERROR(__xludf.DUMMYFUNCTION("""COMPUTED_VALUE"""),1263.0)</f>
        <v>1263</v>
      </c>
      <c r="B301" s="131"/>
      <c r="C301" s="131">
        <f>IFERROR(__xludf.DUMMYFUNCTION("""COMPUTED_VALUE"""),1255.0)</f>
        <v>1255</v>
      </c>
      <c r="D301" s="131"/>
      <c r="E301" s="103" t="str">
        <f>IFERROR(__xludf.DUMMYFUNCTION("""COMPUTED_VALUE"""),"MAGAT")</f>
        <v>MAGAT</v>
      </c>
      <c r="F301" s="103" t="str">
        <f>IFERROR(__xludf.DUMMYFUNCTION("""COMPUTED_VALUE"""),"SYLVIA")</f>
        <v>SYLVIA</v>
      </c>
    </row>
    <row r="302">
      <c r="A302" s="131">
        <f>IFERROR(__xludf.DUMMYFUNCTION("""COMPUTED_VALUE"""),1264.0)</f>
        <v>1264</v>
      </c>
      <c r="B302" s="131"/>
      <c r="C302" s="131">
        <f>IFERROR(__xludf.DUMMYFUNCTION("""COMPUTED_VALUE"""),1255.0)</f>
        <v>1255</v>
      </c>
      <c r="D302" s="131"/>
      <c r="E302" s="103" t="str">
        <f>IFERROR(__xludf.DUMMYFUNCTION("""COMPUTED_VALUE"""),"MAGAT")</f>
        <v>MAGAT</v>
      </c>
      <c r="F302" s="103" t="str">
        <f>IFERROR(__xludf.DUMMYFUNCTION("""COMPUTED_VALUE"""),"JOSEPHINA")</f>
        <v>JOSEPHINA</v>
      </c>
    </row>
    <row r="303">
      <c r="A303" s="131">
        <f>IFERROR(__xludf.DUMMYFUNCTION("""COMPUTED_VALUE"""),1265.0)</f>
        <v>1265</v>
      </c>
      <c r="B303" s="131"/>
      <c r="C303" s="131">
        <f>IFERROR(__xludf.DUMMYFUNCTION("""COMPUTED_VALUE"""),1255.0)</f>
        <v>1255</v>
      </c>
      <c r="D303" s="131"/>
      <c r="E303" s="103" t="str">
        <f>IFERROR(__xludf.DUMMYFUNCTION("""COMPUTED_VALUE"""),"VILLARTA")</f>
        <v>VILLARTA</v>
      </c>
      <c r="F303" s="103" t="str">
        <f>IFERROR(__xludf.DUMMYFUNCTION("""COMPUTED_VALUE"""),"JESSICA")</f>
        <v>JESSICA</v>
      </c>
    </row>
    <row r="304">
      <c r="A304" s="131">
        <f>IFERROR(__xludf.DUMMYFUNCTION("""COMPUTED_VALUE"""),1266.0)</f>
        <v>1266</v>
      </c>
      <c r="B304" s="131"/>
      <c r="C304" s="131">
        <f>IFERROR(__xludf.DUMMYFUNCTION("""COMPUTED_VALUE"""),1255.0)</f>
        <v>1255</v>
      </c>
      <c r="D304" s="131"/>
      <c r="E304" s="99" t="str">
        <f>IFERROR(__xludf.DUMMYFUNCTION("""COMPUTED_VALUE"""),"MORAL")</f>
        <v>MORAL</v>
      </c>
      <c r="F304" s="99" t="str">
        <f>IFERROR(__xludf.DUMMYFUNCTION("""COMPUTED_VALUE"""),"LUCHELLE")</f>
        <v>LUCHELLE</v>
      </c>
    </row>
    <row r="305">
      <c r="A305" s="131">
        <f>IFERROR(__xludf.DUMMYFUNCTION("""COMPUTED_VALUE"""),1267.0)</f>
        <v>1267</v>
      </c>
      <c r="B305" s="131"/>
      <c r="C305" s="131">
        <f>IFERROR(__xludf.DUMMYFUNCTION("""COMPUTED_VALUE"""),1255.0)</f>
        <v>1255</v>
      </c>
      <c r="D305" s="131"/>
      <c r="E305" s="100" t="str">
        <f>IFERROR(__xludf.DUMMYFUNCTION("""COMPUTED_VALUE"""),"BRUSOLA")</f>
        <v>BRUSOLA</v>
      </c>
      <c r="F305" s="100" t="str">
        <f>IFERROR(__xludf.DUMMYFUNCTION("""COMPUTED_VALUE"""),"MERLY")</f>
        <v>MERLY</v>
      </c>
    </row>
    <row r="306">
      <c r="A306" s="131">
        <f>IFERROR(__xludf.DUMMYFUNCTION("""COMPUTED_VALUE"""),1268.0)</f>
        <v>1268</v>
      </c>
      <c r="B306" s="131"/>
      <c r="C306" s="131">
        <f>IFERROR(__xludf.DUMMYFUNCTION("""COMPUTED_VALUE"""),1255.0)</f>
        <v>1255</v>
      </c>
      <c r="D306" s="131"/>
      <c r="E306" s="100" t="str">
        <f>IFERROR(__xludf.DUMMYFUNCTION("""COMPUTED_VALUE"""),"TARINAY")</f>
        <v>TARINAY</v>
      </c>
      <c r="F306" s="100" t="str">
        <f>IFERROR(__xludf.DUMMYFUNCTION("""COMPUTED_VALUE"""),"MARILYN")</f>
        <v>MARILYN</v>
      </c>
    </row>
    <row r="307">
      <c r="A307" s="131">
        <f>IFERROR(__xludf.DUMMYFUNCTION("""COMPUTED_VALUE"""),1269.0)</f>
        <v>1269</v>
      </c>
      <c r="B307" s="131"/>
      <c r="C307" s="131">
        <f>IFERROR(__xludf.DUMMYFUNCTION("""COMPUTED_VALUE"""),1255.0)</f>
        <v>1255</v>
      </c>
      <c r="D307" s="131"/>
      <c r="E307" s="100" t="str">
        <f>IFERROR(__xludf.DUMMYFUNCTION("""COMPUTED_VALUE"""),"VARGAS")</f>
        <v>VARGAS</v>
      </c>
      <c r="F307" s="100" t="str">
        <f>IFERROR(__xludf.DUMMYFUNCTION("""COMPUTED_VALUE"""),"VILMA")</f>
        <v>VILMA</v>
      </c>
    </row>
    <row r="308">
      <c r="A308" s="131">
        <f>IFERROR(__xludf.DUMMYFUNCTION("""COMPUTED_VALUE"""),1270.0)</f>
        <v>1270</v>
      </c>
      <c r="B308" s="131"/>
      <c r="C308" s="131">
        <f>IFERROR(__xludf.DUMMYFUNCTION("""COMPUTED_VALUE"""),1255.0)</f>
        <v>1255</v>
      </c>
      <c r="D308" s="131"/>
      <c r="E308" s="100" t="str">
        <f>IFERROR(__xludf.DUMMYFUNCTION("""COMPUTED_VALUE"""),"GAPAS")</f>
        <v>GAPAS</v>
      </c>
      <c r="F308" s="100" t="str">
        <f>IFERROR(__xludf.DUMMYFUNCTION("""COMPUTED_VALUE"""),"EDITH")</f>
        <v>EDITH</v>
      </c>
    </row>
    <row r="309">
      <c r="A309" s="131">
        <f>IFERROR(__xludf.DUMMYFUNCTION("""COMPUTED_VALUE"""),1271.0)</f>
        <v>1271</v>
      </c>
      <c r="B309" s="131"/>
      <c r="C309" s="131">
        <f>IFERROR(__xludf.DUMMYFUNCTION("""COMPUTED_VALUE"""),1255.0)</f>
        <v>1255</v>
      </c>
      <c r="D309" s="131"/>
      <c r="E309" s="100" t="str">
        <f>IFERROR(__xludf.DUMMYFUNCTION("""COMPUTED_VALUE"""),"PACHECO")</f>
        <v>PACHECO</v>
      </c>
      <c r="F309" s="100" t="str">
        <f>IFERROR(__xludf.DUMMYFUNCTION("""COMPUTED_VALUE"""),"CAROLINE")</f>
        <v>CAROLINE</v>
      </c>
    </row>
    <row r="310">
      <c r="A310" s="131">
        <f>IFERROR(__xludf.DUMMYFUNCTION("""COMPUTED_VALUE"""),1272.0)</f>
        <v>1272</v>
      </c>
      <c r="B310" s="131"/>
      <c r="C310" s="131">
        <f>IFERROR(__xludf.DUMMYFUNCTION("""COMPUTED_VALUE"""),1255.0)</f>
        <v>1255</v>
      </c>
      <c r="D310" s="131"/>
      <c r="E310" s="100" t="str">
        <f>IFERROR(__xludf.DUMMYFUNCTION("""COMPUTED_VALUE"""),"BACOSA")</f>
        <v>BACOSA</v>
      </c>
      <c r="F310" s="100" t="str">
        <f>IFERROR(__xludf.DUMMYFUNCTION("""COMPUTED_VALUE"""),"MAIDA")</f>
        <v>MAIDA</v>
      </c>
    </row>
    <row r="311">
      <c r="A311" s="131">
        <f>IFERROR(__xludf.DUMMYFUNCTION("""COMPUTED_VALUE"""),1273.0)</f>
        <v>1273</v>
      </c>
      <c r="B311" s="131"/>
      <c r="C311" s="131">
        <f>IFERROR(__xludf.DUMMYFUNCTION("""COMPUTED_VALUE"""),1255.0)</f>
        <v>1255</v>
      </c>
      <c r="D311" s="131"/>
      <c r="E311" s="100" t="str">
        <f>IFERROR(__xludf.DUMMYFUNCTION("""COMPUTED_VALUE"""),"LIM")</f>
        <v>LIM</v>
      </c>
      <c r="F311" s="100" t="str">
        <f>IFERROR(__xludf.DUMMYFUNCTION("""COMPUTED_VALUE"""),"LANIE")</f>
        <v>LANIE</v>
      </c>
    </row>
    <row r="312">
      <c r="A312" s="131">
        <f>IFERROR(__xludf.DUMMYFUNCTION("""COMPUTED_VALUE"""),1274.0)</f>
        <v>1274</v>
      </c>
      <c r="B312" s="131"/>
      <c r="C312" s="131">
        <f>IFERROR(__xludf.DUMMYFUNCTION("""COMPUTED_VALUE"""),1255.0)</f>
        <v>1255</v>
      </c>
      <c r="D312" s="131"/>
      <c r="E312" s="100" t="str">
        <f>IFERROR(__xludf.DUMMYFUNCTION("""COMPUTED_VALUE"""),"DELA VEGA")</f>
        <v>DELA VEGA</v>
      </c>
      <c r="F312" s="100" t="str">
        <f>IFERROR(__xludf.DUMMYFUNCTION("""COMPUTED_VALUE"""),"MAVIC")</f>
        <v>MAVIC</v>
      </c>
    </row>
    <row r="313">
      <c r="A313" s="131">
        <f>IFERROR(__xludf.DUMMYFUNCTION("""COMPUTED_VALUE"""),1275.0)</f>
        <v>1275</v>
      </c>
      <c r="B313" s="131"/>
      <c r="C313" s="131">
        <f>IFERROR(__xludf.DUMMYFUNCTION("""COMPUTED_VALUE"""),1255.0)</f>
        <v>1255</v>
      </c>
      <c r="D313" s="131"/>
      <c r="E313" s="100"/>
      <c r="F313" s="100" t="str">
        <f>IFERROR(__xludf.DUMMYFUNCTION("""COMPUTED_VALUE"""),"MILA M.")</f>
        <v>MILA M.</v>
      </c>
    </row>
    <row r="314">
      <c r="A314" s="131">
        <f>IFERROR(__xludf.DUMMYFUNCTION("""COMPUTED_VALUE"""),1276.0)</f>
        <v>1276</v>
      </c>
      <c r="B314" s="131"/>
      <c r="C314" s="131">
        <f>IFERROR(__xludf.DUMMYFUNCTION("""COMPUTED_VALUE"""),1230.0)</f>
        <v>1230</v>
      </c>
      <c r="D314" s="131"/>
      <c r="E314" s="100" t="str">
        <f>IFERROR(__xludf.DUMMYFUNCTION("""COMPUTED_VALUE"""),"TANDUL")</f>
        <v>TANDUL</v>
      </c>
      <c r="F314" s="100" t="str">
        <f>IFERROR(__xludf.DUMMYFUNCTION("""COMPUTED_VALUE"""),"ED")</f>
        <v>ED</v>
      </c>
    </row>
    <row r="315">
      <c r="A315" s="131">
        <f>IFERROR(__xludf.DUMMYFUNCTION("""COMPUTED_VALUE"""),1277.0)</f>
        <v>1277</v>
      </c>
      <c r="B315" s="131"/>
      <c r="C315" s="131">
        <f>IFERROR(__xludf.DUMMYFUNCTION("""COMPUTED_VALUE"""),1230.0)</f>
        <v>1230</v>
      </c>
      <c r="D315" s="131"/>
      <c r="E315" s="99" t="str">
        <f>IFERROR(__xludf.DUMMYFUNCTION("""COMPUTED_VALUE"""),"VILLA")</f>
        <v>VILLA</v>
      </c>
      <c r="F315" s="99" t="str">
        <f>IFERROR(__xludf.DUMMYFUNCTION("""COMPUTED_VALUE"""),"EDWARD")</f>
        <v>EDWARD</v>
      </c>
    </row>
    <row r="316">
      <c r="A316" s="131">
        <f>IFERROR(__xludf.DUMMYFUNCTION("""COMPUTED_VALUE"""),1278.0)</f>
        <v>1278</v>
      </c>
      <c r="B316" s="131"/>
      <c r="C316" s="131">
        <f>IFERROR(__xludf.DUMMYFUNCTION("""COMPUTED_VALUE"""),1230.0)</f>
        <v>1230</v>
      </c>
      <c r="D316" s="131"/>
      <c r="E316" s="100" t="str">
        <f>IFERROR(__xludf.DUMMYFUNCTION("""COMPUTED_VALUE"""),"RETAMAR")</f>
        <v>RETAMAR</v>
      </c>
      <c r="F316" s="100" t="str">
        <f>IFERROR(__xludf.DUMMYFUNCTION("""COMPUTED_VALUE"""),"GLEN")</f>
        <v>GLEN</v>
      </c>
    </row>
    <row r="317">
      <c r="A317" s="131">
        <f>IFERROR(__xludf.DUMMYFUNCTION("""COMPUTED_VALUE"""),1279.0)</f>
        <v>1279</v>
      </c>
      <c r="B317" s="131"/>
      <c r="C317" s="131">
        <f>IFERROR(__xludf.DUMMYFUNCTION("""COMPUTED_VALUE"""),1230.0)</f>
        <v>1230</v>
      </c>
      <c r="D317" s="131"/>
      <c r="E317" s="100" t="str">
        <f>IFERROR(__xludf.DUMMYFUNCTION("""COMPUTED_VALUE"""),"PASAYLON")</f>
        <v>PASAYLON</v>
      </c>
      <c r="F317" s="100" t="str">
        <f>IFERROR(__xludf.DUMMYFUNCTION("""COMPUTED_VALUE"""),"RAYMOND")</f>
        <v>RAYMOND</v>
      </c>
    </row>
    <row r="318">
      <c r="A318" s="131">
        <f>IFERROR(__xludf.DUMMYFUNCTION("""COMPUTED_VALUE"""),1280.0)</f>
        <v>1280</v>
      </c>
      <c r="B318" s="131"/>
      <c r="C318" s="131">
        <f>IFERROR(__xludf.DUMMYFUNCTION("""COMPUTED_VALUE"""),1230.0)</f>
        <v>1230</v>
      </c>
      <c r="D318" s="131"/>
      <c r="E318" s="100" t="str">
        <f>IFERROR(__xludf.DUMMYFUNCTION("""COMPUTED_VALUE"""),"CODILLA")</f>
        <v>CODILLA</v>
      </c>
      <c r="F318" s="100" t="str">
        <f>IFERROR(__xludf.DUMMYFUNCTION("""COMPUTED_VALUE"""),"JONNEL")</f>
        <v>JONNEL</v>
      </c>
    </row>
    <row r="319">
      <c r="A319" s="131">
        <f>IFERROR(__xludf.DUMMYFUNCTION("""COMPUTED_VALUE"""),1281.0)</f>
        <v>1281</v>
      </c>
      <c r="B319" s="131"/>
      <c r="C319" s="131">
        <f>IFERROR(__xludf.DUMMYFUNCTION("""COMPUTED_VALUE"""),1230.0)</f>
        <v>1230</v>
      </c>
      <c r="D319" s="131"/>
      <c r="E319" s="100" t="str">
        <f>IFERROR(__xludf.DUMMYFUNCTION("""COMPUTED_VALUE"""),"AZUL")</f>
        <v>AZUL</v>
      </c>
      <c r="F319" s="100" t="str">
        <f>IFERROR(__xludf.DUMMYFUNCTION("""COMPUTED_VALUE"""),"BENIE")</f>
        <v>BENIE</v>
      </c>
    </row>
    <row r="320">
      <c r="A320" s="131">
        <f>IFERROR(__xludf.DUMMYFUNCTION("""COMPUTED_VALUE"""),1282.0)</f>
        <v>1282</v>
      </c>
      <c r="B320" s="131"/>
      <c r="C320" s="131">
        <f>IFERROR(__xludf.DUMMYFUNCTION("""COMPUTED_VALUE"""),1230.0)</f>
        <v>1230</v>
      </c>
      <c r="D320" s="131"/>
      <c r="E320" s="100" t="str">
        <f>IFERROR(__xludf.DUMMYFUNCTION("""COMPUTED_VALUE"""),"E.")</f>
        <v>E.</v>
      </c>
      <c r="F320" s="100" t="str">
        <f>IFERROR(__xludf.DUMMYFUNCTION("""COMPUTED_VALUE"""),"MANNY")</f>
        <v>MANNY</v>
      </c>
    </row>
    <row r="321">
      <c r="A321" s="131"/>
      <c r="B321" s="131"/>
      <c r="C321" s="131"/>
      <c r="D321" s="131"/>
      <c r="E321" s="100"/>
      <c r="F321" s="100"/>
    </row>
    <row r="322">
      <c r="A322" s="131">
        <f>IFERROR(__xludf.DUMMYFUNCTION("""COMPUTED_VALUE"""),1283.0)</f>
        <v>1283</v>
      </c>
      <c r="B322" s="131"/>
      <c r="C322" s="131">
        <f>IFERROR(__xludf.DUMMYFUNCTION("""COMPUTED_VALUE"""),1283.0)</f>
        <v>1283</v>
      </c>
      <c r="D322" s="131" t="b">
        <f>IFERROR(__xludf.DUMMYFUNCTION("""COMPUTED_VALUE"""),TRUE)</f>
        <v>1</v>
      </c>
      <c r="E322" s="101" t="str">
        <f>IFERROR(__xludf.DUMMYFUNCTION("""COMPUTED_VALUE"""),"LIM")</f>
        <v>LIM</v>
      </c>
      <c r="F322" s="101" t="str">
        <f>IFERROR(__xludf.DUMMYFUNCTION("""COMPUTED_VALUE"""),"MARLINA")</f>
        <v>MARLINA</v>
      </c>
    </row>
    <row r="323">
      <c r="A323" s="131"/>
      <c r="B323" s="131"/>
      <c r="C323" s="131"/>
      <c r="D323" s="131"/>
      <c r="E323" s="101"/>
      <c r="F323" s="101"/>
    </row>
    <row r="324">
      <c r="A324" s="131"/>
      <c r="B324" s="131"/>
      <c r="C324" s="131"/>
      <c r="D324" s="131"/>
      <c r="E324" s="101"/>
      <c r="F324" s="101"/>
    </row>
    <row r="325">
      <c r="A325" s="131"/>
      <c r="B325" s="131"/>
      <c r="C325" s="131"/>
      <c r="D325" s="131"/>
      <c r="E325" s="101"/>
      <c r="F325" s="101"/>
    </row>
    <row r="326">
      <c r="A326" s="131"/>
      <c r="B326" s="131"/>
      <c r="C326" s="131"/>
      <c r="D326" s="131"/>
      <c r="E326" s="101"/>
      <c r="F326" s="101"/>
    </row>
    <row r="327">
      <c r="A327" s="131"/>
      <c r="B327" s="131"/>
      <c r="C327" s="131"/>
      <c r="D327" s="131"/>
      <c r="E327" s="105"/>
      <c r="F327" s="105"/>
    </row>
    <row r="328">
      <c r="A328" s="131"/>
      <c r="B328" s="131"/>
      <c r="C328" s="131"/>
      <c r="D328" s="131"/>
      <c r="E328" s="106"/>
      <c r="F328" s="106"/>
    </row>
    <row r="329">
      <c r="A329" s="131"/>
      <c r="B329" s="131"/>
      <c r="C329" s="131"/>
      <c r="D329" s="131"/>
      <c r="E329" s="107"/>
      <c r="F329" s="107"/>
    </row>
    <row r="330">
      <c r="A330" s="131"/>
      <c r="B330" s="131"/>
      <c r="C330" s="131"/>
      <c r="D330" s="131"/>
      <c r="E330" s="107"/>
      <c r="F330" s="107"/>
    </row>
    <row r="331">
      <c r="A331" s="131"/>
      <c r="B331" s="131"/>
      <c r="C331" s="131"/>
      <c r="D331" s="131"/>
      <c r="E331" s="108"/>
      <c r="F331" s="108"/>
    </row>
    <row r="332">
      <c r="A332" s="131"/>
      <c r="B332" s="131"/>
      <c r="C332" s="131"/>
      <c r="D332" s="131"/>
      <c r="E332" s="107"/>
      <c r="F332" s="107"/>
    </row>
    <row r="333">
      <c r="A333" s="131"/>
      <c r="B333" s="131"/>
      <c r="C333" s="131"/>
      <c r="D333" s="131"/>
      <c r="E333" s="106"/>
      <c r="F333" s="106"/>
    </row>
    <row r="334">
      <c r="A334" s="131"/>
      <c r="B334" s="131"/>
      <c r="C334" s="131"/>
      <c r="D334" s="131"/>
      <c r="E334" s="107"/>
      <c r="F334" s="107"/>
    </row>
    <row r="335">
      <c r="A335" s="131"/>
      <c r="B335" s="131"/>
      <c r="C335" s="131"/>
      <c r="D335" s="131"/>
      <c r="E335" s="107"/>
      <c r="F335" s="107"/>
    </row>
    <row r="336">
      <c r="A336" s="131"/>
      <c r="B336" s="131"/>
      <c r="C336" s="131"/>
      <c r="D336" s="131"/>
      <c r="E336" s="107"/>
      <c r="F336" s="107"/>
    </row>
    <row r="337">
      <c r="A337" s="131"/>
      <c r="B337" s="131"/>
      <c r="C337" s="131"/>
      <c r="D337" s="131"/>
      <c r="E337" s="107"/>
      <c r="F337" s="107"/>
    </row>
    <row r="338">
      <c r="A338" s="131"/>
      <c r="B338" s="131"/>
      <c r="C338" s="131"/>
      <c r="D338" s="131"/>
      <c r="E338" s="106"/>
      <c r="F338" s="106"/>
    </row>
    <row r="339">
      <c r="A339" s="131"/>
      <c r="B339" s="131"/>
      <c r="C339" s="131"/>
      <c r="D339" s="131"/>
      <c r="E339" s="107"/>
      <c r="F339" s="107"/>
    </row>
    <row r="340">
      <c r="A340" s="131"/>
      <c r="B340" s="131"/>
      <c r="C340" s="131"/>
      <c r="D340" s="131"/>
      <c r="E340" s="109"/>
      <c r="F340" s="109"/>
    </row>
    <row r="341">
      <c r="A341" s="131"/>
      <c r="B341" s="131"/>
      <c r="C341" s="131"/>
      <c r="D341" s="131"/>
      <c r="E341" s="110"/>
      <c r="F341" s="110"/>
    </row>
    <row r="342">
      <c r="A342" s="131"/>
      <c r="B342" s="131"/>
      <c r="C342" s="131"/>
      <c r="D342" s="131"/>
      <c r="E342" s="110"/>
      <c r="F342" s="110"/>
    </row>
    <row r="343">
      <c r="A343" s="131"/>
      <c r="B343" s="131"/>
      <c r="C343" s="131"/>
      <c r="D343" s="131"/>
      <c r="E343" s="111"/>
      <c r="F343" s="111"/>
    </row>
    <row r="344">
      <c r="A344" s="131"/>
      <c r="B344" s="131"/>
      <c r="C344" s="131"/>
      <c r="D344" s="131"/>
      <c r="E344" s="112"/>
      <c r="F344" s="112"/>
    </row>
    <row r="345">
      <c r="A345" s="131"/>
      <c r="B345" s="131"/>
      <c r="C345" s="131"/>
      <c r="D345" s="131"/>
      <c r="E345" s="112"/>
      <c r="F345" s="112"/>
    </row>
    <row r="346">
      <c r="A346" s="131"/>
      <c r="B346" s="131"/>
      <c r="C346" s="131"/>
      <c r="D346" s="131"/>
      <c r="E346" s="112"/>
      <c r="F346" s="112"/>
    </row>
    <row r="347">
      <c r="A347" s="131"/>
      <c r="B347" s="131"/>
      <c r="C347" s="131"/>
      <c r="D347" s="131"/>
      <c r="E347" s="112"/>
      <c r="F347" s="112"/>
    </row>
    <row r="348">
      <c r="A348" s="131"/>
      <c r="B348" s="131"/>
      <c r="C348" s="131"/>
      <c r="D348" s="131"/>
      <c r="E348" s="113"/>
      <c r="F348" s="110"/>
    </row>
    <row r="349">
      <c r="A349" s="131"/>
      <c r="B349" s="131"/>
      <c r="C349" s="131"/>
      <c r="D349" s="131"/>
      <c r="E349" s="114"/>
      <c r="F349" s="114"/>
    </row>
    <row r="350">
      <c r="A350" s="131"/>
      <c r="B350" s="131"/>
      <c r="C350" s="131"/>
      <c r="D350" s="131"/>
      <c r="E350" s="114"/>
      <c r="F350" s="114"/>
    </row>
    <row r="351">
      <c r="A351" s="131"/>
      <c r="B351" s="131"/>
      <c r="C351" s="131"/>
      <c r="D351" s="131"/>
      <c r="E351" s="114"/>
      <c r="F351" s="114"/>
    </row>
    <row r="352">
      <c r="A352" s="131"/>
      <c r="B352" s="131"/>
      <c r="C352" s="131"/>
      <c r="D352" s="131"/>
      <c r="E352" s="114"/>
      <c r="F352" s="114"/>
    </row>
    <row r="353">
      <c r="A353" s="131"/>
      <c r="B353" s="131"/>
      <c r="C353" s="131"/>
      <c r="D353" s="131"/>
      <c r="E353" s="114"/>
      <c r="F353" s="114"/>
    </row>
    <row r="354">
      <c r="A354" s="131"/>
      <c r="B354" s="131"/>
      <c r="C354" s="131"/>
      <c r="D354" s="131"/>
      <c r="E354" s="114"/>
      <c r="F354" s="114"/>
    </row>
    <row r="355">
      <c r="A355" s="131"/>
      <c r="B355" s="131"/>
      <c r="C355" s="131"/>
      <c r="D355" s="131"/>
      <c r="E355" s="114"/>
      <c r="F355" s="114"/>
    </row>
    <row r="356">
      <c r="A356" s="131"/>
      <c r="B356" s="131"/>
      <c r="C356" s="131"/>
      <c r="D356" s="131"/>
      <c r="E356" s="114"/>
      <c r="F356" s="114"/>
    </row>
    <row r="357">
      <c r="A357" s="131"/>
      <c r="B357" s="131"/>
      <c r="C357" s="131"/>
      <c r="D357" s="131"/>
      <c r="E357" s="114"/>
      <c r="F357" s="114"/>
    </row>
    <row r="358">
      <c r="A358" s="131"/>
      <c r="B358" s="131"/>
      <c r="C358" s="131"/>
      <c r="D358" s="131"/>
      <c r="E358" s="114"/>
      <c r="F358" s="114"/>
    </row>
    <row r="359">
      <c r="A359" s="131"/>
      <c r="B359" s="131"/>
      <c r="C359" s="131"/>
      <c r="D359" s="131"/>
      <c r="E359" s="114"/>
      <c r="F359" s="114"/>
    </row>
    <row r="360">
      <c r="A360" s="131"/>
      <c r="B360" s="131"/>
      <c r="C360" s="131"/>
      <c r="D360" s="131"/>
      <c r="E360" s="114"/>
      <c r="F360" s="114"/>
    </row>
    <row r="361">
      <c r="A361" s="131"/>
      <c r="B361" s="131"/>
      <c r="C361" s="131"/>
      <c r="D361" s="131"/>
      <c r="E361" s="114"/>
      <c r="F361" s="114"/>
    </row>
    <row r="362">
      <c r="A362" s="131"/>
      <c r="B362" s="131"/>
      <c r="C362" s="131"/>
      <c r="D362" s="131"/>
      <c r="E362" s="114"/>
      <c r="F362" s="114"/>
    </row>
    <row r="363">
      <c r="A363" s="131"/>
      <c r="B363" s="131"/>
      <c r="C363" s="131"/>
      <c r="D363" s="131"/>
      <c r="E363" s="114"/>
      <c r="F363" s="114"/>
    </row>
    <row r="364">
      <c r="A364" s="131"/>
      <c r="B364" s="131"/>
      <c r="C364" s="131"/>
      <c r="D364" s="131"/>
      <c r="E364" s="114"/>
      <c r="F364" s="114"/>
    </row>
    <row r="365">
      <c r="A365" s="131"/>
      <c r="B365" s="131"/>
      <c r="C365" s="131"/>
      <c r="D365" s="131"/>
      <c r="E365" s="114"/>
      <c r="F365" s="114"/>
    </row>
    <row r="366">
      <c r="A366" s="131"/>
      <c r="B366" s="131"/>
      <c r="C366" s="131"/>
      <c r="D366" s="131"/>
      <c r="E366" s="114"/>
      <c r="F366" s="114"/>
    </row>
    <row r="367">
      <c r="A367" s="131"/>
      <c r="B367" s="131"/>
      <c r="C367" s="131"/>
      <c r="D367" s="131"/>
      <c r="E367" s="114"/>
      <c r="F367" s="114"/>
    </row>
    <row r="368">
      <c r="A368" s="131"/>
      <c r="B368" s="131"/>
      <c r="C368" s="131"/>
      <c r="D368" s="131"/>
      <c r="E368" s="114"/>
      <c r="F368" s="114"/>
    </row>
    <row r="369">
      <c r="A369" s="131"/>
      <c r="B369" s="131"/>
      <c r="C369" s="131"/>
      <c r="D369" s="131"/>
      <c r="E369" s="131"/>
      <c r="F369" s="131"/>
    </row>
    <row r="370">
      <c r="A370" s="131"/>
      <c r="B370" s="131"/>
      <c r="C370" s="131"/>
      <c r="D370" s="131"/>
      <c r="E370" s="105"/>
      <c r="F370" s="105"/>
    </row>
    <row r="371">
      <c r="A371" s="131"/>
      <c r="B371" s="131"/>
      <c r="C371" s="131"/>
      <c r="D371" s="131"/>
      <c r="E371" s="115"/>
      <c r="F371" s="107"/>
    </row>
    <row r="372">
      <c r="A372" s="131"/>
      <c r="B372" s="131"/>
      <c r="C372" s="131"/>
      <c r="D372" s="131"/>
      <c r="E372" s="107"/>
      <c r="F372" s="107"/>
    </row>
    <row r="373">
      <c r="A373" s="131"/>
      <c r="B373" s="131"/>
      <c r="C373" s="131"/>
      <c r="D373" s="131"/>
      <c r="E373" s="116"/>
      <c r="F373" s="107"/>
    </row>
    <row r="374">
      <c r="A374" s="131"/>
      <c r="B374" s="131"/>
      <c r="C374" s="131"/>
      <c r="D374" s="131"/>
      <c r="E374" s="107"/>
      <c r="F374" s="107"/>
    </row>
    <row r="375">
      <c r="A375" s="131"/>
      <c r="B375" s="131"/>
      <c r="C375" s="131"/>
      <c r="D375" s="131"/>
      <c r="E375" s="107"/>
      <c r="F375" s="107"/>
    </row>
    <row r="376">
      <c r="A376" s="131"/>
      <c r="B376" s="131"/>
      <c r="C376" s="131"/>
      <c r="D376" s="131"/>
      <c r="E376" s="107"/>
      <c r="F376" s="107"/>
    </row>
    <row r="377">
      <c r="A377" s="131"/>
      <c r="B377" s="131"/>
      <c r="C377" s="131"/>
      <c r="D377" s="131"/>
      <c r="E377" s="107"/>
      <c r="F377" s="107"/>
    </row>
    <row r="378">
      <c r="A378" s="131"/>
      <c r="B378" s="131"/>
      <c r="C378" s="131"/>
      <c r="D378" s="131"/>
      <c r="E378" s="107"/>
      <c r="F378" s="107"/>
    </row>
    <row r="379">
      <c r="A379" s="131"/>
      <c r="B379" s="131"/>
      <c r="C379" s="131"/>
      <c r="D379" s="131"/>
      <c r="E379" s="107"/>
      <c r="F379" s="107"/>
    </row>
    <row r="380">
      <c r="A380" s="131"/>
      <c r="B380" s="131"/>
      <c r="C380" s="131"/>
      <c r="D380" s="131"/>
      <c r="E380" s="107"/>
      <c r="F380" s="107"/>
    </row>
    <row r="381">
      <c r="A381" s="131"/>
      <c r="B381" s="131"/>
      <c r="C381" s="131"/>
      <c r="D381" s="131"/>
      <c r="E381" s="107"/>
      <c r="F381" s="107"/>
    </row>
    <row r="382">
      <c r="A382" s="131"/>
      <c r="B382" s="131"/>
      <c r="C382" s="131"/>
      <c r="D382" s="131"/>
      <c r="E382" s="107"/>
      <c r="F382" s="107"/>
    </row>
    <row r="383">
      <c r="A383" s="131"/>
      <c r="B383" s="131"/>
      <c r="C383" s="131"/>
      <c r="D383" s="131"/>
      <c r="E383" s="107"/>
      <c r="F383" s="107"/>
    </row>
    <row r="384">
      <c r="A384" s="131"/>
      <c r="B384" s="131"/>
      <c r="C384" s="131"/>
      <c r="D384" s="131"/>
      <c r="E384" s="107"/>
      <c r="F384" s="107"/>
    </row>
    <row r="385">
      <c r="A385" s="131"/>
      <c r="B385" s="131"/>
      <c r="C385" s="131"/>
      <c r="D385" s="131"/>
      <c r="E385" s="107"/>
      <c r="F385" s="107"/>
    </row>
    <row r="386">
      <c r="A386" s="131"/>
      <c r="B386" s="131"/>
      <c r="C386" s="131"/>
      <c r="D386" s="131"/>
      <c r="E386" s="107"/>
      <c r="F386" s="107"/>
    </row>
    <row r="387">
      <c r="A387" s="131"/>
      <c r="B387" s="131"/>
      <c r="C387" s="131"/>
      <c r="D387" s="131"/>
      <c r="E387" s="107"/>
      <c r="F387" s="107"/>
    </row>
    <row r="388">
      <c r="A388" s="131"/>
      <c r="B388" s="131"/>
      <c r="C388" s="131"/>
      <c r="D388" s="131"/>
      <c r="E388" s="98"/>
      <c r="F388" s="107"/>
    </row>
    <row r="389">
      <c r="A389" s="131"/>
      <c r="B389" s="131"/>
      <c r="C389" s="131"/>
      <c r="D389" s="131"/>
      <c r="E389" s="131"/>
      <c r="F389" s="131"/>
    </row>
    <row r="390">
      <c r="A390" s="131"/>
      <c r="B390" s="131"/>
      <c r="C390" s="131"/>
      <c r="D390" s="131"/>
      <c r="E390" s="105"/>
      <c r="F390" s="105"/>
    </row>
    <row r="391">
      <c r="A391" s="131"/>
      <c r="B391" s="131"/>
      <c r="C391" s="131"/>
      <c r="D391" s="131"/>
      <c r="E391" s="109"/>
      <c r="F391" s="109"/>
    </row>
    <row r="392">
      <c r="A392" s="131"/>
      <c r="B392" s="131"/>
      <c r="C392" s="131"/>
      <c r="D392" s="131"/>
      <c r="E392" s="109"/>
      <c r="F392" s="109"/>
    </row>
    <row r="393">
      <c r="A393" s="131"/>
      <c r="B393" s="131"/>
      <c r="C393" s="131"/>
      <c r="D393" s="131"/>
      <c r="E393" s="109"/>
      <c r="F393" s="109"/>
    </row>
    <row r="394">
      <c r="A394" s="131"/>
      <c r="B394" s="131"/>
      <c r="C394" s="131"/>
      <c r="D394" s="131"/>
      <c r="E394" s="109"/>
      <c r="F394" s="109"/>
    </row>
    <row r="395">
      <c r="A395" s="131"/>
      <c r="B395" s="131"/>
      <c r="C395" s="131"/>
      <c r="D395" s="131"/>
      <c r="E395" s="109"/>
      <c r="F395" s="109"/>
    </row>
    <row r="396">
      <c r="A396" s="131"/>
      <c r="B396" s="131"/>
      <c r="C396" s="131"/>
      <c r="D396" s="131"/>
      <c r="E396" s="109"/>
      <c r="F396" s="109"/>
    </row>
    <row r="397">
      <c r="A397" s="131"/>
      <c r="B397" s="131"/>
      <c r="C397" s="131"/>
      <c r="D397" s="131"/>
      <c r="E397" s="109"/>
      <c r="F397" s="109"/>
    </row>
    <row r="398">
      <c r="A398" s="131"/>
      <c r="B398" s="131"/>
      <c r="C398" s="131"/>
      <c r="D398" s="131"/>
      <c r="E398" s="109"/>
      <c r="F398" s="109"/>
    </row>
    <row r="399">
      <c r="A399" s="131"/>
      <c r="B399" s="131"/>
      <c r="C399" s="131"/>
      <c r="D399" s="131"/>
      <c r="E399" s="109"/>
      <c r="F399" s="109"/>
    </row>
    <row r="400">
      <c r="A400" s="131"/>
      <c r="B400" s="131"/>
      <c r="C400" s="131"/>
      <c r="D400" s="131"/>
      <c r="E400" s="109"/>
      <c r="F400" s="109"/>
    </row>
    <row r="401">
      <c r="A401" s="131"/>
      <c r="B401" s="131"/>
      <c r="C401" s="131"/>
      <c r="D401" s="131"/>
      <c r="E401" s="109"/>
      <c r="F401" s="109"/>
    </row>
    <row r="402">
      <c r="A402" s="131"/>
      <c r="B402" s="131"/>
      <c r="C402" s="131"/>
      <c r="D402" s="131"/>
      <c r="E402" s="109"/>
      <c r="F402" s="109"/>
    </row>
    <row r="403">
      <c r="A403" s="131"/>
      <c r="B403" s="131"/>
      <c r="C403" s="131"/>
      <c r="D403" s="131"/>
      <c r="E403" s="109"/>
      <c r="F403" s="109"/>
    </row>
    <row r="404">
      <c r="A404" s="131"/>
      <c r="B404" s="131"/>
      <c r="C404" s="131"/>
      <c r="D404" s="131"/>
      <c r="E404" s="109"/>
      <c r="F404" s="109"/>
    </row>
    <row r="405">
      <c r="A405" s="131"/>
      <c r="B405" s="131"/>
      <c r="C405" s="131"/>
      <c r="D405" s="131"/>
      <c r="E405" s="109"/>
      <c r="F405" s="109"/>
    </row>
    <row r="406">
      <c r="A406" s="131"/>
      <c r="B406" s="131"/>
      <c r="C406" s="131"/>
      <c r="D406" s="131"/>
      <c r="E406" s="109"/>
      <c r="F406" s="109"/>
    </row>
    <row r="407">
      <c r="A407" s="131"/>
      <c r="B407" s="131"/>
      <c r="C407" s="131"/>
      <c r="D407" s="131"/>
      <c r="E407" s="109"/>
      <c r="F407" s="109"/>
    </row>
    <row r="408">
      <c r="A408" s="131"/>
      <c r="B408" s="131"/>
      <c r="C408" s="131"/>
      <c r="D408" s="131"/>
      <c r="E408" s="109"/>
      <c r="F408" s="109"/>
    </row>
    <row r="409">
      <c r="A409" s="131"/>
      <c r="B409" s="131"/>
      <c r="C409" s="131"/>
      <c r="D409" s="131"/>
      <c r="E409" s="109"/>
      <c r="F409" s="109"/>
    </row>
    <row r="410">
      <c r="A410" s="131"/>
      <c r="B410" s="131"/>
      <c r="C410" s="131"/>
      <c r="D410" s="131"/>
      <c r="E410" s="109"/>
      <c r="F410" s="109"/>
    </row>
    <row r="411">
      <c r="A411" s="131"/>
      <c r="B411" s="131"/>
      <c r="C411" s="131"/>
      <c r="D411" s="131"/>
      <c r="E411" s="109"/>
      <c r="F411" s="109"/>
    </row>
    <row r="412">
      <c r="A412" s="131"/>
      <c r="B412" s="131"/>
      <c r="C412" s="131"/>
      <c r="D412" s="131"/>
      <c r="E412" s="109"/>
      <c r="F412" s="109"/>
    </row>
    <row r="413">
      <c r="A413" s="131"/>
      <c r="B413" s="131"/>
      <c r="C413" s="131"/>
      <c r="D413" s="131"/>
      <c r="E413" s="109"/>
      <c r="F413" s="109"/>
    </row>
    <row r="414">
      <c r="A414" s="131"/>
      <c r="B414" s="131"/>
      <c r="C414" s="131"/>
      <c r="D414" s="131"/>
      <c r="E414" s="109"/>
      <c r="F414" s="109"/>
    </row>
    <row r="415">
      <c r="A415" s="131"/>
      <c r="B415" s="131"/>
      <c r="C415" s="131"/>
      <c r="D415" s="131"/>
      <c r="E415" s="109"/>
      <c r="F415" s="109"/>
    </row>
    <row r="416">
      <c r="A416" s="131"/>
      <c r="B416" s="131"/>
      <c r="C416" s="131"/>
      <c r="D416" s="131"/>
      <c r="E416" s="131"/>
      <c r="F416" s="131"/>
    </row>
    <row r="417">
      <c r="A417" s="131"/>
      <c r="B417" s="131"/>
      <c r="C417" s="131"/>
      <c r="D417" s="131"/>
      <c r="E417" s="105"/>
      <c r="F417" s="105"/>
    </row>
    <row r="418">
      <c r="A418" s="131"/>
      <c r="B418" s="131"/>
      <c r="C418" s="131"/>
      <c r="D418" s="131"/>
      <c r="E418" s="107"/>
      <c r="F418" s="107"/>
    </row>
    <row r="419">
      <c r="A419" s="131"/>
      <c r="B419" s="131"/>
      <c r="C419" s="131"/>
      <c r="D419" s="131"/>
      <c r="E419" s="107"/>
      <c r="F419" s="107"/>
    </row>
    <row r="420">
      <c r="A420" s="131"/>
      <c r="B420" s="131"/>
      <c r="C420" s="131"/>
      <c r="D420" s="131"/>
      <c r="E420" s="107"/>
      <c r="F420" s="107"/>
    </row>
    <row r="421">
      <c r="A421" s="131"/>
      <c r="B421" s="131"/>
      <c r="C421" s="131"/>
      <c r="D421" s="131"/>
      <c r="E421" s="107"/>
      <c r="F421" s="107"/>
    </row>
    <row r="422">
      <c r="A422" s="131"/>
      <c r="B422" s="131"/>
      <c r="C422" s="131"/>
      <c r="D422" s="131"/>
      <c r="E422" s="107"/>
      <c r="F422" s="107"/>
    </row>
    <row r="423">
      <c r="A423" s="131"/>
      <c r="B423" s="131"/>
      <c r="C423" s="131"/>
      <c r="D423" s="131"/>
      <c r="E423" s="107"/>
      <c r="F423" s="107"/>
    </row>
    <row r="424">
      <c r="A424" s="131"/>
      <c r="B424" s="131"/>
      <c r="C424" s="131"/>
      <c r="D424" s="131"/>
      <c r="E424" s="107"/>
      <c r="F424" s="107"/>
    </row>
    <row r="425">
      <c r="A425" s="131"/>
      <c r="B425" s="131"/>
      <c r="C425" s="131"/>
      <c r="D425" s="131"/>
      <c r="E425" s="107"/>
      <c r="F425" s="107"/>
    </row>
    <row r="426">
      <c r="A426" s="131"/>
      <c r="B426" s="131"/>
      <c r="C426" s="131"/>
      <c r="D426" s="131"/>
      <c r="E426" s="107"/>
      <c r="F426" s="107"/>
    </row>
    <row r="427">
      <c r="A427" s="131"/>
      <c r="B427" s="131"/>
      <c r="C427" s="131"/>
      <c r="D427" s="131"/>
      <c r="E427" s="107"/>
      <c r="F427" s="107"/>
    </row>
    <row r="428">
      <c r="A428" s="131"/>
      <c r="B428" s="131"/>
      <c r="C428" s="131"/>
      <c r="D428" s="131"/>
      <c r="E428" s="107"/>
      <c r="F428" s="107"/>
    </row>
    <row r="429">
      <c r="A429" s="131"/>
      <c r="B429" s="131"/>
      <c r="C429" s="131"/>
      <c r="D429" s="131"/>
      <c r="E429" s="107"/>
      <c r="F429" s="107"/>
    </row>
    <row r="430">
      <c r="A430" s="131"/>
      <c r="B430" s="131"/>
      <c r="C430" s="131"/>
      <c r="D430" s="131"/>
      <c r="E430" s="107"/>
      <c r="F430" s="107"/>
    </row>
    <row r="431">
      <c r="A431" s="131"/>
      <c r="B431" s="131"/>
      <c r="C431" s="131"/>
      <c r="D431" s="131"/>
      <c r="E431" s="107"/>
      <c r="F431" s="107"/>
    </row>
    <row r="432">
      <c r="A432" s="131"/>
      <c r="B432" s="131"/>
      <c r="C432" s="131"/>
      <c r="D432" s="131"/>
      <c r="E432" s="107"/>
      <c r="F432" s="107"/>
    </row>
    <row r="433">
      <c r="A433" s="131"/>
      <c r="B433" s="131"/>
      <c r="C433" s="131"/>
      <c r="D433" s="131"/>
      <c r="E433" s="107"/>
      <c r="F433" s="107"/>
    </row>
    <row r="434">
      <c r="A434" s="131"/>
      <c r="B434" s="131"/>
      <c r="C434" s="131"/>
      <c r="D434" s="131"/>
      <c r="E434" s="107"/>
      <c r="F434" s="107"/>
    </row>
    <row r="435">
      <c r="A435" s="131"/>
      <c r="B435" s="131"/>
      <c r="C435" s="131"/>
      <c r="D435" s="131"/>
      <c r="E435" s="107"/>
      <c r="F435" s="107"/>
    </row>
    <row r="436">
      <c r="A436" s="131"/>
      <c r="B436" s="131"/>
      <c r="C436" s="131"/>
      <c r="D436" s="131"/>
      <c r="E436" s="107"/>
      <c r="F436" s="107"/>
    </row>
    <row r="437">
      <c r="A437" s="131"/>
      <c r="B437" s="131"/>
      <c r="C437" s="131"/>
      <c r="D437" s="131"/>
      <c r="E437" s="107"/>
      <c r="F437" s="107"/>
    </row>
    <row r="438">
      <c r="A438" s="131"/>
      <c r="B438" s="131"/>
      <c r="C438" s="131"/>
      <c r="D438" s="131"/>
      <c r="E438" s="107"/>
      <c r="F438" s="107"/>
    </row>
    <row r="439">
      <c r="A439" s="131"/>
      <c r="B439" s="131"/>
      <c r="C439" s="131"/>
      <c r="D439" s="131"/>
      <c r="E439" s="107"/>
      <c r="F439" s="107"/>
    </row>
    <row r="440">
      <c r="A440" s="131"/>
      <c r="B440" s="131"/>
      <c r="C440" s="131"/>
      <c r="D440" s="131"/>
      <c r="E440" s="107"/>
      <c r="F440" s="107"/>
    </row>
    <row r="441">
      <c r="A441" s="131"/>
      <c r="B441" s="131"/>
      <c r="C441" s="131"/>
      <c r="D441" s="131"/>
      <c r="E441" s="107"/>
      <c r="F441" s="107"/>
    </row>
    <row r="442">
      <c r="A442" s="131"/>
      <c r="B442" s="131"/>
      <c r="C442" s="131"/>
      <c r="D442" s="131"/>
      <c r="E442" s="107"/>
      <c r="F442" s="107"/>
    </row>
    <row r="443">
      <c r="A443" s="131"/>
      <c r="B443" s="131"/>
      <c r="C443" s="131"/>
      <c r="D443" s="131"/>
      <c r="E443" s="107"/>
      <c r="F443" s="107"/>
    </row>
    <row r="444">
      <c r="A444" s="131"/>
      <c r="B444" s="131"/>
      <c r="C444" s="131"/>
      <c r="D444" s="131"/>
      <c r="E444" s="107"/>
      <c r="F444" s="107"/>
    </row>
    <row r="445">
      <c r="A445" s="131"/>
      <c r="B445" s="131"/>
      <c r="C445" s="131"/>
      <c r="D445" s="131"/>
      <c r="E445" s="107"/>
      <c r="F445" s="107"/>
    </row>
    <row r="446">
      <c r="A446" s="131"/>
      <c r="B446" s="131"/>
      <c r="C446" s="131"/>
      <c r="D446" s="131"/>
      <c r="E446" s="107"/>
      <c r="F446" s="107"/>
    </row>
    <row r="447">
      <c r="A447" s="131"/>
      <c r="B447" s="131"/>
      <c r="C447" s="131"/>
      <c r="D447" s="131"/>
      <c r="E447" s="107"/>
      <c r="F447" s="107"/>
    </row>
    <row r="448">
      <c r="A448" s="131"/>
      <c r="B448" s="131"/>
      <c r="C448" s="131"/>
      <c r="D448" s="131"/>
      <c r="E448" s="107"/>
      <c r="F448" s="107"/>
    </row>
    <row r="449">
      <c r="A449" s="131"/>
      <c r="B449" s="131"/>
      <c r="C449" s="131"/>
      <c r="D449" s="131"/>
      <c r="E449" s="107"/>
      <c r="F449" s="107"/>
    </row>
    <row r="450">
      <c r="A450" s="131"/>
      <c r="B450" s="131"/>
      <c r="C450" s="131"/>
      <c r="D450" s="131"/>
      <c r="E450" s="107"/>
      <c r="F450" s="107"/>
    </row>
    <row r="451">
      <c r="A451" s="131"/>
      <c r="B451" s="131"/>
      <c r="C451" s="131"/>
      <c r="D451" s="131"/>
      <c r="E451" s="107"/>
      <c r="F451" s="107"/>
    </row>
    <row r="452">
      <c r="A452" s="131"/>
      <c r="B452" s="131"/>
      <c r="C452" s="131"/>
      <c r="D452" s="131"/>
      <c r="E452" s="107"/>
      <c r="F452" s="107"/>
    </row>
    <row r="453">
      <c r="A453" s="131"/>
      <c r="B453" s="131"/>
      <c r="C453" s="131"/>
      <c r="D453" s="131"/>
      <c r="E453" s="107"/>
      <c r="F453" s="107"/>
    </row>
    <row r="454">
      <c r="A454" s="131"/>
      <c r="B454" s="131"/>
      <c r="C454" s="131"/>
      <c r="D454" s="131"/>
      <c r="E454" s="116"/>
      <c r="F454" s="107"/>
    </row>
    <row r="455">
      <c r="A455" s="131"/>
      <c r="B455" s="131"/>
      <c r="C455" s="131"/>
      <c r="D455" s="131"/>
      <c r="E455" s="107"/>
      <c r="F455" s="107"/>
    </row>
    <row r="456">
      <c r="A456" s="131"/>
      <c r="B456" s="131"/>
      <c r="C456" s="131"/>
      <c r="D456" s="131"/>
      <c r="E456" s="107"/>
      <c r="F456" s="107"/>
    </row>
    <row r="457">
      <c r="A457" s="131"/>
      <c r="B457" s="131"/>
      <c r="C457" s="131"/>
      <c r="D457" s="131"/>
      <c r="E457" s="107"/>
      <c r="F457" s="107"/>
    </row>
    <row r="458">
      <c r="A458" s="131"/>
      <c r="B458" s="131"/>
      <c r="C458" s="131"/>
      <c r="D458" s="131"/>
      <c r="E458" s="107"/>
      <c r="F458" s="107"/>
    </row>
    <row r="459">
      <c r="A459" s="131"/>
      <c r="B459" s="131"/>
      <c r="C459" s="131"/>
      <c r="D459" s="131"/>
      <c r="E459" s="118"/>
      <c r="F459" s="107"/>
    </row>
    <row r="460">
      <c r="A460" s="131"/>
      <c r="B460" s="131"/>
      <c r="C460" s="131"/>
      <c r="D460" s="131"/>
      <c r="E460" s="118"/>
      <c r="F460" s="107"/>
    </row>
    <row r="461">
      <c r="A461" s="131"/>
      <c r="B461" s="131"/>
      <c r="C461" s="131"/>
      <c r="D461" s="131"/>
      <c r="E461" s="118"/>
      <c r="F461" s="107"/>
    </row>
    <row r="462">
      <c r="A462" s="131"/>
      <c r="B462" s="131"/>
      <c r="C462" s="131"/>
      <c r="D462" s="131"/>
      <c r="E462" s="118"/>
      <c r="F462" s="107"/>
    </row>
    <row r="463">
      <c r="A463" s="131"/>
      <c r="B463" s="131"/>
      <c r="C463" s="131"/>
      <c r="D463" s="131"/>
      <c r="E463" s="119"/>
      <c r="F463" s="119"/>
    </row>
    <row r="464">
      <c r="A464" s="131"/>
      <c r="B464" s="131"/>
      <c r="C464" s="131"/>
      <c r="D464" s="131"/>
      <c r="E464" s="107"/>
      <c r="F464" s="107"/>
    </row>
    <row r="465">
      <c r="A465" s="131"/>
      <c r="B465" s="131"/>
      <c r="C465" s="131"/>
      <c r="D465" s="131"/>
      <c r="E465" s="107"/>
      <c r="F465" s="107"/>
    </row>
    <row r="466">
      <c r="A466" s="131"/>
      <c r="B466" s="131"/>
      <c r="C466" s="131"/>
      <c r="D466" s="131"/>
      <c r="E466" s="107"/>
      <c r="F466" s="107"/>
    </row>
    <row r="467">
      <c r="A467" s="131"/>
      <c r="B467" s="131"/>
      <c r="C467" s="131"/>
      <c r="D467" s="131"/>
      <c r="E467" s="107"/>
      <c r="F467" s="107"/>
    </row>
    <row r="468">
      <c r="A468" s="131"/>
      <c r="B468" s="131"/>
      <c r="C468" s="131"/>
      <c r="D468" s="131"/>
      <c r="E468" s="107"/>
      <c r="F468" s="107"/>
    </row>
    <row r="469">
      <c r="A469" s="131"/>
      <c r="B469" s="131"/>
      <c r="C469" s="131"/>
      <c r="D469" s="131"/>
      <c r="E469" s="107"/>
      <c r="F469" s="107"/>
    </row>
    <row r="470">
      <c r="A470" s="131"/>
      <c r="B470" s="131"/>
      <c r="C470" s="131"/>
      <c r="D470" s="131"/>
      <c r="E470" s="107"/>
      <c r="F470" s="107"/>
    </row>
    <row r="471">
      <c r="A471" s="131"/>
      <c r="B471" s="131"/>
      <c r="C471" s="131"/>
      <c r="D471" s="131"/>
      <c r="E471" s="107"/>
      <c r="F471" s="107"/>
    </row>
    <row r="472">
      <c r="A472" s="131"/>
      <c r="B472" s="131"/>
      <c r="C472" s="131"/>
      <c r="D472" s="131"/>
      <c r="E472" s="107"/>
      <c r="F472" s="107"/>
    </row>
    <row r="473">
      <c r="A473" s="131"/>
      <c r="B473" s="131"/>
      <c r="C473" s="131"/>
      <c r="D473" s="131"/>
      <c r="E473" s="107"/>
      <c r="F473" s="107"/>
    </row>
    <row r="474">
      <c r="A474" s="131"/>
      <c r="B474" s="131"/>
      <c r="C474" s="131"/>
      <c r="D474" s="131"/>
      <c r="E474" s="107"/>
      <c r="F474" s="107"/>
    </row>
    <row r="475">
      <c r="A475" s="131"/>
      <c r="B475" s="131"/>
      <c r="C475" s="131"/>
      <c r="D475" s="131"/>
      <c r="E475" s="107"/>
      <c r="F475" s="107"/>
    </row>
    <row r="476">
      <c r="A476" s="131"/>
      <c r="B476" s="131"/>
      <c r="C476" s="131"/>
      <c r="D476" s="131"/>
      <c r="E476" s="107"/>
      <c r="F476" s="107"/>
    </row>
    <row r="477">
      <c r="A477" s="131"/>
      <c r="B477" s="131"/>
      <c r="C477" s="131"/>
      <c r="D477" s="131"/>
      <c r="E477" s="107"/>
      <c r="F477" s="107"/>
    </row>
    <row r="478">
      <c r="A478" s="131"/>
      <c r="B478" s="131"/>
      <c r="C478" s="131"/>
      <c r="D478" s="131"/>
      <c r="E478" s="107"/>
      <c r="F478" s="115"/>
    </row>
    <row r="479">
      <c r="A479" s="131"/>
      <c r="B479" s="131"/>
      <c r="C479" s="131"/>
      <c r="D479" s="131"/>
      <c r="E479" s="107"/>
      <c r="F479" s="107"/>
    </row>
    <row r="480">
      <c r="A480" s="131"/>
      <c r="B480" s="131"/>
      <c r="C480" s="131"/>
      <c r="D480" s="131"/>
      <c r="E480" s="131"/>
      <c r="F480" s="131"/>
    </row>
    <row r="481">
      <c r="A481" s="131"/>
      <c r="B481" s="131"/>
      <c r="C481" s="131"/>
      <c r="D481" s="131"/>
      <c r="E481" s="131"/>
      <c r="F481" s="131"/>
    </row>
    <row r="482">
      <c r="A482" s="131"/>
      <c r="B482" s="131"/>
      <c r="C482" s="131"/>
      <c r="D482" s="131"/>
      <c r="E482" s="131"/>
      <c r="F482" s="131"/>
    </row>
    <row r="483">
      <c r="A483" s="131"/>
      <c r="B483" s="131"/>
      <c r="C483" s="131"/>
      <c r="D483" s="131"/>
      <c r="E483" s="131"/>
      <c r="F483" s="131"/>
    </row>
    <row r="484">
      <c r="A484" s="131"/>
      <c r="B484" s="131"/>
      <c r="C484" s="131"/>
      <c r="D484" s="131"/>
      <c r="E484" s="131"/>
      <c r="F484" s="131"/>
    </row>
    <row r="485">
      <c r="A485" s="131"/>
      <c r="B485" s="131"/>
      <c r="C485" s="131"/>
      <c r="D485" s="131"/>
      <c r="E485" s="131"/>
      <c r="F485" s="131"/>
    </row>
    <row r="486">
      <c r="A486" s="131"/>
      <c r="B486" s="131"/>
      <c r="C486" s="131"/>
      <c r="D486" s="131"/>
      <c r="E486" s="131"/>
      <c r="F486" s="131"/>
    </row>
    <row r="487">
      <c r="A487" s="131"/>
      <c r="B487" s="131"/>
      <c r="C487" s="131"/>
      <c r="D487" s="131"/>
      <c r="E487" s="131"/>
      <c r="F487" s="131"/>
    </row>
    <row r="488">
      <c r="A488" s="131"/>
      <c r="B488" s="131"/>
      <c r="C488" s="131"/>
      <c r="D488" s="131"/>
      <c r="E488" s="131"/>
      <c r="F488" s="131"/>
    </row>
    <row r="489">
      <c r="A489" s="131"/>
      <c r="B489" s="131"/>
      <c r="C489" s="131"/>
      <c r="D489" s="131"/>
      <c r="E489" s="131"/>
      <c r="F489" s="131"/>
    </row>
    <row r="490">
      <c r="A490" s="131"/>
      <c r="B490" s="131"/>
      <c r="C490" s="131"/>
      <c r="D490" s="131"/>
      <c r="E490" s="131"/>
      <c r="F490" s="131"/>
    </row>
    <row r="491">
      <c r="A491" s="131"/>
      <c r="B491" s="131"/>
      <c r="C491" s="131"/>
      <c r="D491" s="131"/>
      <c r="E491" s="131"/>
      <c r="F491" s="131"/>
    </row>
    <row r="492">
      <c r="A492" s="131"/>
      <c r="B492" s="131"/>
      <c r="C492" s="131"/>
      <c r="D492" s="131"/>
      <c r="E492" s="131"/>
      <c r="F492" s="131"/>
    </row>
    <row r="493">
      <c r="A493" s="131"/>
      <c r="B493" s="131"/>
      <c r="C493" s="131"/>
      <c r="D493" s="131"/>
      <c r="E493" s="131"/>
      <c r="F493" s="131"/>
    </row>
    <row r="494">
      <c r="A494" s="131"/>
      <c r="B494" s="131"/>
      <c r="C494" s="131"/>
      <c r="D494" s="131"/>
      <c r="E494" s="131"/>
      <c r="F494" s="131"/>
    </row>
    <row r="495">
      <c r="A495" s="131"/>
      <c r="B495" s="131"/>
      <c r="C495" s="131"/>
      <c r="D495" s="131"/>
      <c r="E495" s="131"/>
      <c r="F495" s="131"/>
    </row>
    <row r="496">
      <c r="A496" s="131"/>
      <c r="B496" s="131"/>
      <c r="C496" s="131"/>
      <c r="D496" s="131"/>
      <c r="E496" s="131"/>
      <c r="F496" s="131"/>
    </row>
    <row r="497">
      <c r="A497" s="131"/>
      <c r="B497" s="131"/>
      <c r="C497" s="131"/>
      <c r="D497" s="131"/>
      <c r="E497" s="131"/>
      <c r="F497" s="131"/>
    </row>
    <row r="498">
      <c r="A498" s="131"/>
      <c r="B498" s="131"/>
      <c r="C498" s="131"/>
      <c r="D498" s="131"/>
      <c r="E498" s="131"/>
      <c r="F498" s="131"/>
    </row>
    <row r="499">
      <c r="A499" s="131"/>
      <c r="B499" s="131"/>
      <c r="C499" s="131"/>
      <c r="D499" s="131"/>
      <c r="E499" s="131"/>
      <c r="F499" s="131"/>
    </row>
    <row r="500">
      <c r="A500" s="86"/>
      <c r="B500" s="87"/>
      <c r="C500" s="131"/>
      <c r="D500" s="131"/>
      <c r="E500" s="131"/>
      <c r="F500" s="131"/>
      <c r="G500" s="88"/>
      <c r="L500" s="88"/>
      <c r="Q500" s="89"/>
    </row>
    <row r="501">
      <c r="A501" s="131"/>
      <c r="B501" s="131"/>
      <c r="C501" s="131"/>
      <c r="D501" s="131"/>
      <c r="E501" s="131"/>
      <c r="F501" s="131"/>
      <c r="G501" s="91"/>
      <c r="H501" s="92"/>
      <c r="I501" s="92"/>
      <c r="J501" s="93"/>
      <c r="K501" s="93"/>
      <c r="L501" s="93"/>
      <c r="M501" s="93"/>
      <c r="N501" s="93"/>
      <c r="O501" s="93"/>
      <c r="P501" s="93"/>
      <c r="Q501" s="90"/>
      <c r="R501" s="90"/>
      <c r="S501" s="90"/>
      <c r="T501" s="90"/>
      <c r="U501" s="90"/>
      <c r="V501" s="90"/>
      <c r="W501" s="90"/>
    </row>
    <row r="502">
      <c r="A502" s="131"/>
      <c r="B502" s="131"/>
      <c r="C502" s="131"/>
      <c r="D502" s="131"/>
      <c r="E502" s="94"/>
      <c r="F502" s="94"/>
    </row>
    <row r="503">
      <c r="A503" s="131"/>
      <c r="B503" s="131"/>
      <c r="C503" s="131"/>
      <c r="D503" s="131"/>
      <c r="E503" s="95"/>
      <c r="F503" s="96"/>
    </row>
    <row r="504">
      <c r="A504" s="131"/>
      <c r="B504" s="131"/>
      <c r="C504" s="131"/>
      <c r="D504" s="131"/>
      <c r="E504" s="95"/>
      <c r="F504" s="96"/>
    </row>
    <row r="505">
      <c r="A505" s="131"/>
      <c r="B505" s="131"/>
      <c r="C505" s="131"/>
      <c r="D505" s="131"/>
      <c r="E505" s="96"/>
      <c r="F505" s="96"/>
    </row>
    <row r="506">
      <c r="A506" s="131"/>
      <c r="B506" s="131"/>
      <c r="C506" s="131"/>
      <c r="D506" s="131"/>
      <c r="E506" s="96"/>
      <c r="F506" s="96"/>
    </row>
    <row r="507">
      <c r="A507" s="131"/>
      <c r="B507" s="131"/>
      <c r="C507" s="131"/>
      <c r="D507" s="131"/>
      <c r="E507" s="96"/>
      <c r="F507" s="96"/>
    </row>
    <row r="508">
      <c r="A508" s="131"/>
      <c r="B508" s="131"/>
      <c r="C508" s="131"/>
      <c r="D508" s="131"/>
      <c r="E508" s="96"/>
      <c r="F508" s="96"/>
    </row>
    <row r="509">
      <c r="A509" s="131"/>
      <c r="B509" s="131"/>
      <c r="C509" s="131"/>
      <c r="D509" s="131"/>
      <c r="E509" s="96"/>
      <c r="F509" s="96"/>
    </row>
    <row r="510">
      <c r="A510" s="131"/>
      <c r="B510" s="131"/>
      <c r="C510" s="131"/>
      <c r="D510" s="131"/>
      <c r="E510" s="96"/>
      <c r="F510" s="96"/>
    </row>
    <row r="511">
      <c r="A511" s="131"/>
      <c r="B511" s="131"/>
      <c r="C511" s="131"/>
      <c r="D511" s="131"/>
      <c r="E511" s="96"/>
      <c r="F511" s="96"/>
    </row>
    <row r="512">
      <c r="A512" s="131"/>
      <c r="B512" s="131"/>
      <c r="C512" s="131"/>
      <c r="D512" s="131"/>
      <c r="E512" s="96"/>
      <c r="F512" s="96"/>
    </row>
    <row r="513">
      <c r="A513" s="131"/>
      <c r="B513" s="131"/>
      <c r="C513" s="131"/>
      <c r="D513" s="131"/>
      <c r="E513" s="96"/>
      <c r="F513" s="96"/>
    </row>
    <row r="514">
      <c r="A514" s="131"/>
      <c r="B514" s="131"/>
      <c r="C514" s="131"/>
      <c r="D514" s="131"/>
      <c r="E514" s="96"/>
      <c r="F514" s="96"/>
    </row>
    <row r="515">
      <c r="A515" s="131"/>
      <c r="B515" s="131"/>
      <c r="C515" s="131"/>
      <c r="D515" s="131"/>
      <c r="E515" s="96"/>
      <c r="F515" s="96"/>
    </row>
    <row r="516">
      <c r="A516" s="131"/>
      <c r="B516" s="131"/>
      <c r="C516" s="131"/>
      <c r="D516" s="131"/>
      <c r="E516" s="97"/>
      <c r="F516" s="97"/>
    </row>
    <row r="517">
      <c r="A517" s="131"/>
      <c r="B517" s="131"/>
      <c r="C517" s="131"/>
      <c r="D517" s="131"/>
      <c r="E517" s="96"/>
      <c r="F517" s="96"/>
    </row>
    <row r="518">
      <c r="A518" s="131"/>
      <c r="B518" s="131"/>
      <c r="C518" s="131"/>
      <c r="D518" s="131"/>
      <c r="E518" s="96"/>
      <c r="F518" s="96"/>
    </row>
    <row r="519">
      <c r="A519" s="131"/>
      <c r="B519" s="131"/>
      <c r="C519" s="131"/>
      <c r="D519" s="131"/>
      <c r="E519" s="96"/>
      <c r="F519" s="96"/>
    </row>
    <row r="520">
      <c r="A520" s="131"/>
      <c r="B520" s="131"/>
      <c r="C520" s="131"/>
      <c r="D520" s="131"/>
      <c r="E520" s="96"/>
      <c r="F520" s="96"/>
    </row>
    <row r="521">
      <c r="A521" s="131"/>
      <c r="B521" s="131"/>
      <c r="C521" s="131"/>
      <c r="D521" s="131"/>
      <c r="E521" s="96"/>
      <c r="F521" s="96"/>
    </row>
    <row r="522">
      <c r="A522" s="131"/>
      <c r="B522" s="131"/>
      <c r="C522" s="131"/>
      <c r="D522" s="131"/>
      <c r="E522" s="96"/>
      <c r="F522" s="96"/>
    </row>
    <row r="523">
      <c r="A523" s="131"/>
      <c r="B523" s="131"/>
      <c r="C523" s="131"/>
      <c r="D523" s="131"/>
      <c r="E523" s="98"/>
      <c r="F523" s="96"/>
    </row>
    <row r="524">
      <c r="A524" s="131"/>
      <c r="B524" s="131"/>
      <c r="C524" s="131"/>
      <c r="D524" s="131"/>
      <c r="E524" s="99"/>
      <c r="F524" s="99"/>
    </row>
    <row r="525">
      <c r="A525" s="131"/>
      <c r="B525" s="131"/>
      <c r="C525" s="131"/>
      <c r="D525" s="131"/>
      <c r="E525" s="100"/>
      <c r="F525" s="100"/>
    </row>
    <row r="526">
      <c r="A526" s="131"/>
      <c r="B526" s="131"/>
      <c r="C526" s="131"/>
      <c r="D526" s="131"/>
      <c r="E526" s="100"/>
      <c r="F526" s="100"/>
    </row>
    <row r="527">
      <c r="A527" s="131"/>
      <c r="B527" s="131"/>
      <c r="C527" s="131"/>
      <c r="D527" s="131"/>
      <c r="E527" s="100"/>
      <c r="F527" s="100"/>
    </row>
    <row r="528">
      <c r="A528" s="131"/>
      <c r="B528" s="131"/>
      <c r="C528" s="131"/>
      <c r="D528" s="131"/>
      <c r="E528" s="100"/>
      <c r="F528" s="100"/>
    </row>
    <row r="529">
      <c r="A529" s="131"/>
      <c r="B529" s="131"/>
      <c r="C529" s="131"/>
      <c r="D529" s="131"/>
      <c r="E529" s="100"/>
      <c r="F529" s="100"/>
    </row>
    <row r="530">
      <c r="A530" s="131"/>
      <c r="B530" s="131"/>
      <c r="C530" s="131"/>
      <c r="D530" s="131"/>
      <c r="E530" s="100"/>
      <c r="F530" s="100"/>
    </row>
    <row r="531">
      <c r="A531" s="131"/>
      <c r="B531" s="131"/>
      <c r="C531" s="131"/>
      <c r="D531" s="131"/>
      <c r="E531" s="100"/>
      <c r="F531" s="100"/>
    </row>
    <row r="532">
      <c r="A532" s="131"/>
      <c r="B532" s="131"/>
      <c r="C532" s="131"/>
      <c r="D532" s="131"/>
      <c r="E532" s="101"/>
      <c r="F532" s="101"/>
    </row>
    <row r="533">
      <c r="A533" s="131"/>
      <c r="B533" s="131"/>
      <c r="C533" s="131"/>
      <c r="D533" s="131"/>
      <c r="E533" s="100"/>
      <c r="F533" s="100"/>
    </row>
    <row r="534">
      <c r="A534" s="131"/>
      <c r="B534" s="131"/>
      <c r="C534" s="131"/>
      <c r="D534" s="131"/>
      <c r="E534" s="100"/>
      <c r="F534" s="100"/>
    </row>
    <row r="535">
      <c r="A535" s="131"/>
      <c r="B535" s="131"/>
      <c r="C535" s="131"/>
      <c r="D535" s="131"/>
      <c r="E535" s="102"/>
      <c r="F535" s="102"/>
    </row>
    <row r="536">
      <c r="A536" s="131"/>
      <c r="B536" s="131"/>
      <c r="C536" s="131"/>
      <c r="D536" s="131"/>
      <c r="E536" s="103"/>
      <c r="F536" s="103"/>
    </row>
    <row r="537">
      <c r="A537" s="131"/>
      <c r="B537" s="131"/>
      <c r="C537" s="131"/>
      <c r="D537" s="131"/>
      <c r="E537" s="103"/>
      <c r="F537" s="103"/>
    </row>
    <row r="538">
      <c r="A538" s="131"/>
      <c r="B538" s="131"/>
      <c r="C538" s="131"/>
      <c r="D538" s="131"/>
      <c r="E538" s="102"/>
      <c r="F538" s="103"/>
    </row>
    <row r="539">
      <c r="A539" s="131"/>
      <c r="B539" s="131"/>
      <c r="C539" s="131"/>
      <c r="D539" s="131"/>
      <c r="E539" s="103"/>
      <c r="F539" s="103"/>
    </row>
    <row r="540">
      <c r="A540" s="131"/>
      <c r="B540" s="131"/>
      <c r="C540" s="131"/>
      <c r="D540" s="131"/>
      <c r="E540" s="103"/>
      <c r="F540" s="103"/>
    </row>
    <row r="541">
      <c r="A541" s="131"/>
      <c r="B541" s="131"/>
      <c r="C541" s="131"/>
      <c r="D541" s="131"/>
      <c r="E541" s="103"/>
      <c r="F541" s="103"/>
    </row>
    <row r="542">
      <c r="A542" s="131"/>
      <c r="B542" s="131"/>
      <c r="C542" s="131"/>
      <c r="D542" s="131"/>
      <c r="E542" s="103"/>
      <c r="F542" s="103"/>
    </row>
    <row r="543">
      <c r="A543" s="131"/>
      <c r="B543" s="131"/>
      <c r="C543" s="131"/>
      <c r="D543" s="131"/>
      <c r="E543" s="103"/>
      <c r="F543" s="103"/>
    </row>
    <row r="544">
      <c r="A544" s="131"/>
      <c r="B544" s="131"/>
      <c r="C544" s="131"/>
      <c r="D544" s="131"/>
      <c r="E544" s="103"/>
      <c r="F544" s="103"/>
    </row>
    <row r="545">
      <c r="A545" s="131"/>
      <c r="B545" s="131"/>
      <c r="C545" s="131"/>
      <c r="D545" s="131"/>
      <c r="E545" s="103"/>
      <c r="F545" s="103"/>
    </row>
    <row r="546">
      <c r="A546" s="131"/>
      <c r="B546" s="131"/>
      <c r="C546" s="131"/>
      <c r="D546" s="131"/>
      <c r="E546" s="103"/>
      <c r="F546" s="103"/>
    </row>
    <row r="547">
      <c r="A547" s="131"/>
      <c r="B547" s="131"/>
      <c r="C547" s="131"/>
      <c r="D547" s="131"/>
      <c r="E547" s="103"/>
      <c r="F547" s="103"/>
    </row>
    <row r="548">
      <c r="A548" s="131"/>
      <c r="B548" s="131"/>
      <c r="C548" s="131"/>
      <c r="D548" s="131"/>
      <c r="E548" s="103"/>
      <c r="F548" s="103"/>
    </row>
    <row r="549">
      <c r="A549" s="131"/>
      <c r="B549" s="131"/>
      <c r="C549" s="131"/>
      <c r="D549" s="131"/>
      <c r="E549" s="103"/>
      <c r="F549" s="103"/>
    </row>
    <row r="550">
      <c r="A550" s="131"/>
      <c r="B550" s="131"/>
      <c r="C550" s="131"/>
      <c r="D550" s="131"/>
      <c r="E550" s="103"/>
      <c r="F550" s="103"/>
    </row>
    <row r="551">
      <c r="A551" s="131"/>
      <c r="B551" s="131"/>
      <c r="C551" s="131"/>
      <c r="D551" s="131"/>
      <c r="E551" s="103"/>
      <c r="F551" s="103"/>
    </row>
    <row r="552">
      <c r="A552" s="131"/>
      <c r="B552" s="131"/>
      <c r="C552" s="131"/>
      <c r="D552" s="131"/>
      <c r="E552" s="103"/>
      <c r="F552" s="103"/>
    </row>
    <row r="553">
      <c r="A553" s="131"/>
      <c r="B553" s="131"/>
      <c r="C553" s="131"/>
      <c r="D553" s="131"/>
      <c r="E553" s="99"/>
      <c r="F553" s="99"/>
    </row>
    <row r="554">
      <c r="A554" s="131"/>
      <c r="B554" s="131"/>
      <c r="C554" s="131"/>
      <c r="D554" s="131"/>
      <c r="E554" s="100"/>
      <c r="F554" s="100"/>
    </row>
    <row r="555">
      <c r="A555" s="131"/>
      <c r="B555" s="131"/>
      <c r="C555" s="131"/>
      <c r="D555" s="131"/>
      <c r="E555" s="100"/>
      <c r="F555" s="100"/>
    </row>
    <row r="556">
      <c r="A556" s="131"/>
      <c r="B556" s="131"/>
      <c r="C556" s="131"/>
      <c r="D556" s="131"/>
      <c r="E556" s="100"/>
      <c r="F556" s="100"/>
    </row>
    <row r="557">
      <c r="A557" s="131"/>
      <c r="B557" s="131"/>
      <c r="C557" s="131"/>
      <c r="D557" s="131"/>
      <c r="E557" s="100"/>
      <c r="F557" s="100"/>
    </row>
    <row r="558">
      <c r="A558" s="131"/>
      <c r="B558" s="131"/>
      <c r="C558" s="131"/>
      <c r="D558" s="131"/>
      <c r="E558" s="100"/>
      <c r="F558" s="100"/>
    </row>
    <row r="559">
      <c r="A559" s="131"/>
      <c r="B559" s="131"/>
      <c r="C559" s="131"/>
      <c r="D559" s="131"/>
      <c r="E559" s="100"/>
      <c r="F559" s="100"/>
    </row>
    <row r="560">
      <c r="A560" s="131"/>
      <c r="B560" s="131"/>
      <c r="C560" s="131"/>
      <c r="D560" s="131"/>
      <c r="E560" s="100"/>
      <c r="F560" s="100"/>
    </row>
    <row r="561">
      <c r="A561" s="131"/>
      <c r="B561" s="131"/>
      <c r="C561" s="131"/>
      <c r="D561" s="131"/>
      <c r="E561" s="100"/>
      <c r="F561" s="100"/>
    </row>
    <row r="562">
      <c r="A562" s="131"/>
      <c r="B562" s="131"/>
      <c r="C562" s="131"/>
      <c r="D562" s="131"/>
      <c r="E562" s="100"/>
      <c r="F562" s="100"/>
    </row>
    <row r="563">
      <c r="A563" s="131"/>
      <c r="B563" s="131"/>
      <c r="C563" s="131"/>
      <c r="D563" s="131"/>
      <c r="E563" s="100"/>
      <c r="F563" s="100"/>
    </row>
    <row r="564">
      <c r="A564" s="131"/>
      <c r="B564" s="131"/>
      <c r="C564" s="131"/>
      <c r="D564" s="131"/>
      <c r="E564" s="99"/>
      <c r="F564" s="99"/>
    </row>
    <row r="565">
      <c r="A565" s="131"/>
      <c r="B565" s="131"/>
      <c r="C565" s="131"/>
      <c r="D565" s="131"/>
      <c r="E565" s="100"/>
      <c r="F565" s="100"/>
    </row>
    <row r="566">
      <c r="A566" s="131"/>
      <c r="B566" s="131"/>
      <c r="C566" s="131"/>
      <c r="D566" s="131"/>
      <c r="E566" s="100"/>
      <c r="F566" s="100"/>
    </row>
    <row r="567">
      <c r="A567" s="131"/>
      <c r="B567" s="131"/>
      <c r="C567" s="131"/>
      <c r="D567" s="131"/>
      <c r="E567" s="100"/>
      <c r="F567" s="100"/>
    </row>
    <row r="568">
      <c r="A568" s="131"/>
      <c r="B568" s="131"/>
      <c r="C568" s="131"/>
      <c r="D568" s="131"/>
      <c r="E568" s="100"/>
      <c r="F568" s="100"/>
    </row>
    <row r="569">
      <c r="A569" s="131"/>
      <c r="B569" s="131"/>
      <c r="C569" s="131"/>
      <c r="D569" s="131"/>
      <c r="E569" s="100"/>
      <c r="F569" s="100"/>
    </row>
    <row r="570">
      <c r="A570" s="131"/>
      <c r="B570" s="131"/>
      <c r="C570" s="131"/>
      <c r="D570" s="131"/>
      <c r="E570" s="100"/>
      <c r="F570" s="100"/>
    </row>
    <row r="571">
      <c r="A571" s="131"/>
      <c r="B571" s="131"/>
      <c r="C571" s="131"/>
      <c r="D571" s="131"/>
      <c r="E571" s="101"/>
      <c r="F571" s="101"/>
    </row>
    <row r="572">
      <c r="A572" s="131"/>
      <c r="B572" s="131"/>
      <c r="C572" s="131"/>
      <c r="D572" s="131"/>
      <c r="E572" s="101"/>
      <c r="F572" s="101"/>
    </row>
    <row r="573">
      <c r="A573" s="131"/>
      <c r="B573" s="131"/>
      <c r="C573" s="131"/>
      <c r="D573" s="131"/>
      <c r="E573" s="101"/>
      <c r="F573" s="101"/>
    </row>
    <row r="574">
      <c r="A574" s="131"/>
      <c r="B574" s="131"/>
      <c r="C574" s="131"/>
      <c r="D574" s="131"/>
      <c r="E574" s="101"/>
      <c r="F574" s="101"/>
    </row>
    <row r="575">
      <c r="A575" s="131"/>
      <c r="B575" s="131"/>
      <c r="C575" s="131"/>
      <c r="D575" s="131"/>
      <c r="E575" s="101"/>
      <c r="F575" s="101"/>
    </row>
    <row r="576">
      <c r="A576" s="131"/>
      <c r="B576" s="131"/>
      <c r="C576" s="131"/>
      <c r="D576" s="131"/>
      <c r="E576" s="101"/>
      <c r="F576" s="101"/>
    </row>
    <row r="577">
      <c r="A577" s="131"/>
      <c r="B577" s="131"/>
      <c r="C577" s="131"/>
      <c r="D577" s="131"/>
      <c r="E577" s="105"/>
      <c r="F577" s="105"/>
    </row>
    <row r="578">
      <c r="A578" s="131"/>
      <c r="B578" s="131"/>
      <c r="C578" s="131"/>
      <c r="D578" s="131"/>
      <c r="E578" s="106"/>
      <c r="F578" s="106"/>
    </row>
    <row r="579">
      <c r="A579" s="131"/>
      <c r="B579" s="131"/>
      <c r="C579" s="131"/>
      <c r="D579" s="131"/>
      <c r="E579" s="107"/>
      <c r="F579" s="107"/>
    </row>
    <row r="580">
      <c r="A580" s="131"/>
      <c r="B580" s="131"/>
      <c r="C580" s="131"/>
      <c r="D580" s="131"/>
      <c r="E580" s="107"/>
      <c r="F580" s="107"/>
    </row>
    <row r="581">
      <c r="A581" s="131"/>
      <c r="B581" s="131"/>
      <c r="C581" s="131"/>
      <c r="D581" s="131"/>
      <c r="E581" s="108"/>
      <c r="F581" s="108"/>
    </row>
    <row r="582">
      <c r="A582" s="131"/>
      <c r="B582" s="131"/>
      <c r="C582" s="131"/>
      <c r="D582" s="131"/>
      <c r="E582" s="107"/>
      <c r="F582" s="107"/>
    </row>
    <row r="583">
      <c r="A583" s="131"/>
      <c r="B583" s="131"/>
      <c r="C583" s="131"/>
      <c r="D583" s="131"/>
      <c r="E583" s="106"/>
      <c r="F583" s="106"/>
    </row>
    <row r="584">
      <c r="A584" s="131"/>
      <c r="B584" s="131"/>
      <c r="C584" s="131"/>
      <c r="D584" s="131"/>
      <c r="E584" s="107"/>
      <c r="F584" s="107"/>
    </row>
    <row r="585">
      <c r="A585" s="131"/>
      <c r="B585" s="131"/>
      <c r="C585" s="131"/>
      <c r="D585" s="131"/>
      <c r="E585" s="107"/>
      <c r="F585" s="107"/>
    </row>
    <row r="586">
      <c r="A586" s="131"/>
      <c r="B586" s="131"/>
      <c r="C586" s="131"/>
      <c r="D586" s="131"/>
      <c r="E586" s="107"/>
      <c r="F586" s="107"/>
    </row>
    <row r="587">
      <c r="A587" s="131"/>
      <c r="B587" s="131"/>
      <c r="C587" s="131"/>
      <c r="D587" s="131"/>
      <c r="E587" s="107"/>
      <c r="F587" s="107"/>
    </row>
    <row r="588">
      <c r="A588" s="131"/>
      <c r="B588" s="131"/>
      <c r="C588" s="131"/>
      <c r="D588" s="131"/>
      <c r="E588" s="106"/>
      <c r="F588" s="106"/>
    </row>
    <row r="589">
      <c r="A589" s="131"/>
      <c r="B589" s="131"/>
      <c r="C589" s="131"/>
      <c r="D589" s="131"/>
      <c r="E589" s="107"/>
      <c r="F589" s="107"/>
    </row>
    <row r="590">
      <c r="A590" s="131"/>
      <c r="B590" s="131"/>
      <c r="C590" s="131"/>
      <c r="D590" s="131"/>
      <c r="E590" s="109"/>
      <c r="F590" s="109"/>
    </row>
    <row r="591">
      <c r="A591" s="131"/>
      <c r="B591" s="131"/>
      <c r="C591" s="131"/>
      <c r="D591" s="131"/>
      <c r="E591" s="110"/>
      <c r="F591" s="110"/>
    </row>
    <row r="592">
      <c r="A592" s="131"/>
      <c r="B592" s="131"/>
      <c r="C592" s="131"/>
      <c r="D592" s="131"/>
      <c r="E592" s="110"/>
      <c r="F592" s="110"/>
    </row>
    <row r="593">
      <c r="A593" s="131"/>
      <c r="B593" s="131"/>
      <c r="C593" s="131"/>
      <c r="D593" s="131"/>
      <c r="E593" s="111"/>
      <c r="F593" s="111"/>
    </row>
    <row r="594">
      <c r="A594" s="131"/>
      <c r="B594" s="131"/>
      <c r="C594" s="131"/>
      <c r="D594" s="131"/>
      <c r="E594" s="112"/>
      <c r="F594" s="112"/>
    </row>
    <row r="595">
      <c r="A595" s="131"/>
      <c r="B595" s="131"/>
      <c r="C595" s="131"/>
      <c r="D595" s="131"/>
      <c r="E595" s="112"/>
      <c r="F595" s="112"/>
    </row>
    <row r="596">
      <c r="A596" s="131"/>
      <c r="B596" s="131"/>
      <c r="C596" s="131"/>
      <c r="D596" s="131"/>
      <c r="E596" s="112"/>
      <c r="F596" s="112"/>
    </row>
    <row r="597">
      <c r="A597" s="131"/>
      <c r="B597" s="131"/>
      <c r="C597" s="131"/>
      <c r="D597" s="131"/>
      <c r="E597" s="112"/>
      <c r="F597" s="112"/>
    </row>
    <row r="598">
      <c r="A598" s="131"/>
      <c r="B598" s="131"/>
      <c r="C598" s="131"/>
      <c r="D598" s="131"/>
      <c r="E598" s="113"/>
      <c r="F598" s="110"/>
    </row>
    <row r="599">
      <c r="A599" s="131"/>
      <c r="B599" s="131"/>
      <c r="C599" s="131"/>
      <c r="D599" s="131"/>
      <c r="E599" s="114"/>
      <c r="F599" s="114"/>
    </row>
    <row r="600">
      <c r="A600" s="131"/>
      <c r="B600" s="131"/>
      <c r="C600" s="131"/>
      <c r="D600" s="131"/>
      <c r="E600" s="114"/>
      <c r="F600" s="114"/>
    </row>
    <row r="601">
      <c r="A601" s="131"/>
      <c r="B601" s="131"/>
      <c r="C601" s="131"/>
      <c r="D601" s="131"/>
      <c r="E601" s="114"/>
      <c r="F601" s="114"/>
    </row>
    <row r="602">
      <c r="A602" s="131"/>
      <c r="B602" s="131"/>
      <c r="C602" s="131"/>
      <c r="D602" s="131"/>
      <c r="E602" s="114"/>
      <c r="F602" s="114"/>
    </row>
    <row r="603">
      <c r="A603" s="131"/>
      <c r="B603" s="131"/>
      <c r="C603" s="131"/>
      <c r="D603" s="131"/>
      <c r="E603" s="114"/>
      <c r="F603" s="114"/>
    </row>
    <row r="604">
      <c r="A604" s="131"/>
      <c r="B604" s="131"/>
      <c r="C604" s="131"/>
      <c r="D604" s="131"/>
      <c r="E604" s="114"/>
      <c r="F604" s="114"/>
    </row>
    <row r="605">
      <c r="A605" s="131"/>
      <c r="B605" s="131"/>
      <c r="C605" s="131"/>
      <c r="D605" s="131"/>
      <c r="E605" s="114"/>
      <c r="F605" s="114"/>
    </row>
    <row r="606">
      <c r="A606" s="131"/>
      <c r="B606" s="131"/>
      <c r="C606" s="131"/>
      <c r="D606" s="131"/>
      <c r="E606" s="114"/>
      <c r="F606" s="114"/>
    </row>
    <row r="607">
      <c r="A607" s="131"/>
      <c r="B607" s="131"/>
      <c r="C607" s="131"/>
      <c r="D607" s="131"/>
      <c r="E607" s="114"/>
      <c r="F607" s="114"/>
    </row>
    <row r="608">
      <c r="A608" s="131"/>
      <c r="B608" s="131"/>
      <c r="C608" s="131"/>
      <c r="D608" s="131"/>
      <c r="E608" s="114"/>
      <c r="F608" s="114"/>
    </row>
    <row r="609">
      <c r="A609" s="131"/>
      <c r="B609" s="131"/>
      <c r="C609" s="131"/>
      <c r="D609" s="131"/>
      <c r="E609" s="114"/>
      <c r="F609" s="114"/>
    </row>
    <row r="610">
      <c r="A610" s="131"/>
      <c r="B610" s="131"/>
      <c r="C610" s="131"/>
      <c r="D610" s="131"/>
      <c r="E610" s="114"/>
      <c r="F610" s="114"/>
    </row>
    <row r="611">
      <c r="A611" s="131"/>
      <c r="B611" s="131"/>
      <c r="C611" s="131"/>
      <c r="D611" s="131"/>
      <c r="E611" s="114"/>
      <c r="F611" s="114"/>
    </row>
    <row r="612">
      <c r="A612" s="131"/>
      <c r="B612" s="131"/>
      <c r="C612" s="131"/>
      <c r="D612" s="131"/>
      <c r="E612" s="114"/>
      <c r="F612" s="114"/>
    </row>
    <row r="613">
      <c r="A613" s="131"/>
      <c r="B613" s="131"/>
      <c r="C613" s="131"/>
      <c r="D613" s="131"/>
      <c r="E613" s="114"/>
      <c r="F613" s="114"/>
    </row>
    <row r="614">
      <c r="A614" s="131"/>
      <c r="B614" s="131"/>
      <c r="C614" s="131"/>
      <c r="D614" s="131"/>
      <c r="E614" s="114"/>
      <c r="F614" s="114"/>
    </row>
    <row r="615">
      <c r="A615" s="131"/>
      <c r="B615" s="131"/>
      <c r="C615" s="131"/>
      <c r="D615" s="131"/>
      <c r="E615" s="114"/>
      <c r="F615" s="114"/>
    </row>
    <row r="616">
      <c r="A616" s="131"/>
      <c r="B616" s="131"/>
      <c r="C616" s="131"/>
      <c r="D616" s="131"/>
      <c r="E616" s="114"/>
      <c r="F616" s="114"/>
    </row>
    <row r="617">
      <c r="A617" s="131"/>
      <c r="B617" s="131"/>
      <c r="C617" s="131"/>
      <c r="D617" s="131"/>
      <c r="E617" s="114"/>
      <c r="F617" s="114"/>
    </row>
    <row r="618">
      <c r="A618" s="131"/>
      <c r="B618" s="131"/>
      <c r="C618" s="131"/>
      <c r="D618" s="131"/>
      <c r="E618" s="114"/>
      <c r="F618" s="114"/>
    </row>
    <row r="619">
      <c r="A619" s="131"/>
      <c r="B619" s="131"/>
      <c r="C619" s="131"/>
      <c r="D619" s="131"/>
      <c r="E619" s="131"/>
      <c r="F619" s="131"/>
    </row>
    <row r="620">
      <c r="A620" s="131"/>
      <c r="B620" s="131"/>
      <c r="C620" s="131"/>
      <c r="D620" s="131"/>
      <c r="E620" s="105"/>
      <c r="F620" s="105"/>
    </row>
    <row r="621">
      <c r="A621" s="131"/>
      <c r="B621" s="131"/>
      <c r="C621" s="131"/>
      <c r="D621" s="131"/>
      <c r="E621" s="115"/>
      <c r="F621" s="107"/>
    </row>
    <row r="622">
      <c r="A622" s="131"/>
      <c r="B622" s="131"/>
      <c r="C622" s="131"/>
      <c r="D622" s="131"/>
      <c r="E622" s="107"/>
      <c r="F622" s="107"/>
    </row>
    <row r="623">
      <c r="A623" s="131"/>
      <c r="B623" s="131"/>
      <c r="C623" s="131"/>
      <c r="D623" s="131"/>
      <c r="E623" s="116"/>
      <c r="F623" s="107"/>
    </row>
    <row r="624">
      <c r="A624" s="131"/>
      <c r="B624" s="131"/>
      <c r="C624" s="131"/>
      <c r="D624" s="131"/>
      <c r="E624" s="107"/>
      <c r="F624" s="107"/>
    </row>
    <row r="625">
      <c r="A625" s="131"/>
      <c r="B625" s="131"/>
      <c r="C625" s="131"/>
      <c r="D625" s="131"/>
      <c r="E625" s="107"/>
      <c r="F625" s="107"/>
    </row>
    <row r="626">
      <c r="A626" s="131"/>
      <c r="B626" s="131"/>
      <c r="C626" s="131"/>
      <c r="D626" s="131"/>
      <c r="E626" s="107"/>
      <c r="F626" s="107"/>
    </row>
    <row r="627">
      <c r="A627" s="131"/>
      <c r="B627" s="131"/>
      <c r="C627" s="131"/>
      <c r="D627" s="131"/>
      <c r="E627" s="107"/>
      <c r="F627" s="107"/>
    </row>
    <row r="628">
      <c r="A628" s="131"/>
      <c r="B628" s="131"/>
      <c r="C628" s="131"/>
      <c r="D628" s="131"/>
      <c r="E628" s="107"/>
      <c r="F628" s="107"/>
    </row>
    <row r="629">
      <c r="A629" s="131"/>
      <c r="B629" s="131"/>
      <c r="C629" s="131"/>
      <c r="D629" s="131"/>
      <c r="E629" s="107"/>
      <c r="F629" s="107"/>
    </row>
    <row r="630">
      <c r="A630" s="131"/>
      <c r="B630" s="131"/>
      <c r="C630" s="131"/>
      <c r="D630" s="131"/>
      <c r="E630" s="107"/>
      <c r="F630" s="107"/>
    </row>
    <row r="631">
      <c r="A631" s="131"/>
      <c r="B631" s="131"/>
      <c r="C631" s="131"/>
      <c r="D631" s="131"/>
      <c r="E631" s="107"/>
      <c r="F631" s="107"/>
    </row>
    <row r="632">
      <c r="A632" s="131"/>
      <c r="B632" s="131"/>
      <c r="C632" s="131"/>
      <c r="D632" s="131"/>
      <c r="E632" s="107"/>
      <c r="F632" s="107"/>
    </row>
    <row r="633">
      <c r="A633" s="131"/>
      <c r="B633" s="131"/>
      <c r="C633" s="131"/>
      <c r="D633" s="131"/>
      <c r="E633" s="107"/>
      <c r="F633" s="107"/>
    </row>
    <row r="634">
      <c r="A634" s="131"/>
      <c r="B634" s="131"/>
      <c r="C634" s="131"/>
      <c r="D634" s="131"/>
      <c r="E634" s="107"/>
      <c r="F634" s="107"/>
    </row>
    <row r="635">
      <c r="A635" s="131"/>
      <c r="B635" s="131"/>
      <c r="C635" s="131"/>
      <c r="D635" s="131"/>
      <c r="E635" s="107"/>
      <c r="F635" s="107"/>
    </row>
    <row r="636">
      <c r="A636" s="131"/>
      <c r="B636" s="131"/>
      <c r="C636" s="131"/>
      <c r="D636" s="131"/>
      <c r="E636" s="107"/>
      <c r="F636" s="107"/>
    </row>
    <row r="637">
      <c r="A637" s="131"/>
      <c r="B637" s="131"/>
      <c r="C637" s="131"/>
      <c r="D637" s="131"/>
      <c r="E637" s="107"/>
      <c r="F637" s="107"/>
    </row>
    <row r="638">
      <c r="A638" s="131"/>
      <c r="B638" s="131"/>
      <c r="C638" s="131"/>
      <c r="D638" s="131"/>
      <c r="E638" s="98"/>
      <c r="F638" s="107"/>
    </row>
    <row r="639">
      <c r="A639" s="131"/>
      <c r="B639" s="131"/>
      <c r="C639" s="131"/>
      <c r="D639" s="131"/>
      <c r="E639" s="131"/>
      <c r="F639" s="131"/>
    </row>
    <row r="640">
      <c r="A640" s="131"/>
      <c r="B640" s="131"/>
      <c r="C640" s="131"/>
      <c r="D640" s="131"/>
      <c r="E640" s="105"/>
      <c r="F640" s="105"/>
    </row>
    <row r="641">
      <c r="A641" s="131"/>
      <c r="B641" s="131"/>
      <c r="C641" s="131"/>
      <c r="D641" s="131"/>
      <c r="E641" s="109"/>
      <c r="F641" s="109"/>
    </row>
    <row r="642">
      <c r="A642" s="131"/>
      <c r="B642" s="131"/>
      <c r="C642" s="131"/>
      <c r="D642" s="131"/>
      <c r="E642" s="109"/>
      <c r="F642" s="109"/>
    </row>
    <row r="643">
      <c r="A643" s="131"/>
      <c r="B643" s="131"/>
      <c r="C643" s="131"/>
      <c r="D643" s="131"/>
      <c r="E643" s="109"/>
      <c r="F643" s="109"/>
    </row>
    <row r="644">
      <c r="A644" s="131"/>
      <c r="B644" s="131"/>
      <c r="C644" s="131"/>
      <c r="D644" s="131"/>
      <c r="E644" s="109"/>
      <c r="F644" s="109"/>
    </row>
    <row r="645">
      <c r="A645" s="131"/>
      <c r="B645" s="131"/>
      <c r="C645" s="131"/>
      <c r="D645" s="131"/>
      <c r="E645" s="109"/>
      <c r="F645" s="109"/>
    </row>
    <row r="646">
      <c r="A646" s="131"/>
      <c r="B646" s="131"/>
      <c r="C646" s="131"/>
      <c r="D646" s="131"/>
      <c r="E646" s="109"/>
      <c r="F646" s="109"/>
    </row>
    <row r="647">
      <c r="A647" s="131"/>
      <c r="B647" s="131"/>
      <c r="C647" s="131"/>
      <c r="D647" s="131"/>
      <c r="E647" s="109"/>
      <c r="F647" s="109"/>
    </row>
    <row r="648">
      <c r="A648" s="131"/>
      <c r="B648" s="131"/>
      <c r="C648" s="131"/>
      <c r="D648" s="131"/>
      <c r="E648" s="109"/>
      <c r="F648" s="109"/>
    </row>
    <row r="649">
      <c r="A649" s="131"/>
      <c r="B649" s="131"/>
      <c r="C649" s="131"/>
      <c r="D649" s="131"/>
      <c r="E649" s="109"/>
      <c r="F649" s="109"/>
    </row>
    <row r="650">
      <c r="A650" s="131"/>
      <c r="B650" s="131"/>
      <c r="C650" s="131"/>
      <c r="D650" s="131"/>
      <c r="E650" s="109"/>
      <c r="F650" s="109"/>
    </row>
    <row r="651">
      <c r="A651" s="131"/>
      <c r="B651" s="131"/>
      <c r="C651" s="131"/>
      <c r="D651" s="131"/>
      <c r="E651" s="109"/>
      <c r="F651" s="109"/>
    </row>
    <row r="652">
      <c r="A652" s="131"/>
      <c r="B652" s="131"/>
      <c r="C652" s="131"/>
      <c r="D652" s="131"/>
      <c r="E652" s="109"/>
      <c r="F652" s="109"/>
    </row>
    <row r="653">
      <c r="A653" s="131"/>
      <c r="B653" s="131"/>
      <c r="C653" s="131"/>
      <c r="D653" s="131"/>
      <c r="E653" s="109"/>
      <c r="F653" s="109"/>
    </row>
    <row r="654">
      <c r="A654" s="131"/>
      <c r="B654" s="131"/>
      <c r="C654" s="131"/>
      <c r="D654" s="131"/>
      <c r="E654" s="109"/>
      <c r="F654" s="109"/>
    </row>
    <row r="655">
      <c r="A655" s="131"/>
      <c r="B655" s="131"/>
      <c r="C655" s="131"/>
      <c r="D655" s="131"/>
      <c r="E655" s="109"/>
      <c r="F655" s="109"/>
    </row>
    <row r="656">
      <c r="A656" s="131"/>
      <c r="B656" s="131"/>
      <c r="C656" s="131"/>
      <c r="D656" s="131"/>
      <c r="E656" s="109"/>
      <c r="F656" s="109"/>
    </row>
    <row r="657">
      <c r="A657" s="131"/>
      <c r="B657" s="131"/>
      <c r="C657" s="131"/>
      <c r="D657" s="131"/>
      <c r="E657" s="109"/>
      <c r="F657" s="109"/>
    </row>
    <row r="658">
      <c r="A658" s="131"/>
      <c r="B658" s="131"/>
      <c r="C658" s="131"/>
      <c r="D658" s="131"/>
      <c r="E658" s="109"/>
      <c r="F658" s="109"/>
    </row>
    <row r="659">
      <c r="A659" s="131"/>
      <c r="B659" s="131"/>
      <c r="C659" s="131"/>
      <c r="D659" s="131"/>
      <c r="E659" s="109"/>
      <c r="F659" s="109"/>
    </row>
    <row r="660">
      <c r="A660" s="131"/>
      <c r="B660" s="131"/>
      <c r="C660" s="131"/>
      <c r="D660" s="131"/>
      <c r="E660" s="109"/>
      <c r="F660" s="109"/>
    </row>
    <row r="661">
      <c r="A661" s="131"/>
      <c r="B661" s="131"/>
      <c r="C661" s="131"/>
      <c r="D661" s="131"/>
      <c r="E661" s="109"/>
      <c r="F661" s="109"/>
    </row>
    <row r="662">
      <c r="A662" s="131"/>
      <c r="B662" s="131"/>
      <c r="C662" s="131"/>
      <c r="D662" s="131"/>
      <c r="E662" s="109"/>
      <c r="F662" s="109"/>
    </row>
    <row r="663">
      <c r="A663" s="131"/>
      <c r="B663" s="131"/>
      <c r="C663" s="131"/>
      <c r="D663" s="131"/>
      <c r="E663" s="109"/>
      <c r="F663" s="109"/>
    </row>
    <row r="664">
      <c r="A664" s="131"/>
      <c r="B664" s="131"/>
      <c r="C664" s="131"/>
      <c r="D664" s="131"/>
      <c r="E664" s="109"/>
      <c r="F664" s="109"/>
    </row>
    <row r="665">
      <c r="A665" s="131"/>
      <c r="B665" s="131"/>
      <c r="C665" s="131"/>
      <c r="D665" s="131"/>
      <c r="E665" s="109"/>
      <c r="F665" s="109"/>
    </row>
    <row r="666">
      <c r="A666" s="131"/>
      <c r="B666" s="131"/>
      <c r="C666" s="131"/>
      <c r="D666" s="131"/>
      <c r="E666" s="131"/>
      <c r="F666" s="131"/>
    </row>
    <row r="667">
      <c r="A667" s="131"/>
      <c r="B667" s="131"/>
      <c r="C667" s="131"/>
      <c r="D667" s="131"/>
      <c r="E667" s="105"/>
      <c r="F667" s="105"/>
    </row>
    <row r="668">
      <c r="A668" s="131"/>
      <c r="B668" s="131"/>
      <c r="C668" s="131"/>
      <c r="D668" s="131"/>
      <c r="E668" s="107"/>
      <c r="F668" s="107"/>
    </row>
    <row r="669">
      <c r="A669" s="131"/>
      <c r="B669" s="131"/>
      <c r="C669" s="131"/>
      <c r="D669" s="131"/>
      <c r="E669" s="107"/>
      <c r="F669" s="107"/>
    </row>
    <row r="670">
      <c r="A670" s="131"/>
      <c r="B670" s="131"/>
      <c r="C670" s="131"/>
      <c r="D670" s="131"/>
      <c r="E670" s="107"/>
      <c r="F670" s="107"/>
    </row>
    <row r="671">
      <c r="A671" s="131"/>
      <c r="B671" s="131"/>
      <c r="C671" s="131"/>
      <c r="D671" s="131"/>
      <c r="E671" s="107"/>
      <c r="F671" s="107"/>
    </row>
    <row r="672">
      <c r="A672" s="131"/>
      <c r="B672" s="131"/>
      <c r="C672" s="131"/>
      <c r="D672" s="131"/>
      <c r="E672" s="107"/>
      <c r="F672" s="107"/>
    </row>
    <row r="673">
      <c r="A673" s="131"/>
      <c r="B673" s="131"/>
      <c r="C673" s="131"/>
      <c r="D673" s="131"/>
      <c r="E673" s="107"/>
      <c r="F673" s="107"/>
    </row>
    <row r="674">
      <c r="A674" s="131"/>
      <c r="B674" s="131"/>
      <c r="C674" s="131"/>
      <c r="D674" s="131"/>
      <c r="E674" s="107"/>
      <c r="F674" s="107"/>
    </row>
    <row r="675">
      <c r="A675" s="131"/>
      <c r="B675" s="131"/>
      <c r="C675" s="131"/>
      <c r="D675" s="131"/>
      <c r="E675" s="107"/>
      <c r="F675" s="107"/>
    </row>
    <row r="676">
      <c r="A676" s="131"/>
      <c r="B676" s="131"/>
      <c r="C676" s="131"/>
      <c r="D676" s="131"/>
      <c r="E676" s="107"/>
      <c r="F676" s="107"/>
    </row>
    <row r="677">
      <c r="A677" s="131"/>
      <c r="B677" s="131"/>
      <c r="C677" s="131"/>
      <c r="D677" s="131"/>
      <c r="E677" s="107"/>
      <c r="F677" s="107"/>
    </row>
    <row r="678">
      <c r="A678" s="131"/>
      <c r="B678" s="131"/>
      <c r="C678" s="131"/>
      <c r="D678" s="131"/>
      <c r="E678" s="107"/>
      <c r="F678" s="107"/>
    </row>
    <row r="679">
      <c r="A679" s="131"/>
      <c r="B679" s="131"/>
      <c r="C679" s="131"/>
      <c r="D679" s="131"/>
      <c r="E679" s="107"/>
      <c r="F679" s="107"/>
    </row>
    <row r="680">
      <c r="A680" s="131"/>
      <c r="B680" s="131"/>
      <c r="C680" s="131"/>
      <c r="D680" s="131"/>
      <c r="E680" s="107"/>
      <c r="F680" s="107"/>
    </row>
    <row r="681">
      <c r="A681" s="131"/>
      <c r="B681" s="131"/>
      <c r="C681" s="131"/>
      <c r="D681" s="131"/>
      <c r="E681" s="107"/>
      <c r="F681" s="107"/>
    </row>
    <row r="682">
      <c r="A682" s="131"/>
      <c r="B682" s="131"/>
      <c r="C682" s="131"/>
      <c r="D682" s="131"/>
      <c r="E682" s="107"/>
      <c r="F682" s="107"/>
    </row>
    <row r="683">
      <c r="A683" s="131"/>
      <c r="B683" s="131"/>
      <c r="C683" s="131"/>
      <c r="D683" s="131"/>
      <c r="E683" s="107"/>
      <c r="F683" s="107"/>
    </row>
    <row r="684">
      <c r="A684" s="131"/>
      <c r="B684" s="131"/>
      <c r="C684" s="131"/>
      <c r="D684" s="131"/>
      <c r="E684" s="107"/>
      <c r="F684" s="107"/>
    </row>
    <row r="685">
      <c r="A685" s="131"/>
      <c r="B685" s="131"/>
      <c r="C685" s="131"/>
      <c r="D685" s="131"/>
      <c r="E685" s="107"/>
      <c r="F685" s="107"/>
    </row>
    <row r="686">
      <c r="A686" s="131"/>
      <c r="B686" s="131"/>
      <c r="C686" s="131"/>
      <c r="D686" s="131"/>
      <c r="E686" s="107"/>
      <c r="F686" s="107"/>
    </row>
    <row r="687">
      <c r="A687" s="131"/>
      <c r="B687" s="131"/>
      <c r="C687" s="131"/>
      <c r="D687" s="131"/>
      <c r="E687" s="107"/>
      <c r="F687" s="107"/>
    </row>
    <row r="688">
      <c r="A688" s="131"/>
      <c r="B688" s="131"/>
      <c r="C688" s="131"/>
      <c r="D688" s="131"/>
      <c r="E688" s="107"/>
      <c r="F688" s="107"/>
    </row>
    <row r="689">
      <c r="A689" s="131"/>
      <c r="B689" s="131"/>
      <c r="C689" s="131"/>
      <c r="D689" s="131"/>
      <c r="E689" s="107"/>
      <c r="F689" s="107"/>
    </row>
    <row r="690">
      <c r="A690" s="131"/>
      <c r="B690" s="131"/>
      <c r="C690" s="131"/>
      <c r="D690" s="131"/>
      <c r="E690" s="107"/>
      <c r="F690" s="107"/>
    </row>
    <row r="691">
      <c r="A691" s="131"/>
      <c r="B691" s="131"/>
      <c r="C691" s="131"/>
      <c r="D691" s="131"/>
      <c r="E691" s="107"/>
      <c r="F691" s="107"/>
    </row>
    <row r="692">
      <c r="A692" s="131"/>
      <c r="B692" s="131"/>
      <c r="C692" s="131"/>
      <c r="D692" s="131"/>
      <c r="E692" s="107"/>
      <c r="F692" s="107"/>
    </row>
    <row r="693">
      <c r="A693" s="131"/>
      <c r="B693" s="131"/>
      <c r="C693" s="131"/>
      <c r="D693" s="131"/>
      <c r="E693" s="107"/>
      <c r="F693" s="107"/>
    </row>
    <row r="694">
      <c r="A694" s="131"/>
      <c r="B694" s="131"/>
      <c r="C694" s="131"/>
      <c r="D694" s="131"/>
      <c r="E694" s="107"/>
      <c r="F694" s="107"/>
    </row>
    <row r="695">
      <c r="A695" s="131"/>
      <c r="B695" s="131"/>
      <c r="C695" s="131"/>
      <c r="D695" s="131"/>
      <c r="E695" s="107"/>
      <c r="F695" s="107"/>
    </row>
    <row r="696">
      <c r="A696" s="131"/>
      <c r="B696" s="131"/>
      <c r="C696" s="131"/>
      <c r="D696" s="131"/>
      <c r="E696" s="107"/>
      <c r="F696" s="107"/>
    </row>
    <row r="697">
      <c r="A697" s="131"/>
      <c r="B697" s="131"/>
      <c r="C697" s="131"/>
      <c r="D697" s="131"/>
      <c r="E697" s="107"/>
      <c r="F697" s="107"/>
    </row>
    <row r="698">
      <c r="A698" s="131"/>
      <c r="B698" s="131"/>
      <c r="C698" s="131"/>
      <c r="D698" s="131"/>
      <c r="E698" s="107"/>
      <c r="F698" s="107"/>
    </row>
    <row r="699">
      <c r="A699" s="131"/>
      <c r="B699" s="131"/>
      <c r="C699" s="131"/>
      <c r="D699" s="131"/>
      <c r="E699" s="107"/>
      <c r="F699" s="107"/>
    </row>
    <row r="700">
      <c r="A700" s="131"/>
      <c r="B700" s="131"/>
      <c r="C700" s="131"/>
      <c r="D700" s="131"/>
      <c r="E700" s="107"/>
      <c r="F700" s="107"/>
    </row>
    <row r="701">
      <c r="A701" s="131"/>
      <c r="B701" s="131"/>
      <c r="C701" s="131"/>
      <c r="D701" s="131"/>
      <c r="E701" s="107"/>
      <c r="F701" s="107"/>
    </row>
    <row r="702">
      <c r="A702" s="131"/>
      <c r="B702" s="131"/>
      <c r="C702" s="131"/>
      <c r="D702" s="131"/>
      <c r="E702" s="107"/>
      <c r="F702" s="107"/>
    </row>
    <row r="703">
      <c r="A703" s="131"/>
      <c r="B703" s="131"/>
      <c r="C703" s="131"/>
      <c r="D703" s="131"/>
      <c r="E703" s="107"/>
      <c r="F703" s="107"/>
    </row>
    <row r="704">
      <c r="A704" s="131"/>
      <c r="B704" s="131"/>
      <c r="C704" s="131"/>
      <c r="D704" s="131"/>
      <c r="E704" s="116"/>
      <c r="F704" s="107"/>
    </row>
    <row r="705">
      <c r="A705" s="131"/>
      <c r="B705" s="131"/>
      <c r="C705" s="131"/>
      <c r="D705" s="131"/>
      <c r="E705" s="107"/>
      <c r="F705" s="107"/>
    </row>
    <row r="706">
      <c r="A706" s="131"/>
      <c r="B706" s="131"/>
      <c r="C706" s="131"/>
      <c r="D706" s="131"/>
      <c r="E706" s="107"/>
      <c r="F706" s="107"/>
    </row>
    <row r="707">
      <c r="A707" s="131"/>
      <c r="B707" s="131"/>
      <c r="C707" s="131"/>
      <c r="D707" s="131"/>
      <c r="E707" s="107"/>
      <c r="F707" s="107"/>
    </row>
    <row r="708">
      <c r="A708" s="131"/>
      <c r="B708" s="131"/>
      <c r="C708" s="131"/>
      <c r="D708" s="131"/>
      <c r="E708" s="107"/>
      <c r="F708" s="107"/>
    </row>
    <row r="709">
      <c r="A709" s="131"/>
      <c r="B709" s="131"/>
      <c r="C709" s="131"/>
      <c r="D709" s="131"/>
      <c r="E709" s="118"/>
      <c r="F709" s="107"/>
    </row>
    <row r="710">
      <c r="A710" s="131"/>
      <c r="B710" s="131"/>
      <c r="C710" s="131"/>
      <c r="D710" s="131"/>
      <c r="E710" s="118"/>
      <c r="F710" s="107"/>
    </row>
    <row r="711">
      <c r="A711" s="131"/>
      <c r="B711" s="131"/>
      <c r="C711" s="131"/>
      <c r="D711" s="131"/>
      <c r="E711" s="118"/>
      <c r="F711" s="107"/>
    </row>
    <row r="712">
      <c r="A712" s="131"/>
      <c r="B712" s="131"/>
      <c r="C712" s="131"/>
      <c r="D712" s="131"/>
      <c r="E712" s="118"/>
      <c r="F712" s="107"/>
    </row>
    <row r="713">
      <c r="A713" s="131"/>
      <c r="B713" s="131"/>
      <c r="C713" s="131"/>
      <c r="D713" s="131"/>
      <c r="E713" s="119"/>
      <c r="F713" s="119"/>
    </row>
    <row r="714">
      <c r="A714" s="131"/>
      <c r="B714" s="131"/>
      <c r="C714" s="131"/>
      <c r="D714" s="131"/>
      <c r="E714" s="107"/>
      <c r="F714" s="107"/>
    </row>
    <row r="715">
      <c r="A715" s="131"/>
      <c r="B715" s="131"/>
      <c r="C715" s="131"/>
      <c r="D715" s="131"/>
      <c r="E715" s="107"/>
      <c r="F715" s="107"/>
    </row>
    <row r="716">
      <c r="A716" s="131"/>
      <c r="B716" s="131"/>
      <c r="C716" s="131"/>
      <c r="D716" s="131"/>
      <c r="E716" s="107"/>
      <c r="F716" s="107"/>
    </row>
    <row r="717">
      <c r="A717" s="131"/>
      <c r="B717" s="131"/>
      <c r="C717" s="131"/>
      <c r="D717" s="131"/>
      <c r="E717" s="107"/>
      <c r="F717" s="107"/>
    </row>
    <row r="718">
      <c r="A718" s="131"/>
      <c r="B718" s="131"/>
      <c r="C718" s="131"/>
      <c r="D718" s="131"/>
      <c r="E718" s="107"/>
      <c r="F718" s="107"/>
    </row>
    <row r="719">
      <c r="A719" s="131"/>
      <c r="B719" s="131"/>
      <c r="C719" s="131"/>
      <c r="D719" s="131"/>
      <c r="E719" s="107"/>
      <c r="F719" s="107"/>
    </row>
    <row r="720">
      <c r="A720" s="131"/>
      <c r="B720" s="131"/>
      <c r="C720" s="131"/>
      <c r="D720" s="131"/>
      <c r="E720" s="107"/>
      <c r="F720" s="107"/>
    </row>
    <row r="721">
      <c r="A721" s="131"/>
      <c r="B721" s="131"/>
      <c r="C721" s="131"/>
      <c r="D721" s="131"/>
      <c r="E721" s="107"/>
      <c r="F721" s="107"/>
    </row>
    <row r="722">
      <c r="A722" s="131"/>
      <c r="B722" s="131"/>
      <c r="C722" s="131"/>
      <c r="D722" s="131"/>
      <c r="E722" s="107"/>
      <c r="F722" s="107"/>
    </row>
    <row r="723">
      <c r="A723" s="131"/>
      <c r="B723" s="131"/>
      <c r="C723" s="131"/>
      <c r="D723" s="131"/>
      <c r="E723" s="107"/>
      <c r="F723" s="107"/>
    </row>
    <row r="724">
      <c r="A724" s="131"/>
      <c r="B724" s="131"/>
      <c r="C724" s="131"/>
      <c r="D724" s="131"/>
      <c r="E724" s="107"/>
      <c r="F724" s="107"/>
    </row>
    <row r="725">
      <c r="A725" s="131"/>
      <c r="B725" s="131"/>
      <c r="C725" s="131"/>
      <c r="D725" s="131"/>
      <c r="E725" s="107"/>
      <c r="F725" s="107"/>
    </row>
    <row r="726">
      <c r="A726" s="131"/>
      <c r="B726" s="131"/>
      <c r="C726" s="131"/>
      <c r="D726" s="131"/>
      <c r="E726" s="107"/>
      <c r="F726" s="107"/>
    </row>
    <row r="727">
      <c r="A727" s="131"/>
      <c r="B727" s="131"/>
      <c r="C727" s="131"/>
      <c r="D727" s="131"/>
      <c r="E727" s="107"/>
      <c r="F727" s="107"/>
    </row>
    <row r="728">
      <c r="A728" s="131"/>
      <c r="B728" s="131"/>
      <c r="C728" s="131"/>
      <c r="D728" s="131"/>
      <c r="E728" s="107"/>
      <c r="F728" s="115"/>
    </row>
    <row r="729">
      <c r="A729" s="131"/>
      <c r="B729" s="131"/>
      <c r="C729" s="131"/>
      <c r="D729" s="131"/>
      <c r="E729" s="107"/>
      <c r="F729" s="107"/>
    </row>
    <row r="730">
      <c r="A730" s="131"/>
      <c r="B730" s="131"/>
      <c r="C730" s="131"/>
      <c r="D730" s="131"/>
      <c r="E730" s="131"/>
      <c r="F730" s="131"/>
    </row>
    <row r="731">
      <c r="A731" s="131"/>
      <c r="B731" s="131"/>
      <c r="C731" s="131"/>
      <c r="D731" s="131"/>
      <c r="E731" s="131"/>
      <c r="F731" s="131"/>
    </row>
    <row r="732">
      <c r="A732" s="131"/>
      <c r="B732" s="131"/>
      <c r="C732" s="131"/>
      <c r="D732" s="131"/>
      <c r="E732" s="131"/>
      <c r="F732" s="131"/>
    </row>
    <row r="733">
      <c r="A733" s="131"/>
      <c r="B733" s="131"/>
      <c r="C733" s="131"/>
      <c r="D733" s="131"/>
      <c r="E733" s="131"/>
      <c r="F733" s="131"/>
    </row>
    <row r="734">
      <c r="A734" s="131"/>
      <c r="B734" s="131"/>
      <c r="C734" s="131"/>
      <c r="D734" s="131"/>
      <c r="E734" s="131"/>
      <c r="F734" s="131"/>
    </row>
    <row r="735">
      <c r="A735" s="131"/>
      <c r="B735" s="131"/>
      <c r="C735" s="131"/>
      <c r="D735" s="131"/>
      <c r="E735" s="131"/>
      <c r="F735" s="131"/>
    </row>
    <row r="736">
      <c r="A736" s="131"/>
      <c r="B736" s="131"/>
      <c r="C736" s="131"/>
      <c r="D736" s="131"/>
      <c r="E736" s="131"/>
      <c r="F736" s="131"/>
    </row>
    <row r="737">
      <c r="A737" s="131"/>
      <c r="B737" s="131"/>
      <c r="C737" s="131"/>
      <c r="D737" s="131"/>
      <c r="E737" s="131"/>
      <c r="F737" s="131"/>
    </row>
    <row r="738">
      <c r="A738" s="131"/>
      <c r="B738" s="131"/>
      <c r="C738" s="131"/>
      <c r="D738" s="131"/>
      <c r="E738" s="131"/>
      <c r="F738" s="131"/>
    </row>
    <row r="739">
      <c r="A739" s="131"/>
      <c r="B739" s="131"/>
      <c r="C739" s="131"/>
      <c r="D739" s="131"/>
      <c r="E739" s="131"/>
      <c r="F739" s="131"/>
    </row>
    <row r="740">
      <c r="A740" s="131"/>
      <c r="B740" s="131"/>
      <c r="C740" s="131"/>
      <c r="D740" s="131"/>
      <c r="E740" s="131"/>
      <c r="F740" s="131"/>
    </row>
    <row r="741">
      <c r="A741" s="131"/>
      <c r="B741" s="131"/>
      <c r="C741" s="131"/>
      <c r="D741" s="131"/>
      <c r="E741" s="131"/>
      <c r="F741" s="131"/>
    </row>
    <row r="742">
      <c r="A742" s="131"/>
      <c r="B742" s="131"/>
      <c r="C742" s="131"/>
      <c r="D742" s="131"/>
      <c r="E742" s="131"/>
      <c r="F742" s="131"/>
    </row>
    <row r="743">
      <c r="A743" s="131"/>
      <c r="B743" s="131"/>
      <c r="C743" s="131"/>
      <c r="D743" s="131"/>
      <c r="E743" s="131"/>
      <c r="F743" s="131"/>
    </row>
    <row r="744">
      <c r="A744" s="131"/>
      <c r="B744" s="131"/>
      <c r="C744" s="131"/>
      <c r="D744" s="131"/>
      <c r="E744" s="131"/>
      <c r="F744" s="131"/>
    </row>
    <row r="745">
      <c r="A745" s="131"/>
      <c r="B745" s="131"/>
      <c r="C745" s="131"/>
      <c r="D745" s="131"/>
      <c r="E745" s="131"/>
      <c r="F745" s="131"/>
    </row>
    <row r="746">
      <c r="A746" s="131"/>
      <c r="B746" s="131"/>
      <c r="C746" s="131"/>
      <c r="D746" s="131"/>
      <c r="E746" s="131"/>
      <c r="F746" s="131"/>
    </row>
    <row r="747">
      <c r="A747" s="131"/>
      <c r="B747" s="131"/>
      <c r="C747" s="131"/>
      <c r="D747" s="131"/>
      <c r="E747" s="131"/>
      <c r="F747" s="131"/>
    </row>
    <row r="748">
      <c r="A748" s="131"/>
      <c r="B748" s="131"/>
      <c r="C748" s="131"/>
      <c r="D748" s="131"/>
      <c r="E748" s="131"/>
      <c r="F748" s="131"/>
    </row>
    <row r="749">
      <c r="A749" s="131"/>
      <c r="B749" s="131"/>
      <c r="C749" s="131"/>
      <c r="D749" s="131"/>
      <c r="E749" s="131"/>
      <c r="F749" s="131"/>
    </row>
    <row r="750">
      <c r="A750" s="131"/>
      <c r="B750" s="131"/>
      <c r="C750" s="131"/>
      <c r="D750" s="131"/>
      <c r="E750" s="110"/>
      <c r="F750" s="110"/>
    </row>
    <row r="751">
      <c r="A751" s="131"/>
      <c r="B751" s="131"/>
      <c r="C751" s="131"/>
      <c r="D751" s="131"/>
      <c r="E751" s="111"/>
      <c r="F751" s="111"/>
    </row>
    <row r="752">
      <c r="A752" s="86"/>
      <c r="B752" s="87"/>
      <c r="C752" s="131"/>
      <c r="D752" s="131"/>
      <c r="E752" s="131"/>
      <c r="F752" s="131"/>
      <c r="G752" s="88"/>
      <c r="L752" s="88"/>
      <c r="Q752" s="89"/>
    </row>
    <row r="753">
      <c r="A753" s="131"/>
      <c r="B753" s="131"/>
      <c r="C753" s="131"/>
      <c r="D753" s="131"/>
      <c r="E753" s="131"/>
      <c r="F753" s="131"/>
      <c r="G753" s="91"/>
      <c r="H753" s="92"/>
      <c r="I753" s="92"/>
      <c r="J753" s="93"/>
      <c r="K753" s="93"/>
      <c r="L753" s="93"/>
      <c r="M753" s="93"/>
      <c r="N753" s="93"/>
      <c r="O753" s="93"/>
      <c r="P753" s="93"/>
      <c r="Q753" s="90"/>
      <c r="R753" s="90"/>
      <c r="S753" s="90"/>
      <c r="T753" s="90"/>
      <c r="U753" s="90"/>
      <c r="V753" s="90"/>
      <c r="W753" s="90"/>
    </row>
    <row r="754">
      <c r="A754" s="131"/>
      <c r="B754" s="131"/>
      <c r="C754" s="131"/>
      <c r="D754" s="131"/>
      <c r="E754" s="94"/>
      <c r="F754" s="94"/>
    </row>
    <row r="755">
      <c r="A755" s="131"/>
      <c r="B755" s="131"/>
      <c r="C755" s="131"/>
      <c r="D755" s="131"/>
      <c r="E755" s="95"/>
      <c r="F755" s="96"/>
    </row>
    <row r="756">
      <c r="A756" s="131"/>
      <c r="B756" s="131"/>
      <c r="C756" s="131"/>
      <c r="D756" s="131"/>
      <c r="E756" s="95"/>
      <c r="F756" s="96"/>
    </row>
    <row r="757">
      <c r="A757" s="131"/>
      <c r="B757" s="131"/>
      <c r="C757" s="131"/>
      <c r="D757" s="131"/>
      <c r="E757" s="96"/>
      <c r="F757" s="96"/>
    </row>
    <row r="758">
      <c r="A758" s="131"/>
      <c r="B758" s="131"/>
      <c r="C758" s="131"/>
      <c r="D758" s="131"/>
      <c r="E758" s="96"/>
      <c r="F758" s="96"/>
    </row>
    <row r="759">
      <c r="A759" s="131"/>
      <c r="B759" s="131"/>
      <c r="C759" s="131"/>
      <c r="D759" s="131"/>
      <c r="E759" s="96"/>
      <c r="F759" s="96"/>
    </row>
    <row r="760">
      <c r="A760" s="131"/>
      <c r="B760" s="131"/>
      <c r="C760" s="131"/>
      <c r="D760" s="131"/>
      <c r="E760" s="96"/>
      <c r="F760" s="96"/>
    </row>
    <row r="761">
      <c r="A761" s="131"/>
      <c r="B761" s="131"/>
      <c r="C761" s="131"/>
      <c r="D761" s="131"/>
      <c r="E761" s="96"/>
      <c r="F761" s="96"/>
    </row>
    <row r="762">
      <c r="A762" s="131"/>
      <c r="B762" s="131"/>
      <c r="C762" s="131"/>
      <c r="D762" s="131"/>
      <c r="E762" s="96"/>
      <c r="F762" s="96"/>
    </row>
    <row r="763">
      <c r="A763" s="131"/>
      <c r="B763" s="131"/>
      <c r="C763" s="131"/>
      <c r="D763" s="131"/>
      <c r="E763" s="96"/>
      <c r="F763" s="96"/>
    </row>
    <row r="764">
      <c r="A764" s="131"/>
      <c r="B764" s="131"/>
      <c r="C764" s="131"/>
      <c r="D764" s="131"/>
      <c r="E764" s="96"/>
      <c r="F764" s="96"/>
    </row>
    <row r="765">
      <c r="A765" s="131"/>
      <c r="B765" s="131"/>
      <c r="C765" s="131"/>
      <c r="D765" s="131"/>
      <c r="E765" s="96"/>
      <c r="F765" s="96"/>
    </row>
    <row r="766">
      <c r="A766" s="131"/>
      <c r="B766" s="131"/>
      <c r="C766" s="131"/>
      <c r="D766" s="131"/>
      <c r="E766" s="96"/>
      <c r="F766" s="96"/>
    </row>
    <row r="767">
      <c r="A767" s="131"/>
      <c r="B767" s="131"/>
      <c r="C767" s="131"/>
      <c r="D767" s="131"/>
      <c r="E767" s="96"/>
      <c r="F767" s="96"/>
    </row>
    <row r="768">
      <c r="A768" s="131"/>
      <c r="B768" s="131"/>
      <c r="C768" s="131"/>
      <c r="D768" s="131"/>
      <c r="E768" s="97"/>
      <c r="F768" s="97"/>
    </row>
    <row r="769">
      <c r="A769" s="131"/>
      <c r="B769" s="131"/>
      <c r="C769" s="131"/>
      <c r="D769" s="131"/>
      <c r="E769" s="96"/>
      <c r="F769" s="96"/>
    </row>
    <row r="770">
      <c r="A770" s="131"/>
      <c r="B770" s="131"/>
      <c r="C770" s="131"/>
      <c r="D770" s="131"/>
      <c r="E770" s="96"/>
      <c r="F770" s="96"/>
    </row>
    <row r="771">
      <c r="A771" s="131"/>
      <c r="B771" s="131"/>
      <c r="C771" s="131"/>
      <c r="D771" s="131"/>
      <c r="E771" s="96"/>
      <c r="F771" s="96"/>
    </row>
    <row r="772">
      <c r="A772" s="131"/>
      <c r="B772" s="131"/>
      <c r="C772" s="131"/>
      <c r="D772" s="131"/>
      <c r="E772" s="96"/>
      <c r="F772" s="96"/>
    </row>
    <row r="773">
      <c r="A773" s="131"/>
      <c r="B773" s="131"/>
      <c r="C773" s="131"/>
      <c r="D773" s="131"/>
      <c r="E773" s="96"/>
      <c r="F773" s="96"/>
    </row>
    <row r="774">
      <c r="A774" s="131"/>
      <c r="B774" s="131"/>
      <c r="C774" s="131"/>
      <c r="D774" s="131"/>
      <c r="E774" s="96"/>
      <c r="F774" s="96"/>
    </row>
    <row r="775">
      <c r="A775" s="131"/>
      <c r="B775" s="131"/>
      <c r="C775" s="131"/>
      <c r="D775" s="131"/>
      <c r="E775" s="98"/>
      <c r="F775" s="96"/>
    </row>
    <row r="776">
      <c r="A776" s="131"/>
      <c r="B776" s="131"/>
      <c r="C776" s="131"/>
      <c r="D776" s="131"/>
      <c r="E776" s="99"/>
      <c r="F776" s="99"/>
    </row>
    <row r="777">
      <c r="A777" s="131"/>
      <c r="B777" s="131"/>
      <c r="C777" s="131"/>
      <c r="D777" s="131"/>
      <c r="E777" s="100"/>
      <c r="F777" s="100"/>
    </row>
    <row r="778">
      <c r="A778" s="131"/>
      <c r="B778" s="131"/>
      <c r="C778" s="131"/>
      <c r="D778" s="131"/>
      <c r="E778" s="100"/>
      <c r="F778" s="100"/>
    </row>
    <row r="779">
      <c r="A779" s="131"/>
      <c r="B779" s="131"/>
      <c r="C779" s="131"/>
      <c r="D779" s="131"/>
      <c r="E779" s="100"/>
      <c r="F779" s="100"/>
    </row>
    <row r="780">
      <c r="A780" s="131"/>
      <c r="B780" s="131"/>
      <c r="C780" s="131"/>
      <c r="D780" s="131"/>
      <c r="E780" s="100"/>
      <c r="F780" s="100"/>
    </row>
    <row r="781">
      <c r="A781" s="131"/>
      <c r="B781" s="131"/>
      <c r="C781" s="131"/>
      <c r="D781" s="131"/>
      <c r="E781" s="100"/>
      <c r="F781" s="100"/>
    </row>
    <row r="782">
      <c r="A782" s="131"/>
      <c r="B782" s="131"/>
      <c r="C782" s="131"/>
      <c r="D782" s="131"/>
      <c r="E782" s="100"/>
      <c r="F782" s="100"/>
    </row>
    <row r="783">
      <c r="A783" s="131"/>
      <c r="B783" s="131"/>
      <c r="C783" s="131"/>
      <c r="D783" s="131"/>
      <c r="E783" s="100"/>
      <c r="F783" s="100"/>
    </row>
    <row r="784">
      <c r="A784" s="131"/>
      <c r="B784" s="131"/>
      <c r="C784" s="131"/>
      <c r="D784" s="131"/>
      <c r="E784" s="101"/>
      <c r="F784" s="101"/>
    </row>
    <row r="785">
      <c r="A785" s="131"/>
      <c r="B785" s="131"/>
      <c r="C785" s="131"/>
      <c r="D785" s="131"/>
      <c r="E785" s="100"/>
      <c r="F785" s="100"/>
    </row>
    <row r="786">
      <c r="A786" s="131"/>
      <c r="B786" s="131"/>
      <c r="C786" s="131"/>
      <c r="D786" s="131"/>
      <c r="E786" s="100"/>
      <c r="F786" s="100"/>
    </row>
    <row r="787">
      <c r="A787" s="131"/>
      <c r="B787" s="131"/>
      <c r="C787" s="131"/>
      <c r="D787" s="131"/>
      <c r="E787" s="102"/>
      <c r="F787" s="102"/>
    </row>
    <row r="788">
      <c r="A788" s="131"/>
      <c r="B788" s="131"/>
      <c r="C788" s="131"/>
      <c r="D788" s="131"/>
      <c r="E788" s="103"/>
      <c r="F788" s="103"/>
    </row>
    <row r="789">
      <c r="A789" s="131"/>
      <c r="B789" s="131"/>
      <c r="C789" s="131"/>
      <c r="D789" s="131"/>
      <c r="E789" s="103"/>
      <c r="F789" s="103"/>
    </row>
    <row r="790">
      <c r="A790" s="131"/>
      <c r="B790" s="131"/>
      <c r="C790" s="131"/>
      <c r="D790" s="131"/>
      <c r="E790" s="102"/>
      <c r="F790" s="103"/>
    </row>
    <row r="791">
      <c r="A791" s="131"/>
      <c r="B791" s="131"/>
      <c r="C791" s="131"/>
      <c r="D791" s="131"/>
      <c r="E791" s="103"/>
      <c r="F791" s="103"/>
    </row>
    <row r="792">
      <c r="A792" s="131"/>
      <c r="B792" s="131"/>
      <c r="C792" s="131"/>
      <c r="D792" s="131"/>
      <c r="E792" s="103"/>
      <c r="F792" s="103"/>
    </row>
    <row r="793">
      <c r="A793" s="131"/>
      <c r="B793" s="131"/>
      <c r="C793" s="131"/>
      <c r="D793" s="131"/>
      <c r="E793" s="103"/>
      <c r="F793" s="103"/>
    </row>
    <row r="794">
      <c r="A794" s="131"/>
      <c r="B794" s="131"/>
      <c r="C794" s="131"/>
      <c r="D794" s="131"/>
      <c r="E794" s="103"/>
      <c r="F794" s="103"/>
    </row>
    <row r="795">
      <c r="A795" s="131"/>
      <c r="B795" s="131"/>
      <c r="C795" s="131"/>
      <c r="D795" s="131"/>
      <c r="E795" s="103"/>
      <c r="F795" s="103"/>
    </row>
    <row r="796">
      <c r="A796" s="131"/>
      <c r="B796" s="131"/>
      <c r="C796" s="131"/>
      <c r="D796" s="131"/>
      <c r="E796" s="103"/>
      <c r="F796" s="103"/>
    </row>
    <row r="797">
      <c r="A797" s="131"/>
      <c r="B797" s="131"/>
      <c r="C797" s="131"/>
      <c r="D797" s="131"/>
      <c r="E797" s="103"/>
      <c r="F797" s="103"/>
    </row>
    <row r="798">
      <c r="A798" s="131"/>
      <c r="B798" s="131"/>
      <c r="C798" s="131"/>
      <c r="D798" s="131"/>
      <c r="E798" s="103"/>
      <c r="F798" s="103"/>
    </row>
    <row r="799">
      <c r="A799" s="131"/>
      <c r="B799" s="131"/>
      <c r="C799" s="131"/>
      <c r="D799" s="131"/>
      <c r="E799" s="103"/>
      <c r="F799" s="103"/>
    </row>
    <row r="800">
      <c r="A800" s="131"/>
      <c r="B800" s="131"/>
      <c r="C800" s="131"/>
      <c r="D800" s="131"/>
      <c r="E800" s="103"/>
      <c r="F800" s="103"/>
    </row>
    <row r="801">
      <c r="A801" s="131"/>
      <c r="B801" s="131"/>
      <c r="C801" s="131"/>
      <c r="D801" s="131"/>
      <c r="E801" s="103"/>
      <c r="F801" s="103"/>
    </row>
    <row r="802">
      <c r="A802" s="131"/>
      <c r="B802" s="131"/>
      <c r="C802" s="131"/>
      <c r="D802" s="131"/>
      <c r="E802" s="103"/>
      <c r="F802" s="103"/>
    </row>
    <row r="803">
      <c r="A803" s="131"/>
      <c r="B803" s="131"/>
      <c r="C803" s="131"/>
      <c r="D803" s="131"/>
      <c r="E803" s="103"/>
      <c r="F803" s="103"/>
    </row>
    <row r="804">
      <c r="A804" s="131"/>
      <c r="B804" s="131"/>
      <c r="C804" s="131"/>
      <c r="D804" s="131"/>
      <c r="E804" s="103"/>
      <c r="F804" s="103"/>
    </row>
    <row r="805">
      <c r="A805" s="131"/>
      <c r="B805" s="131"/>
      <c r="C805" s="131"/>
      <c r="D805" s="131"/>
      <c r="E805" s="99"/>
      <c r="F805" s="99"/>
    </row>
    <row r="806">
      <c r="A806" s="131"/>
      <c r="B806" s="131"/>
      <c r="C806" s="131"/>
      <c r="D806" s="131"/>
      <c r="E806" s="100"/>
      <c r="F806" s="100"/>
    </row>
    <row r="807">
      <c r="A807" s="131"/>
      <c r="B807" s="131"/>
      <c r="C807" s="131"/>
      <c r="D807" s="131"/>
      <c r="E807" s="100"/>
      <c r="F807" s="100"/>
    </row>
    <row r="808">
      <c r="A808" s="131"/>
      <c r="B808" s="131"/>
      <c r="C808" s="131"/>
      <c r="D808" s="131"/>
      <c r="E808" s="100"/>
      <c r="F808" s="100"/>
    </row>
    <row r="809">
      <c r="A809" s="131"/>
      <c r="B809" s="131"/>
      <c r="C809" s="131"/>
      <c r="D809" s="131"/>
      <c r="E809" s="100"/>
      <c r="F809" s="100"/>
    </row>
    <row r="810">
      <c r="A810" s="131"/>
      <c r="B810" s="131"/>
      <c r="C810" s="131"/>
      <c r="D810" s="131"/>
      <c r="E810" s="100"/>
      <c r="F810" s="100"/>
    </row>
    <row r="811">
      <c r="A811" s="131"/>
      <c r="B811" s="131"/>
      <c r="C811" s="131"/>
      <c r="D811" s="131"/>
      <c r="E811" s="100"/>
      <c r="F811" s="100"/>
    </row>
    <row r="812">
      <c r="A812" s="131"/>
      <c r="B812" s="131"/>
      <c r="C812" s="131"/>
      <c r="D812" s="131"/>
      <c r="E812" s="100"/>
      <c r="F812" s="100"/>
    </row>
    <row r="813">
      <c r="A813" s="131"/>
      <c r="B813" s="131"/>
      <c r="C813" s="131"/>
      <c r="D813" s="131"/>
      <c r="E813" s="100"/>
      <c r="F813" s="100"/>
    </row>
    <row r="814">
      <c r="A814" s="131"/>
      <c r="B814" s="131"/>
      <c r="C814" s="131"/>
      <c r="D814" s="131"/>
      <c r="E814" s="100"/>
      <c r="F814" s="100"/>
    </row>
    <row r="815">
      <c r="A815" s="131"/>
      <c r="B815" s="131"/>
      <c r="C815" s="131"/>
      <c r="D815" s="131"/>
      <c r="E815" s="100"/>
      <c r="F815" s="100"/>
    </row>
    <row r="816">
      <c r="A816" s="131"/>
      <c r="B816" s="131"/>
      <c r="C816" s="131"/>
      <c r="D816" s="131"/>
      <c r="E816" s="99"/>
      <c r="F816" s="99"/>
    </row>
    <row r="817">
      <c r="A817" s="131"/>
      <c r="B817" s="131"/>
      <c r="C817" s="131"/>
      <c r="D817" s="131"/>
      <c r="E817" s="100"/>
      <c r="F817" s="100"/>
    </row>
    <row r="818">
      <c r="A818" s="131"/>
      <c r="B818" s="131"/>
      <c r="C818" s="131"/>
      <c r="D818" s="131"/>
      <c r="E818" s="100"/>
      <c r="F818" s="100"/>
    </row>
    <row r="819">
      <c r="A819" s="131"/>
      <c r="B819" s="131"/>
      <c r="C819" s="131"/>
      <c r="D819" s="131"/>
      <c r="E819" s="100"/>
      <c r="F819" s="100"/>
    </row>
    <row r="820">
      <c r="A820" s="131"/>
      <c r="B820" s="131"/>
      <c r="C820" s="131"/>
      <c r="D820" s="131"/>
      <c r="E820" s="100"/>
      <c r="F820" s="100"/>
    </row>
    <row r="821">
      <c r="A821" s="131"/>
      <c r="B821" s="131"/>
      <c r="C821" s="131"/>
      <c r="D821" s="131"/>
      <c r="E821" s="100"/>
      <c r="F821" s="100"/>
    </row>
    <row r="822">
      <c r="A822" s="131"/>
      <c r="B822" s="131"/>
      <c r="C822" s="131"/>
      <c r="D822" s="131"/>
      <c r="E822" s="100"/>
      <c r="F822" s="100"/>
    </row>
    <row r="823">
      <c r="A823" s="131"/>
      <c r="B823" s="131"/>
      <c r="C823" s="131"/>
      <c r="D823" s="131"/>
      <c r="E823" s="101"/>
      <c r="F823" s="101"/>
    </row>
    <row r="824">
      <c r="A824" s="131"/>
      <c r="B824" s="131"/>
      <c r="C824" s="131"/>
      <c r="D824" s="131"/>
      <c r="E824" s="101"/>
      <c r="F824" s="101"/>
    </row>
    <row r="825">
      <c r="A825" s="131"/>
      <c r="B825" s="131"/>
      <c r="C825" s="131"/>
      <c r="D825" s="131"/>
      <c r="E825" s="101"/>
      <c r="F825" s="101"/>
    </row>
    <row r="826">
      <c r="A826" s="131"/>
      <c r="B826" s="131"/>
      <c r="C826" s="131"/>
      <c r="D826" s="131"/>
      <c r="E826" s="101"/>
      <c r="F826" s="101"/>
    </row>
    <row r="827">
      <c r="A827" s="131"/>
      <c r="B827" s="131"/>
      <c r="C827" s="131"/>
      <c r="D827" s="131"/>
      <c r="E827" s="101"/>
      <c r="F827" s="101"/>
    </row>
    <row r="828">
      <c r="A828" s="131"/>
      <c r="B828" s="131"/>
      <c r="C828" s="131"/>
      <c r="D828" s="131"/>
      <c r="E828" s="101"/>
      <c r="F828" s="101"/>
    </row>
    <row r="829">
      <c r="A829" s="131"/>
      <c r="B829" s="131"/>
      <c r="C829" s="131"/>
      <c r="D829" s="131"/>
      <c r="E829" s="105"/>
      <c r="F829" s="105"/>
    </row>
    <row r="830">
      <c r="A830" s="131"/>
      <c r="B830" s="131"/>
      <c r="C830" s="131"/>
      <c r="D830" s="131"/>
      <c r="E830" s="106"/>
      <c r="F830" s="106"/>
    </row>
    <row r="831">
      <c r="A831" s="131"/>
      <c r="B831" s="131"/>
      <c r="C831" s="131"/>
      <c r="D831" s="131"/>
      <c r="E831" s="107"/>
      <c r="F831" s="107"/>
    </row>
    <row r="832">
      <c r="A832" s="131"/>
      <c r="B832" s="131"/>
      <c r="C832" s="131"/>
      <c r="D832" s="131"/>
      <c r="E832" s="107"/>
      <c r="F832" s="107"/>
    </row>
    <row r="833">
      <c r="A833" s="131"/>
      <c r="B833" s="131"/>
      <c r="C833" s="131"/>
      <c r="D833" s="131"/>
      <c r="E833" s="108"/>
      <c r="F833" s="108"/>
    </row>
    <row r="834">
      <c r="A834" s="131"/>
      <c r="B834" s="131"/>
      <c r="C834" s="131"/>
      <c r="D834" s="131"/>
      <c r="E834" s="107"/>
      <c r="F834" s="107"/>
    </row>
    <row r="835">
      <c r="A835" s="131"/>
      <c r="B835" s="131"/>
      <c r="C835" s="131"/>
      <c r="D835" s="131"/>
      <c r="E835" s="106"/>
      <c r="F835" s="106"/>
    </row>
    <row r="836">
      <c r="A836" s="131"/>
      <c r="B836" s="131"/>
      <c r="C836" s="131"/>
      <c r="D836" s="131"/>
      <c r="E836" s="107"/>
      <c r="F836" s="107"/>
    </row>
    <row r="837">
      <c r="A837" s="131"/>
      <c r="B837" s="131"/>
      <c r="C837" s="131"/>
      <c r="D837" s="131"/>
      <c r="E837" s="107"/>
      <c r="F837" s="107"/>
    </row>
    <row r="838">
      <c r="A838" s="131"/>
      <c r="B838" s="131"/>
      <c r="C838" s="131"/>
      <c r="D838" s="131"/>
      <c r="E838" s="107"/>
      <c r="F838" s="107"/>
    </row>
    <row r="839">
      <c r="A839" s="131"/>
      <c r="B839" s="131"/>
      <c r="C839" s="131"/>
      <c r="D839" s="131"/>
      <c r="E839" s="107"/>
      <c r="F839" s="107"/>
    </row>
    <row r="840">
      <c r="A840" s="131"/>
      <c r="B840" s="131"/>
      <c r="C840" s="131"/>
      <c r="D840" s="131"/>
      <c r="E840" s="106"/>
      <c r="F840" s="106"/>
    </row>
    <row r="841">
      <c r="A841" s="131"/>
      <c r="B841" s="131"/>
      <c r="C841" s="131"/>
      <c r="D841" s="131"/>
      <c r="E841" s="107"/>
      <c r="F841" s="107"/>
    </row>
    <row r="842">
      <c r="A842" s="131"/>
      <c r="B842" s="131"/>
      <c r="C842" s="131"/>
      <c r="D842" s="131"/>
      <c r="E842" s="109"/>
      <c r="F842" s="109"/>
    </row>
    <row r="843">
      <c r="A843" s="131"/>
      <c r="B843" s="131"/>
      <c r="C843" s="131"/>
      <c r="D843" s="131"/>
      <c r="E843" s="110"/>
      <c r="F843" s="110"/>
    </row>
    <row r="844">
      <c r="A844" s="131"/>
      <c r="B844" s="131"/>
      <c r="C844" s="131"/>
      <c r="D844" s="131"/>
      <c r="E844" s="110"/>
      <c r="F844" s="110"/>
    </row>
    <row r="845">
      <c r="A845" s="131"/>
      <c r="B845" s="131"/>
      <c r="C845" s="131"/>
      <c r="D845" s="131"/>
      <c r="E845" s="111"/>
      <c r="F845" s="111"/>
    </row>
    <row r="846">
      <c r="A846" s="86"/>
      <c r="B846" s="87"/>
      <c r="C846" s="131"/>
      <c r="D846" s="131"/>
      <c r="E846" s="131"/>
      <c r="F846" s="131"/>
      <c r="G846" s="121"/>
      <c r="H846" s="13"/>
      <c r="I846" s="13"/>
      <c r="J846" s="13"/>
      <c r="K846" s="14"/>
      <c r="L846" s="121"/>
      <c r="M846" s="13"/>
      <c r="N846" s="13"/>
      <c r="O846" s="13"/>
      <c r="P846" s="14"/>
      <c r="Q846" s="122"/>
      <c r="R846" s="13"/>
      <c r="S846" s="13"/>
      <c r="T846" s="13"/>
      <c r="U846" s="13"/>
      <c r="V846" s="13"/>
      <c r="W846" s="14"/>
    </row>
    <row r="847">
      <c r="A847" s="131"/>
      <c r="B847" s="131"/>
      <c r="C847" s="131"/>
      <c r="D847" s="131"/>
      <c r="E847" s="131"/>
      <c r="F847" s="131"/>
      <c r="G847" s="123"/>
      <c r="H847" s="124"/>
      <c r="I847" s="124"/>
      <c r="J847" s="125"/>
      <c r="K847" s="125"/>
      <c r="L847" s="126"/>
      <c r="M847" s="125"/>
      <c r="N847" s="125"/>
      <c r="O847" s="125"/>
      <c r="P847" s="127"/>
      <c r="Q847" s="128"/>
      <c r="R847" s="129"/>
      <c r="S847" s="129"/>
      <c r="T847" s="129"/>
      <c r="U847" s="129"/>
      <c r="V847" s="129"/>
      <c r="W847" s="130"/>
    </row>
    <row r="848">
      <c r="A848" s="131"/>
      <c r="B848" s="131"/>
      <c r="C848" s="131"/>
      <c r="D848" s="131"/>
      <c r="E848" s="94"/>
      <c r="F848" s="94"/>
    </row>
    <row r="849">
      <c r="A849" s="131"/>
      <c r="B849" s="131"/>
      <c r="C849" s="131"/>
      <c r="D849" s="131"/>
      <c r="E849" s="95"/>
      <c r="F849" s="96"/>
    </row>
    <row r="850">
      <c r="A850" s="131"/>
      <c r="B850" s="131"/>
      <c r="C850" s="131"/>
      <c r="D850" s="131"/>
      <c r="E850" s="95"/>
      <c r="F850" s="96"/>
    </row>
    <row r="851">
      <c r="A851" s="131"/>
      <c r="B851" s="131"/>
      <c r="C851" s="131"/>
      <c r="D851" s="131"/>
      <c r="E851" s="96"/>
      <c r="F851" s="96"/>
    </row>
    <row r="852">
      <c r="A852" s="131"/>
      <c r="B852" s="131"/>
      <c r="C852" s="131"/>
      <c r="D852" s="131"/>
      <c r="E852" s="96"/>
      <c r="F852" s="96"/>
    </row>
    <row r="853">
      <c r="A853" s="131"/>
      <c r="B853" s="131"/>
      <c r="C853" s="131"/>
      <c r="D853" s="131"/>
      <c r="E853" s="96"/>
      <c r="F853" s="96"/>
    </row>
    <row r="854">
      <c r="A854" s="131"/>
      <c r="B854" s="131"/>
      <c r="C854" s="131"/>
      <c r="D854" s="131"/>
      <c r="E854" s="96"/>
      <c r="F854" s="96"/>
    </row>
    <row r="855">
      <c r="A855" s="131"/>
      <c r="B855" s="131"/>
      <c r="C855" s="131"/>
      <c r="D855" s="131"/>
      <c r="E855" s="96"/>
      <c r="F855" s="96"/>
    </row>
    <row r="856">
      <c r="A856" s="131"/>
      <c r="B856" s="131"/>
      <c r="C856" s="131"/>
      <c r="D856" s="131"/>
      <c r="E856" s="96"/>
      <c r="F856" s="96"/>
    </row>
    <row r="857">
      <c r="A857" s="131"/>
      <c r="B857" s="131"/>
      <c r="C857" s="131"/>
      <c r="D857" s="131"/>
      <c r="E857" s="96"/>
      <c r="F857" s="96"/>
    </row>
    <row r="858">
      <c r="A858" s="131"/>
      <c r="B858" s="131"/>
      <c r="C858" s="131"/>
      <c r="D858" s="131"/>
      <c r="E858" s="96"/>
      <c r="F858" s="96"/>
    </row>
    <row r="859">
      <c r="A859" s="131"/>
      <c r="B859" s="131"/>
      <c r="C859" s="131"/>
      <c r="D859" s="131"/>
      <c r="E859" s="96"/>
      <c r="F859" s="96"/>
    </row>
    <row r="860">
      <c r="A860" s="131"/>
      <c r="B860" s="131"/>
      <c r="C860" s="131"/>
      <c r="D860" s="131"/>
      <c r="E860" s="96"/>
      <c r="F860" s="96"/>
    </row>
    <row r="861">
      <c r="A861" s="131"/>
      <c r="B861" s="131"/>
      <c r="C861" s="131"/>
      <c r="D861" s="131"/>
      <c r="E861" s="96"/>
      <c r="F861" s="96"/>
    </row>
    <row r="862">
      <c r="A862" s="131"/>
      <c r="B862" s="131"/>
      <c r="C862" s="131"/>
      <c r="D862" s="131"/>
      <c r="E862" s="97"/>
      <c r="F862" s="97"/>
    </row>
    <row r="863">
      <c r="A863" s="131"/>
      <c r="B863" s="131"/>
      <c r="C863" s="131"/>
      <c r="D863" s="131"/>
      <c r="E863" s="96"/>
      <c r="F863" s="96"/>
    </row>
    <row r="864">
      <c r="A864" s="131"/>
      <c r="B864" s="131"/>
      <c r="C864" s="131"/>
      <c r="D864" s="131"/>
      <c r="E864" s="96"/>
      <c r="F864" s="96"/>
    </row>
    <row r="865">
      <c r="A865" s="131"/>
      <c r="B865" s="131"/>
      <c r="C865" s="131"/>
      <c r="D865" s="131"/>
      <c r="E865" s="96"/>
      <c r="F865" s="96"/>
    </row>
    <row r="866">
      <c r="A866" s="131"/>
      <c r="B866" s="131"/>
      <c r="C866" s="131"/>
      <c r="D866" s="131"/>
      <c r="E866" s="96"/>
      <c r="F866" s="96"/>
    </row>
    <row r="867">
      <c r="A867" s="131"/>
      <c r="B867" s="131"/>
      <c r="C867" s="131"/>
      <c r="D867" s="131"/>
      <c r="E867" s="96"/>
      <c r="F867" s="96"/>
    </row>
    <row r="868">
      <c r="A868" s="131"/>
      <c r="B868" s="131"/>
      <c r="C868" s="131"/>
      <c r="D868" s="131"/>
      <c r="E868" s="96"/>
      <c r="F868" s="96"/>
    </row>
    <row r="869">
      <c r="A869" s="131"/>
      <c r="B869" s="131"/>
      <c r="C869" s="131"/>
      <c r="D869" s="131"/>
      <c r="E869" s="98"/>
      <c r="F869" s="96"/>
    </row>
    <row r="870">
      <c r="A870" s="131"/>
      <c r="B870" s="131"/>
      <c r="C870" s="131"/>
      <c r="D870" s="131"/>
      <c r="E870" s="99"/>
      <c r="F870" s="99"/>
    </row>
    <row r="871">
      <c r="A871" s="131"/>
      <c r="B871" s="131"/>
      <c r="C871" s="131"/>
      <c r="D871" s="131"/>
      <c r="E871" s="100"/>
      <c r="F871" s="100"/>
    </row>
    <row r="872">
      <c r="A872" s="131"/>
      <c r="B872" s="131"/>
      <c r="C872" s="131"/>
      <c r="D872" s="131"/>
      <c r="E872" s="100"/>
      <c r="F872" s="100"/>
    </row>
    <row r="873">
      <c r="A873" s="131"/>
      <c r="B873" s="131"/>
      <c r="C873" s="131"/>
      <c r="D873" s="131"/>
      <c r="E873" s="100"/>
      <c r="F873" s="100"/>
    </row>
    <row r="874">
      <c r="A874" s="131"/>
      <c r="B874" s="131"/>
      <c r="C874" s="131"/>
      <c r="D874" s="131"/>
      <c r="E874" s="100"/>
      <c r="F874" s="100"/>
    </row>
    <row r="875">
      <c r="A875" s="131"/>
      <c r="B875" s="131"/>
      <c r="C875" s="131"/>
      <c r="D875" s="131"/>
      <c r="E875" s="100"/>
      <c r="F875" s="100"/>
    </row>
    <row r="876">
      <c r="A876" s="131"/>
      <c r="B876" s="131"/>
      <c r="C876" s="131"/>
      <c r="D876" s="131"/>
      <c r="E876" s="100"/>
      <c r="F876" s="100"/>
    </row>
    <row r="877">
      <c r="A877" s="131"/>
      <c r="B877" s="131"/>
      <c r="C877" s="131"/>
      <c r="D877" s="131"/>
      <c r="E877" s="100"/>
      <c r="F877" s="100"/>
    </row>
    <row r="878">
      <c r="A878" s="131"/>
      <c r="B878" s="131"/>
      <c r="C878" s="131"/>
      <c r="D878" s="131"/>
      <c r="E878" s="101"/>
      <c r="F878" s="101"/>
    </row>
    <row r="879">
      <c r="A879" s="131"/>
      <c r="B879" s="131"/>
      <c r="C879" s="131"/>
      <c r="D879" s="131"/>
      <c r="E879" s="100"/>
      <c r="F879" s="100"/>
    </row>
    <row r="880">
      <c r="A880" s="131"/>
      <c r="B880" s="131"/>
      <c r="C880" s="131"/>
      <c r="D880" s="131"/>
      <c r="E880" s="100"/>
      <c r="F880" s="100"/>
    </row>
    <row r="881">
      <c r="A881" s="131"/>
      <c r="B881" s="131"/>
      <c r="C881" s="131"/>
      <c r="D881" s="131"/>
      <c r="E881" s="102"/>
      <c r="F881" s="102"/>
    </row>
    <row r="882">
      <c r="A882" s="131"/>
      <c r="B882" s="131"/>
      <c r="C882" s="131"/>
      <c r="D882" s="131"/>
      <c r="E882" s="103"/>
      <c r="F882" s="103"/>
    </row>
    <row r="883">
      <c r="A883" s="131"/>
      <c r="B883" s="131"/>
      <c r="C883" s="131"/>
      <c r="D883" s="131"/>
      <c r="E883" s="103"/>
      <c r="F883" s="103"/>
    </row>
    <row r="884">
      <c r="A884" s="131"/>
      <c r="B884" s="131"/>
      <c r="C884" s="131"/>
      <c r="D884" s="131"/>
      <c r="E884" s="102"/>
      <c r="F884" s="103"/>
    </row>
    <row r="885">
      <c r="A885" s="131"/>
      <c r="B885" s="131"/>
      <c r="C885" s="131"/>
      <c r="D885" s="131"/>
      <c r="E885" s="103"/>
      <c r="F885" s="103"/>
    </row>
    <row r="886">
      <c r="A886" s="131"/>
      <c r="B886" s="131"/>
      <c r="C886" s="131"/>
      <c r="D886" s="131"/>
      <c r="E886" s="103"/>
      <c r="F886" s="103"/>
    </row>
    <row r="887">
      <c r="A887" s="131"/>
      <c r="B887" s="131"/>
      <c r="C887" s="131"/>
      <c r="D887" s="131"/>
      <c r="E887" s="103"/>
      <c r="F887" s="103"/>
    </row>
    <row r="888">
      <c r="A888" s="131"/>
      <c r="B888" s="131"/>
      <c r="C888" s="131"/>
      <c r="D888" s="131"/>
      <c r="E888" s="103"/>
      <c r="F888" s="103"/>
    </row>
    <row r="889">
      <c r="A889" s="131"/>
      <c r="B889" s="131"/>
      <c r="C889" s="131"/>
      <c r="D889" s="131"/>
      <c r="E889" s="103"/>
      <c r="F889" s="103"/>
    </row>
    <row r="890">
      <c r="A890" s="131"/>
      <c r="B890" s="131"/>
      <c r="C890" s="131"/>
      <c r="D890" s="131"/>
      <c r="E890" s="103"/>
      <c r="F890" s="103"/>
    </row>
    <row r="891">
      <c r="A891" s="131"/>
      <c r="B891" s="131"/>
      <c r="C891" s="131"/>
      <c r="D891" s="131"/>
      <c r="E891" s="103"/>
      <c r="F891" s="103"/>
    </row>
    <row r="892">
      <c r="A892" s="131"/>
      <c r="B892" s="131"/>
      <c r="C892" s="131"/>
      <c r="D892" s="131"/>
      <c r="E892" s="103"/>
      <c r="F892" s="103"/>
    </row>
    <row r="893">
      <c r="A893" s="131"/>
      <c r="B893" s="131"/>
      <c r="C893" s="131"/>
      <c r="D893" s="131"/>
      <c r="E893" s="103"/>
      <c r="F893" s="103"/>
    </row>
    <row r="894">
      <c r="A894" s="131"/>
      <c r="B894" s="131"/>
      <c r="C894" s="131"/>
      <c r="D894" s="131"/>
      <c r="E894" s="103"/>
      <c r="F894" s="103"/>
    </row>
    <row r="895">
      <c r="A895" s="131"/>
      <c r="B895" s="131"/>
      <c r="C895" s="131"/>
      <c r="D895" s="131"/>
      <c r="E895" s="103"/>
      <c r="F895" s="103"/>
    </row>
    <row r="896">
      <c r="A896" s="131"/>
      <c r="B896" s="131"/>
      <c r="C896" s="131"/>
      <c r="D896" s="131"/>
      <c r="E896" s="103"/>
      <c r="F896" s="103"/>
    </row>
    <row r="897">
      <c r="A897" s="131"/>
      <c r="B897" s="131"/>
      <c r="C897" s="131"/>
      <c r="D897" s="131"/>
      <c r="E897" s="103"/>
      <c r="F897" s="103"/>
    </row>
    <row r="898">
      <c r="A898" s="131"/>
      <c r="B898" s="131"/>
      <c r="C898" s="131"/>
      <c r="D898" s="131"/>
      <c r="E898" s="103"/>
      <c r="F898" s="103"/>
    </row>
    <row r="899">
      <c r="A899" s="131"/>
      <c r="B899" s="131"/>
      <c r="C899" s="131"/>
      <c r="D899" s="131"/>
      <c r="E899" s="99"/>
      <c r="F899" s="99"/>
    </row>
    <row r="900">
      <c r="A900" s="131"/>
      <c r="B900" s="131"/>
      <c r="C900" s="131"/>
      <c r="D900" s="131"/>
      <c r="E900" s="100"/>
      <c r="F900" s="100"/>
    </row>
    <row r="901">
      <c r="A901" s="131"/>
      <c r="B901" s="131"/>
      <c r="C901" s="131"/>
      <c r="D901" s="131"/>
      <c r="E901" s="100"/>
      <c r="F901" s="100"/>
    </row>
    <row r="902">
      <c r="A902" s="131"/>
      <c r="B902" s="131"/>
      <c r="C902" s="131"/>
      <c r="D902" s="131"/>
      <c r="E902" s="100"/>
      <c r="F902" s="100"/>
    </row>
    <row r="903">
      <c r="A903" s="131"/>
      <c r="B903" s="131"/>
      <c r="C903" s="131"/>
      <c r="D903" s="131"/>
      <c r="E903" s="100"/>
      <c r="F903" s="100"/>
    </row>
    <row r="904">
      <c r="A904" s="131"/>
      <c r="B904" s="131"/>
      <c r="C904" s="131"/>
      <c r="D904" s="131"/>
      <c r="E904" s="100"/>
      <c r="F904" s="100"/>
    </row>
    <row r="905">
      <c r="A905" s="131"/>
      <c r="B905" s="131"/>
      <c r="C905" s="131"/>
      <c r="D905" s="131"/>
      <c r="E905" s="100"/>
      <c r="F905" s="100"/>
    </row>
    <row r="906">
      <c r="A906" s="131"/>
      <c r="B906" s="131"/>
      <c r="C906" s="131"/>
      <c r="D906" s="131"/>
      <c r="E906" s="100"/>
      <c r="F906" s="100"/>
    </row>
    <row r="907">
      <c r="A907" s="131"/>
      <c r="B907" s="131"/>
      <c r="C907" s="131"/>
      <c r="D907" s="131"/>
      <c r="E907" s="100"/>
      <c r="F907" s="100"/>
    </row>
    <row r="908">
      <c r="A908" s="131"/>
      <c r="B908" s="131"/>
      <c r="C908" s="131"/>
      <c r="D908" s="131"/>
      <c r="E908" s="100"/>
      <c r="F908" s="100"/>
    </row>
    <row r="909">
      <c r="A909" s="131"/>
      <c r="B909" s="131"/>
      <c r="C909" s="131"/>
      <c r="D909" s="131"/>
      <c r="E909" s="100"/>
      <c r="F909" s="100"/>
    </row>
    <row r="910">
      <c r="A910" s="131"/>
      <c r="B910" s="131"/>
      <c r="C910" s="131"/>
      <c r="D910" s="131"/>
      <c r="E910" s="99"/>
      <c r="F910" s="99"/>
    </row>
    <row r="911">
      <c r="A911" s="131"/>
      <c r="B911" s="131"/>
      <c r="C911" s="131"/>
      <c r="D911" s="131"/>
      <c r="E911" s="100"/>
      <c r="F911" s="100"/>
    </row>
    <row r="912">
      <c r="A912" s="131"/>
      <c r="B912" s="131"/>
      <c r="C912" s="131"/>
      <c r="D912" s="131"/>
      <c r="E912" s="100"/>
      <c r="F912" s="100"/>
    </row>
    <row r="913">
      <c r="A913" s="131"/>
      <c r="B913" s="131"/>
      <c r="C913" s="131"/>
      <c r="D913" s="131"/>
      <c r="E913" s="100"/>
      <c r="F913" s="100"/>
    </row>
    <row r="914">
      <c r="A914" s="131"/>
      <c r="B914" s="131"/>
      <c r="C914" s="131"/>
      <c r="D914" s="131"/>
      <c r="E914" s="100"/>
      <c r="F914" s="100"/>
    </row>
    <row r="915">
      <c r="A915" s="131"/>
      <c r="B915" s="131"/>
      <c r="C915" s="131"/>
      <c r="D915" s="131"/>
      <c r="E915" s="100"/>
      <c r="F915" s="100"/>
    </row>
    <row r="916">
      <c r="A916" s="131"/>
      <c r="B916" s="131"/>
      <c r="C916" s="131"/>
      <c r="D916" s="131"/>
      <c r="E916" s="100"/>
      <c r="F916" s="100"/>
    </row>
    <row r="917">
      <c r="A917" s="131"/>
      <c r="B917" s="131"/>
      <c r="C917" s="131"/>
      <c r="D917" s="131"/>
      <c r="E917" s="101"/>
      <c r="F917" s="101"/>
    </row>
    <row r="918">
      <c r="A918" s="131"/>
      <c r="B918" s="131"/>
      <c r="C918" s="131"/>
      <c r="D918" s="131"/>
      <c r="E918" s="101"/>
      <c r="F918" s="101"/>
    </row>
    <row r="919">
      <c r="A919" s="131"/>
      <c r="B919" s="131"/>
      <c r="C919" s="131"/>
      <c r="D919" s="131"/>
      <c r="E919" s="101"/>
      <c r="F919" s="101"/>
    </row>
    <row r="920">
      <c r="A920" s="131"/>
      <c r="B920" s="131"/>
      <c r="C920" s="131"/>
      <c r="D920" s="131"/>
      <c r="E920" s="101"/>
      <c r="F920" s="101"/>
    </row>
    <row r="921">
      <c r="A921" s="131"/>
      <c r="B921" s="131"/>
      <c r="C921" s="131"/>
      <c r="D921" s="131"/>
      <c r="E921" s="101"/>
      <c r="F921" s="101"/>
    </row>
    <row r="922">
      <c r="A922" s="131"/>
      <c r="B922" s="131"/>
      <c r="C922" s="131"/>
      <c r="D922" s="131"/>
      <c r="E922" s="101"/>
      <c r="F922" s="101"/>
    </row>
    <row r="923">
      <c r="A923" s="131"/>
      <c r="B923" s="131"/>
      <c r="C923" s="131"/>
      <c r="D923" s="131"/>
      <c r="E923" s="105"/>
      <c r="F923" s="105"/>
    </row>
    <row r="924">
      <c r="A924" s="131"/>
      <c r="B924" s="131"/>
      <c r="C924" s="131"/>
      <c r="D924" s="131"/>
      <c r="E924" s="106"/>
      <c r="F924" s="106"/>
    </row>
    <row r="925">
      <c r="A925" s="131"/>
      <c r="B925" s="131"/>
      <c r="C925" s="131"/>
      <c r="D925" s="131"/>
      <c r="E925" s="107"/>
      <c r="F925" s="107"/>
    </row>
    <row r="926">
      <c r="A926" s="131"/>
      <c r="B926" s="131"/>
      <c r="C926" s="131"/>
      <c r="D926" s="131"/>
      <c r="E926" s="107"/>
      <c r="F926" s="107"/>
    </row>
    <row r="927">
      <c r="A927" s="131"/>
      <c r="B927" s="131"/>
      <c r="C927" s="131"/>
      <c r="D927" s="131"/>
      <c r="E927" s="108"/>
      <c r="F927" s="108"/>
    </row>
    <row r="928">
      <c r="A928" s="131"/>
      <c r="B928" s="131"/>
      <c r="C928" s="131"/>
      <c r="D928" s="131"/>
      <c r="E928" s="107"/>
      <c r="F928" s="107"/>
    </row>
    <row r="929">
      <c r="A929" s="131"/>
      <c r="B929" s="131"/>
      <c r="C929" s="131"/>
      <c r="D929" s="131"/>
      <c r="E929" s="106"/>
      <c r="F929" s="106"/>
    </row>
    <row r="930">
      <c r="A930" s="131"/>
      <c r="B930" s="131"/>
      <c r="C930" s="131"/>
      <c r="D930" s="131"/>
      <c r="E930" s="107"/>
      <c r="F930" s="107"/>
    </row>
    <row r="931">
      <c r="A931" s="131"/>
      <c r="B931" s="131"/>
      <c r="C931" s="131"/>
      <c r="D931" s="131"/>
      <c r="E931" s="107"/>
      <c r="F931" s="107"/>
    </row>
    <row r="932">
      <c r="A932" s="131"/>
      <c r="B932" s="131"/>
      <c r="C932" s="131"/>
      <c r="D932" s="131"/>
      <c r="E932" s="107"/>
      <c r="F932" s="107"/>
    </row>
    <row r="933">
      <c r="A933" s="131"/>
      <c r="B933" s="131"/>
      <c r="C933" s="131"/>
      <c r="D933" s="131"/>
      <c r="E933" s="107"/>
      <c r="F933" s="107"/>
    </row>
    <row r="934">
      <c r="A934" s="131"/>
      <c r="B934" s="131"/>
      <c r="C934" s="131"/>
      <c r="D934" s="131"/>
      <c r="E934" s="106"/>
      <c r="F934" s="106"/>
    </row>
    <row r="935">
      <c r="A935" s="131"/>
      <c r="B935" s="131"/>
      <c r="C935" s="131"/>
      <c r="D935" s="131"/>
      <c r="E935" s="107"/>
      <c r="F935" s="107"/>
    </row>
    <row r="936">
      <c r="A936" s="131"/>
      <c r="B936" s="131"/>
      <c r="C936" s="131"/>
      <c r="D936" s="131"/>
      <c r="E936" s="109"/>
      <c r="F936" s="109"/>
    </row>
    <row r="937">
      <c r="A937" s="131"/>
      <c r="B937" s="131"/>
      <c r="C937" s="131"/>
      <c r="D937" s="131"/>
      <c r="E937" s="110"/>
      <c r="F937" s="110"/>
    </row>
    <row r="938">
      <c r="A938" s="131"/>
      <c r="B938" s="131"/>
      <c r="C938" s="131"/>
      <c r="D938" s="131"/>
      <c r="E938" s="110"/>
      <c r="F938" s="110"/>
    </row>
    <row r="939">
      <c r="A939" s="131"/>
      <c r="B939" s="131"/>
      <c r="C939" s="131"/>
      <c r="D939" s="131"/>
      <c r="E939" s="111"/>
      <c r="F939" s="111"/>
    </row>
    <row r="940">
      <c r="A940" s="131"/>
      <c r="B940" s="131"/>
      <c r="C940" s="131"/>
      <c r="D940" s="131"/>
      <c r="E940" s="131"/>
      <c r="F940" s="131"/>
    </row>
    <row r="941">
      <c r="A941" s="131"/>
      <c r="B941" s="131"/>
      <c r="C941" s="131"/>
      <c r="D941" s="131"/>
      <c r="E941" s="131"/>
      <c r="F941" s="131"/>
    </row>
    <row r="942">
      <c r="A942" s="131"/>
      <c r="B942" s="131"/>
      <c r="C942" s="131"/>
      <c r="D942" s="131"/>
      <c r="E942" s="131"/>
      <c r="F942" s="131"/>
    </row>
    <row r="943">
      <c r="A943" s="131"/>
      <c r="B943" s="131"/>
      <c r="C943" s="131"/>
      <c r="D943" s="131"/>
      <c r="E943" s="131"/>
      <c r="F943" s="131"/>
    </row>
    <row r="944">
      <c r="A944" s="131"/>
      <c r="B944" s="131"/>
      <c r="C944" s="131"/>
      <c r="D944" s="131"/>
      <c r="E944" s="131"/>
      <c r="F944" s="131"/>
    </row>
    <row r="945">
      <c r="A945" s="131"/>
      <c r="B945" s="131"/>
      <c r="C945" s="131"/>
      <c r="D945" s="131"/>
      <c r="E945" s="131"/>
      <c r="F945" s="131"/>
    </row>
    <row r="946">
      <c r="A946" s="131"/>
      <c r="B946" s="131"/>
      <c r="C946" s="131"/>
      <c r="D946" s="131"/>
      <c r="E946" s="131"/>
      <c r="F946" s="131"/>
    </row>
    <row r="947">
      <c r="A947" s="131"/>
      <c r="B947" s="131"/>
      <c r="C947" s="131"/>
      <c r="D947" s="131"/>
      <c r="E947" s="131"/>
      <c r="F947" s="131"/>
    </row>
    <row r="948">
      <c r="A948" s="131"/>
      <c r="B948" s="131"/>
      <c r="C948" s="131"/>
      <c r="D948" s="131"/>
      <c r="E948" s="131"/>
      <c r="F948" s="131"/>
    </row>
    <row r="949">
      <c r="A949" s="131"/>
      <c r="B949" s="131"/>
      <c r="C949" s="131"/>
      <c r="D949" s="131"/>
      <c r="E949" s="131"/>
      <c r="F949" s="131"/>
    </row>
    <row r="950">
      <c r="A950" s="131"/>
      <c r="B950" s="131"/>
      <c r="C950" s="131"/>
      <c r="D950" s="131"/>
      <c r="E950" s="131"/>
      <c r="F950" s="131"/>
    </row>
    <row r="951">
      <c r="A951" s="131"/>
      <c r="B951" s="131"/>
      <c r="C951" s="131"/>
      <c r="D951" s="131"/>
      <c r="E951" s="131"/>
      <c r="F951" s="131"/>
    </row>
    <row r="952">
      <c r="A952" s="131"/>
      <c r="B952" s="131"/>
      <c r="C952" s="131"/>
      <c r="D952" s="131"/>
      <c r="E952" s="131"/>
      <c r="F952" s="131"/>
    </row>
    <row r="953">
      <c r="A953" s="131"/>
      <c r="B953" s="131"/>
      <c r="C953" s="131"/>
      <c r="D953" s="131"/>
      <c r="E953" s="131"/>
      <c r="F953" s="131"/>
    </row>
    <row r="954">
      <c r="A954" s="131"/>
      <c r="B954" s="131"/>
      <c r="C954" s="131"/>
      <c r="D954" s="131"/>
      <c r="E954" s="131"/>
      <c r="F954" s="131"/>
    </row>
    <row r="955">
      <c r="A955" s="131"/>
      <c r="B955" s="131"/>
      <c r="C955" s="131"/>
      <c r="D955" s="131"/>
      <c r="E955" s="131"/>
      <c r="F955" s="131"/>
    </row>
    <row r="956">
      <c r="A956" s="131"/>
      <c r="B956" s="131"/>
      <c r="C956" s="131"/>
      <c r="D956" s="131"/>
      <c r="E956" s="131"/>
      <c r="F956" s="131"/>
    </row>
    <row r="957">
      <c r="A957" s="131"/>
      <c r="B957" s="131"/>
      <c r="C957" s="131"/>
      <c r="D957" s="131"/>
      <c r="E957" s="131"/>
      <c r="F957" s="131"/>
    </row>
    <row r="958">
      <c r="A958" s="131"/>
      <c r="B958" s="131"/>
      <c r="C958" s="131"/>
      <c r="D958" s="131"/>
      <c r="E958" s="131"/>
      <c r="F958" s="131"/>
    </row>
    <row r="959">
      <c r="A959" s="131"/>
      <c r="B959" s="131"/>
      <c r="C959" s="131"/>
      <c r="D959" s="131"/>
      <c r="E959" s="131"/>
      <c r="F959" s="131"/>
    </row>
    <row r="960">
      <c r="A960" s="131"/>
      <c r="B960" s="131"/>
      <c r="C960" s="131"/>
      <c r="D960" s="131"/>
      <c r="E960" s="131"/>
      <c r="F960" s="131"/>
    </row>
    <row r="961">
      <c r="A961" s="131"/>
      <c r="B961" s="131"/>
      <c r="C961" s="131"/>
      <c r="D961" s="131"/>
      <c r="E961" s="131"/>
      <c r="F961" s="131"/>
    </row>
    <row r="962">
      <c r="A962" s="131"/>
      <c r="B962" s="131"/>
      <c r="C962" s="131"/>
      <c r="D962" s="131"/>
      <c r="E962" s="131"/>
      <c r="F962" s="131"/>
    </row>
    <row r="963">
      <c r="A963" s="131"/>
      <c r="B963" s="131"/>
      <c r="C963" s="131"/>
      <c r="D963" s="131"/>
      <c r="E963" s="131"/>
      <c r="F963" s="131"/>
    </row>
    <row r="964">
      <c r="A964" s="131"/>
      <c r="B964" s="131"/>
      <c r="C964" s="131"/>
      <c r="D964" s="131"/>
      <c r="E964" s="131"/>
      <c r="F964" s="131"/>
    </row>
    <row r="965">
      <c r="A965" s="131"/>
      <c r="B965" s="131"/>
      <c r="C965" s="131"/>
      <c r="D965" s="131"/>
      <c r="E965" s="131"/>
      <c r="F965" s="131"/>
    </row>
    <row r="966">
      <c r="A966" s="131"/>
      <c r="B966" s="131"/>
      <c r="C966" s="131"/>
      <c r="D966" s="131"/>
      <c r="E966" s="131"/>
      <c r="F966" s="131"/>
    </row>
    <row r="967">
      <c r="A967" s="131"/>
      <c r="B967" s="131"/>
      <c r="C967" s="131"/>
      <c r="D967" s="131"/>
      <c r="E967" s="131"/>
      <c r="F967" s="131"/>
    </row>
    <row r="968">
      <c r="A968" s="131"/>
      <c r="B968" s="131"/>
      <c r="C968" s="131"/>
      <c r="D968" s="131"/>
      <c r="E968" s="131"/>
      <c r="F968" s="131"/>
    </row>
    <row r="969">
      <c r="A969" s="131"/>
      <c r="B969" s="131"/>
      <c r="C969" s="131"/>
      <c r="D969" s="131"/>
      <c r="E969" s="131"/>
      <c r="F969" s="131"/>
    </row>
    <row r="970">
      <c r="A970" s="131"/>
      <c r="B970" s="131"/>
      <c r="C970" s="131"/>
      <c r="D970" s="131"/>
      <c r="E970" s="131"/>
      <c r="F970" s="131"/>
    </row>
    <row r="971">
      <c r="A971" s="131"/>
      <c r="B971" s="131"/>
      <c r="C971" s="131"/>
      <c r="D971" s="131"/>
      <c r="E971" s="131"/>
      <c r="F971" s="131"/>
    </row>
    <row r="972">
      <c r="A972" s="131"/>
      <c r="B972" s="131"/>
      <c r="C972" s="131"/>
      <c r="D972" s="131"/>
      <c r="E972" s="131"/>
      <c r="F972" s="131"/>
    </row>
    <row r="973">
      <c r="A973" s="131"/>
      <c r="B973" s="131"/>
      <c r="C973" s="131"/>
      <c r="D973" s="131"/>
      <c r="E973" s="131"/>
      <c r="F973" s="131"/>
    </row>
    <row r="974">
      <c r="A974" s="131"/>
      <c r="B974" s="131"/>
      <c r="C974" s="131"/>
      <c r="D974" s="131"/>
      <c r="E974" s="131"/>
      <c r="F974" s="131"/>
    </row>
    <row r="975">
      <c r="A975" s="131"/>
      <c r="B975" s="131"/>
      <c r="C975" s="131"/>
      <c r="D975" s="131"/>
      <c r="E975" s="131"/>
      <c r="F975" s="131"/>
    </row>
    <row r="976">
      <c r="A976" s="131"/>
      <c r="B976" s="131"/>
      <c r="C976" s="131"/>
      <c r="D976" s="131"/>
      <c r="E976" s="131"/>
      <c r="F976" s="131"/>
    </row>
    <row r="977">
      <c r="A977" s="131"/>
      <c r="B977" s="131"/>
      <c r="C977" s="131"/>
      <c r="D977" s="131"/>
      <c r="E977" s="131"/>
      <c r="F977" s="131"/>
    </row>
    <row r="978">
      <c r="A978" s="131"/>
      <c r="B978" s="131"/>
      <c r="C978" s="131"/>
      <c r="D978" s="131"/>
      <c r="E978" s="131"/>
      <c r="F978" s="131"/>
    </row>
    <row r="979">
      <c r="A979" s="131"/>
      <c r="B979" s="131"/>
      <c r="C979" s="131"/>
      <c r="D979" s="131"/>
      <c r="E979" s="131"/>
      <c r="F979" s="131"/>
    </row>
    <row r="980">
      <c r="A980" s="131"/>
      <c r="B980" s="131"/>
      <c r="C980" s="131"/>
      <c r="D980" s="131"/>
      <c r="E980" s="131"/>
      <c r="F980" s="131"/>
    </row>
    <row r="981">
      <c r="A981" s="131"/>
      <c r="B981" s="131"/>
      <c r="C981" s="131"/>
      <c r="D981" s="131"/>
      <c r="E981" s="131"/>
      <c r="F981" s="131"/>
    </row>
    <row r="982">
      <c r="A982" s="131"/>
      <c r="B982" s="131"/>
      <c r="C982" s="131"/>
      <c r="D982" s="131"/>
      <c r="E982" s="131"/>
      <c r="F982" s="131"/>
    </row>
    <row r="983">
      <c r="A983" s="131"/>
      <c r="B983" s="131"/>
      <c r="C983" s="131"/>
      <c r="D983" s="131"/>
      <c r="E983" s="131"/>
      <c r="F983" s="131"/>
    </row>
    <row r="984">
      <c r="A984" s="131"/>
      <c r="B984" s="131"/>
      <c r="C984" s="131"/>
      <c r="D984" s="131"/>
      <c r="E984" s="131"/>
      <c r="F984" s="131"/>
    </row>
    <row r="985">
      <c r="A985" s="131"/>
      <c r="B985" s="131"/>
      <c r="C985" s="131"/>
      <c r="D985" s="131"/>
      <c r="E985" s="131"/>
      <c r="F985" s="131"/>
    </row>
    <row r="986">
      <c r="A986" s="131"/>
      <c r="B986" s="131"/>
      <c r="C986" s="131"/>
      <c r="D986" s="131"/>
      <c r="E986" s="131"/>
      <c r="F986" s="131"/>
    </row>
    <row r="987">
      <c r="A987" s="131"/>
      <c r="B987" s="131"/>
      <c r="C987" s="131"/>
      <c r="D987" s="131"/>
      <c r="E987" s="131"/>
      <c r="F987" s="131"/>
    </row>
    <row r="988">
      <c r="A988" s="131"/>
      <c r="B988" s="131"/>
      <c r="C988" s="131"/>
      <c r="D988" s="131"/>
      <c r="E988" s="131"/>
      <c r="F988" s="131"/>
    </row>
    <row r="989">
      <c r="A989" s="131"/>
      <c r="B989" s="131"/>
      <c r="C989" s="131"/>
      <c r="D989" s="131"/>
      <c r="E989" s="131"/>
      <c r="F989" s="131"/>
    </row>
    <row r="990">
      <c r="A990" s="131"/>
      <c r="B990" s="131"/>
      <c r="C990" s="131"/>
      <c r="D990" s="131"/>
      <c r="E990" s="131"/>
      <c r="F990" s="131"/>
    </row>
    <row r="991">
      <c r="A991" s="131"/>
      <c r="B991" s="131"/>
      <c r="C991" s="131"/>
      <c r="D991" s="131"/>
      <c r="E991" s="131"/>
      <c r="F991" s="131"/>
    </row>
    <row r="992">
      <c r="A992" s="131"/>
      <c r="B992" s="131"/>
      <c r="C992" s="131"/>
      <c r="D992" s="131"/>
      <c r="E992" s="131"/>
      <c r="F992" s="131"/>
    </row>
    <row r="993">
      <c r="A993" s="131"/>
      <c r="B993" s="131"/>
      <c r="C993" s="131"/>
      <c r="D993" s="131"/>
      <c r="E993" s="131"/>
      <c r="F993" s="131"/>
    </row>
    <row r="994">
      <c r="A994" s="131"/>
      <c r="B994" s="131"/>
      <c r="C994" s="131"/>
      <c r="D994" s="131"/>
      <c r="E994" s="131"/>
      <c r="F994" s="131"/>
    </row>
  </sheetData>
  <mergeCells count="12">
    <mergeCell ref="L752:P752"/>
    <mergeCell ref="Q752:W752"/>
    <mergeCell ref="G846:K846"/>
    <mergeCell ref="L846:P846"/>
    <mergeCell ref="Q846:W846"/>
    <mergeCell ref="G1:K1"/>
    <mergeCell ref="L1:P1"/>
    <mergeCell ref="Q1:W1"/>
    <mergeCell ref="G500:K500"/>
    <mergeCell ref="L500:P500"/>
    <mergeCell ref="Q500:W500"/>
    <mergeCell ref="G752:K752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2" max="22" width="16.29"/>
    <col customWidth="1" min="23" max="23" width="16.14"/>
  </cols>
  <sheetData>
    <row r="1">
      <c r="A1" s="86" t="s">
        <v>554</v>
      </c>
      <c r="B1" s="87" t="s">
        <v>27</v>
      </c>
      <c r="G1" s="121" t="s">
        <v>555</v>
      </c>
      <c r="H1" s="13"/>
      <c r="I1" s="13"/>
      <c r="J1" s="13"/>
      <c r="K1" s="14"/>
      <c r="L1" s="121" t="s">
        <v>556</v>
      </c>
      <c r="M1" s="13"/>
      <c r="N1" s="13"/>
      <c r="O1" s="13"/>
      <c r="P1" s="14"/>
      <c r="Q1" s="122" t="s">
        <v>33</v>
      </c>
      <c r="R1" s="13"/>
      <c r="S1" s="13"/>
      <c r="T1" s="13"/>
      <c r="U1" s="13"/>
      <c r="V1" s="13"/>
      <c r="W1" s="14"/>
    </row>
    <row r="2">
      <c r="A2" s="90" t="s">
        <v>41</v>
      </c>
      <c r="B2" s="90" t="s">
        <v>42</v>
      </c>
      <c r="C2" s="90" t="s">
        <v>43</v>
      </c>
      <c r="D2" s="90" t="s">
        <v>44</v>
      </c>
      <c r="E2" s="90" t="s">
        <v>45</v>
      </c>
      <c r="F2" s="90" t="s">
        <v>46</v>
      </c>
      <c r="G2" s="123" t="s">
        <v>557</v>
      </c>
      <c r="H2" s="124" t="s">
        <v>558</v>
      </c>
      <c r="I2" s="124" t="s">
        <v>559</v>
      </c>
      <c r="J2" s="125" t="s">
        <v>560</v>
      </c>
      <c r="K2" s="125" t="s">
        <v>561</v>
      </c>
      <c r="L2" s="126" t="s">
        <v>562</v>
      </c>
      <c r="M2" s="125" t="s">
        <v>563</v>
      </c>
      <c r="N2" s="125" t="s">
        <v>564</v>
      </c>
      <c r="O2" s="125" t="s">
        <v>565</v>
      </c>
      <c r="P2" s="127" t="s">
        <v>566</v>
      </c>
      <c r="Q2" s="128" t="s">
        <v>567</v>
      </c>
      <c r="R2" s="129" t="s">
        <v>568</v>
      </c>
      <c r="S2" s="129" t="s">
        <v>569</v>
      </c>
      <c r="T2" s="129" t="s">
        <v>570</v>
      </c>
      <c r="U2" s="129" t="s">
        <v>571</v>
      </c>
      <c r="V2" s="129" t="s">
        <v>572</v>
      </c>
      <c r="W2" s="130" t="s">
        <v>573</v>
      </c>
    </row>
    <row r="3">
      <c r="A3" s="131">
        <f>IFERROR(__xludf.DUMMYFUNCTION("QUERY(MASTERLIST!A3:F997, ""SELECT *"", 0)"),1.0)</f>
        <v>1</v>
      </c>
      <c r="B3" s="131"/>
      <c r="C3" s="131">
        <f>IFERROR(__xludf.DUMMYFUNCTION("""COMPUTED_VALUE"""),1.0)</f>
        <v>1</v>
      </c>
      <c r="D3" s="131" t="b">
        <f>IFERROR(__xludf.DUMMYFUNCTION("""COMPUTED_VALUE"""),TRUE)</f>
        <v>1</v>
      </c>
      <c r="E3" s="94" t="str">
        <f>IFERROR(__xludf.DUMMYFUNCTION("""COMPUTED_VALUE"""),"ARANDA")</f>
        <v>ARANDA</v>
      </c>
      <c r="F3" s="94" t="str">
        <f>IFERROR(__xludf.DUMMYFUNCTION("""COMPUTED_VALUE"""),"KAI")</f>
        <v>KAI</v>
      </c>
    </row>
    <row r="4">
      <c r="A4" s="131">
        <f>IFERROR(__xludf.DUMMYFUNCTION("""COMPUTED_VALUE"""),2.0)</f>
        <v>2</v>
      </c>
      <c r="B4" s="131"/>
      <c r="C4" s="131">
        <f>IFERROR(__xludf.DUMMYFUNCTION("""COMPUTED_VALUE"""),1.0)</f>
        <v>1</v>
      </c>
      <c r="D4" s="131" t="b">
        <f>IFERROR(__xludf.DUMMYFUNCTION("""COMPUTED_VALUE"""),FALSE)</f>
        <v>0</v>
      </c>
      <c r="E4" s="95" t="str">
        <f>IFERROR(__xludf.DUMMYFUNCTION("""COMPUTED_VALUE"""),"ARCILLA")</f>
        <v>ARCILLA</v>
      </c>
      <c r="F4" s="96" t="str">
        <f>IFERROR(__xludf.DUMMYFUNCTION("""COMPUTED_VALUE"""),"DANIELA")</f>
        <v>DANIELA</v>
      </c>
    </row>
    <row r="5">
      <c r="A5" s="131">
        <f>IFERROR(__xludf.DUMMYFUNCTION("""COMPUTED_VALUE"""),3.0)</f>
        <v>3</v>
      </c>
      <c r="B5" s="131"/>
      <c r="C5" s="131">
        <f>IFERROR(__xludf.DUMMYFUNCTION("""COMPUTED_VALUE"""),1.0)</f>
        <v>1</v>
      </c>
      <c r="D5" s="131" t="b">
        <f>IFERROR(__xludf.DUMMYFUNCTION("""COMPUTED_VALUE"""),FALSE)</f>
        <v>0</v>
      </c>
      <c r="E5" s="95" t="str">
        <f>IFERROR(__xludf.DUMMYFUNCTION("""COMPUTED_VALUE"""),"ANDRE")</f>
        <v>ANDRE</v>
      </c>
      <c r="F5" s="96" t="str">
        <f>IFERROR(__xludf.DUMMYFUNCTION("""COMPUTED_VALUE"""),"CARLA")</f>
        <v>CARLA</v>
      </c>
    </row>
    <row r="6">
      <c r="A6" s="131">
        <f>IFERROR(__xludf.DUMMYFUNCTION("""COMPUTED_VALUE"""),4.0)</f>
        <v>4</v>
      </c>
      <c r="B6" s="131"/>
      <c r="C6" s="131">
        <f>IFERROR(__xludf.DUMMYFUNCTION("""COMPUTED_VALUE"""),1.0)</f>
        <v>1</v>
      </c>
      <c r="D6" s="131" t="b">
        <f>IFERROR(__xludf.DUMMYFUNCTION("""COMPUTED_VALUE"""),FALSE)</f>
        <v>0</v>
      </c>
      <c r="E6" s="96" t="str">
        <f>IFERROR(__xludf.DUMMYFUNCTION("""COMPUTED_VALUE"""),"BALDELOVAR")</f>
        <v>BALDELOVAR</v>
      </c>
      <c r="F6" s="96" t="str">
        <f>IFERROR(__xludf.DUMMYFUNCTION("""COMPUTED_VALUE"""),"LEANNE")</f>
        <v>LEANNE</v>
      </c>
    </row>
    <row r="7">
      <c r="A7" s="131">
        <f>IFERROR(__xludf.DUMMYFUNCTION("""COMPUTED_VALUE"""),5.0)</f>
        <v>5</v>
      </c>
      <c r="B7" s="131"/>
      <c r="C7" s="131">
        <f>IFERROR(__xludf.DUMMYFUNCTION("""COMPUTED_VALUE"""),1.0)</f>
        <v>1</v>
      </c>
      <c r="D7" s="131" t="b">
        <f>IFERROR(__xludf.DUMMYFUNCTION("""COMPUTED_VALUE"""),FALSE)</f>
        <v>0</v>
      </c>
      <c r="E7" s="96" t="str">
        <f>IFERROR(__xludf.DUMMYFUNCTION("""COMPUTED_VALUE"""),"BANTAYAN")</f>
        <v>BANTAYAN</v>
      </c>
      <c r="F7" s="96" t="str">
        <f>IFERROR(__xludf.DUMMYFUNCTION("""COMPUTED_VALUE"""),"EURASIA")</f>
        <v>EURASIA</v>
      </c>
    </row>
    <row r="8">
      <c r="A8" s="131">
        <f>IFERROR(__xludf.DUMMYFUNCTION("""COMPUTED_VALUE"""),6.0)</f>
        <v>6</v>
      </c>
      <c r="B8" s="131"/>
      <c r="C8" s="131">
        <f>IFERROR(__xludf.DUMMYFUNCTION("""COMPUTED_VALUE"""),1.0)</f>
        <v>1</v>
      </c>
      <c r="D8" s="131" t="b">
        <f>IFERROR(__xludf.DUMMYFUNCTION("""COMPUTED_VALUE"""),FALSE)</f>
        <v>0</v>
      </c>
      <c r="E8" s="96" t="str">
        <f>IFERROR(__xludf.DUMMYFUNCTION("""COMPUTED_VALUE"""),"BUCTOT")</f>
        <v>BUCTOT</v>
      </c>
      <c r="F8" s="96" t="str">
        <f>IFERROR(__xludf.DUMMYFUNCTION("""COMPUTED_VALUE"""),"JEZEBEL")</f>
        <v>JEZEBEL</v>
      </c>
    </row>
    <row r="9">
      <c r="A9" s="131">
        <f>IFERROR(__xludf.DUMMYFUNCTION("""COMPUTED_VALUE"""),7.0)</f>
        <v>7</v>
      </c>
      <c r="B9" s="131"/>
      <c r="C9" s="131">
        <f>IFERROR(__xludf.DUMMYFUNCTION("""COMPUTED_VALUE"""),1.0)</f>
        <v>1</v>
      </c>
      <c r="D9" s="131" t="b">
        <f>IFERROR(__xludf.DUMMYFUNCTION("""COMPUTED_VALUE"""),FALSE)</f>
        <v>0</v>
      </c>
      <c r="E9" s="96" t="str">
        <f>IFERROR(__xludf.DUMMYFUNCTION("""COMPUTED_VALUE"""),"ENCARNACION")</f>
        <v>ENCARNACION</v>
      </c>
      <c r="F9" s="96" t="str">
        <f>IFERROR(__xludf.DUMMYFUNCTION("""COMPUTED_VALUE"""),"KRISTEL")</f>
        <v>KRISTEL</v>
      </c>
    </row>
    <row r="10">
      <c r="A10" s="131">
        <f>IFERROR(__xludf.DUMMYFUNCTION("""COMPUTED_VALUE"""),8.0)</f>
        <v>8</v>
      </c>
      <c r="B10" s="131"/>
      <c r="C10" s="131">
        <f>IFERROR(__xludf.DUMMYFUNCTION("""COMPUTED_VALUE"""),1.0)</f>
        <v>1</v>
      </c>
      <c r="D10" s="131" t="b">
        <f>IFERROR(__xludf.DUMMYFUNCTION("""COMPUTED_VALUE"""),FALSE)</f>
        <v>0</v>
      </c>
      <c r="E10" s="96" t="str">
        <f>IFERROR(__xludf.DUMMYFUNCTION("""COMPUTED_VALUE"""),"GUTIERREZ")</f>
        <v>GUTIERREZ</v>
      </c>
      <c r="F10" s="96" t="str">
        <f>IFERROR(__xludf.DUMMYFUNCTION("""COMPUTED_VALUE"""),"PAOLA")</f>
        <v>PAOLA</v>
      </c>
    </row>
    <row r="11">
      <c r="A11" s="131">
        <f>IFERROR(__xludf.DUMMYFUNCTION("""COMPUTED_VALUE"""),9.0)</f>
        <v>9</v>
      </c>
      <c r="B11" s="131"/>
      <c r="C11" s="131">
        <f>IFERROR(__xludf.DUMMYFUNCTION("""COMPUTED_VALUE"""),1.0)</f>
        <v>1</v>
      </c>
      <c r="D11" s="131" t="b">
        <f>IFERROR(__xludf.DUMMYFUNCTION("""COMPUTED_VALUE"""),FALSE)</f>
        <v>0</v>
      </c>
      <c r="E11" s="96" t="str">
        <f>IFERROR(__xludf.DUMMYFUNCTION("""COMPUTED_VALUE"""),"HISPANO")</f>
        <v>HISPANO</v>
      </c>
      <c r="F11" s="96" t="str">
        <f>IFERROR(__xludf.DUMMYFUNCTION("""COMPUTED_VALUE"""),"HANNA")</f>
        <v>HANNA</v>
      </c>
    </row>
    <row r="12">
      <c r="A12" s="131">
        <f>IFERROR(__xludf.DUMMYFUNCTION("""COMPUTED_VALUE"""),10.0)</f>
        <v>10</v>
      </c>
      <c r="B12" s="131"/>
      <c r="C12" s="131">
        <f>IFERROR(__xludf.DUMMYFUNCTION("""COMPUTED_VALUE"""),1.0)</f>
        <v>1</v>
      </c>
      <c r="D12" s="131" t="b">
        <f>IFERROR(__xludf.DUMMYFUNCTION("""COMPUTED_VALUE"""),FALSE)</f>
        <v>0</v>
      </c>
      <c r="E12" s="96" t="str">
        <f>IFERROR(__xludf.DUMMYFUNCTION("""COMPUTED_VALUE"""),"MALOLOY-ON")</f>
        <v>MALOLOY-ON</v>
      </c>
      <c r="F12" s="96" t="str">
        <f>IFERROR(__xludf.DUMMYFUNCTION("""COMPUTED_VALUE"""),"MARIANA")</f>
        <v>MARIANA</v>
      </c>
    </row>
    <row r="13">
      <c r="A13" s="131">
        <f>IFERROR(__xludf.DUMMYFUNCTION("""COMPUTED_VALUE"""),11.0)</f>
        <v>11</v>
      </c>
      <c r="B13" s="131"/>
      <c r="C13" s="131">
        <f>IFERROR(__xludf.DUMMYFUNCTION("""COMPUTED_VALUE"""),1.0)</f>
        <v>1</v>
      </c>
      <c r="D13" s="131" t="b">
        <f>IFERROR(__xludf.DUMMYFUNCTION("""COMPUTED_VALUE"""),FALSE)</f>
        <v>0</v>
      </c>
      <c r="E13" s="96" t="str">
        <f>IFERROR(__xludf.DUMMYFUNCTION("""COMPUTED_VALUE"""),"MALOLOY-ON")</f>
        <v>MALOLOY-ON</v>
      </c>
      <c r="F13" s="96" t="str">
        <f>IFERROR(__xludf.DUMMYFUNCTION("""COMPUTED_VALUE"""),"JOISEALAY")</f>
        <v>JOISEALAY</v>
      </c>
    </row>
    <row r="14">
      <c r="A14" s="131">
        <f>IFERROR(__xludf.DUMMYFUNCTION("""COMPUTED_VALUE"""),12.0)</f>
        <v>12</v>
      </c>
      <c r="B14" s="131"/>
      <c r="C14" s="131">
        <f>IFERROR(__xludf.DUMMYFUNCTION("""COMPUTED_VALUE"""),1.0)</f>
        <v>1</v>
      </c>
      <c r="D14" s="131" t="b">
        <f>IFERROR(__xludf.DUMMYFUNCTION("""COMPUTED_VALUE"""),FALSE)</f>
        <v>0</v>
      </c>
      <c r="E14" s="96" t="str">
        <f>IFERROR(__xludf.DUMMYFUNCTION("""COMPUTED_VALUE"""),"ORQUIA")</f>
        <v>ORQUIA</v>
      </c>
      <c r="F14" s="96" t="str">
        <f>IFERROR(__xludf.DUMMYFUNCTION("""COMPUTED_VALUE"""),"KAYLA")</f>
        <v>KAYLA</v>
      </c>
    </row>
    <row r="15">
      <c r="A15" s="131">
        <f>IFERROR(__xludf.DUMMYFUNCTION("""COMPUTED_VALUE"""),13.0)</f>
        <v>13</v>
      </c>
      <c r="B15" s="131"/>
      <c r="C15" s="131">
        <f>IFERROR(__xludf.DUMMYFUNCTION("""COMPUTED_VALUE"""),1.0)</f>
        <v>1</v>
      </c>
      <c r="D15" s="131" t="b">
        <f>IFERROR(__xludf.DUMMYFUNCTION("""COMPUTED_VALUE"""),FALSE)</f>
        <v>0</v>
      </c>
      <c r="E15" s="96" t="str">
        <f>IFERROR(__xludf.DUMMYFUNCTION("""COMPUTED_VALUE"""),"PIGAO")</f>
        <v>PIGAO</v>
      </c>
      <c r="F15" s="96" t="str">
        <f>IFERROR(__xludf.DUMMYFUNCTION("""COMPUTED_VALUE"""),"HANNAH")</f>
        <v>HANNAH</v>
      </c>
    </row>
    <row r="16">
      <c r="A16" s="131">
        <f>IFERROR(__xludf.DUMMYFUNCTION("""COMPUTED_VALUE"""),14.0)</f>
        <v>14</v>
      </c>
      <c r="B16" s="131"/>
      <c r="C16" s="131">
        <f>IFERROR(__xludf.DUMMYFUNCTION("""COMPUTED_VALUE"""),1.0)</f>
        <v>1</v>
      </c>
      <c r="D16" s="131" t="b">
        <f>IFERROR(__xludf.DUMMYFUNCTION("""COMPUTED_VALUE"""),FALSE)</f>
        <v>0</v>
      </c>
      <c r="E16" s="96" t="str">
        <f>IFERROR(__xludf.DUMMYFUNCTION("""COMPUTED_VALUE"""),"RELEVO")</f>
        <v>RELEVO</v>
      </c>
      <c r="F16" s="96" t="str">
        <f>IFERROR(__xludf.DUMMYFUNCTION("""COMPUTED_VALUE"""),"RICA")</f>
        <v>RICA</v>
      </c>
    </row>
    <row r="17">
      <c r="A17" s="131">
        <f>IFERROR(__xludf.DUMMYFUNCTION("""COMPUTED_VALUE"""),15.0)</f>
        <v>15</v>
      </c>
      <c r="B17" s="131"/>
      <c r="C17" s="131">
        <f>IFERROR(__xludf.DUMMYFUNCTION("""COMPUTED_VALUE"""),1.0)</f>
        <v>1</v>
      </c>
      <c r="D17" s="131" t="b">
        <f>IFERROR(__xludf.DUMMYFUNCTION("""COMPUTED_VALUE"""),FALSE)</f>
        <v>0</v>
      </c>
      <c r="E17" s="97" t="str">
        <f>IFERROR(__xludf.DUMMYFUNCTION("""COMPUTED_VALUE"""),"REYES")</f>
        <v>REYES</v>
      </c>
      <c r="F17" s="97" t="str">
        <f>IFERROR(__xludf.DUMMYFUNCTION("""COMPUTED_VALUE"""),"ARIANNE")</f>
        <v>ARIANNE</v>
      </c>
    </row>
    <row r="18">
      <c r="A18" s="131">
        <f>IFERROR(__xludf.DUMMYFUNCTION("""COMPUTED_VALUE"""),16.0)</f>
        <v>16</v>
      </c>
      <c r="B18" s="131"/>
      <c r="C18" s="131">
        <f>IFERROR(__xludf.DUMMYFUNCTION("""COMPUTED_VALUE"""),1.0)</f>
        <v>1</v>
      </c>
      <c r="D18" s="131" t="b">
        <f>IFERROR(__xludf.DUMMYFUNCTION("""COMPUTED_VALUE"""),FALSE)</f>
        <v>0</v>
      </c>
      <c r="E18" s="96" t="str">
        <f>IFERROR(__xludf.DUMMYFUNCTION("""COMPUTED_VALUE"""),"ROMANO")</f>
        <v>ROMANO</v>
      </c>
      <c r="F18" s="96" t="str">
        <f>IFERROR(__xludf.DUMMYFUNCTION("""COMPUTED_VALUE"""),"ROZANE")</f>
        <v>ROZANE</v>
      </c>
    </row>
    <row r="19">
      <c r="A19" s="131">
        <f>IFERROR(__xludf.DUMMYFUNCTION("""COMPUTED_VALUE"""),17.0)</f>
        <v>17</v>
      </c>
      <c r="B19" s="131"/>
      <c r="C19" s="131">
        <f>IFERROR(__xludf.DUMMYFUNCTION("""COMPUTED_VALUE"""),1.0)</f>
        <v>1</v>
      </c>
      <c r="D19" s="131" t="b">
        <f>IFERROR(__xludf.DUMMYFUNCTION("""COMPUTED_VALUE"""),FALSE)</f>
        <v>0</v>
      </c>
      <c r="E19" s="96" t="str">
        <f>IFERROR(__xludf.DUMMYFUNCTION("""COMPUTED_VALUE"""),"SEBASTIAN")</f>
        <v>SEBASTIAN</v>
      </c>
      <c r="F19" s="96" t="str">
        <f>IFERROR(__xludf.DUMMYFUNCTION("""COMPUTED_VALUE"""),"JENNIFER")</f>
        <v>JENNIFER</v>
      </c>
    </row>
    <row r="20">
      <c r="A20" s="131">
        <f>IFERROR(__xludf.DUMMYFUNCTION("""COMPUTED_VALUE"""),18.0)</f>
        <v>18</v>
      </c>
      <c r="B20" s="131"/>
      <c r="C20" s="131">
        <f>IFERROR(__xludf.DUMMYFUNCTION("""COMPUTED_VALUE"""),1.0)</f>
        <v>1</v>
      </c>
      <c r="D20" s="131" t="b">
        <f>IFERROR(__xludf.DUMMYFUNCTION("""COMPUTED_VALUE"""),FALSE)</f>
        <v>0</v>
      </c>
      <c r="E20" s="96" t="str">
        <f>IFERROR(__xludf.DUMMYFUNCTION("""COMPUTED_VALUE"""),"SIMON")</f>
        <v>SIMON</v>
      </c>
      <c r="F20" s="96" t="str">
        <f>IFERROR(__xludf.DUMMYFUNCTION("""COMPUTED_VALUE"""),"SHERRIE")</f>
        <v>SHERRIE</v>
      </c>
    </row>
    <row r="21">
      <c r="A21" s="131">
        <f>IFERROR(__xludf.DUMMYFUNCTION("""COMPUTED_VALUE"""),19.0)</f>
        <v>19</v>
      </c>
      <c r="B21" s="131">
        <f>IFERROR(__xludf.DUMMYFUNCTION("""COMPUTED_VALUE"""),15.0)</f>
        <v>15</v>
      </c>
      <c r="C21" s="131">
        <f>IFERROR(__xludf.DUMMYFUNCTION("""COMPUTED_VALUE"""),1.0)</f>
        <v>1</v>
      </c>
      <c r="D21" s="131" t="b">
        <f>IFERROR(__xludf.DUMMYFUNCTION("""COMPUTED_VALUE"""),FALSE)</f>
        <v>0</v>
      </c>
      <c r="E21" s="96" t="str">
        <f>IFERROR(__xludf.DUMMYFUNCTION("""COMPUTED_VALUE"""),"TAMIDLES")</f>
        <v>TAMIDLES</v>
      </c>
      <c r="F21" s="96" t="str">
        <f>IFERROR(__xludf.DUMMYFUNCTION("""COMPUTED_VALUE"""),"CZARINA")</f>
        <v>CZARINA</v>
      </c>
    </row>
    <row r="22">
      <c r="A22" s="131">
        <f>IFERROR(__xludf.DUMMYFUNCTION("""COMPUTED_VALUE"""),20.0)</f>
        <v>20</v>
      </c>
      <c r="B22" s="131">
        <f>IFERROR(__xludf.DUMMYFUNCTION("""COMPUTED_VALUE"""),15.0)</f>
        <v>15</v>
      </c>
      <c r="C22" s="131">
        <f>IFERROR(__xludf.DUMMYFUNCTION("""COMPUTED_VALUE"""),1.0)</f>
        <v>1</v>
      </c>
      <c r="D22" s="131" t="b">
        <f>IFERROR(__xludf.DUMMYFUNCTION("""COMPUTED_VALUE"""),FALSE)</f>
        <v>0</v>
      </c>
      <c r="E22" s="96" t="str">
        <f>IFERROR(__xludf.DUMMYFUNCTION("""COMPUTED_VALUE"""),"ULAN")</f>
        <v>ULAN</v>
      </c>
      <c r="F22" s="96" t="str">
        <f>IFERROR(__xludf.DUMMYFUNCTION("""COMPUTED_VALUE"""),"MCWAYNE")</f>
        <v>MCWAYNE</v>
      </c>
    </row>
    <row r="23">
      <c r="A23" s="131">
        <f>IFERROR(__xludf.DUMMYFUNCTION("""COMPUTED_VALUE"""),21.0)</f>
        <v>21</v>
      </c>
      <c r="B23" s="131"/>
      <c r="C23" s="131">
        <f>IFERROR(__xludf.DUMMYFUNCTION("""COMPUTED_VALUE"""),1.0)</f>
        <v>1</v>
      </c>
      <c r="D23" s="131" t="b">
        <f>IFERROR(__xludf.DUMMYFUNCTION("""COMPUTED_VALUE"""),FALSE)</f>
        <v>0</v>
      </c>
      <c r="E23" s="96" t="str">
        <f>IFERROR(__xludf.DUMMYFUNCTION("""COMPUTED_VALUE"""),"VILLARTA")</f>
        <v>VILLARTA</v>
      </c>
      <c r="F23" s="96" t="str">
        <f>IFERROR(__xludf.DUMMYFUNCTION("""COMPUTED_VALUE"""),"JERICKA")</f>
        <v>JERICKA</v>
      </c>
    </row>
    <row r="24">
      <c r="A24" s="131">
        <f>IFERROR(__xludf.DUMMYFUNCTION("""COMPUTED_VALUE"""),22.0)</f>
        <v>22</v>
      </c>
      <c r="B24" s="131"/>
      <c r="C24" s="131"/>
      <c r="D24" s="131" t="b">
        <f>IFERROR(__xludf.DUMMYFUNCTION("""COMPUTED_VALUE"""),FALSE)</f>
        <v>0</v>
      </c>
      <c r="E24" s="98"/>
      <c r="F24" s="96" t="str">
        <f>IFERROR(__xludf.DUMMYFUNCTION("""COMPUTED_VALUE"""),"ANGEL")</f>
        <v>ANGEL</v>
      </c>
    </row>
    <row r="25">
      <c r="A25" s="131">
        <f>IFERROR(__xludf.DUMMYFUNCTION("""COMPUTED_VALUE"""),23.0)</f>
        <v>23</v>
      </c>
      <c r="B25" s="131"/>
      <c r="C25" s="131">
        <f>IFERROR(__xludf.DUMMYFUNCTION("""COMPUTED_VALUE"""),23.0)</f>
        <v>23</v>
      </c>
      <c r="D25" s="131" t="b">
        <f>IFERROR(__xludf.DUMMYFUNCTION("""COMPUTED_VALUE"""),TRUE)</f>
        <v>1</v>
      </c>
      <c r="E25" s="99" t="str">
        <f>IFERROR(__xludf.DUMMYFUNCTION("""COMPUTED_VALUE"""),"AVANCENA")</f>
        <v>AVANCENA</v>
      </c>
      <c r="F25" s="99" t="str">
        <f>IFERROR(__xludf.DUMMYFUNCTION("""COMPUTED_VALUE"""),"AIMEE")</f>
        <v>AIMEE</v>
      </c>
    </row>
    <row r="26">
      <c r="A26" s="131">
        <f>IFERROR(__xludf.DUMMYFUNCTION("""COMPUTED_VALUE"""),24.0)</f>
        <v>24</v>
      </c>
      <c r="B26" s="131"/>
      <c r="C26" s="131">
        <f>IFERROR(__xludf.DUMMYFUNCTION("""COMPUTED_VALUE"""),23.0)</f>
        <v>23</v>
      </c>
      <c r="D26" s="131" t="b">
        <f>IFERROR(__xludf.DUMMYFUNCTION("""COMPUTED_VALUE"""),FALSE)</f>
        <v>0</v>
      </c>
      <c r="E26" s="100" t="str">
        <f>IFERROR(__xludf.DUMMYFUNCTION("""COMPUTED_VALUE"""),"CABO")</f>
        <v>CABO</v>
      </c>
      <c r="F26" s="100" t="str">
        <f>IFERROR(__xludf.DUMMYFUNCTION("""COMPUTED_VALUE"""),"MELANIE")</f>
        <v>MELANIE</v>
      </c>
    </row>
    <row r="27">
      <c r="A27" s="131">
        <f>IFERROR(__xludf.DUMMYFUNCTION("""COMPUTED_VALUE"""),25.0)</f>
        <v>25</v>
      </c>
      <c r="B27" s="131">
        <f>IFERROR(__xludf.DUMMYFUNCTION("""COMPUTED_VALUE"""),24.0)</f>
        <v>24</v>
      </c>
      <c r="C27" s="131">
        <f>IFERROR(__xludf.DUMMYFUNCTION("""COMPUTED_VALUE"""),23.0)</f>
        <v>23</v>
      </c>
      <c r="D27" s="131" t="b">
        <f>IFERROR(__xludf.DUMMYFUNCTION("""COMPUTED_VALUE"""),FALSE)</f>
        <v>0</v>
      </c>
      <c r="E27" s="100" t="str">
        <f>IFERROR(__xludf.DUMMYFUNCTION("""COMPUTED_VALUE"""),"CARLOS")</f>
        <v>CARLOS</v>
      </c>
      <c r="F27" s="100" t="str">
        <f>IFERROR(__xludf.DUMMYFUNCTION("""COMPUTED_VALUE"""),"FRANCINE")</f>
        <v>FRANCINE</v>
      </c>
    </row>
    <row r="28">
      <c r="A28" s="131">
        <f>IFERROR(__xludf.DUMMYFUNCTION("""COMPUTED_VALUE"""),26.0)</f>
        <v>26</v>
      </c>
      <c r="B28" s="131"/>
      <c r="C28" s="131">
        <f>IFERROR(__xludf.DUMMYFUNCTION("""COMPUTED_VALUE"""),23.0)</f>
        <v>23</v>
      </c>
      <c r="D28" s="131" t="b">
        <f>IFERROR(__xludf.DUMMYFUNCTION("""COMPUTED_VALUE"""),FALSE)</f>
        <v>0</v>
      </c>
      <c r="E28" s="100" t="str">
        <f>IFERROR(__xludf.DUMMYFUNCTION("""COMPUTED_VALUE"""),"DALIOAN")</f>
        <v>DALIOAN</v>
      </c>
      <c r="F28" s="100" t="str">
        <f>IFERROR(__xludf.DUMMYFUNCTION("""COMPUTED_VALUE"""),"MONIQUE")</f>
        <v>MONIQUE</v>
      </c>
    </row>
    <row r="29">
      <c r="A29" s="131">
        <f>IFERROR(__xludf.DUMMYFUNCTION("""COMPUTED_VALUE"""),27.0)</f>
        <v>27</v>
      </c>
      <c r="B29" s="131"/>
      <c r="C29" s="131">
        <f>IFERROR(__xludf.DUMMYFUNCTION("""COMPUTED_VALUE"""),23.0)</f>
        <v>23</v>
      </c>
      <c r="D29" s="131" t="b">
        <f>IFERROR(__xludf.DUMMYFUNCTION("""COMPUTED_VALUE"""),FALSE)</f>
        <v>0</v>
      </c>
      <c r="E29" s="100" t="str">
        <f>IFERROR(__xludf.DUMMYFUNCTION("""COMPUTED_VALUE"""),"GELICAME")</f>
        <v>GELICAME</v>
      </c>
      <c r="F29" s="100" t="str">
        <f>IFERROR(__xludf.DUMMYFUNCTION("""COMPUTED_VALUE"""),"ARYHANA")</f>
        <v>ARYHANA</v>
      </c>
    </row>
    <row r="30">
      <c r="A30" s="131">
        <f>IFERROR(__xludf.DUMMYFUNCTION("""COMPUTED_VALUE"""),28.0)</f>
        <v>28</v>
      </c>
      <c r="B30" s="131"/>
      <c r="C30" s="131">
        <f>IFERROR(__xludf.DUMMYFUNCTION("""COMPUTED_VALUE"""),23.0)</f>
        <v>23</v>
      </c>
      <c r="D30" s="131" t="b">
        <f>IFERROR(__xludf.DUMMYFUNCTION("""COMPUTED_VALUE"""),FALSE)</f>
        <v>0</v>
      </c>
      <c r="E30" s="100" t="str">
        <f>IFERROR(__xludf.DUMMYFUNCTION("""COMPUTED_VALUE"""),"GUIMONG")</f>
        <v>GUIMONG</v>
      </c>
      <c r="F30" s="100" t="str">
        <f>IFERROR(__xludf.DUMMYFUNCTION("""COMPUTED_VALUE"""),"FAITH")</f>
        <v>FAITH</v>
      </c>
    </row>
    <row r="31">
      <c r="A31" s="131">
        <f>IFERROR(__xludf.DUMMYFUNCTION("""COMPUTED_VALUE"""),29.0)</f>
        <v>29</v>
      </c>
      <c r="B31" s="131"/>
      <c r="C31" s="131">
        <f>IFERROR(__xludf.DUMMYFUNCTION("""COMPUTED_VALUE"""),23.0)</f>
        <v>23</v>
      </c>
      <c r="D31" s="131" t="b">
        <f>IFERROR(__xludf.DUMMYFUNCTION("""COMPUTED_VALUE"""),FALSE)</f>
        <v>0</v>
      </c>
      <c r="E31" s="100" t="str">
        <f>IFERROR(__xludf.DUMMYFUNCTION("""COMPUTED_VALUE"""),"MANALOTO")</f>
        <v>MANALOTO</v>
      </c>
      <c r="F31" s="100" t="str">
        <f>IFERROR(__xludf.DUMMYFUNCTION("""COMPUTED_VALUE"""),"YOSHA")</f>
        <v>YOSHA</v>
      </c>
    </row>
    <row r="32">
      <c r="A32" s="131">
        <f>IFERROR(__xludf.DUMMYFUNCTION("""COMPUTED_VALUE"""),30.0)</f>
        <v>30</v>
      </c>
      <c r="B32" s="131"/>
      <c r="C32" s="131">
        <f>IFERROR(__xludf.DUMMYFUNCTION("""COMPUTED_VALUE"""),23.0)</f>
        <v>23</v>
      </c>
      <c r="D32" s="131" t="b">
        <f>IFERROR(__xludf.DUMMYFUNCTION("""COMPUTED_VALUE"""),FALSE)</f>
        <v>0</v>
      </c>
      <c r="E32" s="100" t="str">
        <f>IFERROR(__xludf.DUMMYFUNCTION("""COMPUTED_VALUE"""),"MARINAS")</f>
        <v>MARINAS</v>
      </c>
      <c r="F32" s="100" t="str">
        <f>IFERROR(__xludf.DUMMYFUNCTION("""COMPUTED_VALUE"""),"CHERRY")</f>
        <v>CHERRY</v>
      </c>
    </row>
    <row r="33">
      <c r="A33" s="131">
        <f>IFERROR(__xludf.DUMMYFUNCTION("""COMPUTED_VALUE"""),31.0)</f>
        <v>31</v>
      </c>
      <c r="B33" s="131"/>
      <c r="C33" s="131">
        <f>IFERROR(__xludf.DUMMYFUNCTION("""COMPUTED_VALUE"""),23.0)</f>
        <v>23</v>
      </c>
      <c r="D33" s="131" t="b">
        <f>IFERROR(__xludf.DUMMYFUNCTION("""COMPUTED_VALUE"""),FALSE)</f>
        <v>0</v>
      </c>
      <c r="E33" s="101" t="str">
        <f>IFERROR(__xludf.DUMMYFUNCTION("""COMPUTED_VALUE"""),"JIMENEZ")</f>
        <v>JIMENEZ</v>
      </c>
      <c r="F33" s="101" t="str">
        <f>IFERROR(__xludf.DUMMYFUNCTION("""COMPUTED_VALUE"""),"RUTH JHAMELA")</f>
        <v>RUTH JHAMELA</v>
      </c>
    </row>
    <row r="34">
      <c r="A34" s="131">
        <f>IFERROR(__xludf.DUMMYFUNCTION("""COMPUTED_VALUE"""),32.0)</f>
        <v>32</v>
      </c>
      <c r="B34" s="131"/>
      <c r="C34" s="131">
        <f>IFERROR(__xludf.DUMMYFUNCTION("""COMPUTED_VALUE"""),23.0)</f>
        <v>23</v>
      </c>
      <c r="D34" s="131" t="b">
        <f>IFERROR(__xludf.DUMMYFUNCTION("""COMPUTED_VALUE"""),FALSE)</f>
        <v>0</v>
      </c>
      <c r="E34" s="100" t="str">
        <f>IFERROR(__xludf.DUMMYFUNCTION("""COMPUTED_VALUE"""),"GUILLERMO")</f>
        <v>GUILLERMO</v>
      </c>
      <c r="F34" s="100" t="str">
        <f>IFERROR(__xludf.DUMMYFUNCTION("""COMPUTED_VALUE"""),"STAR")</f>
        <v>STAR</v>
      </c>
    </row>
    <row r="35">
      <c r="A35" s="131">
        <f>IFERROR(__xludf.DUMMYFUNCTION("""COMPUTED_VALUE"""),33.0)</f>
        <v>33</v>
      </c>
      <c r="B35" s="131"/>
      <c r="C35" s="131">
        <f>IFERROR(__xludf.DUMMYFUNCTION("""COMPUTED_VALUE"""),23.0)</f>
        <v>23</v>
      </c>
      <c r="D35" s="131" t="b">
        <f>IFERROR(__xludf.DUMMYFUNCTION("""COMPUTED_VALUE"""),FALSE)</f>
        <v>0</v>
      </c>
      <c r="E35" s="100" t="str">
        <f>IFERROR(__xludf.DUMMYFUNCTION("""COMPUTED_VALUE"""),"CATENZA")</f>
        <v>CATENZA</v>
      </c>
      <c r="F35" s="100" t="str">
        <f>IFERROR(__xludf.DUMMYFUNCTION("""COMPUTED_VALUE"""),"PRINCESS")</f>
        <v>PRINCESS</v>
      </c>
    </row>
    <row r="36">
      <c r="A36" s="131">
        <f>IFERROR(__xludf.DUMMYFUNCTION("""COMPUTED_VALUE"""),34.0)</f>
        <v>34</v>
      </c>
      <c r="B36" s="131"/>
      <c r="C36" s="131">
        <f>IFERROR(__xludf.DUMMYFUNCTION("""COMPUTED_VALUE"""),23.0)</f>
        <v>23</v>
      </c>
      <c r="D36" s="131" t="b">
        <f>IFERROR(__xludf.DUMMYFUNCTION("""COMPUTED_VALUE"""),FALSE)</f>
        <v>0</v>
      </c>
      <c r="E36" s="102" t="str">
        <f>IFERROR(__xludf.DUMMYFUNCTION("""COMPUTED_VALUE"""),"GORDON")</f>
        <v>GORDON</v>
      </c>
      <c r="F36" s="102" t="str">
        <f>IFERROR(__xludf.DUMMYFUNCTION("""COMPUTED_VALUE"""),"HARRY")</f>
        <v>HARRY</v>
      </c>
    </row>
    <row r="37">
      <c r="A37" s="131">
        <f>IFERROR(__xludf.DUMMYFUNCTION("""COMPUTED_VALUE"""),35.0)</f>
        <v>35</v>
      </c>
      <c r="B37" s="131"/>
      <c r="C37" s="131">
        <f>IFERROR(__xludf.DUMMYFUNCTION("""COMPUTED_VALUE"""),23.0)</f>
        <v>23</v>
      </c>
      <c r="D37" s="131" t="b">
        <f>IFERROR(__xludf.DUMMYFUNCTION("""COMPUTED_VALUE"""),FALSE)</f>
        <v>0</v>
      </c>
      <c r="E37" s="103" t="str">
        <f>IFERROR(__xludf.DUMMYFUNCTION("""COMPUTED_VALUE"""),"AVILLANO")</f>
        <v>AVILLANO</v>
      </c>
      <c r="F37" s="103" t="str">
        <f>IFERROR(__xludf.DUMMYFUNCTION("""COMPUTED_VALUE"""),"ANGEL DIANNE")</f>
        <v>ANGEL DIANNE</v>
      </c>
    </row>
    <row r="38">
      <c r="A38" s="131">
        <f>IFERROR(__xludf.DUMMYFUNCTION("""COMPUTED_VALUE"""),36.0)</f>
        <v>36</v>
      </c>
      <c r="B38" s="131"/>
      <c r="C38" s="131">
        <f>IFERROR(__xludf.DUMMYFUNCTION("""COMPUTED_VALUE"""),23.0)</f>
        <v>23</v>
      </c>
      <c r="D38" s="131" t="b">
        <f>IFERROR(__xludf.DUMMYFUNCTION("""COMPUTED_VALUE"""),FALSE)</f>
        <v>0</v>
      </c>
      <c r="E38" s="103" t="str">
        <f>IFERROR(__xludf.DUMMYFUNCTION("""COMPUTED_VALUE"""),"BALTAZAR")</f>
        <v>BALTAZAR</v>
      </c>
      <c r="F38" s="103" t="str">
        <f>IFERROR(__xludf.DUMMYFUNCTION("""COMPUTED_VALUE"""),"ARSTON")</f>
        <v>ARSTON</v>
      </c>
    </row>
    <row r="39">
      <c r="A39" s="131">
        <f>IFERROR(__xludf.DUMMYFUNCTION("""COMPUTED_VALUE"""),37.0)</f>
        <v>37</v>
      </c>
      <c r="B39" s="131"/>
      <c r="C39" s="131">
        <f>IFERROR(__xludf.DUMMYFUNCTION("""COMPUTED_VALUE"""),23.0)</f>
        <v>23</v>
      </c>
      <c r="D39" s="131" t="b">
        <f>IFERROR(__xludf.DUMMYFUNCTION("""COMPUTED_VALUE"""),FALSE)</f>
        <v>0</v>
      </c>
      <c r="E39" s="102" t="str">
        <f>IFERROR(__xludf.DUMMYFUNCTION("""COMPUTED_VALUE"""),"SISON")</f>
        <v>SISON</v>
      </c>
      <c r="F39" s="103" t="str">
        <f>IFERROR(__xludf.DUMMYFUNCTION("""COMPUTED_VALUE"""),"KRISTA MAE")</f>
        <v>KRISTA MAE</v>
      </c>
    </row>
    <row r="40">
      <c r="A40" s="131">
        <f>IFERROR(__xludf.DUMMYFUNCTION("""COMPUTED_VALUE"""),38.0)</f>
        <v>38</v>
      </c>
      <c r="B40" s="131"/>
      <c r="C40" s="131">
        <f>IFERROR(__xludf.DUMMYFUNCTION("""COMPUTED_VALUE"""),23.0)</f>
        <v>23</v>
      </c>
      <c r="D40" s="131" t="b">
        <f>IFERROR(__xludf.DUMMYFUNCTION("""COMPUTED_VALUE"""),FALSE)</f>
        <v>0</v>
      </c>
      <c r="E40" s="103" t="str">
        <f>IFERROR(__xludf.DUMMYFUNCTION("""COMPUTED_VALUE"""),"GARCIA")</f>
        <v>GARCIA</v>
      </c>
      <c r="F40" s="103" t="str">
        <f>IFERROR(__xludf.DUMMYFUNCTION("""COMPUTED_VALUE"""),"SELTHIEL")</f>
        <v>SELTHIEL</v>
      </c>
    </row>
    <row r="41">
      <c r="A41" s="131">
        <f>IFERROR(__xludf.DUMMYFUNCTION("""COMPUTED_VALUE"""),39.0)</f>
        <v>39</v>
      </c>
      <c r="B41" s="131"/>
      <c r="C41" s="131">
        <f>IFERROR(__xludf.DUMMYFUNCTION("""COMPUTED_VALUE"""),23.0)</f>
        <v>23</v>
      </c>
      <c r="D41" s="131" t="b">
        <f>IFERROR(__xludf.DUMMYFUNCTION("""COMPUTED_VALUE"""),FALSE)</f>
        <v>0</v>
      </c>
      <c r="E41" s="103" t="str">
        <f>IFERROR(__xludf.DUMMYFUNCTION("""COMPUTED_VALUE"""),"HIJARA")</f>
        <v>HIJARA</v>
      </c>
      <c r="F41" s="103" t="str">
        <f>IFERROR(__xludf.DUMMYFUNCTION("""COMPUTED_VALUE"""),"JAIHMIER VIELLE")</f>
        <v>JAIHMIER VIELLE</v>
      </c>
    </row>
    <row r="42">
      <c r="A42" s="131">
        <f>IFERROR(__xludf.DUMMYFUNCTION("""COMPUTED_VALUE"""),40.0)</f>
        <v>40</v>
      </c>
      <c r="B42" s="131"/>
      <c r="C42" s="131">
        <f>IFERROR(__xludf.DUMMYFUNCTION("""COMPUTED_VALUE"""),23.0)</f>
        <v>23</v>
      </c>
      <c r="D42" s="131" t="b">
        <f>IFERROR(__xludf.DUMMYFUNCTION("""COMPUTED_VALUE"""),FALSE)</f>
        <v>0</v>
      </c>
      <c r="E42" s="103" t="str">
        <f>IFERROR(__xludf.DUMMYFUNCTION("""COMPUTED_VALUE"""),"MAGBANUA")</f>
        <v>MAGBANUA</v>
      </c>
      <c r="F42" s="103" t="str">
        <f>IFERROR(__xludf.DUMMYFUNCTION("""COMPUTED_VALUE"""),"MANUEL HARVEY")</f>
        <v>MANUEL HARVEY</v>
      </c>
    </row>
    <row r="43">
      <c r="A43" s="131">
        <f>IFERROR(__xludf.DUMMYFUNCTION("""COMPUTED_VALUE"""),41.0)</f>
        <v>41</v>
      </c>
      <c r="B43" s="131"/>
      <c r="C43" s="131">
        <f>IFERROR(__xludf.DUMMYFUNCTION("""COMPUTED_VALUE"""),23.0)</f>
        <v>23</v>
      </c>
      <c r="D43" s="131" t="b">
        <f>IFERROR(__xludf.DUMMYFUNCTION("""COMPUTED_VALUE"""),FALSE)</f>
        <v>0</v>
      </c>
      <c r="E43" s="103" t="str">
        <f>IFERROR(__xludf.DUMMYFUNCTION("""COMPUTED_VALUE"""),"TABOY")</f>
        <v>TABOY</v>
      </c>
      <c r="F43" s="103" t="str">
        <f>IFERROR(__xludf.DUMMYFUNCTION("""COMPUTED_VALUE"""),"PRIMO KLYDE")</f>
        <v>PRIMO KLYDE</v>
      </c>
    </row>
    <row r="44">
      <c r="A44" s="131">
        <f>IFERROR(__xludf.DUMMYFUNCTION("""COMPUTED_VALUE"""),42.0)</f>
        <v>42</v>
      </c>
      <c r="B44" s="131"/>
      <c r="C44" s="131"/>
      <c r="D44" s="131" t="b">
        <f>IFERROR(__xludf.DUMMYFUNCTION("""COMPUTED_VALUE"""),FALSE)</f>
        <v>0</v>
      </c>
      <c r="E44" s="103"/>
      <c r="F44" s="103"/>
    </row>
    <row r="45">
      <c r="A45" s="131">
        <f>IFERROR(__xludf.DUMMYFUNCTION("""COMPUTED_VALUE"""),43.0)</f>
        <v>43</v>
      </c>
      <c r="B45" s="131"/>
      <c r="C45" s="131">
        <f>IFERROR(__xludf.DUMMYFUNCTION("""COMPUTED_VALUE"""),23.0)</f>
        <v>23</v>
      </c>
      <c r="D45" s="131" t="b">
        <f>IFERROR(__xludf.DUMMYFUNCTION("""COMPUTED_VALUE"""),FALSE)</f>
        <v>0</v>
      </c>
      <c r="E45" s="103" t="str">
        <f>IFERROR(__xludf.DUMMYFUNCTION("""COMPUTED_VALUE"""),"SABEJON")</f>
        <v>SABEJON</v>
      </c>
      <c r="F45" s="103" t="str">
        <f>IFERROR(__xludf.DUMMYFUNCTION("""COMPUTED_VALUE"""),"KENNETH")</f>
        <v>KENNETH</v>
      </c>
    </row>
    <row r="46">
      <c r="A46" s="131">
        <f>IFERROR(__xludf.DUMMYFUNCTION("""COMPUTED_VALUE"""),44.0)</f>
        <v>44</v>
      </c>
      <c r="B46" s="131"/>
      <c r="C46" s="131">
        <f>IFERROR(__xludf.DUMMYFUNCTION("""COMPUTED_VALUE"""),23.0)</f>
        <v>23</v>
      </c>
      <c r="D46" s="131" t="b">
        <f>IFERROR(__xludf.DUMMYFUNCTION("""COMPUTED_VALUE"""),FALSE)</f>
        <v>0</v>
      </c>
      <c r="E46" s="103" t="str">
        <f>IFERROR(__xludf.DUMMYFUNCTION("""COMPUTED_VALUE"""),"LIRRAG")</f>
        <v>LIRRAG</v>
      </c>
      <c r="F46" s="103" t="str">
        <f>IFERROR(__xludf.DUMMYFUNCTION("""COMPUTED_VALUE"""),"DAN EDRIK")</f>
        <v>DAN EDRIK</v>
      </c>
    </row>
    <row r="47">
      <c r="A47" s="131">
        <f>IFERROR(__xludf.DUMMYFUNCTION("""COMPUTED_VALUE"""),45.0)</f>
        <v>45</v>
      </c>
      <c r="B47" s="131"/>
      <c r="C47" s="131">
        <f>IFERROR(__xludf.DUMMYFUNCTION("""COMPUTED_VALUE"""),23.0)</f>
        <v>23</v>
      </c>
      <c r="D47" s="131" t="b">
        <f>IFERROR(__xludf.DUMMYFUNCTION("""COMPUTED_VALUE"""),FALSE)</f>
        <v>0</v>
      </c>
      <c r="E47" s="103" t="str">
        <f>IFERROR(__xludf.DUMMYFUNCTION("""COMPUTED_VALUE"""),"DELA ROSA")</f>
        <v>DELA ROSA</v>
      </c>
      <c r="F47" s="103" t="str">
        <f>IFERROR(__xludf.DUMMYFUNCTION("""COMPUTED_VALUE"""),"JOREVE")</f>
        <v>JOREVE</v>
      </c>
    </row>
    <row r="48">
      <c r="A48" s="131">
        <f>IFERROR(__xludf.DUMMYFUNCTION("""COMPUTED_VALUE"""),46.0)</f>
        <v>46</v>
      </c>
      <c r="B48" s="131"/>
      <c r="C48" s="131">
        <f>IFERROR(__xludf.DUMMYFUNCTION("""COMPUTED_VALUE"""),23.0)</f>
        <v>23</v>
      </c>
      <c r="D48" s="131" t="b">
        <f>IFERROR(__xludf.DUMMYFUNCTION("""COMPUTED_VALUE"""),FALSE)</f>
        <v>0</v>
      </c>
      <c r="E48" s="103" t="str">
        <f>IFERROR(__xludf.DUMMYFUNCTION("""COMPUTED_VALUE"""),"KOI")</f>
        <v>KOI</v>
      </c>
      <c r="F48" s="103" t="str">
        <f>IFERROR(__xludf.DUMMYFUNCTION("""COMPUTED_VALUE"""),"HERMYLYN")</f>
        <v>HERMYLYN</v>
      </c>
    </row>
    <row r="49">
      <c r="A49" s="131">
        <f>IFERROR(__xludf.DUMMYFUNCTION("""COMPUTED_VALUE"""),47.0)</f>
        <v>47</v>
      </c>
      <c r="B49" s="131"/>
      <c r="C49" s="131">
        <f>IFERROR(__xludf.DUMMYFUNCTION("""COMPUTED_VALUE"""),23.0)</f>
        <v>23</v>
      </c>
      <c r="D49" s="131" t="b">
        <f>IFERROR(__xludf.DUMMYFUNCTION("""COMPUTED_VALUE"""),FALSE)</f>
        <v>0</v>
      </c>
      <c r="E49" s="103" t="str">
        <f>IFERROR(__xludf.DUMMYFUNCTION("""COMPUTED_VALUE"""),"SILVANO")</f>
        <v>SILVANO</v>
      </c>
      <c r="F49" s="103" t="str">
        <f>IFERROR(__xludf.DUMMYFUNCTION("""COMPUTED_VALUE"""),"CRISJARED")</f>
        <v>CRISJARED</v>
      </c>
    </row>
    <row r="50">
      <c r="A50" s="131">
        <f>IFERROR(__xludf.DUMMYFUNCTION("""COMPUTED_VALUE"""),48.0)</f>
        <v>48</v>
      </c>
      <c r="B50" s="131"/>
      <c r="C50" s="131">
        <f>IFERROR(__xludf.DUMMYFUNCTION("""COMPUTED_VALUE"""),23.0)</f>
        <v>23</v>
      </c>
      <c r="D50" s="131" t="b">
        <f>IFERROR(__xludf.DUMMYFUNCTION("""COMPUTED_VALUE"""),FALSE)</f>
        <v>0</v>
      </c>
      <c r="E50" s="103" t="str">
        <f>IFERROR(__xludf.DUMMYFUNCTION("""COMPUTED_VALUE"""),"CORONEL")</f>
        <v>CORONEL</v>
      </c>
      <c r="F50" s="103" t="str">
        <f>IFERROR(__xludf.DUMMYFUNCTION("""COMPUTED_VALUE"""),"CARL CEDRICK")</f>
        <v>CARL CEDRICK</v>
      </c>
    </row>
    <row r="51">
      <c r="A51" s="131">
        <f>IFERROR(__xludf.DUMMYFUNCTION("""COMPUTED_VALUE"""),49.0)</f>
        <v>49</v>
      </c>
      <c r="B51" s="131"/>
      <c r="C51" s="131">
        <f>IFERROR(__xludf.DUMMYFUNCTION("""COMPUTED_VALUE"""),23.0)</f>
        <v>23</v>
      </c>
      <c r="D51" s="131" t="b">
        <f>IFERROR(__xludf.DUMMYFUNCTION("""COMPUTED_VALUE"""),FALSE)</f>
        <v>0</v>
      </c>
      <c r="E51" s="103" t="str">
        <f>IFERROR(__xludf.DUMMYFUNCTION("""COMPUTED_VALUE"""),"ORTALEZA")</f>
        <v>ORTALEZA</v>
      </c>
      <c r="F51" s="103" t="str">
        <f>IFERROR(__xludf.DUMMYFUNCTION("""COMPUTED_VALUE"""),"FROI FANCIS")</f>
        <v>FROI FANCIS</v>
      </c>
    </row>
    <row r="52">
      <c r="A52" s="131">
        <f>IFERROR(__xludf.DUMMYFUNCTION("""COMPUTED_VALUE"""),50.0)</f>
        <v>50</v>
      </c>
      <c r="B52" s="131"/>
      <c r="C52" s="131">
        <f>IFERROR(__xludf.DUMMYFUNCTION("""COMPUTED_VALUE"""),23.0)</f>
        <v>23</v>
      </c>
      <c r="D52" s="131" t="b">
        <f>IFERROR(__xludf.DUMMYFUNCTION("""COMPUTED_VALUE"""),FALSE)</f>
        <v>0</v>
      </c>
      <c r="E52" s="103" t="str">
        <f>IFERROR(__xludf.DUMMYFUNCTION("""COMPUTED_VALUE"""),"ESPOZO")</f>
        <v>ESPOZO</v>
      </c>
      <c r="F52" s="103" t="str">
        <f>IFERROR(__xludf.DUMMYFUNCTION("""COMPUTED_VALUE"""),"MAICA ELLA")</f>
        <v>MAICA ELLA</v>
      </c>
    </row>
    <row r="53">
      <c r="A53" s="131">
        <f>IFERROR(__xludf.DUMMYFUNCTION("""COMPUTED_VALUE"""),51.0)</f>
        <v>51</v>
      </c>
      <c r="B53" s="131"/>
      <c r="C53" s="131">
        <f>IFERROR(__xludf.DUMMYFUNCTION("""COMPUTED_VALUE"""),23.0)</f>
        <v>23</v>
      </c>
      <c r="D53" s="131" t="b">
        <f>IFERROR(__xludf.DUMMYFUNCTION("""COMPUTED_VALUE"""),FALSE)</f>
        <v>0</v>
      </c>
      <c r="E53" s="103" t="str">
        <f>IFERROR(__xludf.DUMMYFUNCTION("""COMPUTED_VALUE"""),"SOBERANO")</f>
        <v>SOBERANO</v>
      </c>
      <c r="F53" s="103" t="str">
        <f>IFERROR(__xludf.DUMMYFUNCTION("""COMPUTED_VALUE"""),"ZAIRUS")</f>
        <v>ZAIRUS</v>
      </c>
    </row>
    <row r="54">
      <c r="A54" s="131">
        <f>IFERROR(__xludf.DUMMYFUNCTION("""COMPUTED_VALUE"""),52.0)</f>
        <v>52</v>
      </c>
      <c r="B54" s="131"/>
      <c r="C54" s="131">
        <f>IFERROR(__xludf.DUMMYFUNCTION("""COMPUTED_VALUE"""),23.0)</f>
        <v>23</v>
      </c>
      <c r="D54" s="131" t="b">
        <f>IFERROR(__xludf.DUMMYFUNCTION("""COMPUTED_VALUE"""),FALSE)</f>
        <v>0</v>
      </c>
      <c r="E54" s="99" t="str">
        <f>IFERROR(__xludf.DUMMYFUNCTION("""COMPUTED_VALUE"""),"ERA")</f>
        <v>ERA</v>
      </c>
      <c r="F54" s="99" t="str">
        <f>IFERROR(__xludf.DUMMYFUNCTION("""COMPUTED_VALUE"""),"ANALEZA")</f>
        <v>ANALEZA</v>
      </c>
    </row>
    <row r="55">
      <c r="A55" s="131">
        <f>IFERROR(__xludf.DUMMYFUNCTION("""COMPUTED_VALUE"""),53.0)</f>
        <v>53</v>
      </c>
      <c r="B55" s="131"/>
      <c r="C55" s="131">
        <f>IFERROR(__xludf.DUMMYFUNCTION("""COMPUTED_VALUE"""),23.0)</f>
        <v>23</v>
      </c>
      <c r="D55" s="131" t="b">
        <f>IFERROR(__xludf.DUMMYFUNCTION("""COMPUTED_VALUE"""),FALSE)</f>
        <v>0</v>
      </c>
      <c r="E55" s="100" t="str">
        <f>IFERROR(__xludf.DUMMYFUNCTION("""COMPUTED_VALUE"""),"ARANA")</f>
        <v>ARANA</v>
      </c>
      <c r="F55" s="100" t="str">
        <f>IFERROR(__xludf.DUMMYFUNCTION("""COMPUTED_VALUE"""),"RHEANA")</f>
        <v>RHEANA</v>
      </c>
    </row>
    <row r="56">
      <c r="A56" s="131">
        <f>IFERROR(__xludf.DUMMYFUNCTION("""COMPUTED_VALUE"""),54.0)</f>
        <v>54</v>
      </c>
      <c r="B56" s="131"/>
      <c r="C56" s="131">
        <f>IFERROR(__xludf.DUMMYFUNCTION("""COMPUTED_VALUE"""),23.0)</f>
        <v>23</v>
      </c>
      <c r="D56" s="131" t="b">
        <f>IFERROR(__xludf.DUMMYFUNCTION("""COMPUTED_VALUE"""),FALSE)</f>
        <v>0</v>
      </c>
      <c r="E56" s="100" t="str">
        <f>IFERROR(__xludf.DUMMYFUNCTION("""COMPUTED_VALUE"""),"BANDE")</f>
        <v>BANDE</v>
      </c>
      <c r="F56" s="100" t="str">
        <f>IFERROR(__xludf.DUMMYFUNCTION("""COMPUTED_VALUE"""),"ERICA")</f>
        <v>ERICA</v>
      </c>
    </row>
    <row r="57">
      <c r="A57" s="131">
        <f>IFERROR(__xludf.DUMMYFUNCTION("""COMPUTED_VALUE"""),55.0)</f>
        <v>55</v>
      </c>
      <c r="B57" s="131"/>
      <c r="C57" s="131">
        <f>IFERROR(__xludf.DUMMYFUNCTION("""COMPUTED_VALUE"""),23.0)</f>
        <v>23</v>
      </c>
      <c r="D57" s="131" t="b">
        <f>IFERROR(__xludf.DUMMYFUNCTION("""COMPUTED_VALUE"""),FALSE)</f>
        <v>0</v>
      </c>
      <c r="E57" s="100" t="str">
        <f>IFERROR(__xludf.DUMMYFUNCTION("""COMPUTED_VALUE"""),"DEL ROSARIO")</f>
        <v>DEL ROSARIO</v>
      </c>
      <c r="F57" s="100" t="str">
        <f>IFERROR(__xludf.DUMMYFUNCTION("""COMPUTED_VALUE"""),"JOY")</f>
        <v>JOY</v>
      </c>
    </row>
    <row r="58">
      <c r="A58" s="131">
        <f>IFERROR(__xludf.DUMMYFUNCTION("""COMPUTED_VALUE"""),56.0)</f>
        <v>56</v>
      </c>
      <c r="B58" s="131"/>
      <c r="C58" s="131">
        <f>IFERROR(__xludf.DUMMYFUNCTION("""COMPUTED_VALUE"""),23.0)</f>
        <v>23</v>
      </c>
      <c r="D58" s="131" t="b">
        <f>IFERROR(__xludf.DUMMYFUNCTION("""COMPUTED_VALUE"""),FALSE)</f>
        <v>0</v>
      </c>
      <c r="E58" s="100" t="str">
        <f>IFERROR(__xludf.DUMMYFUNCTION("""COMPUTED_VALUE"""),"GUETA")</f>
        <v>GUETA</v>
      </c>
      <c r="F58" s="100" t="str">
        <f>IFERROR(__xludf.DUMMYFUNCTION("""COMPUTED_VALUE"""),"SEYVEL")</f>
        <v>SEYVEL</v>
      </c>
    </row>
    <row r="59">
      <c r="A59" s="131">
        <f>IFERROR(__xludf.DUMMYFUNCTION("""COMPUTED_VALUE"""),57.0)</f>
        <v>57</v>
      </c>
      <c r="B59" s="131"/>
      <c r="C59" s="131">
        <f>IFERROR(__xludf.DUMMYFUNCTION("""COMPUTED_VALUE"""),23.0)</f>
        <v>23</v>
      </c>
      <c r="D59" s="131" t="b">
        <f>IFERROR(__xludf.DUMMYFUNCTION("""COMPUTED_VALUE"""),FALSE)</f>
        <v>0</v>
      </c>
      <c r="E59" s="100" t="str">
        <f>IFERROR(__xludf.DUMMYFUNCTION("""COMPUTED_VALUE"""),"MALIPOT")</f>
        <v>MALIPOT</v>
      </c>
      <c r="F59" s="100" t="str">
        <f>IFERROR(__xludf.DUMMYFUNCTION("""COMPUTED_VALUE"""),"JUSTINE")</f>
        <v>JUSTINE</v>
      </c>
    </row>
    <row r="60">
      <c r="A60" s="131">
        <f>IFERROR(__xludf.DUMMYFUNCTION("""COMPUTED_VALUE"""),58.0)</f>
        <v>58</v>
      </c>
      <c r="B60" s="131"/>
      <c r="C60" s="131">
        <f>IFERROR(__xludf.DUMMYFUNCTION("""COMPUTED_VALUE"""),23.0)</f>
        <v>23</v>
      </c>
      <c r="D60" s="131" t="b">
        <f>IFERROR(__xludf.DUMMYFUNCTION("""COMPUTED_VALUE"""),FALSE)</f>
        <v>0</v>
      </c>
      <c r="E60" s="100" t="str">
        <f>IFERROR(__xludf.DUMMYFUNCTION("""COMPUTED_VALUE"""),"PATRICIO")</f>
        <v>PATRICIO</v>
      </c>
      <c r="F60" s="100" t="str">
        <f>IFERROR(__xludf.DUMMYFUNCTION("""COMPUTED_VALUE"""),"VANESSA")</f>
        <v>VANESSA</v>
      </c>
    </row>
    <row r="61">
      <c r="A61" s="131">
        <f>IFERROR(__xludf.DUMMYFUNCTION("""COMPUTED_VALUE"""),59.0)</f>
        <v>59</v>
      </c>
      <c r="B61" s="131"/>
      <c r="C61" s="131">
        <f>IFERROR(__xludf.DUMMYFUNCTION("""COMPUTED_VALUE"""),23.0)</f>
        <v>23</v>
      </c>
      <c r="D61" s="131" t="b">
        <f>IFERROR(__xludf.DUMMYFUNCTION("""COMPUTED_VALUE"""),FALSE)</f>
        <v>0</v>
      </c>
      <c r="E61" s="100" t="str">
        <f>IFERROR(__xludf.DUMMYFUNCTION("""COMPUTED_VALUE"""),"PONCE")</f>
        <v>PONCE</v>
      </c>
      <c r="F61" s="100" t="str">
        <f>IFERROR(__xludf.DUMMYFUNCTION("""COMPUTED_VALUE"""),"SHEENA")</f>
        <v>SHEENA</v>
      </c>
    </row>
    <row r="62">
      <c r="A62" s="131">
        <f>IFERROR(__xludf.DUMMYFUNCTION("""COMPUTED_VALUE"""),60.0)</f>
        <v>60</v>
      </c>
      <c r="B62" s="131"/>
      <c r="C62" s="131">
        <f>IFERROR(__xludf.DUMMYFUNCTION("""COMPUTED_VALUE"""),23.0)</f>
        <v>23</v>
      </c>
      <c r="D62" s="131" t="b">
        <f>IFERROR(__xludf.DUMMYFUNCTION("""COMPUTED_VALUE"""),FALSE)</f>
        <v>0</v>
      </c>
      <c r="E62" s="100" t="str">
        <f>IFERROR(__xludf.DUMMYFUNCTION("""COMPUTED_VALUE"""),"RAMOS")</f>
        <v>RAMOS</v>
      </c>
      <c r="F62" s="100" t="str">
        <f>IFERROR(__xludf.DUMMYFUNCTION("""COMPUTED_VALUE"""),"AA")</f>
        <v>AA</v>
      </c>
    </row>
    <row r="63">
      <c r="A63" s="131">
        <f>IFERROR(__xludf.DUMMYFUNCTION("""COMPUTED_VALUE"""),61.0)</f>
        <v>61</v>
      </c>
      <c r="B63" s="131"/>
      <c r="C63" s="131">
        <f>IFERROR(__xludf.DUMMYFUNCTION("""COMPUTED_VALUE"""),23.0)</f>
        <v>23</v>
      </c>
      <c r="D63" s="131" t="b">
        <f>IFERROR(__xludf.DUMMYFUNCTION("""COMPUTED_VALUE"""),FALSE)</f>
        <v>0</v>
      </c>
      <c r="E63" s="100" t="str">
        <f>IFERROR(__xludf.DUMMYFUNCTION("""COMPUTED_VALUE"""),"REPUBLO")</f>
        <v>REPUBLO</v>
      </c>
      <c r="F63" s="100" t="str">
        <f>IFERROR(__xludf.DUMMYFUNCTION("""COMPUTED_VALUE"""),"CLARISSA")</f>
        <v>CLARISSA</v>
      </c>
    </row>
    <row r="64">
      <c r="A64" s="131">
        <f>IFERROR(__xludf.DUMMYFUNCTION("""COMPUTED_VALUE"""),62.0)</f>
        <v>62</v>
      </c>
      <c r="B64" s="131"/>
      <c r="C64" s="131">
        <f>IFERROR(__xludf.DUMMYFUNCTION("""COMPUTED_VALUE"""),23.0)</f>
        <v>23</v>
      </c>
      <c r="D64" s="131" t="b">
        <f>IFERROR(__xludf.DUMMYFUNCTION("""COMPUTED_VALUE"""),FALSE)</f>
        <v>0</v>
      </c>
      <c r="E64" s="100"/>
      <c r="F64" s="100" t="str">
        <f>IFERROR(__xludf.DUMMYFUNCTION("""COMPUTED_VALUE"""),"JENNY")</f>
        <v>JENNY</v>
      </c>
    </row>
    <row r="65">
      <c r="A65" s="131">
        <f>IFERROR(__xludf.DUMMYFUNCTION("""COMPUTED_VALUE"""),63.0)</f>
        <v>63</v>
      </c>
      <c r="B65" s="131"/>
      <c r="C65" s="131">
        <f>IFERROR(__xludf.DUMMYFUNCTION("""COMPUTED_VALUE"""),23.0)</f>
        <v>23</v>
      </c>
      <c r="D65" s="131" t="b">
        <f>IFERROR(__xludf.DUMMYFUNCTION("""COMPUTED_VALUE"""),FALSE)</f>
        <v>0</v>
      </c>
      <c r="E65" s="99" t="str">
        <f>IFERROR(__xludf.DUMMYFUNCTION("""COMPUTED_VALUE"""),"MAGISTRADO")</f>
        <v>MAGISTRADO</v>
      </c>
      <c r="F65" s="99" t="str">
        <f>IFERROR(__xludf.DUMMYFUNCTION("""COMPUTED_VALUE"""),"ERICA")</f>
        <v>ERICA</v>
      </c>
    </row>
    <row r="66">
      <c r="A66" s="131">
        <f>IFERROR(__xludf.DUMMYFUNCTION("""COMPUTED_VALUE"""),64.0)</f>
        <v>64</v>
      </c>
      <c r="B66" s="131"/>
      <c r="C66" s="131">
        <f>IFERROR(__xludf.DUMMYFUNCTION("""COMPUTED_VALUE"""),23.0)</f>
        <v>23</v>
      </c>
      <c r="D66" s="131" t="b">
        <f>IFERROR(__xludf.DUMMYFUNCTION("""COMPUTED_VALUE"""),FALSE)</f>
        <v>0</v>
      </c>
      <c r="E66" s="100" t="str">
        <f>IFERROR(__xludf.DUMMYFUNCTION("""COMPUTED_VALUE"""),"CARANGUIAN")</f>
        <v>CARANGUIAN</v>
      </c>
      <c r="F66" s="100" t="str">
        <f>IFERROR(__xludf.DUMMYFUNCTION("""COMPUTED_VALUE"""),"DIVINA GRACE")</f>
        <v>DIVINA GRACE</v>
      </c>
    </row>
    <row r="67">
      <c r="A67" s="131">
        <f>IFERROR(__xludf.DUMMYFUNCTION("""COMPUTED_VALUE"""),65.0)</f>
        <v>65</v>
      </c>
      <c r="B67" s="131"/>
      <c r="C67" s="131">
        <f>IFERROR(__xludf.DUMMYFUNCTION("""COMPUTED_VALUE"""),23.0)</f>
        <v>23</v>
      </c>
      <c r="D67" s="131" t="b">
        <f>IFERROR(__xludf.DUMMYFUNCTION("""COMPUTED_VALUE"""),FALSE)</f>
        <v>0</v>
      </c>
      <c r="E67" s="100" t="str">
        <f>IFERROR(__xludf.DUMMYFUNCTION("""COMPUTED_VALUE"""),"ERA")</f>
        <v>ERA</v>
      </c>
      <c r="F67" s="100" t="str">
        <f>IFERROR(__xludf.DUMMYFUNCTION("""COMPUTED_VALUE"""),"CHRISTINA")</f>
        <v>CHRISTINA</v>
      </c>
    </row>
    <row r="68">
      <c r="A68" s="131">
        <f>IFERROR(__xludf.DUMMYFUNCTION("""COMPUTED_VALUE"""),66.0)</f>
        <v>66</v>
      </c>
      <c r="B68" s="131"/>
      <c r="C68" s="131">
        <f>IFERROR(__xludf.DUMMYFUNCTION("""COMPUTED_VALUE"""),23.0)</f>
        <v>23</v>
      </c>
      <c r="D68" s="131" t="b">
        <f>IFERROR(__xludf.DUMMYFUNCTION("""COMPUTED_VALUE"""),FALSE)</f>
        <v>0</v>
      </c>
      <c r="E68" s="100" t="str">
        <f>IFERROR(__xludf.DUMMYFUNCTION("""COMPUTED_VALUE"""),"MAGISTRADO")</f>
        <v>MAGISTRADO</v>
      </c>
      <c r="F68" s="100" t="str">
        <f>IFERROR(__xludf.DUMMYFUNCTION("""COMPUTED_VALUE"""),"LOVELY")</f>
        <v>LOVELY</v>
      </c>
    </row>
    <row r="69">
      <c r="A69" s="131">
        <f>IFERROR(__xludf.DUMMYFUNCTION("""COMPUTED_VALUE"""),67.0)</f>
        <v>67</v>
      </c>
      <c r="B69" s="131"/>
      <c r="C69" s="131">
        <f>IFERROR(__xludf.DUMMYFUNCTION("""COMPUTED_VALUE"""),23.0)</f>
        <v>23</v>
      </c>
      <c r="D69" s="131" t="b">
        <f>IFERROR(__xludf.DUMMYFUNCTION("""COMPUTED_VALUE"""),FALSE)</f>
        <v>0</v>
      </c>
      <c r="E69" s="100" t="str">
        <f>IFERROR(__xludf.DUMMYFUNCTION("""COMPUTED_VALUE"""),"PACLITA")</f>
        <v>PACLITA</v>
      </c>
      <c r="F69" s="100" t="str">
        <f>IFERROR(__xludf.DUMMYFUNCTION("""COMPUTED_VALUE"""),"CHERRY ANN")</f>
        <v>CHERRY ANN</v>
      </c>
    </row>
    <row r="70">
      <c r="A70" s="131">
        <f>IFERROR(__xludf.DUMMYFUNCTION("""COMPUTED_VALUE"""),68.0)</f>
        <v>68</v>
      </c>
      <c r="B70" s="131"/>
      <c r="C70" s="131">
        <f>IFERROR(__xludf.DUMMYFUNCTION("""COMPUTED_VALUE"""),23.0)</f>
        <v>23</v>
      </c>
      <c r="D70" s="131" t="b">
        <f>IFERROR(__xludf.DUMMYFUNCTION("""COMPUTED_VALUE"""),FALSE)</f>
        <v>0</v>
      </c>
      <c r="E70" s="100" t="str">
        <f>IFERROR(__xludf.DUMMYFUNCTION("""COMPUTED_VALUE"""),"PALOMA")</f>
        <v>PALOMA</v>
      </c>
      <c r="F70" s="100" t="str">
        <f>IFERROR(__xludf.DUMMYFUNCTION("""COMPUTED_VALUE"""),"ALEAH")</f>
        <v>ALEAH</v>
      </c>
    </row>
    <row r="71">
      <c r="A71" s="131">
        <f>IFERROR(__xludf.DUMMYFUNCTION("""COMPUTED_VALUE"""),69.0)</f>
        <v>69</v>
      </c>
      <c r="B71" s="131"/>
      <c r="C71" s="131">
        <f>IFERROR(__xludf.DUMMYFUNCTION("""COMPUTED_VALUE"""),23.0)</f>
        <v>23</v>
      </c>
      <c r="D71" s="131" t="b">
        <f>IFERROR(__xludf.DUMMYFUNCTION("""COMPUTED_VALUE"""),FALSE)</f>
        <v>0</v>
      </c>
      <c r="E71" s="100" t="str">
        <f>IFERROR(__xludf.DUMMYFUNCTION("""COMPUTED_VALUE"""),"SATURINAS")</f>
        <v>SATURINAS</v>
      </c>
      <c r="F71" s="100" t="str">
        <f>IFERROR(__xludf.DUMMYFUNCTION("""COMPUTED_VALUE"""),"ALEXANDRA GRACE")</f>
        <v>ALEXANDRA GRACE</v>
      </c>
    </row>
    <row r="72">
      <c r="A72" s="131">
        <f>IFERROR(__xludf.DUMMYFUNCTION("""COMPUTED_VALUE"""),70.0)</f>
        <v>70</v>
      </c>
      <c r="B72" s="131"/>
      <c r="C72" s="131">
        <f>IFERROR(__xludf.DUMMYFUNCTION("""COMPUTED_VALUE"""),23.0)</f>
        <v>23</v>
      </c>
      <c r="D72" s="131" t="b">
        <f>IFERROR(__xludf.DUMMYFUNCTION("""COMPUTED_VALUE"""),FALSE)</f>
        <v>0</v>
      </c>
      <c r="E72" s="101" t="str">
        <f>IFERROR(__xludf.DUMMYFUNCTION("""COMPUTED_VALUE"""),"RONQUILLO")</f>
        <v>RONQUILLO</v>
      </c>
      <c r="F72" s="101" t="str">
        <f>IFERROR(__xludf.DUMMYFUNCTION("""COMPUTED_VALUE"""),"SHANE")</f>
        <v>SHANE</v>
      </c>
    </row>
    <row r="73">
      <c r="A73" s="131">
        <f>IFERROR(__xludf.DUMMYFUNCTION("""COMPUTED_VALUE"""),71.0)</f>
        <v>71</v>
      </c>
      <c r="B73" s="131"/>
      <c r="C73" s="131">
        <f>IFERROR(__xludf.DUMMYFUNCTION("""COMPUTED_VALUE"""),23.0)</f>
        <v>23</v>
      </c>
      <c r="D73" s="131" t="b">
        <f>IFERROR(__xludf.DUMMYFUNCTION("""COMPUTED_VALUE"""),FALSE)</f>
        <v>0</v>
      </c>
      <c r="E73" s="101" t="str">
        <f>IFERROR(__xludf.DUMMYFUNCTION("""COMPUTED_VALUE"""),"MARFIL")</f>
        <v>MARFIL</v>
      </c>
      <c r="F73" s="104" t="str">
        <f>IFERROR(__xludf.DUMMYFUNCTION("""COMPUTED_VALUE"""),"ADELAIZA")</f>
        <v>ADELAIZA</v>
      </c>
    </row>
    <row r="74">
      <c r="A74" s="131">
        <f>IFERROR(__xludf.DUMMYFUNCTION("""COMPUTED_VALUE"""),72.0)</f>
        <v>72</v>
      </c>
      <c r="B74" s="131"/>
      <c r="C74" s="131">
        <f>IFERROR(__xludf.DUMMYFUNCTION("""COMPUTED_VALUE"""),23.0)</f>
        <v>23</v>
      </c>
      <c r="D74" s="131" t="b">
        <f>IFERROR(__xludf.DUMMYFUNCTION("""COMPUTED_VALUE"""),FALSE)</f>
        <v>0</v>
      </c>
      <c r="E74" s="101" t="str">
        <f>IFERROR(__xludf.DUMMYFUNCTION("""COMPUTED_VALUE"""),"PERALTA")</f>
        <v>PERALTA</v>
      </c>
      <c r="F74" s="101" t="str">
        <f>IFERROR(__xludf.DUMMYFUNCTION("""COMPUTED_VALUE"""),"ALAICA")</f>
        <v>ALAICA</v>
      </c>
    </row>
    <row r="75">
      <c r="A75" s="131">
        <f>IFERROR(__xludf.DUMMYFUNCTION("""COMPUTED_VALUE"""),73.0)</f>
        <v>73</v>
      </c>
      <c r="B75" s="131"/>
      <c r="C75" s="131">
        <f>IFERROR(__xludf.DUMMYFUNCTION("""COMPUTED_VALUE"""),23.0)</f>
        <v>23</v>
      </c>
      <c r="D75" s="131" t="b">
        <f>IFERROR(__xludf.DUMMYFUNCTION("""COMPUTED_VALUE"""),FALSE)</f>
        <v>0</v>
      </c>
      <c r="E75" s="101"/>
      <c r="F75" s="101" t="str">
        <f>IFERROR(__xludf.DUMMYFUNCTION("""COMPUTED_VALUE"""),"ALISA")</f>
        <v>ALISA</v>
      </c>
    </row>
    <row r="76">
      <c r="A76" s="131">
        <f>IFERROR(__xludf.DUMMYFUNCTION("""COMPUTED_VALUE"""),74.0)</f>
        <v>74</v>
      </c>
      <c r="B76" s="131"/>
      <c r="C76" s="131">
        <f>IFERROR(__xludf.DUMMYFUNCTION("""COMPUTED_VALUE"""),23.0)</f>
        <v>23</v>
      </c>
      <c r="D76" s="131" t="b">
        <f>IFERROR(__xludf.DUMMYFUNCTION("""COMPUTED_VALUE"""),FALSE)</f>
        <v>0</v>
      </c>
      <c r="E76" s="101" t="str">
        <f>IFERROR(__xludf.DUMMYFUNCTION("""COMPUTED_VALUE"""),"VILLANUEVA")</f>
        <v>VILLANUEVA</v>
      </c>
      <c r="F76" s="101" t="str">
        <f>IFERROR(__xludf.DUMMYFUNCTION("""COMPUTED_VALUE"""),"SOFIA")</f>
        <v>SOFIA</v>
      </c>
    </row>
    <row r="77">
      <c r="A77" s="131">
        <f>IFERROR(__xludf.DUMMYFUNCTION("""COMPUTED_VALUE"""),75.0)</f>
        <v>75</v>
      </c>
      <c r="B77" s="131"/>
      <c r="C77" s="131">
        <f>IFERROR(__xludf.DUMMYFUNCTION("""COMPUTED_VALUE"""),23.0)</f>
        <v>23</v>
      </c>
      <c r="D77" s="131" t="b">
        <f>IFERROR(__xludf.DUMMYFUNCTION("""COMPUTED_VALUE"""),FALSE)</f>
        <v>0</v>
      </c>
      <c r="E77" s="101" t="str">
        <f>IFERROR(__xludf.DUMMYFUNCTION("""COMPUTED_VALUE"""),"TAKEYAMA")</f>
        <v>TAKEYAMA</v>
      </c>
      <c r="F77" s="101" t="str">
        <f>IFERROR(__xludf.DUMMYFUNCTION("""COMPUTED_VALUE"""),"YUKA")</f>
        <v>YUKA</v>
      </c>
    </row>
    <row r="78">
      <c r="A78" s="131">
        <f>IFERROR(__xludf.DUMMYFUNCTION("""COMPUTED_VALUE"""),76.0)</f>
        <v>76</v>
      </c>
      <c r="B78" s="131"/>
      <c r="C78" s="131">
        <f>IFERROR(__xludf.DUMMYFUNCTION("""COMPUTED_VALUE"""),76.0)</f>
        <v>76</v>
      </c>
      <c r="D78" s="131" t="b">
        <f>IFERROR(__xludf.DUMMYFUNCTION("""COMPUTED_VALUE"""),TRUE)</f>
        <v>1</v>
      </c>
      <c r="E78" s="105" t="str">
        <f>IFERROR(__xludf.DUMMYFUNCTION("""COMPUTED_VALUE"""),"ANTONIO")</f>
        <v>ANTONIO</v>
      </c>
      <c r="F78" s="105" t="str">
        <f>IFERROR(__xludf.DUMMYFUNCTION("""COMPUTED_VALUE"""),"CHOLO MIGUEL")</f>
        <v>CHOLO MIGUEL</v>
      </c>
    </row>
    <row r="79">
      <c r="A79" s="131">
        <f>IFERROR(__xludf.DUMMYFUNCTION("""COMPUTED_VALUE"""),77.0)</f>
        <v>77</v>
      </c>
      <c r="B79" s="131"/>
      <c r="C79" s="131">
        <f>IFERROR(__xludf.DUMMYFUNCTION("""COMPUTED_VALUE"""),76.0)</f>
        <v>76</v>
      </c>
      <c r="D79" s="131" t="b">
        <f>IFERROR(__xludf.DUMMYFUNCTION("""COMPUTED_VALUE"""),FALSE)</f>
        <v>0</v>
      </c>
      <c r="E79" s="106" t="str">
        <f>IFERROR(__xludf.DUMMYFUNCTION("""COMPUTED_VALUE"""),"ELCANA")</f>
        <v>ELCANA</v>
      </c>
      <c r="F79" s="106" t="str">
        <f>IFERROR(__xludf.DUMMYFUNCTION("""COMPUTED_VALUE"""),"JOAQUIN")</f>
        <v>JOAQUIN</v>
      </c>
    </row>
    <row r="80">
      <c r="A80" s="131">
        <f>IFERROR(__xludf.DUMMYFUNCTION("""COMPUTED_VALUE"""),78.0)</f>
        <v>78</v>
      </c>
      <c r="B80" s="131"/>
      <c r="C80" s="131">
        <f>IFERROR(__xludf.DUMMYFUNCTION("""COMPUTED_VALUE"""),76.0)</f>
        <v>76</v>
      </c>
      <c r="D80" s="131" t="b">
        <f>IFERROR(__xludf.DUMMYFUNCTION("""COMPUTED_VALUE"""),FALSE)</f>
        <v>0</v>
      </c>
      <c r="E80" s="107" t="str">
        <f>IFERROR(__xludf.DUMMYFUNCTION("""COMPUTED_VALUE"""),"VILLARTA")</f>
        <v>VILLARTA</v>
      </c>
      <c r="F80" s="107" t="str">
        <f>IFERROR(__xludf.DUMMYFUNCTION("""COMPUTED_VALUE"""),"JEXTER")</f>
        <v>JEXTER</v>
      </c>
    </row>
    <row r="81">
      <c r="A81" s="131">
        <f>IFERROR(__xludf.DUMMYFUNCTION("""COMPUTED_VALUE"""),79.0)</f>
        <v>79</v>
      </c>
      <c r="B81" s="131"/>
      <c r="C81" s="131">
        <f>IFERROR(__xludf.DUMMYFUNCTION("""COMPUTED_VALUE"""),76.0)</f>
        <v>76</v>
      </c>
      <c r="D81" s="131" t="b">
        <f>IFERROR(__xludf.DUMMYFUNCTION("""COMPUTED_VALUE"""),FALSE)</f>
        <v>0</v>
      </c>
      <c r="E81" s="107" t="str">
        <f>IFERROR(__xludf.DUMMYFUNCTION("""COMPUTED_VALUE"""),"MANUYAG")</f>
        <v>MANUYAG</v>
      </c>
      <c r="F81" s="107" t="str">
        <f>IFERROR(__xludf.DUMMYFUNCTION("""COMPUTED_VALUE"""),"RAYVER")</f>
        <v>RAYVER</v>
      </c>
    </row>
    <row r="82">
      <c r="A82" s="131">
        <f>IFERROR(__xludf.DUMMYFUNCTION("""COMPUTED_VALUE"""),80.0)</f>
        <v>80</v>
      </c>
      <c r="B82" s="131"/>
      <c r="C82" s="131">
        <f>IFERROR(__xludf.DUMMYFUNCTION("""COMPUTED_VALUE"""),76.0)</f>
        <v>76</v>
      </c>
      <c r="D82" s="131" t="b">
        <f>IFERROR(__xludf.DUMMYFUNCTION("""COMPUTED_VALUE"""),FALSE)</f>
        <v>0</v>
      </c>
      <c r="E82" s="108" t="str">
        <f>IFERROR(__xludf.DUMMYFUNCTION("""COMPUTED_VALUE"""),"RAAGAS")</f>
        <v>RAAGAS</v>
      </c>
      <c r="F82" s="108" t="str">
        <f>IFERROR(__xludf.DUMMYFUNCTION("""COMPUTED_VALUE"""),"PRINCE JHAMIR (YOHAN)")</f>
        <v>PRINCE JHAMIR (YOHAN)</v>
      </c>
    </row>
    <row r="83">
      <c r="A83" s="131">
        <f>IFERROR(__xludf.DUMMYFUNCTION("""COMPUTED_VALUE"""),81.0)</f>
        <v>81</v>
      </c>
      <c r="B83" s="131"/>
      <c r="C83" s="131">
        <f>IFERROR(__xludf.DUMMYFUNCTION("""COMPUTED_VALUE"""),76.0)</f>
        <v>76</v>
      </c>
      <c r="D83" s="131" t="b">
        <f>IFERROR(__xludf.DUMMYFUNCTION("""COMPUTED_VALUE"""),FALSE)</f>
        <v>0</v>
      </c>
      <c r="E83" s="107" t="str">
        <f>IFERROR(__xludf.DUMMYFUNCTION("""COMPUTED_VALUE"""),"MALOLOY-ON")</f>
        <v>MALOLOY-ON</v>
      </c>
      <c r="F83" s="107" t="str">
        <f>IFERROR(__xludf.DUMMYFUNCTION("""COMPUTED_VALUE"""),"HARLEY")</f>
        <v>HARLEY</v>
      </c>
    </row>
    <row r="84">
      <c r="A84" s="131">
        <f>IFERROR(__xludf.DUMMYFUNCTION("""COMPUTED_VALUE"""),82.0)</f>
        <v>82</v>
      </c>
      <c r="B84" s="131"/>
      <c r="C84" s="131">
        <f>IFERROR(__xludf.DUMMYFUNCTION("""COMPUTED_VALUE"""),76.0)</f>
        <v>76</v>
      </c>
      <c r="D84" s="131" t="b">
        <f>IFERROR(__xludf.DUMMYFUNCTION("""COMPUTED_VALUE"""),FALSE)</f>
        <v>0</v>
      </c>
      <c r="E84" s="106" t="str">
        <f>IFERROR(__xludf.DUMMYFUNCTION("""COMPUTED_VALUE"""),"MEDINA")</f>
        <v>MEDINA</v>
      </c>
      <c r="F84" s="106" t="str">
        <f>IFERROR(__xludf.DUMMYFUNCTION("""COMPUTED_VALUE"""),"JOHN PAUL")</f>
        <v>JOHN PAUL</v>
      </c>
    </row>
    <row r="85">
      <c r="A85" s="131">
        <f>IFERROR(__xludf.DUMMYFUNCTION("""COMPUTED_VALUE"""),83.0)</f>
        <v>83</v>
      </c>
      <c r="B85" s="131"/>
      <c r="C85" s="131">
        <f>IFERROR(__xludf.DUMMYFUNCTION("""COMPUTED_VALUE"""),76.0)</f>
        <v>76</v>
      </c>
      <c r="D85" s="131" t="b">
        <f>IFERROR(__xludf.DUMMYFUNCTION("""COMPUTED_VALUE"""),FALSE)</f>
        <v>0</v>
      </c>
      <c r="E85" s="107" t="str">
        <f>IFERROR(__xludf.DUMMYFUNCTION("""COMPUTED_VALUE"""),"SALTA")</f>
        <v>SALTA</v>
      </c>
      <c r="F85" s="107" t="str">
        <f>IFERROR(__xludf.DUMMYFUNCTION("""COMPUTED_VALUE"""),"KARL")</f>
        <v>KARL</v>
      </c>
    </row>
    <row r="86">
      <c r="A86" s="131">
        <f>IFERROR(__xludf.DUMMYFUNCTION("""COMPUTED_VALUE"""),84.0)</f>
        <v>84</v>
      </c>
      <c r="B86" s="131"/>
      <c r="C86" s="131">
        <f>IFERROR(__xludf.DUMMYFUNCTION("""COMPUTED_VALUE"""),76.0)</f>
        <v>76</v>
      </c>
      <c r="D86" s="131" t="b">
        <f>IFERROR(__xludf.DUMMYFUNCTION("""COMPUTED_VALUE"""),FALSE)</f>
        <v>0</v>
      </c>
      <c r="E86" s="107" t="str">
        <f>IFERROR(__xludf.DUMMYFUNCTION("""COMPUTED_VALUE"""),"ROBLOS")</f>
        <v>ROBLOS</v>
      </c>
      <c r="F86" s="107" t="str">
        <f>IFERROR(__xludf.DUMMYFUNCTION("""COMPUTED_VALUE"""),"CEDRIC")</f>
        <v>CEDRIC</v>
      </c>
    </row>
    <row r="87">
      <c r="A87" s="131">
        <f>IFERROR(__xludf.DUMMYFUNCTION("""COMPUTED_VALUE"""),85.0)</f>
        <v>85</v>
      </c>
      <c r="B87" s="131"/>
      <c r="C87" s="131">
        <f>IFERROR(__xludf.DUMMYFUNCTION("""COMPUTED_VALUE"""),76.0)</f>
        <v>76</v>
      </c>
      <c r="D87" s="131" t="b">
        <f>IFERROR(__xludf.DUMMYFUNCTION("""COMPUTED_VALUE"""),FALSE)</f>
        <v>0</v>
      </c>
      <c r="E87" s="107" t="str">
        <f>IFERROR(__xludf.DUMMYFUNCTION("""COMPUTED_VALUE"""),"RIVAS")</f>
        <v>RIVAS</v>
      </c>
      <c r="F87" s="107" t="str">
        <f>IFERROR(__xludf.DUMMYFUNCTION("""COMPUTED_VALUE"""),"RAY ALLEN")</f>
        <v>RAY ALLEN</v>
      </c>
    </row>
    <row r="88">
      <c r="A88" s="131">
        <f>IFERROR(__xludf.DUMMYFUNCTION("""COMPUTED_VALUE"""),86.0)</f>
        <v>86</v>
      </c>
      <c r="B88" s="131"/>
      <c r="C88" s="131">
        <f>IFERROR(__xludf.DUMMYFUNCTION("""COMPUTED_VALUE"""),76.0)</f>
        <v>76</v>
      </c>
      <c r="D88" s="131" t="b">
        <f>IFERROR(__xludf.DUMMYFUNCTION("""COMPUTED_VALUE"""),FALSE)</f>
        <v>0</v>
      </c>
      <c r="E88" s="107" t="str">
        <f>IFERROR(__xludf.DUMMYFUNCTION("""COMPUTED_VALUE"""),"MAGDANGAN")</f>
        <v>MAGDANGAN</v>
      </c>
      <c r="F88" s="107" t="str">
        <f>IFERROR(__xludf.DUMMYFUNCTION("""COMPUTED_VALUE"""),"DENMARK")</f>
        <v>DENMARK</v>
      </c>
    </row>
    <row r="89">
      <c r="A89" s="131">
        <f>IFERROR(__xludf.DUMMYFUNCTION("""COMPUTED_VALUE"""),87.0)</f>
        <v>87</v>
      </c>
      <c r="B89" s="131"/>
      <c r="C89" s="131">
        <f>IFERROR(__xludf.DUMMYFUNCTION("""COMPUTED_VALUE"""),76.0)</f>
        <v>76</v>
      </c>
      <c r="D89" s="131" t="b">
        <f>IFERROR(__xludf.DUMMYFUNCTION("""COMPUTED_VALUE"""),FALSE)</f>
        <v>0</v>
      </c>
      <c r="E89" s="106" t="str">
        <f>IFERROR(__xludf.DUMMYFUNCTION("""COMPUTED_VALUE"""),"SABONG")</f>
        <v>SABONG</v>
      </c>
      <c r="F89" s="106" t="str">
        <f>IFERROR(__xludf.DUMMYFUNCTION("""COMPUTED_VALUE"""),"VINCE")</f>
        <v>VINCE</v>
      </c>
    </row>
    <row r="90">
      <c r="A90" s="131">
        <f>IFERROR(__xludf.DUMMYFUNCTION("""COMPUTED_VALUE"""),88.0)</f>
        <v>88</v>
      </c>
      <c r="B90" s="131"/>
      <c r="C90" s="131">
        <f>IFERROR(__xludf.DUMMYFUNCTION("""COMPUTED_VALUE"""),76.0)</f>
        <v>76</v>
      </c>
      <c r="D90" s="131" t="b">
        <f>IFERROR(__xludf.DUMMYFUNCTION("""COMPUTED_VALUE"""),FALSE)</f>
        <v>0</v>
      </c>
      <c r="E90" s="107" t="str">
        <f>IFERROR(__xludf.DUMMYFUNCTION("""COMPUTED_VALUE"""),"AQUINO")</f>
        <v>AQUINO</v>
      </c>
      <c r="F90" s="107" t="str">
        <f>IFERROR(__xludf.DUMMYFUNCTION("""COMPUTED_VALUE"""),"MARVIN")</f>
        <v>MARVIN</v>
      </c>
    </row>
    <row r="91">
      <c r="A91" s="131">
        <f>IFERROR(__xludf.DUMMYFUNCTION("""COMPUTED_VALUE"""),89.0)</f>
        <v>89</v>
      </c>
      <c r="B91" s="131"/>
      <c r="C91" s="131">
        <f>IFERROR(__xludf.DUMMYFUNCTION("""COMPUTED_VALUE"""),76.0)</f>
        <v>76</v>
      </c>
      <c r="D91" s="131" t="b">
        <f>IFERROR(__xludf.DUMMYFUNCTION("""COMPUTED_VALUE"""),FALSE)</f>
        <v>0</v>
      </c>
      <c r="E91" s="109" t="str">
        <f>IFERROR(__xludf.DUMMYFUNCTION("""COMPUTED_VALUE"""),"LANOZO")</f>
        <v>LANOZO</v>
      </c>
      <c r="F91" s="109" t="str">
        <f>IFERROR(__xludf.DUMMYFUNCTION("""COMPUTED_VALUE"""),"REGGIENALD")</f>
        <v>REGGIENALD</v>
      </c>
    </row>
    <row r="92">
      <c r="A92" s="131">
        <f>IFERROR(__xludf.DUMMYFUNCTION("""COMPUTED_VALUE"""),90.0)</f>
        <v>90</v>
      </c>
      <c r="B92" s="131"/>
      <c r="C92" s="131">
        <f>IFERROR(__xludf.DUMMYFUNCTION("""COMPUTED_VALUE"""),76.0)</f>
        <v>76</v>
      </c>
      <c r="D92" s="131" t="b">
        <f>IFERROR(__xludf.DUMMYFUNCTION("""COMPUTED_VALUE"""),FALSE)</f>
        <v>0</v>
      </c>
      <c r="E92" s="110" t="str">
        <f>IFERROR(__xludf.DUMMYFUNCTION("""COMPUTED_VALUE"""),"QUIRONA")</f>
        <v>QUIRONA</v>
      </c>
      <c r="F92" s="110" t="str">
        <f>IFERROR(__xludf.DUMMYFUNCTION("""COMPUTED_VALUE"""),"IAN CHRISTOPHER")</f>
        <v>IAN CHRISTOPHER</v>
      </c>
    </row>
    <row r="93">
      <c r="A93" s="131">
        <f>IFERROR(__xludf.DUMMYFUNCTION("""COMPUTED_VALUE"""),91.0)</f>
        <v>91</v>
      </c>
      <c r="B93" s="131"/>
      <c r="C93" s="131">
        <f>IFERROR(__xludf.DUMMYFUNCTION("""COMPUTED_VALUE"""),76.0)</f>
        <v>76</v>
      </c>
      <c r="D93" s="131" t="b">
        <f>IFERROR(__xludf.DUMMYFUNCTION("""COMPUTED_VALUE"""),FALSE)</f>
        <v>0</v>
      </c>
      <c r="E93" s="110" t="str">
        <f>IFERROR(__xludf.DUMMYFUNCTION("""COMPUTED_VALUE"""),"BAUYON")</f>
        <v>BAUYON</v>
      </c>
      <c r="F93" s="110" t="str">
        <f>IFERROR(__xludf.DUMMYFUNCTION("""COMPUTED_VALUE"""),"JOHN CARLO")</f>
        <v>JOHN CARLO</v>
      </c>
    </row>
    <row r="94">
      <c r="A94" s="131">
        <f>IFERROR(__xludf.DUMMYFUNCTION("""COMPUTED_VALUE"""),92.0)</f>
        <v>92</v>
      </c>
      <c r="B94" s="131"/>
      <c r="C94" s="131">
        <f>IFERROR(__xludf.DUMMYFUNCTION("""COMPUTED_VALUE"""),76.0)</f>
        <v>76</v>
      </c>
      <c r="D94" s="131" t="b">
        <f>IFERROR(__xludf.DUMMYFUNCTION("""COMPUTED_VALUE"""),FALSE)</f>
        <v>0</v>
      </c>
      <c r="E94" s="111" t="str">
        <f>IFERROR(__xludf.DUMMYFUNCTION("""COMPUTED_VALUE"""),"FIGUEROA")</f>
        <v>FIGUEROA</v>
      </c>
      <c r="F94" s="111" t="str">
        <f>IFERROR(__xludf.DUMMYFUNCTION("""COMPUTED_VALUE"""),"RONALD")</f>
        <v>RONALD</v>
      </c>
    </row>
    <row r="95">
      <c r="A95" s="131"/>
      <c r="B95" s="131"/>
      <c r="C95" s="131"/>
      <c r="D95" s="131"/>
      <c r="E95" s="112"/>
      <c r="F95" s="112"/>
    </row>
    <row r="96">
      <c r="A96" s="131"/>
      <c r="B96" s="131"/>
      <c r="C96" s="131"/>
      <c r="D96" s="131"/>
      <c r="E96" s="112"/>
      <c r="F96" s="112"/>
    </row>
    <row r="97">
      <c r="A97" s="131"/>
      <c r="B97" s="131"/>
      <c r="C97" s="131"/>
      <c r="D97" s="131"/>
      <c r="E97" s="112"/>
      <c r="F97" s="112"/>
    </row>
    <row r="98">
      <c r="A98" s="131"/>
      <c r="B98" s="131"/>
      <c r="C98" s="131"/>
      <c r="D98" s="131"/>
      <c r="E98" s="112"/>
      <c r="F98" s="112"/>
    </row>
    <row r="99">
      <c r="A99" s="131"/>
      <c r="B99" s="131"/>
      <c r="C99" s="131">
        <f>IFERROR(__xludf.DUMMYFUNCTION("""COMPUTED_VALUE"""),76.0)</f>
        <v>76</v>
      </c>
      <c r="D99" s="131" t="b">
        <f>IFERROR(__xludf.DUMMYFUNCTION("""COMPUTED_VALUE"""),FALSE)</f>
        <v>0</v>
      </c>
      <c r="E99" s="113" t="str">
        <f>IFERROR(__xludf.DUMMYFUNCTION("""COMPUTED_VALUE"""),"INACTIVE")</f>
        <v>INACTIVE</v>
      </c>
      <c r="F99" s="110"/>
    </row>
    <row r="100">
      <c r="A100" s="131">
        <f>IFERROR(__xludf.DUMMYFUNCTION("""COMPUTED_VALUE"""),99.0)</f>
        <v>99</v>
      </c>
      <c r="B100" s="131"/>
      <c r="C100" s="131">
        <f>IFERROR(__xludf.DUMMYFUNCTION("""COMPUTED_VALUE"""),76.0)</f>
        <v>76</v>
      </c>
      <c r="D100" s="131" t="b">
        <f>IFERROR(__xludf.DUMMYFUNCTION("""COMPUTED_VALUE"""),FALSE)</f>
        <v>0</v>
      </c>
      <c r="E100" s="114" t="str">
        <f>IFERROR(__xludf.DUMMYFUNCTION("""COMPUTED_VALUE"""),"BONIFACIO")</f>
        <v>BONIFACIO</v>
      </c>
      <c r="F100" s="114" t="str">
        <f>IFERROR(__xludf.DUMMYFUNCTION("""COMPUTED_VALUE"""),"JUNIOR")</f>
        <v>JUNIOR</v>
      </c>
    </row>
    <row r="101">
      <c r="A101" s="131">
        <f>IFERROR(__xludf.DUMMYFUNCTION("""COMPUTED_VALUE"""),100.0)</f>
        <v>100</v>
      </c>
      <c r="B101" s="131"/>
      <c r="C101" s="131">
        <f>IFERROR(__xludf.DUMMYFUNCTION("""COMPUTED_VALUE"""),76.0)</f>
        <v>76</v>
      </c>
      <c r="D101" s="131" t="b">
        <f>IFERROR(__xludf.DUMMYFUNCTION("""COMPUTED_VALUE"""),FALSE)</f>
        <v>0</v>
      </c>
      <c r="E101" s="114" t="str">
        <f>IFERROR(__xludf.DUMMYFUNCTION("""COMPUTED_VALUE"""),"CASTILLO")</f>
        <v>CASTILLO</v>
      </c>
      <c r="F101" s="114" t="str">
        <f>IFERROR(__xludf.DUMMYFUNCTION("""COMPUTED_VALUE"""),"JOHNREY")</f>
        <v>JOHNREY</v>
      </c>
    </row>
    <row r="102">
      <c r="A102" s="131">
        <f>IFERROR(__xludf.DUMMYFUNCTION("""COMPUTED_VALUE"""),101.0)</f>
        <v>101</v>
      </c>
      <c r="B102" s="131"/>
      <c r="C102" s="131">
        <f>IFERROR(__xludf.DUMMYFUNCTION("""COMPUTED_VALUE"""),76.0)</f>
        <v>76</v>
      </c>
      <c r="D102" s="131" t="b">
        <f>IFERROR(__xludf.DUMMYFUNCTION("""COMPUTED_VALUE"""),FALSE)</f>
        <v>0</v>
      </c>
      <c r="E102" s="114" t="str">
        <f>IFERROR(__xludf.DUMMYFUNCTION("""COMPUTED_VALUE"""),"MENDOZA")</f>
        <v>MENDOZA</v>
      </c>
      <c r="F102" s="114" t="str">
        <f>IFERROR(__xludf.DUMMYFUNCTION("""COMPUTED_VALUE"""),"JUSTINE IAN")</f>
        <v>JUSTINE IAN</v>
      </c>
    </row>
    <row r="103">
      <c r="A103" s="131">
        <f>IFERROR(__xludf.DUMMYFUNCTION("""COMPUTED_VALUE"""),102.0)</f>
        <v>102</v>
      </c>
      <c r="B103" s="131"/>
      <c r="C103" s="131">
        <f>IFERROR(__xludf.DUMMYFUNCTION("""COMPUTED_VALUE"""),76.0)</f>
        <v>76</v>
      </c>
      <c r="D103" s="131" t="b">
        <f>IFERROR(__xludf.DUMMYFUNCTION("""COMPUTED_VALUE"""),FALSE)</f>
        <v>0</v>
      </c>
      <c r="E103" s="114" t="str">
        <f>IFERROR(__xludf.DUMMYFUNCTION("""COMPUTED_VALUE"""),"FERMIN")</f>
        <v>FERMIN</v>
      </c>
      <c r="F103" s="114" t="str">
        <f>IFERROR(__xludf.DUMMYFUNCTION("""COMPUTED_VALUE"""),"HARIMAR")</f>
        <v>HARIMAR</v>
      </c>
    </row>
    <row r="104">
      <c r="A104" s="131">
        <f>IFERROR(__xludf.DUMMYFUNCTION("""COMPUTED_VALUE"""),103.0)</f>
        <v>103</v>
      </c>
      <c r="B104" s="131"/>
      <c r="C104" s="131">
        <f>IFERROR(__xludf.DUMMYFUNCTION("""COMPUTED_VALUE"""),76.0)</f>
        <v>76</v>
      </c>
      <c r="D104" s="131" t="b">
        <f>IFERROR(__xludf.DUMMYFUNCTION("""COMPUTED_VALUE"""),FALSE)</f>
        <v>0</v>
      </c>
      <c r="E104" s="114" t="str">
        <f>IFERROR(__xludf.DUMMYFUNCTION("""COMPUTED_VALUE"""),"ADEME")</f>
        <v>ADEME</v>
      </c>
      <c r="F104" s="114" t="str">
        <f>IFERROR(__xludf.DUMMYFUNCTION("""COMPUTED_VALUE"""),"JOHN EVO")</f>
        <v>JOHN EVO</v>
      </c>
    </row>
    <row r="105">
      <c r="A105" s="131">
        <f>IFERROR(__xludf.DUMMYFUNCTION("""COMPUTED_VALUE"""),104.0)</f>
        <v>104</v>
      </c>
      <c r="B105" s="131"/>
      <c r="C105" s="131">
        <f>IFERROR(__xludf.DUMMYFUNCTION("""COMPUTED_VALUE"""),76.0)</f>
        <v>76</v>
      </c>
      <c r="D105" s="131" t="b">
        <f>IFERROR(__xludf.DUMMYFUNCTION("""COMPUTED_VALUE"""),FALSE)</f>
        <v>0</v>
      </c>
      <c r="E105" s="114" t="str">
        <f>IFERROR(__xludf.DUMMYFUNCTION("""COMPUTED_VALUE"""),"FLAGNE")</f>
        <v>FLAGNE</v>
      </c>
      <c r="F105" s="114" t="str">
        <f>IFERROR(__xludf.DUMMYFUNCTION("""COMPUTED_VALUE"""),"JHANDY")</f>
        <v>JHANDY</v>
      </c>
    </row>
    <row r="106">
      <c r="A106" s="131">
        <f>IFERROR(__xludf.DUMMYFUNCTION("""COMPUTED_VALUE"""),105.0)</f>
        <v>105</v>
      </c>
      <c r="B106" s="131"/>
      <c r="C106" s="131">
        <f>IFERROR(__xludf.DUMMYFUNCTION("""COMPUTED_VALUE"""),76.0)</f>
        <v>76</v>
      </c>
      <c r="D106" s="131" t="b">
        <f>IFERROR(__xludf.DUMMYFUNCTION("""COMPUTED_VALUE"""),FALSE)</f>
        <v>0</v>
      </c>
      <c r="E106" s="114" t="str">
        <f>IFERROR(__xludf.DUMMYFUNCTION("""COMPUTED_VALUE"""),"GURION")</f>
        <v>GURION</v>
      </c>
      <c r="F106" s="114" t="str">
        <f>IFERROR(__xludf.DUMMYFUNCTION("""COMPUTED_VALUE"""),"ARJIE")</f>
        <v>ARJIE</v>
      </c>
    </row>
    <row r="107">
      <c r="A107" s="131">
        <f>IFERROR(__xludf.DUMMYFUNCTION("""COMPUTED_VALUE"""),106.0)</f>
        <v>106</v>
      </c>
      <c r="B107" s="131"/>
      <c r="C107" s="131">
        <f>IFERROR(__xludf.DUMMYFUNCTION("""COMPUTED_VALUE"""),76.0)</f>
        <v>76</v>
      </c>
      <c r="D107" s="131" t="b">
        <f>IFERROR(__xludf.DUMMYFUNCTION("""COMPUTED_VALUE"""),FALSE)</f>
        <v>0</v>
      </c>
      <c r="E107" s="114" t="str">
        <f>IFERROR(__xludf.DUMMYFUNCTION("""COMPUTED_VALUE"""),"INAJE")</f>
        <v>INAJE</v>
      </c>
      <c r="F107" s="114" t="str">
        <f>IFERROR(__xludf.DUMMYFUNCTION("""COMPUTED_VALUE"""),"JAYSON")</f>
        <v>JAYSON</v>
      </c>
    </row>
    <row r="108">
      <c r="A108" s="131">
        <f>IFERROR(__xludf.DUMMYFUNCTION("""COMPUTED_VALUE"""),107.0)</f>
        <v>107</v>
      </c>
      <c r="B108" s="131"/>
      <c r="C108" s="131">
        <f>IFERROR(__xludf.DUMMYFUNCTION("""COMPUTED_VALUE"""),76.0)</f>
        <v>76</v>
      </c>
      <c r="D108" s="131" t="b">
        <f>IFERROR(__xludf.DUMMYFUNCTION("""COMPUTED_VALUE"""),FALSE)</f>
        <v>0</v>
      </c>
      <c r="E108" s="114" t="str">
        <f>IFERROR(__xludf.DUMMYFUNCTION("""COMPUTED_VALUE"""),"LUANGCO")</f>
        <v>LUANGCO</v>
      </c>
      <c r="F108" s="114" t="str">
        <f>IFERROR(__xludf.DUMMYFUNCTION("""COMPUTED_VALUE"""),"MARKHIEL")</f>
        <v>MARKHIEL</v>
      </c>
    </row>
    <row r="109">
      <c r="A109" s="131">
        <f>IFERROR(__xludf.DUMMYFUNCTION("""COMPUTED_VALUE"""),108.0)</f>
        <v>108</v>
      </c>
      <c r="B109" s="131"/>
      <c r="C109" s="131">
        <f>IFERROR(__xludf.DUMMYFUNCTION("""COMPUTED_VALUE"""),76.0)</f>
        <v>76</v>
      </c>
      <c r="D109" s="131" t="b">
        <f>IFERROR(__xludf.DUMMYFUNCTION("""COMPUTED_VALUE"""),FALSE)</f>
        <v>0</v>
      </c>
      <c r="E109" s="114" t="str">
        <f>IFERROR(__xludf.DUMMYFUNCTION("""COMPUTED_VALUE"""),"NAPARATO")</f>
        <v>NAPARATO</v>
      </c>
      <c r="F109" s="114" t="str">
        <f>IFERROR(__xludf.DUMMYFUNCTION("""COMPUTED_VALUE"""),"JONEL")</f>
        <v>JONEL</v>
      </c>
    </row>
    <row r="110">
      <c r="A110" s="131">
        <f>IFERROR(__xludf.DUMMYFUNCTION("""COMPUTED_VALUE"""),109.0)</f>
        <v>109</v>
      </c>
      <c r="B110" s="131"/>
      <c r="C110" s="131">
        <f>IFERROR(__xludf.DUMMYFUNCTION("""COMPUTED_VALUE"""),76.0)</f>
        <v>76</v>
      </c>
      <c r="D110" s="131" t="b">
        <f>IFERROR(__xludf.DUMMYFUNCTION("""COMPUTED_VALUE"""),FALSE)</f>
        <v>0</v>
      </c>
      <c r="E110" s="114" t="str">
        <f>IFERROR(__xludf.DUMMYFUNCTION("""COMPUTED_VALUE"""),"NAPARATO")</f>
        <v>NAPARATO</v>
      </c>
      <c r="F110" s="114" t="str">
        <f>IFERROR(__xludf.DUMMYFUNCTION("""COMPUTED_VALUE"""),"JEFF")</f>
        <v>JEFF</v>
      </c>
    </row>
    <row r="111">
      <c r="A111" s="131">
        <f>IFERROR(__xludf.DUMMYFUNCTION("""COMPUTED_VALUE"""),110.0)</f>
        <v>110</v>
      </c>
      <c r="B111" s="131"/>
      <c r="C111" s="131">
        <f>IFERROR(__xludf.DUMMYFUNCTION("""COMPUTED_VALUE"""),76.0)</f>
        <v>76</v>
      </c>
      <c r="D111" s="131" t="b">
        <f>IFERROR(__xludf.DUMMYFUNCTION("""COMPUTED_VALUE"""),FALSE)</f>
        <v>0</v>
      </c>
      <c r="E111" s="114" t="str">
        <f>IFERROR(__xludf.DUMMYFUNCTION("""COMPUTED_VALUE"""),"PABILLO")</f>
        <v>PABILLO</v>
      </c>
      <c r="F111" s="114" t="str">
        <f>IFERROR(__xludf.DUMMYFUNCTION("""COMPUTED_VALUE"""),"PRINCE ALECK")</f>
        <v>PRINCE ALECK</v>
      </c>
    </row>
    <row r="112">
      <c r="A112" s="131">
        <f>IFERROR(__xludf.DUMMYFUNCTION("""COMPUTED_VALUE"""),111.0)</f>
        <v>111</v>
      </c>
      <c r="B112" s="131"/>
      <c r="C112" s="131">
        <f>IFERROR(__xludf.DUMMYFUNCTION("""COMPUTED_VALUE"""),76.0)</f>
        <v>76</v>
      </c>
      <c r="D112" s="131" t="b">
        <f>IFERROR(__xludf.DUMMYFUNCTION("""COMPUTED_VALUE"""),FALSE)</f>
        <v>0</v>
      </c>
      <c r="E112" s="114" t="str">
        <f>IFERROR(__xludf.DUMMYFUNCTION("""COMPUTED_VALUE"""),"PRINCESA")</f>
        <v>PRINCESA</v>
      </c>
      <c r="F112" s="114" t="str">
        <f>IFERROR(__xludf.DUMMYFUNCTION("""COMPUTED_VALUE"""),"ADRIAN CARL")</f>
        <v>ADRIAN CARL</v>
      </c>
    </row>
    <row r="113">
      <c r="A113" s="131">
        <f>IFERROR(__xludf.DUMMYFUNCTION("""COMPUTED_VALUE"""),112.0)</f>
        <v>112</v>
      </c>
      <c r="B113" s="131"/>
      <c r="C113" s="131">
        <f>IFERROR(__xludf.DUMMYFUNCTION("""COMPUTED_VALUE"""),76.0)</f>
        <v>76</v>
      </c>
      <c r="D113" s="131" t="b">
        <f>IFERROR(__xludf.DUMMYFUNCTION("""COMPUTED_VALUE"""),FALSE)</f>
        <v>0</v>
      </c>
      <c r="E113" s="114" t="str">
        <f>IFERROR(__xludf.DUMMYFUNCTION("""COMPUTED_VALUE"""),"RAMOS")</f>
        <v>RAMOS</v>
      </c>
      <c r="F113" s="114" t="str">
        <f>IFERROR(__xludf.DUMMYFUNCTION("""COMPUTED_VALUE"""),"JEREMIAH")</f>
        <v>JEREMIAH</v>
      </c>
    </row>
    <row r="114">
      <c r="A114" s="131">
        <f>IFERROR(__xludf.DUMMYFUNCTION("""COMPUTED_VALUE"""),113.0)</f>
        <v>113</v>
      </c>
      <c r="B114" s="131"/>
      <c r="C114" s="131">
        <f>IFERROR(__xludf.DUMMYFUNCTION("""COMPUTED_VALUE"""),76.0)</f>
        <v>76</v>
      </c>
      <c r="D114" s="131" t="b">
        <f>IFERROR(__xludf.DUMMYFUNCTION("""COMPUTED_VALUE"""),FALSE)</f>
        <v>0</v>
      </c>
      <c r="E114" s="114" t="str">
        <f>IFERROR(__xludf.DUMMYFUNCTION("""COMPUTED_VALUE"""),"RAMOS")</f>
        <v>RAMOS</v>
      </c>
      <c r="F114" s="114" t="str">
        <f>IFERROR(__xludf.DUMMYFUNCTION("""COMPUTED_VALUE"""),"MATTHEW")</f>
        <v>MATTHEW</v>
      </c>
    </row>
    <row r="115">
      <c r="A115" s="131">
        <f>IFERROR(__xludf.DUMMYFUNCTION("""COMPUTED_VALUE"""),114.0)</f>
        <v>114</v>
      </c>
      <c r="B115" s="131"/>
      <c r="C115" s="131">
        <f>IFERROR(__xludf.DUMMYFUNCTION("""COMPUTED_VALUE"""),76.0)</f>
        <v>76</v>
      </c>
      <c r="D115" s="131" t="b">
        <f>IFERROR(__xludf.DUMMYFUNCTION("""COMPUTED_VALUE"""),FALSE)</f>
        <v>0</v>
      </c>
      <c r="E115" s="114" t="str">
        <f>IFERROR(__xludf.DUMMYFUNCTION("""COMPUTED_VALUE"""),"RAMOS")</f>
        <v>RAMOS</v>
      </c>
      <c r="F115" s="114" t="str">
        <f>IFERROR(__xludf.DUMMYFUNCTION("""COMPUTED_VALUE"""),"JONAS")</f>
        <v>JONAS</v>
      </c>
    </row>
    <row r="116">
      <c r="A116" s="131">
        <f>IFERROR(__xludf.DUMMYFUNCTION("""COMPUTED_VALUE"""),115.0)</f>
        <v>115</v>
      </c>
      <c r="B116" s="131"/>
      <c r="C116" s="131">
        <f>IFERROR(__xludf.DUMMYFUNCTION("""COMPUTED_VALUE"""),76.0)</f>
        <v>76</v>
      </c>
      <c r="D116" s="131" t="b">
        <f>IFERROR(__xludf.DUMMYFUNCTION("""COMPUTED_VALUE"""),FALSE)</f>
        <v>0</v>
      </c>
      <c r="E116" s="114" t="str">
        <f>IFERROR(__xludf.DUMMYFUNCTION("""COMPUTED_VALUE"""),"ROMANO")</f>
        <v>ROMANO</v>
      </c>
      <c r="F116" s="114" t="str">
        <f>IFERROR(__xludf.DUMMYFUNCTION("""COMPUTED_VALUE"""),"XIANREY")</f>
        <v>XIANREY</v>
      </c>
    </row>
    <row r="117">
      <c r="A117" s="131">
        <f>IFERROR(__xludf.DUMMYFUNCTION("""COMPUTED_VALUE"""),116.0)</f>
        <v>116</v>
      </c>
      <c r="B117" s="131"/>
      <c r="C117" s="131">
        <f>IFERROR(__xludf.DUMMYFUNCTION("""COMPUTED_VALUE"""),76.0)</f>
        <v>76</v>
      </c>
      <c r="D117" s="131" t="b">
        <f>IFERROR(__xludf.DUMMYFUNCTION("""COMPUTED_VALUE"""),FALSE)</f>
        <v>0</v>
      </c>
      <c r="E117" s="114" t="str">
        <f>IFERROR(__xludf.DUMMYFUNCTION("""COMPUTED_VALUE"""),"AMBROCIO")</f>
        <v>AMBROCIO</v>
      </c>
      <c r="F117" s="114" t="str">
        <f>IFERROR(__xludf.DUMMYFUNCTION("""COMPUTED_VALUE"""),"JAMES")</f>
        <v>JAMES</v>
      </c>
    </row>
    <row r="118">
      <c r="A118" s="131">
        <f>IFERROR(__xludf.DUMMYFUNCTION("""COMPUTED_VALUE"""),117.0)</f>
        <v>117</v>
      </c>
      <c r="B118" s="131"/>
      <c r="C118" s="131">
        <f>IFERROR(__xludf.DUMMYFUNCTION("""COMPUTED_VALUE"""),76.0)</f>
        <v>76</v>
      </c>
      <c r="D118" s="131" t="b">
        <f>IFERROR(__xludf.DUMMYFUNCTION("""COMPUTED_VALUE"""),FALSE)</f>
        <v>0</v>
      </c>
      <c r="E118" s="114" t="str">
        <f>IFERROR(__xludf.DUMMYFUNCTION("""COMPUTED_VALUE"""),"PANADO")</f>
        <v>PANADO</v>
      </c>
      <c r="F118" s="114" t="str">
        <f>IFERROR(__xludf.DUMMYFUNCTION("""COMPUTED_VALUE"""),"JAMES")</f>
        <v>JAMES</v>
      </c>
    </row>
    <row r="119">
      <c r="A119" s="131">
        <f>IFERROR(__xludf.DUMMYFUNCTION("""COMPUTED_VALUE"""),118.0)</f>
        <v>118</v>
      </c>
      <c r="B119" s="131"/>
      <c r="C119" s="131">
        <f>IFERROR(__xludf.DUMMYFUNCTION("""COMPUTED_VALUE"""),76.0)</f>
        <v>76</v>
      </c>
      <c r="D119" s="131" t="b">
        <f>IFERROR(__xludf.DUMMYFUNCTION("""COMPUTED_VALUE"""),FALSE)</f>
        <v>0</v>
      </c>
      <c r="E119" s="114" t="str">
        <f>IFERROR(__xludf.DUMMYFUNCTION("""COMPUTED_VALUE"""),"MALLARI")</f>
        <v>MALLARI</v>
      </c>
      <c r="F119" s="114" t="str">
        <f>IFERROR(__xludf.DUMMYFUNCTION("""COMPUTED_VALUE"""),"JAY IAN")</f>
        <v>JAY IAN</v>
      </c>
    </row>
    <row r="120">
      <c r="A120" s="131"/>
      <c r="B120" s="131"/>
      <c r="C120" s="131"/>
      <c r="D120" s="131"/>
      <c r="E120" s="131"/>
      <c r="F120" s="131"/>
    </row>
    <row r="121">
      <c r="A121" s="131">
        <f>IFERROR(__xludf.DUMMYFUNCTION("""COMPUTED_VALUE"""),120.0)</f>
        <v>120</v>
      </c>
      <c r="B121" s="131"/>
      <c r="C121" s="131">
        <f>IFERROR(__xludf.DUMMYFUNCTION("""COMPUTED_VALUE"""),120.0)</f>
        <v>120</v>
      </c>
      <c r="D121" s="131" t="b">
        <f>IFERROR(__xludf.DUMMYFUNCTION("""COMPUTED_VALUE"""),TRUE)</f>
        <v>1</v>
      </c>
      <c r="E121" s="105" t="str">
        <f>IFERROR(__xludf.DUMMYFUNCTION("""COMPUTED_VALUE"""),"MACASA")</f>
        <v>MACASA</v>
      </c>
      <c r="F121" s="105" t="str">
        <f>IFERROR(__xludf.DUMMYFUNCTION("""COMPUTED_VALUE"""),"POLO")</f>
        <v>POLO</v>
      </c>
    </row>
    <row r="122">
      <c r="A122" s="131">
        <f>IFERROR(__xludf.DUMMYFUNCTION("""COMPUTED_VALUE"""),121.0)</f>
        <v>121</v>
      </c>
      <c r="B122" s="131"/>
      <c r="C122" s="131">
        <f>IFERROR(__xludf.DUMMYFUNCTION("""COMPUTED_VALUE"""),120.0)</f>
        <v>120</v>
      </c>
      <c r="D122" s="131" t="b">
        <f>IFERROR(__xludf.DUMMYFUNCTION("""COMPUTED_VALUE"""),FALSE)</f>
        <v>0</v>
      </c>
      <c r="E122" s="115" t="str">
        <f>IFERROR(__xludf.DUMMYFUNCTION("""COMPUTED_VALUE"""),"ALCANTARA")</f>
        <v>ALCANTARA</v>
      </c>
      <c r="F122" s="107" t="str">
        <f>IFERROR(__xludf.DUMMYFUNCTION("""COMPUTED_VALUE"""),"GERALD")</f>
        <v>GERALD</v>
      </c>
    </row>
    <row r="123">
      <c r="A123" s="131">
        <f>IFERROR(__xludf.DUMMYFUNCTION("""COMPUTED_VALUE"""),122.0)</f>
        <v>122</v>
      </c>
      <c r="B123" s="131"/>
      <c r="C123" s="131">
        <f>IFERROR(__xludf.DUMMYFUNCTION("""COMPUTED_VALUE"""),120.0)</f>
        <v>120</v>
      </c>
      <c r="D123" s="131" t="b">
        <f>IFERROR(__xludf.DUMMYFUNCTION("""COMPUTED_VALUE"""),FALSE)</f>
        <v>0</v>
      </c>
      <c r="E123" s="107" t="str">
        <f>IFERROR(__xludf.DUMMYFUNCTION("""COMPUTED_VALUE"""),"ALVIAR")</f>
        <v>ALVIAR</v>
      </c>
      <c r="F123" s="107" t="str">
        <f>IFERROR(__xludf.DUMMYFUNCTION("""COMPUTED_VALUE"""),"PETER")</f>
        <v>PETER</v>
      </c>
    </row>
    <row r="124">
      <c r="A124" s="131">
        <f>IFERROR(__xludf.DUMMYFUNCTION("""COMPUTED_VALUE"""),123.0)</f>
        <v>123</v>
      </c>
      <c r="B124" s="131"/>
      <c r="C124" s="131">
        <f>IFERROR(__xludf.DUMMYFUNCTION("""COMPUTED_VALUE"""),120.0)</f>
        <v>120</v>
      </c>
      <c r="D124" s="131" t="b">
        <f>IFERROR(__xludf.DUMMYFUNCTION("""COMPUTED_VALUE"""),FALSE)</f>
        <v>0</v>
      </c>
      <c r="E124" s="116" t="str">
        <f>IFERROR(__xludf.DUMMYFUNCTION("""COMPUTED_VALUE"""),"BUCTOT")</f>
        <v>BUCTOT</v>
      </c>
      <c r="F124" s="107" t="str">
        <f>IFERROR(__xludf.DUMMYFUNCTION("""COMPUTED_VALUE"""),"JEFFREY")</f>
        <v>JEFFREY</v>
      </c>
    </row>
    <row r="125">
      <c r="A125" s="131">
        <f>IFERROR(__xludf.DUMMYFUNCTION("""COMPUTED_VALUE"""),124.0)</f>
        <v>124</v>
      </c>
      <c r="B125" s="131"/>
      <c r="C125" s="131">
        <f>IFERROR(__xludf.DUMMYFUNCTION("""COMPUTED_VALUE"""),120.0)</f>
        <v>120</v>
      </c>
      <c r="D125" s="131" t="b">
        <f>IFERROR(__xludf.DUMMYFUNCTION("""COMPUTED_VALUE"""),FALSE)</f>
        <v>0</v>
      </c>
      <c r="E125" s="107" t="str">
        <f>IFERROR(__xludf.DUMMYFUNCTION("""COMPUTED_VALUE"""),"CABRERA")</f>
        <v>CABRERA</v>
      </c>
      <c r="F125" s="107" t="str">
        <f>IFERROR(__xludf.DUMMYFUNCTION("""COMPUTED_VALUE"""),"LANCE")</f>
        <v>LANCE</v>
      </c>
    </row>
    <row r="126">
      <c r="A126" s="131">
        <f>IFERROR(__xludf.DUMMYFUNCTION("""COMPUTED_VALUE"""),125.0)</f>
        <v>125</v>
      </c>
      <c r="B126" s="131"/>
      <c r="C126" s="131">
        <f>IFERROR(__xludf.DUMMYFUNCTION("""COMPUTED_VALUE"""),120.0)</f>
        <v>120</v>
      </c>
      <c r="D126" s="131" t="b">
        <f>IFERROR(__xludf.DUMMYFUNCTION("""COMPUTED_VALUE"""),FALSE)</f>
        <v>0</v>
      </c>
      <c r="E126" s="107" t="str">
        <f>IFERROR(__xludf.DUMMYFUNCTION("""COMPUTED_VALUE"""),"CANDIDO")</f>
        <v>CANDIDO</v>
      </c>
      <c r="F126" s="107" t="str">
        <f>IFERROR(__xludf.DUMMYFUNCTION("""COMPUTED_VALUE"""),"PRINCE")</f>
        <v>PRINCE</v>
      </c>
    </row>
    <row r="127">
      <c r="A127" s="131">
        <f>IFERROR(__xludf.DUMMYFUNCTION("""COMPUTED_VALUE"""),126.0)</f>
        <v>126</v>
      </c>
      <c r="B127" s="131"/>
      <c r="C127" s="131">
        <f>IFERROR(__xludf.DUMMYFUNCTION("""COMPUTED_VALUE"""),120.0)</f>
        <v>120</v>
      </c>
      <c r="D127" s="131" t="b">
        <f>IFERROR(__xludf.DUMMYFUNCTION("""COMPUTED_VALUE"""),FALSE)</f>
        <v>0</v>
      </c>
      <c r="E127" s="107" t="str">
        <f>IFERROR(__xludf.DUMMYFUNCTION("""COMPUTED_VALUE"""),"LOUIE")</f>
        <v>LOUIE</v>
      </c>
      <c r="F127" s="107" t="str">
        <f>IFERROR(__xludf.DUMMYFUNCTION("""COMPUTED_VALUE"""),"JAMES")</f>
        <v>JAMES</v>
      </c>
    </row>
    <row r="128">
      <c r="A128" s="131">
        <f>IFERROR(__xludf.DUMMYFUNCTION("""COMPUTED_VALUE"""),127.0)</f>
        <v>127</v>
      </c>
      <c r="B128" s="131"/>
      <c r="C128" s="131">
        <f>IFERROR(__xludf.DUMMYFUNCTION("""COMPUTED_VALUE"""),120.0)</f>
        <v>120</v>
      </c>
      <c r="D128" s="131" t="b">
        <f>IFERROR(__xludf.DUMMYFUNCTION("""COMPUTED_VALUE"""),FALSE)</f>
        <v>0</v>
      </c>
      <c r="E128" s="107" t="str">
        <f>IFERROR(__xludf.DUMMYFUNCTION("""COMPUTED_VALUE"""),"MALIGTAS")</f>
        <v>MALIGTAS</v>
      </c>
      <c r="F128" s="107" t="str">
        <f>IFERROR(__xludf.DUMMYFUNCTION("""COMPUTED_VALUE"""),"SKYE")</f>
        <v>SKYE</v>
      </c>
    </row>
    <row r="129">
      <c r="A129" s="131">
        <f>IFERROR(__xludf.DUMMYFUNCTION("""COMPUTED_VALUE"""),128.0)</f>
        <v>128</v>
      </c>
      <c r="B129" s="131"/>
      <c r="C129" s="131">
        <f>IFERROR(__xludf.DUMMYFUNCTION("""COMPUTED_VALUE"""),120.0)</f>
        <v>120</v>
      </c>
      <c r="D129" s="131" t="b">
        <f>IFERROR(__xludf.DUMMYFUNCTION("""COMPUTED_VALUE"""),FALSE)</f>
        <v>0</v>
      </c>
      <c r="E129" s="107" t="str">
        <f>IFERROR(__xludf.DUMMYFUNCTION("""COMPUTED_VALUE"""),"NEHEMIAH")</f>
        <v>NEHEMIAH</v>
      </c>
      <c r="F129" s="107" t="str">
        <f>IFERROR(__xludf.DUMMYFUNCTION("""COMPUTED_VALUE"""),"ARKHEL")</f>
        <v>ARKHEL</v>
      </c>
    </row>
    <row r="130">
      <c r="A130" s="131">
        <f>IFERROR(__xludf.DUMMYFUNCTION("""COMPUTED_VALUE"""),129.0)</f>
        <v>129</v>
      </c>
      <c r="B130" s="131"/>
      <c r="C130" s="131">
        <f>IFERROR(__xludf.DUMMYFUNCTION("""COMPUTED_VALUE"""),120.0)</f>
        <v>120</v>
      </c>
      <c r="D130" s="131" t="b">
        <f>IFERROR(__xludf.DUMMYFUNCTION("""COMPUTED_VALUE"""),FALSE)</f>
        <v>0</v>
      </c>
      <c r="E130" s="107" t="str">
        <f>IFERROR(__xludf.DUMMYFUNCTION("""COMPUTED_VALUE"""),"OLASO")</f>
        <v>OLASO</v>
      </c>
      <c r="F130" s="107" t="str">
        <f>IFERROR(__xludf.DUMMYFUNCTION("""COMPUTED_VALUE"""),"CHARLES")</f>
        <v>CHARLES</v>
      </c>
    </row>
    <row r="131">
      <c r="A131" s="131">
        <f>IFERROR(__xludf.DUMMYFUNCTION("""COMPUTED_VALUE"""),130.0)</f>
        <v>130</v>
      </c>
      <c r="B131" s="131"/>
      <c r="C131" s="131">
        <f>IFERROR(__xludf.DUMMYFUNCTION("""COMPUTED_VALUE"""),120.0)</f>
        <v>120</v>
      </c>
      <c r="D131" s="131" t="b">
        <f>IFERROR(__xludf.DUMMYFUNCTION("""COMPUTED_VALUE"""),FALSE)</f>
        <v>0</v>
      </c>
      <c r="E131" s="107" t="str">
        <f>IFERROR(__xludf.DUMMYFUNCTION("""COMPUTED_VALUE"""),"PASCUA")</f>
        <v>PASCUA</v>
      </c>
      <c r="F131" s="107" t="str">
        <f>IFERROR(__xludf.DUMMYFUNCTION("""COMPUTED_VALUE"""),"JOHN MICHAEL")</f>
        <v>JOHN MICHAEL</v>
      </c>
    </row>
    <row r="132">
      <c r="A132" s="131">
        <f>IFERROR(__xludf.DUMMYFUNCTION("""COMPUTED_VALUE"""),131.0)</f>
        <v>131</v>
      </c>
      <c r="B132" s="131"/>
      <c r="C132" s="131">
        <f>IFERROR(__xludf.DUMMYFUNCTION("""COMPUTED_VALUE"""),120.0)</f>
        <v>120</v>
      </c>
      <c r="D132" s="131" t="b">
        <f>IFERROR(__xludf.DUMMYFUNCTION("""COMPUTED_VALUE"""),FALSE)</f>
        <v>0</v>
      </c>
      <c r="E132" s="107" t="str">
        <f>IFERROR(__xludf.DUMMYFUNCTION("""COMPUTED_VALUE"""),"PERALTA")</f>
        <v>PERALTA</v>
      </c>
      <c r="F132" s="107" t="str">
        <f>IFERROR(__xludf.DUMMYFUNCTION("""COMPUTED_VALUE"""),"MARLON")</f>
        <v>MARLON</v>
      </c>
    </row>
    <row r="133">
      <c r="A133" s="131">
        <f>IFERROR(__xludf.DUMMYFUNCTION("""COMPUTED_VALUE"""),132.0)</f>
        <v>132</v>
      </c>
      <c r="B133" s="131"/>
      <c r="C133" s="131">
        <f>IFERROR(__xludf.DUMMYFUNCTION("""COMPUTED_VALUE"""),120.0)</f>
        <v>120</v>
      </c>
      <c r="D133" s="131" t="b">
        <f>IFERROR(__xludf.DUMMYFUNCTION("""COMPUTED_VALUE"""),FALSE)</f>
        <v>0</v>
      </c>
      <c r="E133" s="107" t="str">
        <f>IFERROR(__xludf.DUMMYFUNCTION("""COMPUTED_VALUE"""),"PESAYCO")</f>
        <v>PESAYCO</v>
      </c>
      <c r="F133" s="107" t="str">
        <f>IFERROR(__xludf.DUMMYFUNCTION("""COMPUTED_VALUE"""),"KEITH")</f>
        <v>KEITH</v>
      </c>
    </row>
    <row r="134">
      <c r="A134" s="131">
        <f>IFERROR(__xludf.DUMMYFUNCTION("""COMPUTED_VALUE"""),133.0)</f>
        <v>133</v>
      </c>
      <c r="B134" s="131"/>
      <c r="C134" s="131">
        <f>IFERROR(__xludf.DUMMYFUNCTION("""COMPUTED_VALUE"""),120.0)</f>
        <v>120</v>
      </c>
      <c r="D134" s="131" t="b">
        <f>IFERROR(__xludf.DUMMYFUNCTION("""COMPUTED_VALUE"""),FALSE)</f>
        <v>0</v>
      </c>
      <c r="E134" s="107" t="str">
        <f>IFERROR(__xludf.DUMMYFUNCTION("""COMPUTED_VALUE"""),"RAZON")</f>
        <v>RAZON</v>
      </c>
      <c r="F134" s="107" t="str">
        <f>IFERROR(__xludf.DUMMYFUNCTION("""COMPUTED_VALUE"""),"JOSHUA")</f>
        <v>JOSHUA</v>
      </c>
    </row>
    <row r="135">
      <c r="A135" s="131">
        <f>IFERROR(__xludf.DUMMYFUNCTION("""COMPUTED_VALUE"""),134.0)</f>
        <v>134</v>
      </c>
      <c r="B135" s="131"/>
      <c r="C135" s="131">
        <f>IFERROR(__xludf.DUMMYFUNCTION("""COMPUTED_VALUE"""),120.0)</f>
        <v>120</v>
      </c>
      <c r="D135" s="131" t="b">
        <f>IFERROR(__xludf.DUMMYFUNCTION("""COMPUTED_VALUE"""),FALSE)</f>
        <v>0</v>
      </c>
      <c r="E135" s="107" t="str">
        <f>IFERROR(__xludf.DUMMYFUNCTION("""COMPUTED_VALUE"""),"ROCCO")</f>
        <v>ROCCO</v>
      </c>
      <c r="F135" s="107" t="str">
        <f>IFERROR(__xludf.DUMMYFUNCTION("""COMPUTED_VALUE"""),"MARK")</f>
        <v>MARK</v>
      </c>
    </row>
    <row r="136">
      <c r="A136" s="131">
        <f>IFERROR(__xludf.DUMMYFUNCTION("""COMPUTED_VALUE"""),135.0)</f>
        <v>135</v>
      </c>
      <c r="B136" s="131"/>
      <c r="C136" s="131">
        <f>IFERROR(__xludf.DUMMYFUNCTION("""COMPUTED_VALUE"""),120.0)</f>
        <v>120</v>
      </c>
      <c r="D136" s="131" t="b">
        <f>IFERROR(__xludf.DUMMYFUNCTION("""COMPUTED_VALUE"""),FALSE)</f>
        <v>0</v>
      </c>
      <c r="E136" s="107" t="str">
        <f>IFERROR(__xludf.DUMMYFUNCTION("""COMPUTED_VALUE"""),"ROME")</f>
        <v>ROME</v>
      </c>
      <c r="F136" s="107" t="str">
        <f>IFERROR(__xludf.DUMMYFUNCTION("""COMPUTED_VALUE"""),"ZAYIN")</f>
        <v>ZAYIN</v>
      </c>
    </row>
    <row r="137">
      <c r="A137" s="131">
        <f>IFERROR(__xludf.DUMMYFUNCTION("""COMPUTED_VALUE"""),136.0)</f>
        <v>136</v>
      </c>
      <c r="B137" s="131"/>
      <c r="C137" s="131">
        <f>IFERROR(__xludf.DUMMYFUNCTION("""COMPUTED_VALUE"""),120.0)</f>
        <v>120</v>
      </c>
      <c r="D137" s="131" t="b">
        <f>IFERROR(__xludf.DUMMYFUNCTION("""COMPUTED_VALUE"""),FALSE)</f>
        <v>0</v>
      </c>
      <c r="E137" s="107" t="str">
        <f>IFERROR(__xludf.DUMMYFUNCTION("""COMPUTED_VALUE"""),"ROME")</f>
        <v>ROME</v>
      </c>
      <c r="F137" s="107" t="str">
        <f>IFERROR(__xludf.DUMMYFUNCTION("""COMPUTED_VALUE"""),"ZACH")</f>
        <v>ZACH</v>
      </c>
    </row>
    <row r="138">
      <c r="A138" s="131">
        <f>IFERROR(__xludf.DUMMYFUNCTION("""COMPUTED_VALUE"""),137.0)</f>
        <v>137</v>
      </c>
      <c r="B138" s="131"/>
      <c r="C138" s="131">
        <f>IFERROR(__xludf.DUMMYFUNCTION("""COMPUTED_VALUE"""),120.0)</f>
        <v>120</v>
      </c>
      <c r="D138" s="131" t="b">
        <f>IFERROR(__xludf.DUMMYFUNCTION("""COMPUTED_VALUE"""),FALSE)</f>
        <v>0</v>
      </c>
      <c r="E138" s="107" t="str">
        <f>IFERROR(__xludf.DUMMYFUNCTION("""COMPUTED_VALUE"""),"SERRANO")</f>
        <v>SERRANO</v>
      </c>
      <c r="F138" s="107" t="str">
        <f>IFERROR(__xludf.DUMMYFUNCTION("""COMPUTED_VALUE"""),"MICO")</f>
        <v>MICO</v>
      </c>
    </row>
    <row r="139">
      <c r="A139" s="131">
        <f>IFERROR(__xludf.DUMMYFUNCTION("""COMPUTED_VALUE"""),138.0)</f>
        <v>138</v>
      </c>
      <c r="B139" s="131"/>
      <c r="C139" s="131">
        <f>IFERROR(__xludf.DUMMYFUNCTION("""COMPUTED_VALUE"""),120.0)</f>
        <v>120</v>
      </c>
      <c r="D139" s="131" t="b">
        <f>IFERROR(__xludf.DUMMYFUNCTION("""COMPUTED_VALUE"""),FALSE)</f>
        <v>0</v>
      </c>
      <c r="E139" s="98"/>
      <c r="F139" s="107" t="str">
        <f>IFERROR(__xludf.DUMMYFUNCTION("""COMPUTED_VALUE"""),"PAUL")</f>
        <v>PAUL</v>
      </c>
    </row>
    <row r="140">
      <c r="A140" s="131"/>
      <c r="B140" s="131"/>
      <c r="C140" s="131"/>
      <c r="D140" s="131"/>
      <c r="E140" s="131"/>
      <c r="F140" s="131"/>
    </row>
    <row r="141">
      <c r="A141" s="131">
        <f>IFERROR(__xludf.DUMMYFUNCTION("""COMPUTED_VALUE"""),140.0)</f>
        <v>140</v>
      </c>
      <c r="B141" s="131"/>
      <c r="C141" s="131">
        <f>IFERROR(__xludf.DUMMYFUNCTION("""COMPUTED_VALUE"""),140.0)</f>
        <v>140</v>
      </c>
      <c r="D141" s="131" t="b">
        <f>IFERROR(__xludf.DUMMYFUNCTION("""COMPUTED_VALUE"""),TRUE)</f>
        <v>1</v>
      </c>
      <c r="E141" s="105" t="str">
        <f>IFERROR(__xludf.DUMMYFUNCTION("""COMPUTED_VALUE"""),"ARANDA")</f>
        <v>ARANDA</v>
      </c>
      <c r="F141" s="105" t="str">
        <f>IFERROR(__xludf.DUMMYFUNCTION("""COMPUTED_VALUE"""),"IYA")</f>
        <v>IYA</v>
      </c>
    </row>
    <row r="142">
      <c r="A142" s="131">
        <f>IFERROR(__xludf.DUMMYFUNCTION("""COMPUTED_VALUE"""),141.0)</f>
        <v>141</v>
      </c>
      <c r="B142" s="131"/>
      <c r="C142" s="131">
        <f>IFERROR(__xludf.DUMMYFUNCTION("""COMPUTED_VALUE"""),140.0)</f>
        <v>140</v>
      </c>
      <c r="D142" s="131" t="b">
        <f>IFERROR(__xludf.DUMMYFUNCTION("""COMPUTED_VALUE"""),FALSE)</f>
        <v>0</v>
      </c>
      <c r="E142" s="109" t="str">
        <f>IFERROR(__xludf.DUMMYFUNCTION("""COMPUTED_VALUE"""),"ALIANZA")</f>
        <v>ALIANZA</v>
      </c>
      <c r="F142" s="109" t="str">
        <f>IFERROR(__xludf.DUMMYFUNCTION("""COMPUTED_VALUE"""),"JESEMIL")</f>
        <v>JESEMIL</v>
      </c>
    </row>
    <row r="143">
      <c r="A143" s="131">
        <f>IFERROR(__xludf.DUMMYFUNCTION("""COMPUTED_VALUE"""),142.0)</f>
        <v>142</v>
      </c>
      <c r="B143" s="131"/>
      <c r="C143" s="131">
        <f>IFERROR(__xludf.DUMMYFUNCTION("""COMPUTED_VALUE"""),140.0)</f>
        <v>140</v>
      </c>
      <c r="D143" s="131" t="b">
        <f>IFERROR(__xludf.DUMMYFUNCTION("""COMPUTED_VALUE"""),FALSE)</f>
        <v>0</v>
      </c>
      <c r="E143" s="109" t="str">
        <f>IFERROR(__xludf.DUMMYFUNCTION("""COMPUTED_VALUE"""),"ANTONIO")</f>
        <v>ANTONIO</v>
      </c>
      <c r="F143" s="109" t="str">
        <f>IFERROR(__xludf.DUMMYFUNCTION("""COMPUTED_VALUE"""),"CHAM")</f>
        <v>CHAM</v>
      </c>
    </row>
    <row r="144">
      <c r="A144" s="131">
        <f>IFERROR(__xludf.DUMMYFUNCTION("""COMPUTED_VALUE"""),143.0)</f>
        <v>143</v>
      </c>
      <c r="B144" s="131"/>
      <c r="C144" s="131">
        <f>IFERROR(__xludf.DUMMYFUNCTION("""COMPUTED_VALUE"""),140.0)</f>
        <v>140</v>
      </c>
      <c r="D144" s="131" t="b">
        <f>IFERROR(__xludf.DUMMYFUNCTION("""COMPUTED_VALUE"""),FALSE)</f>
        <v>0</v>
      </c>
      <c r="E144" s="109" t="str">
        <f>IFERROR(__xludf.DUMMYFUNCTION("""COMPUTED_VALUE"""),"AQUINO")</f>
        <v>AQUINO</v>
      </c>
      <c r="F144" s="109" t="str">
        <f>IFERROR(__xludf.DUMMYFUNCTION("""COMPUTED_VALUE"""),"JOANNA")</f>
        <v>JOANNA</v>
      </c>
    </row>
    <row r="145">
      <c r="A145" s="131">
        <f>IFERROR(__xludf.DUMMYFUNCTION("""COMPUTED_VALUE"""),144.0)</f>
        <v>144</v>
      </c>
      <c r="B145" s="131"/>
      <c r="C145" s="131">
        <f>IFERROR(__xludf.DUMMYFUNCTION("""COMPUTED_VALUE"""),140.0)</f>
        <v>140</v>
      </c>
      <c r="D145" s="131" t="b">
        <f>IFERROR(__xludf.DUMMYFUNCTION("""COMPUTED_VALUE"""),FALSE)</f>
        <v>0</v>
      </c>
      <c r="E145" s="109" t="str">
        <f>IFERROR(__xludf.DUMMYFUNCTION("""COMPUTED_VALUE"""),"ARANDA")</f>
        <v>ARANDA</v>
      </c>
      <c r="F145" s="109" t="str">
        <f>IFERROR(__xludf.DUMMYFUNCTION("""COMPUTED_VALUE"""),"ALEXANDRA")</f>
        <v>ALEXANDRA</v>
      </c>
    </row>
    <row r="146">
      <c r="A146" s="131">
        <f>IFERROR(__xludf.DUMMYFUNCTION("""COMPUTED_VALUE"""),145.0)</f>
        <v>145</v>
      </c>
      <c r="B146" s="131"/>
      <c r="C146" s="131">
        <f>IFERROR(__xludf.DUMMYFUNCTION("""COMPUTED_VALUE"""),140.0)</f>
        <v>140</v>
      </c>
      <c r="D146" s="131" t="b">
        <f>IFERROR(__xludf.DUMMYFUNCTION("""COMPUTED_VALUE"""),FALSE)</f>
        <v>0</v>
      </c>
      <c r="E146" s="109" t="str">
        <f>IFERROR(__xludf.DUMMYFUNCTION("""COMPUTED_VALUE"""),"CARAAN")</f>
        <v>CARAAN</v>
      </c>
      <c r="F146" s="109" t="str">
        <f>IFERROR(__xludf.DUMMYFUNCTION("""COMPUTED_VALUE"""),"CATHLINE")</f>
        <v>CATHLINE</v>
      </c>
    </row>
    <row r="147">
      <c r="A147" s="131">
        <f>IFERROR(__xludf.DUMMYFUNCTION("""COMPUTED_VALUE"""),146.0)</f>
        <v>146</v>
      </c>
      <c r="B147" s="131"/>
      <c r="C147" s="131">
        <f>IFERROR(__xludf.DUMMYFUNCTION("""COMPUTED_VALUE"""),140.0)</f>
        <v>140</v>
      </c>
      <c r="D147" s="131" t="b">
        <f>IFERROR(__xludf.DUMMYFUNCTION("""COMPUTED_VALUE"""),FALSE)</f>
        <v>0</v>
      </c>
      <c r="E147" s="109" t="str">
        <f>IFERROR(__xludf.DUMMYFUNCTION("""COMPUTED_VALUE"""),"CASTILLO")</f>
        <v>CASTILLO</v>
      </c>
      <c r="F147" s="109" t="str">
        <f>IFERROR(__xludf.DUMMYFUNCTION("""COMPUTED_VALUE"""),"JASIEL")</f>
        <v>JASIEL</v>
      </c>
    </row>
    <row r="148">
      <c r="A148" s="131">
        <f>IFERROR(__xludf.DUMMYFUNCTION("""COMPUTED_VALUE"""),147.0)</f>
        <v>147</v>
      </c>
      <c r="B148" s="131"/>
      <c r="C148" s="131">
        <f>IFERROR(__xludf.DUMMYFUNCTION("""COMPUTED_VALUE"""),140.0)</f>
        <v>140</v>
      </c>
      <c r="D148" s="131" t="b">
        <f>IFERROR(__xludf.DUMMYFUNCTION("""COMPUTED_VALUE"""),FALSE)</f>
        <v>0</v>
      </c>
      <c r="E148" s="109" t="str">
        <f>IFERROR(__xludf.DUMMYFUNCTION("""COMPUTED_VALUE"""),"CEA")</f>
        <v>CEA</v>
      </c>
      <c r="F148" s="109" t="str">
        <f>IFERROR(__xludf.DUMMYFUNCTION("""COMPUTED_VALUE"""),"DIANA")</f>
        <v>DIANA</v>
      </c>
    </row>
    <row r="149">
      <c r="A149" s="131">
        <f>IFERROR(__xludf.DUMMYFUNCTION("""COMPUTED_VALUE"""),148.0)</f>
        <v>148</v>
      </c>
      <c r="B149" s="131"/>
      <c r="C149" s="131">
        <f>IFERROR(__xludf.DUMMYFUNCTION("""COMPUTED_VALUE"""),140.0)</f>
        <v>140</v>
      </c>
      <c r="D149" s="131" t="b">
        <f>IFERROR(__xludf.DUMMYFUNCTION("""COMPUTED_VALUE"""),FALSE)</f>
        <v>0</v>
      </c>
      <c r="E149" s="109" t="str">
        <f>IFERROR(__xludf.DUMMYFUNCTION("""COMPUTED_VALUE"""),"CHUA")</f>
        <v>CHUA</v>
      </c>
      <c r="F149" s="109" t="str">
        <f>IFERROR(__xludf.DUMMYFUNCTION("""COMPUTED_VALUE"""),"PJ")</f>
        <v>PJ</v>
      </c>
    </row>
    <row r="150">
      <c r="A150" s="131">
        <f>IFERROR(__xludf.DUMMYFUNCTION("""COMPUTED_VALUE"""),149.0)</f>
        <v>149</v>
      </c>
      <c r="B150" s="131"/>
      <c r="C150" s="131">
        <f>IFERROR(__xludf.DUMMYFUNCTION("""COMPUTED_VALUE"""),140.0)</f>
        <v>140</v>
      </c>
      <c r="D150" s="131" t="b">
        <f>IFERROR(__xludf.DUMMYFUNCTION("""COMPUTED_VALUE"""),FALSE)</f>
        <v>0</v>
      </c>
      <c r="E150" s="109" t="str">
        <f>IFERROR(__xludf.DUMMYFUNCTION("""COMPUTED_VALUE"""),"DIZON")</f>
        <v>DIZON</v>
      </c>
      <c r="F150" s="109" t="str">
        <f>IFERROR(__xludf.DUMMYFUNCTION("""COMPUTED_VALUE"""),"ARRA")</f>
        <v>ARRA</v>
      </c>
    </row>
    <row r="151">
      <c r="A151" s="131">
        <f>IFERROR(__xludf.DUMMYFUNCTION("""COMPUTED_VALUE"""),150.0)</f>
        <v>150</v>
      </c>
      <c r="B151" s="131"/>
      <c r="C151" s="131">
        <f>IFERROR(__xludf.DUMMYFUNCTION("""COMPUTED_VALUE"""),140.0)</f>
        <v>140</v>
      </c>
      <c r="D151" s="131" t="b">
        <f>IFERROR(__xludf.DUMMYFUNCTION("""COMPUTED_VALUE"""),FALSE)</f>
        <v>0</v>
      </c>
      <c r="E151" s="109" t="str">
        <f>IFERROR(__xludf.DUMMYFUNCTION("""COMPUTED_VALUE"""),"ECLEVIA")</f>
        <v>ECLEVIA</v>
      </c>
      <c r="F151" s="109" t="str">
        <f>IFERROR(__xludf.DUMMYFUNCTION("""COMPUTED_VALUE"""),"ANGELICA")</f>
        <v>ANGELICA</v>
      </c>
    </row>
    <row r="152">
      <c r="A152" s="131">
        <f>IFERROR(__xludf.DUMMYFUNCTION("""COMPUTED_VALUE"""),151.0)</f>
        <v>151</v>
      </c>
      <c r="B152" s="131"/>
      <c r="C152" s="131">
        <f>IFERROR(__xludf.DUMMYFUNCTION("""COMPUTED_VALUE"""),140.0)</f>
        <v>140</v>
      </c>
      <c r="D152" s="131" t="b">
        <f>IFERROR(__xludf.DUMMYFUNCTION("""COMPUTED_VALUE"""),FALSE)</f>
        <v>0</v>
      </c>
      <c r="E152" s="109" t="str">
        <f>IFERROR(__xludf.DUMMYFUNCTION("""COMPUTED_VALUE"""),"FELIPE")</f>
        <v>FELIPE</v>
      </c>
      <c r="F152" s="109" t="str">
        <f>IFERROR(__xludf.DUMMYFUNCTION("""COMPUTED_VALUE"""),"JAIMIE")</f>
        <v>JAIMIE</v>
      </c>
    </row>
    <row r="153">
      <c r="A153" s="131">
        <f>IFERROR(__xludf.DUMMYFUNCTION("""COMPUTED_VALUE"""),152.0)</f>
        <v>152</v>
      </c>
      <c r="B153" s="131"/>
      <c r="C153" s="131">
        <f>IFERROR(__xludf.DUMMYFUNCTION("""COMPUTED_VALUE"""),140.0)</f>
        <v>140</v>
      </c>
      <c r="D153" s="131" t="b">
        <f>IFERROR(__xludf.DUMMYFUNCTION("""COMPUTED_VALUE"""),FALSE)</f>
        <v>0</v>
      </c>
      <c r="E153" s="109" t="str">
        <f>IFERROR(__xludf.DUMMYFUNCTION("""COMPUTED_VALUE"""),"FERNANDEZ")</f>
        <v>FERNANDEZ</v>
      </c>
      <c r="F153" s="109" t="str">
        <f>IFERROR(__xludf.DUMMYFUNCTION("""COMPUTED_VALUE"""),"SHARMAINE")</f>
        <v>SHARMAINE</v>
      </c>
    </row>
    <row r="154">
      <c r="A154" s="131">
        <f>IFERROR(__xludf.DUMMYFUNCTION("""COMPUTED_VALUE"""),153.0)</f>
        <v>153</v>
      </c>
      <c r="B154" s="131"/>
      <c r="C154" s="131">
        <f>IFERROR(__xludf.DUMMYFUNCTION("""COMPUTED_VALUE"""),140.0)</f>
        <v>140</v>
      </c>
      <c r="D154" s="131" t="b">
        <f>IFERROR(__xludf.DUMMYFUNCTION("""COMPUTED_VALUE"""),FALSE)</f>
        <v>0</v>
      </c>
      <c r="E154" s="109" t="str">
        <f>IFERROR(__xludf.DUMMYFUNCTION("""COMPUTED_VALUE"""),"FILIO")</f>
        <v>FILIO</v>
      </c>
      <c r="F154" s="109" t="str">
        <f>IFERROR(__xludf.DUMMYFUNCTION("""COMPUTED_VALUE"""),"DAISY")</f>
        <v>DAISY</v>
      </c>
    </row>
    <row r="155">
      <c r="A155" s="131">
        <f>IFERROR(__xludf.DUMMYFUNCTION("""COMPUTED_VALUE"""),154.0)</f>
        <v>154</v>
      </c>
      <c r="B155" s="131"/>
      <c r="C155" s="131">
        <f>IFERROR(__xludf.DUMMYFUNCTION("""COMPUTED_VALUE"""),140.0)</f>
        <v>140</v>
      </c>
      <c r="D155" s="131" t="b">
        <f>IFERROR(__xludf.DUMMYFUNCTION("""COMPUTED_VALUE"""),FALSE)</f>
        <v>0</v>
      </c>
      <c r="E155" s="109" t="str">
        <f>IFERROR(__xludf.DUMMYFUNCTION("""COMPUTED_VALUE"""),"FILIO")</f>
        <v>FILIO</v>
      </c>
      <c r="F155" s="109" t="str">
        <f>IFERROR(__xludf.DUMMYFUNCTION("""COMPUTED_VALUE"""),"JENNY")</f>
        <v>JENNY</v>
      </c>
    </row>
    <row r="156">
      <c r="A156" s="131">
        <f>IFERROR(__xludf.DUMMYFUNCTION("""COMPUTED_VALUE"""),155.0)</f>
        <v>155</v>
      </c>
      <c r="B156" s="131"/>
      <c r="C156" s="131">
        <f>IFERROR(__xludf.DUMMYFUNCTION("""COMPUTED_VALUE"""),140.0)</f>
        <v>140</v>
      </c>
      <c r="D156" s="131" t="b">
        <f>IFERROR(__xludf.DUMMYFUNCTION("""COMPUTED_VALUE"""),FALSE)</f>
        <v>0</v>
      </c>
      <c r="E156" s="109" t="str">
        <f>IFERROR(__xludf.DUMMYFUNCTION("""COMPUTED_VALUE"""),"FLORO")</f>
        <v>FLORO</v>
      </c>
      <c r="F156" s="109" t="str">
        <f>IFERROR(__xludf.DUMMYFUNCTION("""COMPUTED_VALUE"""),"JUSTINE")</f>
        <v>JUSTINE</v>
      </c>
    </row>
    <row r="157">
      <c r="A157" s="131">
        <f>IFERROR(__xludf.DUMMYFUNCTION("""COMPUTED_VALUE"""),156.0)</f>
        <v>156</v>
      </c>
      <c r="B157" s="131"/>
      <c r="C157" s="131">
        <f>IFERROR(__xludf.DUMMYFUNCTION("""COMPUTED_VALUE"""),140.0)</f>
        <v>140</v>
      </c>
      <c r="D157" s="131" t="b">
        <f>IFERROR(__xludf.DUMMYFUNCTION("""COMPUTED_VALUE"""),FALSE)</f>
        <v>0</v>
      </c>
      <c r="E157" s="109" t="str">
        <f>IFERROR(__xludf.DUMMYFUNCTION("""COMPUTED_VALUE"""),"FLORO")</f>
        <v>FLORO</v>
      </c>
      <c r="F157" s="109" t="str">
        <f>IFERROR(__xludf.DUMMYFUNCTION("""COMPUTED_VALUE"""),"MICA")</f>
        <v>MICA</v>
      </c>
    </row>
    <row r="158">
      <c r="A158" s="131">
        <f>IFERROR(__xludf.DUMMYFUNCTION("""COMPUTED_VALUE"""),157.0)</f>
        <v>157</v>
      </c>
      <c r="B158" s="131"/>
      <c r="C158" s="131">
        <f>IFERROR(__xludf.DUMMYFUNCTION("""COMPUTED_VALUE"""),140.0)</f>
        <v>140</v>
      </c>
      <c r="D158" s="131" t="b">
        <f>IFERROR(__xludf.DUMMYFUNCTION("""COMPUTED_VALUE"""),FALSE)</f>
        <v>0</v>
      </c>
      <c r="E158" s="109" t="str">
        <f>IFERROR(__xludf.DUMMYFUNCTION("""COMPUTED_VALUE"""),"FRANCISCO")</f>
        <v>FRANCISCO</v>
      </c>
      <c r="F158" s="109" t="str">
        <f>IFERROR(__xludf.DUMMYFUNCTION("""COMPUTED_VALUE"""),"RAMILYN")</f>
        <v>RAMILYN</v>
      </c>
    </row>
    <row r="159">
      <c r="A159" s="131">
        <f>IFERROR(__xludf.DUMMYFUNCTION("""COMPUTED_VALUE"""),158.0)</f>
        <v>158</v>
      </c>
      <c r="B159" s="131"/>
      <c r="C159" s="131">
        <f>IFERROR(__xludf.DUMMYFUNCTION("""COMPUTED_VALUE"""),140.0)</f>
        <v>140</v>
      </c>
      <c r="D159" s="131" t="b">
        <f>IFERROR(__xludf.DUMMYFUNCTION("""COMPUTED_VALUE"""),FALSE)</f>
        <v>0</v>
      </c>
      <c r="E159" s="109" t="str">
        <f>IFERROR(__xludf.DUMMYFUNCTION("""COMPUTED_VALUE"""),"GEMOTO")</f>
        <v>GEMOTO</v>
      </c>
      <c r="F159" s="109" t="str">
        <f>IFERROR(__xludf.DUMMYFUNCTION("""COMPUTED_VALUE"""),"JASMINE")</f>
        <v>JASMINE</v>
      </c>
    </row>
    <row r="160">
      <c r="A160" s="131">
        <f>IFERROR(__xludf.DUMMYFUNCTION("""COMPUTED_VALUE"""),159.0)</f>
        <v>159</v>
      </c>
      <c r="B160" s="131"/>
      <c r="C160" s="131">
        <f>IFERROR(__xludf.DUMMYFUNCTION("""COMPUTED_VALUE"""),140.0)</f>
        <v>140</v>
      </c>
      <c r="D160" s="131" t="b">
        <f>IFERROR(__xludf.DUMMYFUNCTION("""COMPUTED_VALUE"""),FALSE)</f>
        <v>0</v>
      </c>
      <c r="E160" s="109" t="str">
        <f>IFERROR(__xludf.DUMMYFUNCTION("""COMPUTED_VALUE"""),"LABAYNE")</f>
        <v>LABAYNE</v>
      </c>
      <c r="F160" s="109" t="str">
        <f>IFERROR(__xludf.DUMMYFUNCTION("""COMPUTED_VALUE"""),"GRACE")</f>
        <v>GRACE</v>
      </c>
    </row>
    <row r="161">
      <c r="A161" s="131">
        <f>IFERROR(__xludf.DUMMYFUNCTION("""COMPUTED_VALUE"""),160.0)</f>
        <v>160</v>
      </c>
      <c r="B161" s="131"/>
      <c r="C161" s="131">
        <f>IFERROR(__xludf.DUMMYFUNCTION("""COMPUTED_VALUE"""),140.0)</f>
        <v>140</v>
      </c>
      <c r="D161" s="131" t="b">
        <f>IFERROR(__xludf.DUMMYFUNCTION("""COMPUTED_VALUE"""),FALSE)</f>
        <v>0</v>
      </c>
      <c r="E161" s="109" t="str">
        <f>IFERROR(__xludf.DUMMYFUNCTION("""COMPUTED_VALUE"""),"OCEMAN")</f>
        <v>OCEMAN</v>
      </c>
      <c r="F161" s="109" t="str">
        <f>IFERROR(__xludf.DUMMYFUNCTION("""COMPUTED_VALUE"""),"RAI-RAI")</f>
        <v>RAI-RAI</v>
      </c>
    </row>
    <row r="162">
      <c r="A162" s="131">
        <f>IFERROR(__xludf.DUMMYFUNCTION("""COMPUTED_VALUE"""),161.0)</f>
        <v>161</v>
      </c>
      <c r="B162" s="131"/>
      <c r="C162" s="131">
        <f>IFERROR(__xludf.DUMMYFUNCTION("""COMPUTED_VALUE"""),140.0)</f>
        <v>140</v>
      </c>
      <c r="D162" s="131" t="b">
        <f>IFERROR(__xludf.DUMMYFUNCTION("""COMPUTED_VALUE"""),FALSE)</f>
        <v>0</v>
      </c>
      <c r="E162" s="109" t="str">
        <f>IFERROR(__xludf.DUMMYFUNCTION("""COMPUTED_VALUE"""),"ORQUIA")</f>
        <v>ORQUIA</v>
      </c>
      <c r="F162" s="109" t="str">
        <f>IFERROR(__xludf.DUMMYFUNCTION("""COMPUTED_VALUE"""),"KEZA")</f>
        <v>KEZA</v>
      </c>
    </row>
    <row r="163">
      <c r="A163" s="131">
        <f>IFERROR(__xludf.DUMMYFUNCTION("""COMPUTED_VALUE"""),162.0)</f>
        <v>162</v>
      </c>
      <c r="B163" s="131"/>
      <c r="C163" s="131">
        <f>IFERROR(__xludf.DUMMYFUNCTION("""COMPUTED_VALUE"""),140.0)</f>
        <v>140</v>
      </c>
      <c r="D163" s="131" t="b">
        <f>IFERROR(__xludf.DUMMYFUNCTION("""COMPUTED_VALUE"""),FALSE)</f>
        <v>0</v>
      </c>
      <c r="E163" s="109" t="str">
        <f>IFERROR(__xludf.DUMMYFUNCTION("""COMPUTED_VALUE"""),"PERALTA")</f>
        <v>PERALTA</v>
      </c>
      <c r="F163" s="109" t="str">
        <f>IFERROR(__xludf.DUMMYFUNCTION("""COMPUTED_VALUE"""),"YEN")</f>
        <v>YEN</v>
      </c>
    </row>
    <row r="164">
      <c r="A164" s="131">
        <f>IFERROR(__xludf.DUMMYFUNCTION("""COMPUTED_VALUE"""),163.0)</f>
        <v>163</v>
      </c>
      <c r="B164" s="131"/>
      <c r="C164" s="131">
        <f>IFERROR(__xludf.DUMMYFUNCTION("""COMPUTED_VALUE"""),140.0)</f>
        <v>140</v>
      </c>
      <c r="D164" s="131" t="b">
        <f>IFERROR(__xludf.DUMMYFUNCTION("""COMPUTED_VALUE"""),FALSE)</f>
        <v>0</v>
      </c>
      <c r="E164" s="109" t="str">
        <f>IFERROR(__xludf.DUMMYFUNCTION("""COMPUTED_VALUE"""),"TAN SANCHEZ")</f>
        <v>TAN SANCHEZ</v>
      </c>
      <c r="F164" s="109" t="str">
        <f>IFERROR(__xludf.DUMMYFUNCTION("""COMPUTED_VALUE"""),"MARY KHAYE")</f>
        <v>MARY KHAYE</v>
      </c>
    </row>
    <row r="165">
      <c r="A165" s="131">
        <f>IFERROR(__xludf.DUMMYFUNCTION("""COMPUTED_VALUE"""),164.0)</f>
        <v>164</v>
      </c>
      <c r="B165" s="131"/>
      <c r="C165" s="131">
        <f>IFERROR(__xludf.DUMMYFUNCTION("""COMPUTED_VALUE"""),140.0)</f>
        <v>140</v>
      </c>
      <c r="D165" s="131" t="b">
        <f>IFERROR(__xludf.DUMMYFUNCTION("""COMPUTED_VALUE"""),FALSE)</f>
        <v>0</v>
      </c>
      <c r="E165" s="109" t="str">
        <f>IFERROR(__xludf.DUMMYFUNCTION("""COMPUTED_VALUE"""),"TANDUL")</f>
        <v>TANDUL</v>
      </c>
      <c r="F165" s="109" t="str">
        <f>IFERROR(__xludf.DUMMYFUNCTION("""COMPUTED_VALUE"""),"ELAIJAH")</f>
        <v>ELAIJAH</v>
      </c>
    </row>
    <row r="166">
      <c r="A166" s="131">
        <f>IFERROR(__xludf.DUMMYFUNCTION("""COMPUTED_VALUE"""),165.0)</f>
        <v>165</v>
      </c>
      <c r="B166" s="131"/>
      <c r="C166" s="131">
        <f>IFERROR(__xludf.DUMMYFUNCTION("""COMPUTED_VALUE"""),140.0)</f>
        <v>140</v>
      </c>
      <c r="D166" s="131" t="b">
        <f>IFERROR(__xludf.DUMMYFUNCTION("""COMPUTED_VALUE"""),FALSE)</f>
        <v>0</v>
      </c>
      <c r="E166" s="109" t="str">
        <f>IFERROR(__xludf.DUMMYFUNCTION("""COMPUTED_VALUE"""),"VILLONES")</f>
        <v>VILLONES</v>
      </c>
      <c r="F166" s="109" t="str">
        <f>IFERROR(__xludf.DUMMYFUNCTION("""COMPUTED_VALUE"""),"RHEA")</f>
        <v>RHEA</v>
      </c>
    </row>
    <row r="167">
      <c r="A167" s="131">
        <f>IFERROR(__xludf.DUMMYFUNCTION("""COMPUTED_VALUE"""),166.0)</f>
        <v>166</v>
      </c>
      <c r="B167" s="131"/>
      <c r="C167" s="131"/>
      <c r="D167" s="131" t="b">
        <f>IFERROR(__xludf.DUMMYFUNCTION("""COMPUTED_VALUE"""),FALSE)</f>
        <v>0</v>
      </c>
      <c r="E167" s="131"/>
      <c r="F167" s="131"/>
    </row>
    <row r="168">
      <c r="A168" s="131">
        <f>IFERROR(__xludf.DUMMYFUNCTION("""COMPUTED_VALUE"""),167.0)</f>
        <v>167</v>
      </c>
      <c r="B168" s="131"/>
      <c r="C168" s="131">
        <f>IFERROR(__xludf.DUMMYFUNCTION("""COMPUTED_VALUE"""),167.0)</f>
        <v>167</v>
      </c>
      <c r="D168" s="131" t="b">
        <f>IFERROR(__xludf.DUMMYFUNCTION("""COMPUTED_VALUE"""),TRUE)</f>
        <v>1</v>
      </c>
      <c r="E168" s="105" t="str">
        <f>IFERROR(__xludf.DUMMYFUNCTION("""COMPUTED_VALUE"""),"DE-DIOS")</f>
        <v>DE-DIOS</v>
      </c>
      <c r="F168" s="105" t="str">
        <f>IFERROR(__xludf.DUMMYFUNCTION("""COMPUTED_VALUE"""),"JAY-EL")</f>
        <v>JAY-EL</v>
      </c>
    </row>
    <row r="169">
      <c r="A169" s="131">
        <f>IFERROR(__xludf.DUMMYFUNCTION("""COMPUTED_VALUE"""),168.0)</f>
        <v>168</v>
      </c>
      <c r="B169" s="131"/>
      <c r="C169" s="131">
        <f>IFERROR(__xludf.DUMMYFUNCTION("""COMPUTED_VALUE"""),167.0)</f>
        <v>167</v>
      </c>
      <c r="D169" s="131" t="b">
        <f>IFERROR(__xludf.DUMMYFUNCTION("""COMPUTED_VALUE"""),FALSE)</f>
        <v>0</v>
      </c>
      <c r="E169" s="107" t="str">
        <f>IFERROR(__xludf.DUMMYFUNCTION("""COMPUTED_VALUE"""),"BARONGGO")</f>
        <v>BARONGGO</v>
      </c>
      <c r="F169" s="107" t="str">
        <f>IFERROR(__xludf.DUMMYFUNCTION("""COMPUTED_VALUE"""),"FRANK")</f>
        <v>FRANK</v>
      </c>
    </row>
    <row r="170">
      <c r="A170" s="131">
        <f>IFERROR(__xludf.DUMMYFUNCTION("""COMPUTED_VALUE"""),169.0)</f>
        <v>169</v>
      </c>
      <c r="B170" s="131"/>
      <c r="C170" s="131">
        <f>IFERROR(__xludf.DUMMYFUNCTION("""COMPUTED_VALUE"""),167.0)</f>
        <v>167</v>
      </c>
      <c r="D170" s="131" t="b">
        <f>IFERROR(__xludf.DUMMYFUNCTION("""COMPUTED_VALUE"""),FALSE)</f>
        <v>0</v>
      </c>
      <c r="E170" s="107" t="str">
        <f>IFERROR(__xludf.DUMMYFUNCTION("""COMPUTED_VALUE"""),"ABENOJAR")</f>
        <v>ABENOJAR</v>
      </c>
      <c r="F170" s="107" t="str">
        <f>IFERROR(__xludf.DUMMYFUNCTION("""COMPUTED_VALUE"""),"CLIFFORD")</f>
        <v>CLIFFORD</v>
      </c>
    </row>
    <row r="171">
      <c r="A171" s="131">
        <f>IFERROR(__xludf.DUMMYFUNCTION("""COMPUTED_VALUE"""),170.0)</f>
        <v>170</v>
      </c>
      <c r="B171" s="131"/>
      <c r="C171" s="131">
        <f>IFERROR(__xludf.DUMMYFUNCTION("""COMPUTED_VALUE"""),167.0)</f>
        <v>167</v>
      </c>
      <c r="D171" s="131" t="b">
        <f>IFERROR(__xludf.DUMMYFUNCTION("""COMPUTED_VALUE"""),FALSE)</f>
        <v>0</v>
      </c>
      <c r="E171" s="107" t="str">
        <f>IFERROR(__xludf.DUMMYFUNCTION("""COMPUTED_VALUE"""),"ABUS")</f>
        <v>ABUS</v>
      </c>
      <c r="F171" s="107" t="str">
        <f>IFERROR(__xludf.DUMMYFUNCTION("""COMPUTED_VALUE"""),"RV PETER")</f>
        <v>RV PETER</v>
      </c>
    </row>
    <row r="172">
      <c r="A172" s="131">
        <f>IFERROR(__xludf.DUMMYFUNCTION("""COMPUTED_VALUE"""),171.0)</f>
        <v>171</v>
      </c>
      <c r="B172" s="131"/>
      <c r="C172" s="131">
        <f>IFERROR(__xludf.DUMMYFUNCTION("""COMPUTED_VALUE"""),167.0)</f>
        <v>167</v>
      </c>
      <c r="D172" s="131" t="b">
        <f>IFERROR(__xludf.DUMMYFUNCTION("""COMPUTED_VALUE"""),FALSE)</f>
        <v>0</v>
      </c>
      <c r="E172" s="107" t="str">
        <f>IFERROR(__xludf.DUMMYFUNCTION("""COMPUTED_VALUE"""),"ANTONIO")</f>
        <v>ANTONIO</v>
      </c>
      <c r="F172" s="107" t="str">
        <f>IFERROR(__xludf.DUMMYFUNCTION("""COMPUTED_VALUE"""),"DON")</f>
        <v>DON</v>
      </c>
    </row>
    <row r="173">
      <c r="A173" s="131">
        <f>IFERROR(__xludf.DUMMYFUNCTION("""COMPUTED_VALUE"""),172.0)</f>
        <v>172</v>
      </c>
      <c r="B173" s="131"/>
      <c r="C173" s="131">
        <f>IFERROR(__xludf.DUMMYFUNCTION("""COMPUTED_VALUE"""),167.0)</f>
        <v>167</v>
      </c>
      <c r="D173" s="131" t="b">
        <f>IFERROR(__xludf.DUMMYFUNCTION("""COMPUTED_VALUE"""),FALSE)</f>
        <v>0</v>
      </c>
      <c r="E173" s="107" t="str">
        <f>IFERROR(__xludf.DUMMYFUNCTION("""COMPUTED_VALUE"""),"BERDIN")</f>
        <v>BERDIN</v>
      </c>
      <c r="F173" s="107" t="str">
        <f>IFERROR(__xludf.DUMMYFUNCTION("""COMPUTED_VALUE"""),"KURT")</f>
        <v>KURT</v>
      </c>
    </row>
    <row r="174">
      <c r="A174" s="131">
        <f>IFERROR(__xludf.DUMMYFUNCTION("""COMPUTED_VALUE"""),173.0)</f>
        <v>173</v>
      </c>
      <c r="B174" s="131"/>
      <c r="C174" s="131">
        <f>IFERROR(__xludf.DUMMYFUNCTION("""COMPUTED_VALUE"""),167.0)</f>
        <v>167</v>
      </c>
      <c r="D174" s="131" t="b">
        <f>IFERROR(__xludf.DUMMYFUNCTION("""COMPUTED_VALUE"""),FALSE)</f>
        <v>0</v>
      </c>
      <c r="E174" s="107" t="str">
        <f>IFERROR(__xludf.DUMMYFUNCTION("""COMPUTED_VALUE"""),"CALUBIRAN")</f>
        <v>CALUBIRAN</v>
      </c>
      <c r="F174" s="107" t="str">
        <f>IFERROR(__xludf.DUMMYFUNCTION("""COMPUTED_VALUE"""),"JOEL")</f>
        <v>JOEL</v>
      </c>
    </row>
    <row r="175">
      <c r="A175" s="131">
        <f>IFERROR(__xludf.DUMMYFUNCTION("""COMPUTED_VALUE"""),174.0)</f>
        <v>174</v>
      </c>
      <c r="B175" s="131"/>
      <c r="C175" s="131">
        <f>IFERROR(__xludf.DUMMYFUNCTION("""COMPUTED_VALUE"""),167.0)</f>
        <v>167</v>
      </c>
      <c r="D175" s="131" t="b">
        <f>IFERROR(__xludf.DUMMYFUNCTION("""COMPUTED_VALUE"""),FALSE)</f>
        <v>0</v>
      </c>
      <c r="E175" s="107" t="str">
        <f>IFERROR(__xludf.DUMMYFUNCTION("""COMPUTED_VALUE"""),"CARANGAN")</f>
        <v>CARANGAN</v>
      </c>
      <c r="F175" s="107" t="str">
        <f>IFERROR(__xludf.DUMMYFUNCTION("""COMPUTED_VALUE"""),"LANCE")</f>
        <v>LANCE</v>
      </c>
    </row>
    <row r="176">
      <c r="A176" s="131">
        <f>IFERROR(__xludf.DUMMYFUNCTION("""COMPUTED_VALUE"""),175.0)</f>
        <v>175</v>
      </c>
      <c r="B176" s="131"/>
      <c r="C176" s="131">
        <f>IFERROR(__xludf.DUMMYFUNCTION("""COMPUTED_VALUE"""),167.0)</f>
        <v>167</v>
      </c>
      <c r="D176" s="131" t="b">
        <f>IFERROR(__xludf.DUMMYFUNCTION("""COMPUTED_VALUE"""),FALSE)</f>
        <v>0</v>
      </c>
      <c r="E176" s="107" t="str">
        <f>IFERROR(__xludf.DUMMYFUNCTION("""COMPUTED_VALUE"""),"CASINUSIMAN")</f>
        <v>CASINUSIMAN</v>
      </c>
      <c r="F176" s="107" t="str">
        <f>IFERROR(__xludf.DUMMYFUNCTION("""COMPUTED_VALUE"""),"RAINER")</f>
        <v>RAINER</v>
      </c>
    </row>
    <row r="177">
      <c r="A177" s="131">
        <f>IFERROR(__xludf.DUMMYFUNCTION("""COMPUTED_VALUE"""),176.0)</f>
        <v>176</v>
      </c>
      <c r="B177" s="131"/>
      <c r="C177" s="131">
        <f>IFERROR(__xludf.DUMMYFUNCTION("""COMPUTED_VALUE"""),167.0)</f>
        <v>167</v>
      </c>
      <c r="D177" s="131" t="b">
        <f>IFERROR(__xludf.DUMMYFUNCTION("""COMPUTED_VALUE"""),FALSE)</f>
        <v>0</v>
      </c>
      <c r="E177" s="107" t="str">
        <f>IFERROR(__xludf.DUMMYFUNCTION("""COMPUTED_VALUE"""),"CORVERA")</f>
        <v>CORVERA</v>
      </c>
      <c r="F177" s="107" t="str">
        <f>IFERROR(__xludf.DUMMYFUNCTION("""COMPUTED_VALUE"""),"FLORENCE")</f>
        <v>FLORENCE</v>
      </c>
    </row>
    <row r="178">
      <c r="A178" s="131">
        <f>IFERROR(__xludf.DUMMYFUNCTION("""COMPUTED_VALUE"""),177.0)</f>
        <v>177</v>
      </c>
      <c r="B178" s="131"/>
      <c r="C178" s="131">
        <f>IFERROR(__xludf.DUMMYFUNCTION("""COMPUTED_VALUE"""),167.0)</f>
        <v>167</v>
      </c>
      <c r="D178" s="131" t="b">
        <f>IFERROR(__xludf.DUMMYFUNCTION("""COMPUTED_VALUE"""),FALSE)</f>
        <v>0</v>
      </c>
      <c r="E178" s="107" t="str">
        <f>IFERROR(__xludf.DUMMYFUNCTION("""COMPUTED_VALUE"""),"DABALOS")</f>
        <v>DABALOS</v>
      </c>
      <c r="F178" s="107" t="str">
        <f>IFERROR(__xludf.DUMMYFUNCTION("""COMPUTED_VALUE"""),"MERVIN")</f>
        <v>MERVIN</v>
      </c>
    </row>
    <row r="179">
      <c r="A179" s="131">
        <f>IFERROR(__xludf.DUMMYFUNCTION("""COMPUTED_VALUE"""),178.0)</f>
        <v>178</v>
      </c>
      <c r="B179" s="131"/>
      <c r="C179" s="131">
        <f>IFERROR(__xludf.DUMMYFUNCTION("""COMPUTED_VALUE"""),167.0)</f>
        <v>167</v>
      </c>
      <c r="D179" s="131" t="b">
        <f>IFERROR(__xludf.DUMMYFUNCTION("""COMPUTED_VALUE"""),FALSE)</f>
        <v>0</v>
      </c>
      <c r="E179" s="107" t="str">
        <f>IFERROR(__xludf.DUMMYFUNCTION("""COMPUTED_VALUE"""),"DATO")</f>
        <v>DATO</v>
      </c>
      <c r="F179" s="107" t="str">
        <f>IFERROR(__xludf.DUMMYFUNCTION("""COMPUTED_VALUE"""),"JOHN AL")</f>
        <v>JOHN AL</v>
      </c>
    </row>
    <row r="180">
      <c r="A180" s="131">
        <f>IFERROR(__xludf.DUMMYFUNCTION("""COMPUTED_VALUE"""),179.0)</f>
        <v>179</v>
      </c>
      <c r="B180" s="131"/>
      <c r="C180" s="131">
        <f>IFERROR(__xludf.DUMMYFUNCTION("""COMPUTED_VALUE"""),167.0)</f>
        <v>167</v>
      </c>
      <c r="D180" s="131" t="b">
        <f>IFERROR(__xludf.DUMMYFUNCTION("""COMPUTED_VALUE"""),FALSE)</f>
        <v>0</v>
      </c>
      <c r="E180" s="107" t="str">
        <f>IFERROR(__xludf.DUMMYFUNCTION("""COMPUTED_VALUE"""),"DELA CRUZ")</f>
        <v>DELA CRUZ</v>
      </c>
      <c r="F180" s="107" t="str">
        <f>IFERROR(__xludf.DUMMYFUNCTION("""COMPUTED_VALUE"""),"DYLAN")</f>
        <v>DYLAN</v>
      </c>
    </row>
    <row r="181">
      <c r="A181" s="131">
        <f>IFERROR(__xludf.DUMMYFUNCTION("""COMPUTED_VALUE"""),180.0)</f>
        <v>180</v>
      </c>
      <c r="B181" s="131"/>
      <c r="C181" s="131">
        <f>IFERROR(__xludf.DUMMYFUNCTION("""COMPUTED_VALUE"""),167.0)</f>
        <v>167</v>
      </c>
      <c r="D181" s="131" t="b">
        <f>IFERROR(__xludf.DUMMYFUNCTION("""COMPUTED_VALUE"""),FALSE)</f>
        <v>0</v>
      </c>
      <c r="E181" s="107" t="str">
        <f>IFERROR(__xludf.DUMMYFUNCTION("""COMPUTED_VALUE"""),"DELA PEÑA")</f>
        <v>DELA PEÑA</v>
      </c>
      <c r="F181" s="107" t="str">
        <f>IFERROR(__xludf.DUMMYFUNCTION("""COMPUTED_VALUE"""),"ACEL")</f>
        <v>ACEL</v>
      </c>
    </row>
    <row r="182">
      <c r="A182" s="131">
        <f>IFERROR(__xludf.DUMMYFUNCTION("""COMPUTED_VALUE"""),181.0)</f>
        <v>181</v>
      </c>
      <c r="B182" s="131"/>
      <c r="C182" s="131">
        <f>IFERROR(__xludf.DUMMYFUNCTION("""COMPUTED_VALUE"""),167.0)</f>
        <v>167</v>
      </c>
      <c r="D182" s="131" t="b">
        <f>IFERROR(__xludf.DUMMYFUNCTION("""COMPUTED_VALUE"""),FALSE)</f>
        <v>0</v>
      </c>
      <c r="E182" s="107" t="str">
        <f>IFERROR(__xludf.DUMMYFUNCTION("""COMPUTED_VALUE"""),"DELECTOR")</f>
        <v>DELECTOR</v>
      </c>
      <c r="F182" s="107" t="str">
        <f>IFERROR(__xludf.DUMMYFUNCTION("""COMPUTED_VALUE"""),"FRANCIS CRISTEL")</f>
        <v>FRANCIS CRISTEL</v>
      </c>
    </row>
    <row r="183">
      <c r="A183" s="131">
        <f>IFERROR(__xludf.DUMMYFUNCTION("""COMPUTED_VALUE"""),182.0)</f>
        <v>182</v>
      </c>
      <c r="B183" s="131"/>
      <c r="C183" s="131">
        <f>IFERROR(__xludf.DUMMYFUNCTION("""COMPUTED_VALUE"""),167.0)</f>
        <v>167</v>
      </c>
      <c r="D183" s="131" t="b">
        <f>IFERROR(__xludf.DUMMYFUNCTION("""COMPUTED_VALUE"""),FALSE)</f>
        <v>0</v>
      </c>
      <c r="E183" s="107" t="str">
        <f>IFERROR(__xludf.DUMMYFUNCTION("""COMPUTED_VALUE"""),"DELECTOR")</f>
        <v>DELECTOR</v>
      </c>
      <c r="F183" s="107" t="str">
        <f>IFERROR(__xludf.DUMMYFUNCTION("""COMPUTED_VALUE"""),"FRANZINE CARLO")</f>
        <v>FRANZINE CARLO</v>
      </c>
    </row>
    <row r="184">
      <c r="A184" s="131">
        <f>IFERROR(__xludf.DUMMYFUNCTION("""COMPUTED_VALUE"""),183.0)</f>
        <v>183</v>
      </c>
      <c r="B184" s="131"/>
      <c r="C184" s="131">
        <f>IFERROR(__xludf.DUMMYFUNCTION("""COMPUTED_VALUE"""),167.0)</f>
        <v>167</v>
      </c>
      <c r="D184" s="131" t="b">
        <f>IFERROR(__xludf.DUMMYFUNCTION("""COMPUTED_VALUE"""),FALSE)</f>
        <v>0</v>
      </c>
      <c r="E184" s="107" t="str">
        <f>IFERROR(__xludf.DUMMYFUNCTION("""COMPUTED_VALUE"""),"FRONDA")</f>
        <v>FRONDA</v>
      </c>
      <c r="F184" s="107" t="str">
        <f>IFERROR(__xludf.DUMMYFUNCTION("""COMPUTED_VALUE"""),"ED")</f>
        <v>ED</v>
      </c>
    </row>
    <row r="185">
      <c r="A185" s="131">
        <f>IFERROR(__xludf.DUMMYFUNCTION("""COMPUTED_VALUE"""),184.0)</f>
        <v>184</v>
      </c>
      <c r="B185" s="131"/>
      <c r="C185" s="131">
        <f>IFERROR(__xludf.DUMMYFUNCTION("""COMPUTED_VALUE"""),167.0)</f>
        <v>167</v>
      </c>
      <c r="D185" s="131" t="b">
        <f>IFERROR(__xludf.DUMMYFUNCTION("""COMPUTED_VALUE"""),FALSE)</f>
        <v>0</v>
      </c>
      <c r="E185" s="107" t="str">
        <f>IFERROR(__xludf.DUMMYFUNCTION("""COMPUTED_VALUE"""),"GELICAME")</f>
        <v>GELICAME</v>
      </c>
      <c r="F185" s="107" t="str">
        <f>IFERROR(__xludf.DUMMYFUNCTION("""COMPUTED_VALUE"""),"ALJHUN")</f>
        <v>ALJHUN</v>
      </c>
    </row>
    <row r="186">
      <c r="A186" s="131">
        <f>IFERROR(__xludf.DUMMYFUNCTION("""COMPUTED_VALUE"""),185.0)</f>
        <v>185</v>
      </c>
      <c r="B186" s="131"/>
      <c r="C186" s="131">
        <f>IFERROR(__xludf.DUMMYFUNCTION("""COMPUTED_VALUE"""),167.0)</f>
        <v>167</v>
      </c>
      <c r="D186" s="131" t="b">
        <f>IFERROR(__xludf.DUMMYFUNCTION("""COMPUTED_VALUE"""),FALSE)</f>
        <v>0</v>
      </c>
      <c r="E186" s="107" t="str">
        <f>IFERROR(__xludf.DUMMYFUNCTION("""COMPUTED_VALUE"""),"LABAYNE")</f>
        <v>LABAYNE</v>
      </c>
      <c r="F186" s="107" t="str">
        <f>IFERROR(__xludf.DUMMYFUNCTION("""COMPUTED_VALUE"""),"JOSHUA")</f>
        <v>JOSHUA</v>
      </c>
    </row>
    <row r="187">
      <c r="A187" s="131">
        <f>IFERROR(__xludf.DUMMYFUNCTION("""COMPUTED_VALUE"""),186.0)</f>
        <v>186</v>
      </c>
      <c r="B187" s="131"/>
      <c r="C187" s="131">
        <f>IFERROR(__xludf.DUMMYFUNCTION("""COMPUTED_VALUE"""),167.0)</f>
        <v>167</v>
      </c>
      <c r="D187" s="131" t="b">
        <f>IFERROR(__xludf.DUMMYFUNCTION("""COMPUTED_VALUE"""),FALSE)</f>
        <v>0</v>
      </c>
      <c r="E187" s="107" t="str">
        <f>IFERROR(__xludf.DUMMYFUNCTION("""COMPUTED_VALUE"""),"LABAYNE")</f>
        <v>LABAYNE</v>
      </c>
      <c r="F187" s="107" t="str">
        <f>IFERROR(__xludf.DUMMYFUNCTION("""COMPUTED_VALUE"""),"MARK")</f>
        <v>MARK</v>
      </c>
    </row>
    <row r="188">
      <c r="A188" s="131">
        <f>IFERROR(__xludf.DUMMYFUNCTION("""COMPUTED_VALUE"""),187.0)</f>
        <v>187</v>
      </c>
      <c r="B188" s="131"/>
      <c r="C188" s="131">
        <f>IFERROR(__xludf.DUMMYFUNCTION("""COMPUTED_VALUE"""),167.0)</f>
        <v>167</v>
      </c>
      <c r="D188" s="131" t="b">
        <f>IFERROR(__xludf.DUMMYFUNCTION("""COMPUTED_VALUE"""),FALSE)</f>
        <v>0</v>
      </c>
      <c r="E188" s="107" t="str">
        <f>IFERROR(__xludf.DUMMYFUNCTION("""COMPUTED_VALUE"""),"LABAYNE")</f>
        <v>LABAYNE</v>
      </c>
      <c r="F188" s="107" t="str">
        <f>IFERROR(__xludf.DUMMYFUNCTION("""COMPUTED_VALUE"""),"JAMES")</f>
        <v>JAMES</v>
      </c>
    </row>
    <row r="189">
      <c r="A189" s="131">
        <f>IFERROR(__xludf.DUMMYFUNCTION("""COMPUTED_VALUE"""),188.0)</f>
        <v>188</v>
      </c>
      <c r="B189" s="131"/>
      <c r="C189" s="131">
        <f>IFERROR(__xludf.DUMMYFUNCTION("""COMPUTED_VALUE"""),167.0)</f>
        <v>167</v>
      </c>
      <c r="D189" s="131" t="b">
        <f>IFERROR(__xludf.DUMMYFUNCTION("""COMPUTED_VALUE"""),FALSE)</f>
        <v>0</v>
      </c>
      <c r="E189" s="107" t="str">
        <f>IFERROR(__xludf.DUMMYFUNCTION("""COMPUTED_VALUE"""),"LLORENTE")</f>
        <v>LLORENTE</v>
      </c>
      <c r="F189" s="107" t="str">
        <f>IFERROR(__xludf.DUMMYFUNCTION("""COMPUTED_VALUE"""),"MILLS")</f>
        <v>MILLS</v>
      </c>
    </row>
    <row r="190">
      <c r="A190" s="131">
        <f>IFERROR(__xludf.DUMMYFUNCTION("""COMPUTED_VALUE"""),189.0)</f>
        <v>189</v>
      </c>
      <c r="B190" s="131"/>
      <c r="C190" s="131">
        <f>IFERROR(__xludf.DUMMYFUNCTION("""COMPUTED_VALUE"""),167.0)</f>
        <v>167</v>
      </c>
      <c r="D190" s="131" t="b">
        <f>IFERROR(__xludf.DUMMYFUNCTION("""COMPUTED_VALUE"""),FALSE)</f>
        <v>0</v>
      </c>
      <c r="E190" s="107" t="str">
        <f>IFERROR(__xludf.DUMMYFUNCTION("""COMPUTED_VALUE"""),"MANUEL")</f>
        <v>MANUEL</v>
      </c>
      <c r="F190" s="107" t="str">
        <f>IFERROR(__xludf.DUMMYFUNCTION("""COMPUTED_VALUE"""),"JOHN MARK")</f>
        <v>JOHN MARK</v>
      </c>
    </row>
    <row r="191">
      <c r="A191" s="131">
        <f>IFERROR(__xludf.DUMMYFUNCTION("""COMPUTED_VALUE"""),190.0)</f>
        <v>190</v>
      </c>
      <c r="B191" s="131"/>
      <c r="C191" s="131">
        <f>IFERROR(__xludf.DUMMYFUNCTION("""COMPUTED_VALUE"""),167.0)</f>
        <v>167</v>
      </c>
      <c r="D191" s="131" t="b">
        <f>IFERROR(__xludf.DUMMYFUNCTION("""COMPUTED_VALUE"""),FALSE)</f>
        <v>0</v>
      </c>
      <c r="E191" s="107" t="str">
        <f>IFERROR(__xludf.DUMMYFUNCTION("""COMPUTED_VALUE"""),"MENDOZA")</f>
        <v>MENDOZA</v>
      </c>
      <c r="F191" s="107" t="str">
        <f>IFERROR(__xludf.DUMMYFUNCTION("""COMPUTED_VALUE"""),"JM")</f>
        <v>JM</v>
      </c>
    </row>
    <row r="192">
      <c r="A192" s="131">
        <f>IFERROR(__xludf.DUMMYFUNCTION("""COMPUTED_VALUE"""),191.0)</f>
        <v>191</v>
      </c>
      <c r="B192" s="131"/>
      <c r="C192" s="131">
        <f>IFERROR(__xludf.DUMMYFUNCTION("""COMPUTED_VALUE"""),167.0)</f>
        <v>167</v>
      </c>
      <c r="D192" s="131" t="b">
        <f>IFERROR(__xludf.DUMMYFUNCTION("""COMPUTED_VALUE"""),FALSE)</f>
        <v>0</v>
      </c>
      <c r="E192" s="107" t="str">
        <f>IFERROR(__xludf.DUMMYFUNCTION("""COMPUTED_VALUE"""),"MOLINA")</f>
        <v>MOLINA</v>
      </c>
      <c r="F192" s="107" t="str">
        <f>IFERROR(__xludf.DUMMYFUNCTION("""COMPUTED_VALUE"""),"ADRIAN")</f>
        <v>ADRIAN</v>
      </c>
    </row>
    <row r="193">
      <c r="A193" s="131">
        <f>IFERROR(__xludf.DUMMYFUNCTION("""COMPUTED_VALUE"""),192.0)</f>
        <v>192</v>
      </c>
      <c r="B193" s="131"/>
      <c r="C193" s="131">
        <f>IFERROR(__xludf.DUMMYFUNCTION("""COMPUTED_VALUE"""),167.0)</f>
        <v>167</v>
      </c>
      <c r="D193" s="131" t="b">
        <f>IFERROR(__xludf.DUMMYFUNCTION("""COMPUTED_VALUE"""),FALSE)</f>
        <v>0</v>
      </c>
      <c r="E193" s="107" t="str">
        <f>IFERROR(__xludf.DUMMYFUNCTION("""COMPUTED_VALUE"""),"MONTECER")</f>
        <v>MONTECER</v>
      </c>
      <c r="F193" s="107" t="str">
        <f>IFERROR(__xludf.DUMMYFUNCTION("""COMPUTED_VALUE"""),"RYAN")</f>
        <v>RYAN</v>
      </c>
    </row>
    <row r="194">
      <c r="A194" s="131">
        <f>IFERROR(__xludf.DUMMYFUNCTION("""COMPUTED_VALUE"""),193.0)</f>
        <v>193</v>
      </c>
      <c r="B194" s="131"/>
      <c r="C194" s="131">
        <f>IFERROR(__xludf.DUMMYFUNCTION("""COMPUTED_VALUE"""),167.0)</f>
        <v>167</v>
      </c>
      <c r="D194" s="131" t="b">
        <f>IFERROR(__xludf.DUMMYFUNCTION("""COMPUTED_VALUE"""),FALSE)</f>
        <v>0</v>
      </c>
      <c r="E194" s="107" t="str">
        <f>IFERROR(__xludf.DUMMYFUNCTION("""COMPUTED_VALUE"""),"MOSQUITO")</f>
        <v>MOSQUITO</v>
      </c>
      <c r="F194" s="107" t="str">
        <f>IFERROR(__xludf.DUMMYFUNCTION("""COMPUTED_VALUE"""),"JOHN MARK")</f>
        <v>JOHN MARK</v>
      </c>
    </row>
    <row r="195">
      <c r="A195" s="131">
        <f>IFERROR(__xludf.DUMMYFUNCTION("""COMPUTED_VALUE"""),194.0)</f>
        <v>194</v>
      </c>
      <c r="B195" s="131"/>
      <c r="C195" s="131">
        <f>IFERROR(__xludf.DUMMYFUNCTION("""COMPUTED_VALUE"""),167.0)</f>
        <v>167</v>
      </c>
      <c r="D195" s="131" t="b">
        <f>IFERROR(__xludf.DUMMYFUNCTION("""COMPUTED_VALUE"""),FALSE)</f>
        <v>0</v>
      </c>
      <c r="E195" s="107" t="str">
        <f>IFERROR(__xludf.DUMMYFUNCTION("""COMPUTED_VALUE"""),"PASCUAL")</f>
        <v>PASCUAL</v>
      </c>
      <c r="F195" s="107" t="str">
        <f>IFERROR(__xludf.DUMMYFUNCTION("""COMPUTED_VALUE"""),"KIOSKE")</f>
        <v>KIOSKE</v>
      </c>
    </row>
    <row r="196">
      <c r="A196" s="131">
        <f>IFERROR(__xludf.DUMMYFUNCTION("""COMPUTED_VALUE"""),195.0)</f>
        <v>195</v>
      </c>
      <c r="B196" s="131"/>
      <c r="C196" s="131">
        <f>IFERROR(__xludf.DUMMYFUNCTION("""COMPUTED_VALUE"""),167.0)</f>
        <v>167</v>
      </c>
      <c r="D196" s="131" t="b">
        <f>IFERROR(__xludf.DUMMYFUNCTION("""COMPUTED_VALUE"""),FALSE)</f>
        <v>0</v>
      </c>
      <c r="E196" s="107" t="str">
        <f>IFERROR(__xludf.DUMMYFUNCTION("""COMPUTED_VALUE"""),"PERALTA")</f>
        <v>PERALTA</v>
      </c>
      <c r="F196" s="107" t="str">
        <f>IFERROR(__xludf.DUMMYFUNCTION("""COMPUTED_VALUE"""),"MARION")</f>
        <v>MARION</v>
      </c>
    </row>
    <row r="197">
      <c r="A197" s="131">
        <f>IFERROR(__xludf.DUMMYFUNCTION("""COMPUTED_VALUE"""),196.0)</f>
        <v>196</v>
      </c>
      <c r="B197" s="131"/>
      <c r="C197" s="131">
        <f>IFERROR(__xludf.DUMMYFUNCTION("""COMPUTED_VALUE"""),167.0)</f>
        <v>167</v>
      </c>
      <c r="D197" s="131" t="b">
        <f>IFERROR(__xludf.DUMMYFUNCTION("""COMPUTED_VALUE"""),FALSE)</f>
        <v>0</v>
      </c>
      <c r="E197" s="107" t="str">
        <f>IFERROR(__xludf.DUMMYFUNCTION("""COMPUTED_VALUE"""),"RANOLA")</f>
        <v>RANOLA</v>
      </c>
      <c r="F197" s="107" t="str">
        <f>IFERROR(__xludf.DUMMYFUNCTION("""COMPUTED_VALUE"""),"JOHN GABRIELLE P.")</f>
        <v>JOHN GABRIELLE P.</v>
      </c>
    </row>
    <row r="198">
      <c r="A198" s="131">
        <f>IFERROR(__xludf.DUMMYFUNCTION("""COMPUTED_VALUE"""),197.0)</f>
        <v>197</v>
      </c>
      <c r="B198" s="131"/>
      <c r="C198" s="131">
        <f>IFERROR(__xludf.DUMMYFUNCTION("""COMPUTED_VALUE"""),167.0)</f>
        <v>167</v>
      </c>
      <c r="D198" s="131" t="b">
        <f>IFERROR(__xludf.DUMMYFUNCTION("""COMPUTED_VALUE"""),FALSE)</f>
        <v>0</v>
      </c>
      <c r="E198" s="107" t="str">
        <f>IFERROR(__xludf.DUMMYFUNCTION("""COMPUTED_VALUE"""),"REMOPALOS")</f>
        <v>REMOPALOS</v>
      </c>
      <c r="F198" s="107" t="str">
        <f>IFERROR(__xludf.DUMMYFUNCTION("""COMPUTED_VALUE"""),"ZION")</f>
        <v>ZION</v>
      </c>
    </row>
    <row r="199">
      <c r="A199" s="131">
        <f>IFERROR(__xludf.DUMMYFUNCTION("""COMPUTED_VALUE"""),198.0)</f>
        <v>198</v>
      </c>
      <c r="B199" s="131"/>
      <c r="C199" s="131">
        <f>IFERROR(__xludf.DUMMYFUNCTION("""COMPUTED_VALUE"""),167.0)</f>
        <v>167</v>
      </c>
      <c r="D199" s="131" t="b">
        <f>IFERROR(__xludf.DUMMYFUNCTION("""COMPUTED_VALUE"""),FALSE)</f>
        <v>0</v>
      </c>
      <c r="E199" s="107" t="str">
        <f>IFERROR(__xludf.DUMMYFUNCTION("""COMPUTED_VALUE"""),"ROSAL")</f>
        <v>ROSAL</v>
      </c>
      <c r="F199" s="107" t="str">
        <f>IFERROR(__xludf.DUMMYFUNCTION("""COMPUTED_VALUE"""),"CYRUS JOSEPH")</f>
        <v>CYRUS JOSEPH</v>
      </c>
    </row>
    <row r="200">
      <c r="A200" s="131">
        <f>IFERROR(__xludf.DUMMYFUNCTION("""COMPUTED_VALUE"""),199.0)</f>
        <v>199</v>
      </c>
      <c r="B200" s="131"/>
      <c r="C200" s="131">
        <f>IFERROR(__xludf.DUMMYFUNCTION("""COMPUTED_VALUE"""),167.0)</f>
        <v>167</v>
      </c>
      <c r="D200" s="131" t="b">
        <f>IFERROR(__xludf.DUMMYFUNCTION("""COMPUTED_VALUE"""),FALSE)</f>
        <v>0</v>
      </c>
      <c r="E200" s="107" t="str">
        <f>IFERROR(__xludf.DUMMYFUNCTION("""COMPUTED_VALUE"""),"SAMONTANES")</f>
        <v>SAMONTANES</v>
      </c>
      <c r="F200" s="107" t="str">
        <f>IFERROR(__xludf.DUMMYFUNCTION("""COMPUTED_VALUE"""),"DAVID")</f>
        <v>DAVID</v>
      </c>
    </row>
    <row r="201">
      <c r="A201" s="131">
        <f>IFERROR(__xludf.DUMMYFUNCTION("""COMPUTED_VALUE"""),200.0)</f>
        <v>200</v>
      </c>
      <c r="B201" s="131"/>
      <c r="C201" s="131">
        <f>IFERROR(__xludf.DUMMYFUNCTION("""COMPUTED_VALUE"""),167.0)</f>
        <v>167</v>
      </c>
      <c r="D201" s="131" t="b">
        <f>IFERROR(__xludf.DUMMYFUNCTION("""COMPUTED_VALUE"""),FALSE)</f>
        <v>0</v>
      </c>
      <c r="E201" s="107" t="str">
        <f>IFERROR(__xludf.DUMMYFUNCTION("""COMPUTED_VALUE"""),"SISON")</f>
        <v>SISON</v>
      </c>
      <c r="F201" s="107" t="str">
        <f>IFERROR(__xludf.DUMMYFUNCTION("""COMPUTED_VALUE"""),"RAVEN JAZZ")</f>
        <v>RAVEN JAZZ</v>
      </c>
    </row>
    <row r="202">
      <c r="A202" s="131">
        <f>IFERROR(__xludf.DUMMYFUNCTION("""COMPUTED_VALUE"""),201.0)</f>
        <v>201</v>
      </c>
      <c r="B202" s="131"/>
      <c r="C202" s="131">
        <f>IFERROR(__xludf.DUMMYFUNCTION("""COMPUTED_VALUE"""),167.0)</f>
        <v>167</v>
      </c>
      <c r="D202" s="131" t="b">
        <f>IFERROR(__xludf.DUMMYFUNCTION("""COMPUTED_VALUE"""),FALSE)</f>
        <v>0</v>
      </c>
      <c r="E202" s="107" t="str">
        <f>IFERROR(__xludf.DUMMYFUNCTION("""COMPUTED_VALUE"""),"SOMERA")</f>
        <v>SOMERA</v>
      </c>
      <c r="F202" s="107" t="str">
        <f>IFERROR(__xludf.DUMMYFUNCTION("""COMPUTED_VALUE"""),"MICHAEL")</f>
        <v>MICHAEL</v>
      </c>
    </row>
    <row r="203">
      <c r="A203" s="131">
        <f>IFERROR(__xludf.DUMMYFUNCTION("""COMPUTED_VALUE"""),202.0)</f>
        <v>202</v>
      </c>
      <c r="B203" s="131"/>
      <c r="C203" s="131">
        <f>IFERROR(__xludf.DUMMYFUNCTION("""COMPUTED_VALUE"""),167.0)</f>
        <v>167</v>
      </c>
      <c r="D203" s="131" t="b">
        <f>IFERROR(__xludf.DUMMYFUNCTION("""COMPUTED_VALUE"""),FALSE)</f>
        <v>0</v>
      </c>
      <c r="E203" s="107" t="str">
        <f>IFERROR(__xludf.DUMMYFUNCTION("""COMPUTED_VALUE"""),"TAMIDLES")</f>
        <v>TAMIDLES</v>
      </c>
      <c r="F203" s="107" t="str">
        <f>IFERROR(__xludf.DUMMYFUNCTION("""COMPUTED_VALUE"""),"KARL")</f>
        <v>KARL</v>
      </c>
    </row>
    <row r="204">
      <c r="A204" s="131">
        <f>IFERROR(__xludf.DUMMYFUNCTION("""COMPUTED_VALUE"""),203.0)</f>
        <v>203</v>
      </c>
      <c r="B204" s="131"/>
      <c r="C204" s="131">
        <f>IFERROR(__xludf.DUMMYFUNCTION("""COMPUTED_VALUE"""),167.0)</f>
        <v>167</v>
      </c>
      <c r="D204" s="131" t="b">
        <f>IFERROR(__xludf.DUMMYFUNCTION("""COMPUTED_VALUE"""),FALSE)</f>
        <v>0</v>
      </c>
      <c r="E204" s="107" t="str">
        <f>IFERROR(__xludf.DUMMYFUNCTION("""COMPUTED_VALUE"""),"TAN")</f>
        <v>TAN</v>
      </c>
      <c r="F204" s="107" t="str">
        <f>IFERROR(__xludf.DUMMYFUNCTION("""COMPUTED_VALUE"""),"RAMON")</f>
        <v>RAMON</v>
      </c>
    </row>
    <row r="205">
      <c r="A205" s="131">
        <f>IFERROR(__xludf.DUMMYFUNCTION("""COMPUTED_VALUE"""),204.0)</f>
        <v>204</v>
      </c>
      <c r="B205" s="131"/>
      <c r="C205" s="131">
        <f>IFERROR(__xludf.DUMMYFUNCTION("""COMPUTED_VALUE"""),167.0)</f>
        <v>167</v>
      </c>
      <c r="D205" s="131" t="b">
        <f>IFERROR(__xludf.DUMMYFUNCTION("""COMPUTED_VALUE"""),FALSE)</f>
        <v>0</v>
      </c>
      <c r="E205" s="116" t="str">
        <f>IFERROR(__xludf.DUMMYFUNCTION("""COMPUTED_VALUE"""),"TOLEDO")</f>
        <v>TOLEDO</v>
      </c>
      <c r="F205" s="115" t="str">
        <f>IFERROR(__xludf.DUMMYFUNCTION("""COMPUTED_VALUE"""),"ASZHER")</f>
        <v>ASZHER</v>
      </c>
    </row>
    <row r="206">
      <c r="A206" s="131">
        <f>IFERROR(__xludf.DUMMYFUNCTION("""COMPUTED_VALUE"""),205.0)</f>
        <v>205</v>
      </c>
      <c r="B206" s="131"/>
      <c r="C206" s="131">
        <f>IFERROR(__xludf.DUMMYFUNCTION("""COMPUTED_VALUE"""),167.0)</f>
        <v>167</v>
      </c>
      <c r="D206" s="131" t="b">
        <f>IFERROR(__xludf.DUMMYFUNCTION("""COMPUTED_VALUE"""),FALSE)</f>
        <v>0</v>
      </c>
      <c r="E206" s="115" t="str">
        <f>IFERROR(__xludf.DUMMYFUNCTION("""COMPUTED_VALUE"""),"TAMIDLES")</f>
        <v>TAMIDLES</v>
      </c>
      <c r="F206" s="107" t="str">
        <f>IFERROR(__xludf.DUMMYFUNCTION("""COMPUTED_VALUE"""),"ZHAIRON")</f>
        <v>ZHAIRON</v>
      </c>
    </row>
    <row r="207">
      <c r="A207" s="131">
        <f>IFERROR(__xludf.DUMMYFUNCTION("""COMPUTED_VALUE"""),206.0)</f>
        <v>206</v>
      </c>
      <c r="B207" s="131"/>
      <c r="C207" s="131">
        <f>IFERROR(__xludf.DUMMYFUNCTION("""COMPUTED_VALUE"""),167.0)</f>
        <v>167</v>
      </c>
      <c r="D207" s="131" t="b">
        <f>IFERROR(__xludf.DUMMYFUNCTION("""COMPUTED_VALUE"""),FALSE)</f>
        <v>0</v>
      </c>
      <c r="E207" s="107" t="str">
        <f>IFERROR(__xludf.DUMMYFUNCTION("""COMPUTED_VALUE"""),"VERTUDAZO")</f>
        <v>VERTUDAZO</v>
      </c>
      <c r="F207" s="107" t="str">
        <f>IFERROR(__xludf.DUMMYFUNCTION("""COMPUTED_VALUE"""),"KENNETH")</f>
        <v>KENNETH</v>
      </c>
    </row>
    <row r="208">
      <c r="A208" s="131">
        <f>IFERROR(__xludf.DUMMYFUNCTION("""COMPUTED_VALUE"""),207.0)</f>
        <v>207</v>
      </c>
      <c r="B208" s="131"/>
      <c r="C208" s="131">
        <f>IFERROR(__xludf.DUMMYFUNCTION("""COMPUTED_VALUE"""),167.0)</f>
        <v>167</v>
      </c>
      <c r="D208" s="131" t="b">
        <f>IFERROR(__xludf.DUMMYFUNCTION("""COMPUTED_VALUE"""),FALSE)</f>
        <v>0</v>
      </c>
      <c r="E208" s="107" t="str">
        <f>IFERROR(__xludf.DUMMYFUNCTION("""COMPUTED_VALUE"""),"VILLARUEL")</f>
        <v>VILLARUEL</v>
      </c>
      <c r="F208" s="107" t="str">
        <f>IFERROR(__xludf.DUMMYFUNCTION("""COMPUTED_VALUE"""),"KIAN")</f>
        <v>KIAN</v>
      </c>
    </row>
    <row r="209">
      <c r="A209" s="131">
        <f>IFERROR(__xludf.DUMMYFUNCTION("""COMPUTED_VALUE"""),208.0)</f>
        <v>208</v>
      </c>
      <c r="B209" s="131"/>
      <c r="C209" s="131">
        <f>IFERROR(__xludf.DUMMYFUNCTION("""COMPUTED_VALUE"""),167.0)</f>
        <v>167</v>
      </c>
      <c r="D209" s="131" t="b">
        <f>IFERROR(__xludf.DUMMYFUNCTION("""COMPUTED_VALUE"""),FALSE)</f>
        <v>0</v>
      </c>
      <c r="E209" s="107" t="str">
        <f>IFERROR(__xludf.DUMMYFUNCTION("""COMPUTED_VALUE"""),"VILLARUEL")</f>
        <v>VILLARUEL</v>
      </c>
      <c r="F209" s="107" t="str">
        <f>IFERROR(__xludf.DUMMYFUNCTION("""COMPUTED_VALUE"""),"KYLE")</f>
        <v>KYLE</v>
      </c>
    </row>
    <row r="210">
      <c r="A210" s="131">
        <f>IFERROR(__xludf.DUMMYFUNCTION("""COMPUTED_VALUE"""),209.0)</f>
        <v>209</v>
      </c>
      <c r="B210" s="131"/>
      <c r="C210" s="131">
        <f>IFERROR(__xludf.DUMMYFUNCTION("""COMPUTED_VALUE"""),167.0)</f>
        <v>167</v>
      </c>
      <c r="D210" s="131" t="b">
        <f>IFERROR(__xludf.DUMMYFUNCTION("""COMPUTED_VALUE"""),FALSE)</f>
        <v>0</v>
      </c>
      <c r="E210" s="117" t="str">
        <f>IFERROR(__xludf.DUMMYFUNCTION("""COMPUTED_VALUE"""),"PADLAN")</f>
        <v>PADLAN</v>
      </c>
      <c r="F210" s="107" t="str">
        <f>IFERROR(__xludf.DUMMYFUNCTION("""COMPUTED_VALUE"""),"STEPHEN")</f>
        <v>STEPHEN</v>
      </c>
    </row>
    <row r="211">
      <c r="A211" s="131">
        <f>IFERROR(__xludf.DUMMYFUNCTION("""COMPUTED_VALUE"""),210.0)</f>
        <v>210</v>
      </c>
      <c r="B211" s="131"/>
      <c r="C211" s="131">
        <f>IFERROR(__xludf.DUMMYFUNCTION("""COMPUTED_VALUE"""),167.0)</f>
        <v>167</v>
      </c>
      <c r="D211" s="131" t="b">
        <f>IFERROR(__xludf.DUMMYFUNCTION("""COMPUTED_VALUE"""),FALSE)</f>
        <v>0</v>
      </c>
      <c r="E211" s="118"/>
      <c r="F211" s="107" t="str">
        <f>IFERROR(__xludf.DUMMYFUNCTION("""COMPUTED_VALUE"""),"SIMON")</f>
        <v>SIMON</v>
      </c>
    </row>
    <row r="212">
      <c r="A212" s="131">
        <f>IFERROR(__xludf.DUMMYFUNCTION("""COMPUTED_VALUE"""),211.0)</f>
        <v>211</v>
      </c>
      <c r="B212" s="131"/>
      <c r="C212" s="131">
        <f>IFERROR(__xludf.DUMMYFUNCTION("""COMPUTED_VALUE"""),167.0)</f>
        <v>167</v>
      </c>
      <c r="D212" s="131" t="b">
        <f>IFERROR(__xludf.DUMMYFUNCTION("""COMPUTED_VALUE"""),FALSE)</f>
        <v>0</v>
      </c>
      <c r="E212" s="118"/>
      <c r="F212" s="107" t="str">
        <f>IFERROR(__xludf.DUMMYFUNCTION("""COMPUTED_VALUE"""),"NICO")</f>
        <v>NICO</v>
      </c>
    </row>
    <row r="213">
      <c r="A213" s="131">
        <f>IFERROR(__xludf.DUMMYFUNCTION("""COMPUTED_VALUE"""),212.0)</f>
        <v>212</v>
      </c>
      <c r="B213" s="131"/>
      <c r="C213" s="131">
        <f>IFERROR(__xludf.DUMMYFUNCTION("""COMPUTED_VALUE"""),167.0)</f>
        <v>167</v>
      </c>
      <c r="D213" s="131" t="b">
        <f>IFERROR(__xludf.DUMMYFUNCTION("""COMPUTED_VALUE"""),FALSE)</f>
        <v>0</v>
      </c>
      <c r="E213" s="118"/>
      <c r="F213" s="107" t="str">
        <f>IFERROR(__xludf.DUMMYFUNCTION("""COMPUTED_VALUE"""),"JERVISH")</f>
        <v>JERVISH</v>
      </c>
    </row>
    <row r="214">
      <c r="A214" s="131">
        <f>IFERROR(__xludf.DUMMYFUNCTION("""COMPUTED_VALUE"""),213.0)</f>
        <v>213</v>
      </c>
      <c r="B214" s="131"/>
      <c r="C214" s="131">
        <f>IFERROR(__xludf.DUMMYFUNCTION("""COMPUTED_VALUE"""),23.0)</f>
        <v>23</v>
      </c>
      <c r="D214" s="131" t="b">
        <f>IFERROR(__xludf.DUMMYFUNCTION("""COMPUTED_VALUE"""),TRUE)</f>
        <v>1</v>
      </c>
      <c r="E214" s="119" t="str">
        <f>IFERROR(__xludf.DUMMYFUNCTION("""COMPUTED_VALUE"""),"UDAUNDO")</f>
        <v>UDAUNDO</v>
      </c>
      <c r="F214" s="119" t="str">
        <f>IFERROR(__xludf.DUMMYFUNCTION("""COMPUTED_VALUE"""),"RINOA MAE")</f>
        <v>RINOA MAE</v>
      </c>
    </row>
    <row r="215">
      <c r="A215" s="131">
        <f>IFERROR(__xludf.DUMMYFUNCTION("""COMPUTED_VALUE"""),214.0)</f>
        <v>214</v>
      </c>
      <c r="B215" s="131"/>
      <c r="C215" s="131">
        <f>IFERROR(__xludf.DUMMYFUNCTION("""COMPUTED_VALUE"""),23.0)</f>
        <v>23</v>
      </c>
      <c r="D215" s="131" t="b">
        <f>IFERROR(__xludf.DUMMYFUNCTION("""COMPUTED_VALUE"""),FALSE)</f>
        <v>0</v>
      </c>
      <c r="E215" s="107" t="str">
        <f>IFERROR(__xludf.DUMMYFUNCTION("""COMPUTED_VALUE"""),"CASERO")</f>
        <v>CASERO</v>
      </c>
      <c r="F215" s="107" t="str">
        <f>IFERROR(__xludf.DUMMYFUNCTION("""COMPUTED_VALUE"""),"AALIYAH")</f>
        <v>AALIYAH</v>
      </c>
    </row>
    <row r="216">
      <c r="A216" s="131">
        <f>IFERROR(__xludf.DUMMYFUNCTION("""COMPUTED_VALUE"""),215.0)</f>
        <v>215</v>
      </c>
      <c r="B216" s="131"/>
      <c r="C216" s="131">
        <f>IFERROR(__xludf.DUMMYFUNCTION("""COMPUTED_VALUE"""),23.0)</f>
        <v>23</v>
      </c>
      <c r="D216" s="131" t="b">
        <f>IFERROR(__xludf.DUMMYFUNCTION("""COMPUTED_VALUE"""),FALSE)</f>
        <v>0</v>
      </c>
      <c r="E216" s="107" t="str">
        <f>IFERROR(__xludf.DUMMYFUNCTION("""COMPUTED_VALUE"""),"CELASES")</f>
        <v>CELASES</v>
      </c>
      <c r="F216" s="107" t="str">
        <f>IFERROR(__xludf.DUMMYFUNCTION("""COMPUTED_VALUE"""),"SOFIA")</f>
        <v>SOFIA</v>
      </c>
    </row>
    <row r="217">
      <c r="A217" s="131">
        <f>IFERROR(__xludf.DUMMYFUNCTION("""COMPUTED_VALUE"""),216.0)</f>
        <v>216</v>
      </c>
      <c r="B217" s="131"/>
      <c r="C217" s="131">
        <f>IFERROR(__xludf.DUMMYFUNCTION("""COMPUTED_VALUE"""),23.0)</f>
        <v>23</v>
      </c>
      <c r="D217" s="131" t="b">
        <f>IFERROR(__xludf.DUMMYFUNCTION("""COMPUTED_VALUE"""),FALSE)</f>
        <v>0</v>
      </c>
      <c r="E217" s="107" t="str">
        <f>IFERROR(__xludf.DUMMYFUNCTION("""COMPUTED_VALUE"""),"LACONSAY")</f>
        <v>LACONSAY</v>
      </c>
      <c r="F217" s="107" t="str">
        <f>IFERROR(__xludf.DUMMYFUNCTION("""COMPUTED_VALUE"""),"MAIYA")</f>
        <v>MAIYA</v>
      </c>
    </row>
    <row r="218">
      <c r="A218" s="131">
        <f>IFERROR(__xludf.DUMMYFUNCTION("""COMPUTED_VALUE"""),217.0)</f>
        <v>217</v>
      </c>
      <c r="B218" s="131"/>
      <c r="C218" s="131">
        <f>IFERROR(__xludf.DUMMYFUNCTION("""COMPUTED_VALUE"""),23.0)</f>
        <v>23</v>
      </c>
      <c r="D218" s="131" t="b">
        <f>IFERROR(__xludf.DUMMYFUNCTION("""COMPUTED_VALUE"""),FALSE)</f>
        <v>0</v>
      </c>
      <c r="E218" s="107" t="str">
        <f>IFERROR(__xludf.DUMMYFUNCTION("""COMPUTED_VALUE"""),"MADLANGAWA")</f>
        <v>MADLANGAWA</v>
      </c>
      <c r="F218" s="107" t="str">
        <f>IFERROR(__xludf.DUMMYFUNCTION("""COMPUTED_VALUE"""),"INGRID")</f>
        <v>INGRID</v>
      </c>
    </row>
    <row r="219">
      <c r="A219" s="131">
        <f>IFERROR(__xludf.DUMMYFUNCTION("""COMPUTED_VALUE"""),218.0)</f>
        <v>218</v>
      </c>
      <c r="B219" s="131"/>
      <c r="C219" s="131">
        <f>IFERROR(__xludf.DUMMYFUNCTION("""COMPUTED_VALUE"""),23.0)</f>
        <v>23</v>
      </c>
      <c r="D219" s="131" t="b">
        <f>IFERROR(__xludf.DUMMYFUNCTION("""COMPUTED_VALUE"""),FALSE)</f>
        <v>0</v>
      </c>
      <c r="E219" s="107" t="str">
        <f>IFERROR(__xludf.DUMMYFUNCTION("""COMPUTED_VALUE"""),"MALAGOTNOT")</f>
        <v>MALAGOTNOT</v>
      </c>
      <c r="F219" s="107" t="str">
        <f>IFERROR(__xludf.DUMMYFUNCTION("""COMPUTED_VALUE"""),"PHOEBE")</f>
        <v>PHOEBE</v>
      </c>
    </row>
    <row r="220">
      <c r="A220" s="131">
        <f>IFERROR(__xludf.DUMMYFUNCTION("""COMPUTED_VALUE"""),219.0)</f>
        <v>219</v>
      </c>
      <c r="B220" s="131"/>
      <c r="C220" s="131">
        <f>IFERROR(__xludf.DUMMYFUNCTION("""COMPUTED_VALUE"""),23.0)</f>
        <v>23</v>
      </c>
      <c r="D220" s="131" t="b">
        <f>IFERROR(__xludf.DUMMYFUNCTION("""COMPUTED_VALUE"""),FALSE)</f>
        <v>0</v>
      </c>
      <c r="E220" s="107" t="str">
        <f>IFERROR(__xludf.DUMMYFUNCTION("""COMPUTED_VALUE"""),"MALOLOY-ON")</f>
        <v>MALOLOY-ON</v>
      </c>
      <c r="F220" s="107" t="str">
        <f>IFERROR(__xludf.DUMMYFUNCTION("""COMPUTED_VALUE"""),"EUNICE")</f>
        <v>EUNICE</v>
      </c>
    </row>
    <row r="221">
      <c r="A221" s="131">
        <f>IFERROR(__xludf.DUMMYFUNCTION("""COMPUTED_VALUE"""),220.0)</f>
        <v>220</v>
      </c>
      <c r="B221" s="131"/>
      <c r="C221" s="131">
        <f>IFERROR(__xludf.DUMMYFUNCTION("""COMPUTED_VALUE"""),23.0)</f>
        <v>23</v>
      </c>
      <c r="D221" s="131" t="b">
        <f>IFERROR(__xludf.DUMMYFUNCTION("""COMPUTED_VALUE"""),FALSE)</f>
        <v>0</v>
      </c>
      <c r="E221" s="107" t="str">
        <f>IFERROR(__xludf.DUMMYFUNCTION("""COMPUTED_VALUE"""),"OBASAN")</f>
        <v>OBASAN</v>
      </c>
      <c r="F221" s="107" t="str">
        <f>IFERROR(__xludf.DUMMYFUNCTION("""COMPUTED_VALUE"""),"AUDREY")</f>
        <v>AUDREY</v>
      </c>
    </row>
    <row r="222">
      <c r="A222" s="131">
        <f>IFERROR(__xludf.DUMMYFUNCTION("""COMPUTED_VALUE"""),221.0)</f>
        <v>221</v>
      </c>
      <c r="B222" s="131"/>
      <c r="C222" s="131">
        <f>IFERROR(__xludf.DUMMYFUNCTION("""COMPUTED_VALUE"""),23.0)</f>
        <v>23</v>
      </c>
      <c r="D222" s="131" t="b">
        <f>IFERROR(__xludf.DUMMYFUNCTION("""COMPUTED_VALUE"""),FALSE)</f>
        <v>0</v>
      </c>
      <c r="E222" s="107" t="str">
        <f>IFERROR(__xludf.DUMMYFUNCTION("""COMPUTED_VALUE"""),"OBASAN")</f>
        <v>OBASAN</v>
      </c>
      <c r="F222" s="107" t="str">
        <f>IFERROR(__xludf.DUMMYFUNCTION("""COMPUTED_VALUE"""),"ACEZZY")</f>
        <v>ACEZZY</v>
      </c>
    </row>
    <row r="223">
      <c r="A223" s="131">
        <f>IFERROR(__xludf.DUMMYFUNCTION("""COMPUTED_VALUE"""),222.0)</f>
        <v>222</v>
      </c>
      <c r="B223" s="131"/>
      <c r="C223" s="131">
        <f>IFERROR(__xludf.DUMMYFUNCTION("""COMPUTED_VALUE"""),23.0)</f>
        <v>23</v>
      </c>
      <c r="D223" s="131" t="b">
        <f>IFERROR(__xludf.DUMMYFUNCTION("""COMPUTED_VALUE"""),FALSE)</f>
        <v>0</v>
      </c>
      <c r="E223" s="107" t="str">
        <f>IFERROR(__xludf.DUMMYFUNCTION("""COMPUTED_VALUE"""),"OBASAN")</f>
        <v>OBASAN</v>
      </c>
      <c r="F223" s="107" t="str">
        <f>IFERROR(__xludf.DUMMYFUNCTION("""COMPUTED_VALUE"""),"AYESHA")</f>
        <v>AYESHA</v>
      </c>
    </row>
    <row r="224">
      <c r="A224" s="131">
        <f>IFERROR(__xludf.DUMMYFUNCTION("""COMPUTED_VALUE"""),223.0)</f>
        <v>223</v>
      </c>
      <c r="B224" s="131"/>
      <c r="C224" s="131">
        <f>IFERROR(__xludf.DUMMYFUNCTION("""COMPUTED_VALUE"""),23.0)</f>
        <v>23</v>
      </c>
      <c r="D224" s="131" t="b">
        <f>IFERROR(__xludf.DUMMYFUNCTION("""COMPUTED_VALUE"""),FALSE)</f>
        <v>0</v>
      </c>
      <c r="E224" s="107" t="str">
        <f>IFERROR(__xludf.DUMMYFUNCTION("""COMPUTED_VALUE"""),"PACSON")</f>
        <v>PACSON</v>
      </c>
      <c r="F224" s="107" t="str">
        <f>IFERROR(__xludf.DUMMYFUNCTION("""COMPUTED_VALUE"""),"KAYTE")</f>
        <v>KAYTE</v>
      </c>
    </row>
    <row r="225">
      <c r="A225" s="131">
        <f>IFERROR(__xludf.DUMMYFUNCTION("""COMPUTED_VALUE"""),224.0)</f>
        <v>224</v>
      </c>
      <c r="B225" s="131"/>
      <c r="C225" s="131">
        <f>IFERROR(__xludf.DUMMYFUNCTION("""COMPUTED_VALUE"""),23.0)</f>
        <v>23</v>
      </c>
      <c r="D225" s="131" t="b">
        <f>IFERROR(__xludf.DUMMYFUNCTION("""COMPUTED_VALUE"""),FALSE)</f>
        <v>0</v>
      </c>
      <c r="E225" s="107" t="str">
        <f>IFERROR(__xludf.DUMMYFUNCTION("""COMPUTED_VALUE"""),"PACSON")</f>
        <v>PACSON</v>
      </c>
      <c r="F225" s="107" t="str">
        <f>IFERROR(__xludf.DUMMYFUNCTION("""COMPUTED_VALUE"""),"MICAELLA")</f>
        <v>MICAELLA</v>
      </c>
    </row>
    <row r="226">
      <c r="A226" s="131">
        <f>IFERROR(__xludf.DUMMYFUNCTION("""COMPUTED_VALUE"""),225.0)</f>
        <v>225</v>
      </c>
      <c r="B226" s="131"/>
      <c r="C226" s="131">
        <f>IFERROR(__xludf.DUMMYFUNCTION("""COMPUTED_VALUE"""),23.0)</f>
        <v>23</v>
      </c>
      <c r="D226" s="131" t="b">
        <f>IFERROR(__xludf.DUMMYFUNCTION("""COMPUTED_VALUE"""),FALSE)</f>
        <v>0</v>
      </c>
      <c r="E226" s="107" t="str">
        <f>IFERROR(__xludf.DUMMYFUNCTION("""COMPUTED_VALUE"""),"RETAMAR")</f>
        <v>RETAMAR</v>
      </c>
      <c r="F226" s="107" t="str">
        <f>IFERROR(__xludf.DUMMYFUNCTION("""COMPUTED_VALUE"""),"JASMINE")</f>
        <v>JASMINE</v>
      </c>
    </row>
    <row r="227">
      <c r="A227" s="131">
        <f>IFERROR(__xludf.DUMMYFUNCTION("""COMPUTED_VALUE"""),226.0)</f>
        <v>226</v>
      </c>
      <c r="B227" s="131"/>
      <c r="C227" s="131">
        <f>IFERROR(__xludf.DUMMYFUNCTION("""COMPUTED_VALUE"""),23.0)</f>
        <v>23</v>
      </c>
      <c r="D227" s="131" t="b">
        <f>IFERROR(__xludf.DUMMYFUNCTION("""COMPUTED_VALUE"""),FALSE)</f>
        <v>0</v>
      </c>
      <c r="E227" s="107" t="str">
        <f>IFERROR(__xludf.DUMMYFUNCTION("""COMPUTED_VALUE"""),"ROGACION")</f>
        <v>ROGACION</v>
      </c>
      <c r="F227" s="107" t="str">
        <f>IFERROR(__xludf.DUMMYFUNCTION("""COMPUTED_VALUE"""),"LYKA")</f>
        <v>LYKA</v>
      </c>
    </row>
    <row r="228">
      <c r="A228" s="131">
        <f>IFERROR(__xludf.DUMMYFUNCTION("""COMPUTED_VALUE"""),227.0)</f>
        <v>227</v>
      </c>
      <c r="B228" s="131"/>
      <c r="C228" s="131">
        <f>IFERROR(__xludf.DUMMYFUNCTION("""COMPUTED_VALUE"""),23.0)</f>
        <v>23</v>
      </c>
      <c r="D228" s="131" t="b">
        <f>IFERROR(__xludf.DUMMYFUNCTION("""COMPUTED_VALUE"""),FALSE)</f>
        <v>0</v>
      </c>
      <c r="E228" s="107" t="str">
        <f>IFERROR(__xludf.DUMMYFUNCTION("""COMPUTED_VALUE"""),"TINGSON")</f>
        <v>TINGSON</v>
      </c>
      <c r="F228" s="107" t="str">
        <f>IFERROR(__xludf.DUMMYFUNCTION("""COMPUTED_VALUE"""),"JANELLE")</f>
        <v>JANELLE</v>
      </c>
    </row>
    <row r="229">
      <c r="A229" s="131">
        <f>IFERROR(__xludf.DUMMYFUNCTION("""COMPUTED_VALUE"""),228.0)</f>
        <v>228</v>
      </c>
      <c r="B229" s="131"/>
      <c r="C229" s="131">
        <f>IFERROR(__xludf.DUMMYFUNCTION("""COMPUTED_VALUE"""),23.0)</f>
        <v>23</v>
      </c>
      <c r="D229" s="131" t="b">
        <f>IFERROR(__xludf.DUMMYFUNCTION("""COMPUTED_VALUE"""),FALSE)</f>
        <v>0</v>
      </c>
      <c r="E229" s="107" t="str">
        <f>IFERROR(__xludf.DUMMYFUNCTION("""COMPUTED_VALUE"""),"TOLEDO")</f>
        <v>TOLEDO</v>
      </c>
      <c r="F229" s="115" t="str">
        <f>IFERROR(__xludf.DUMMYFUNCTION("""COMPUTED_VALUE"""),"AKIZSAH")</f>
        <v>AKIZSAH</v>
      </c>
    </row>
    <row r="230">
      <c r="A230" s="131">
        <f>IFERROR(__xludf.DUMMYFUNCTION("""COMPUTED_VALUE"""),229.0)</f>
        <v>229</v>
      </c>
      <c r="B230" s="131"/>
      <c r="C230" s="131">
        <f>IFERROR(__xludf.DUMMYFUNCTION("""COMPUTED_VALUE"""),23.0)</f>
        <v>23</v>
      </c>
      <c r="D230" s="131" t="b">
        <f>IFERROR(__xludf.DUMMYFUNCTION("""COMPUTED_VALUE"""),FALSE)</f>
        <v>0</v>
      </c>
      <c r="E230" s="107" t="str">
        <f>IFERROR(__xludf.DUMMYFUNCTION("""COMPUTED_VALUE"""),"UDAUNDO")</f>
        <v>UDAUNDO</v>
      </c>
      <c r="F230" s="107" t="str">
        <f>IFERROR(__xludf.DUMMYFUNCTION("""COMPUTED_VALUE"""),"ELLA")</f>
        <v>ELLA</v>
      </c>
    </row>
    <row r="231">
      <c r="A231" s="131">
        <f>IFERROR(__xludf.DUMMYFUNCTION("""COMPUTED_VALUE"""),230.0)</f>
        <v>230</v>
      </c>
      <c r="B231" s="131"/>
      <c r="C231" s="131">
        <f>IFERROR(__xludf.DUMMYFUNCTION("""COMPUTED_VALUE"""),1.0)</f>
        <v>1</v>
      </c>
      <c r="D231" s="131" t="b">
        <f>IFERROR(__xludf.DUMMYFUNCTION("""COMPUTED_VALUE"""),FALSE)</f>
        <v>0</v>
      </c>
      <c r="E231" s="131" t="str">
        <f>IFERROR(__xludf.DUMMYFUNCTION("""COMPUTED_VALUE"""),"ROMUALDO")</f>
        <v>ROMUALDO</v>
      </c>
      <c r="F231" s="131" t="str">
        <f>IFERROR(__xludf.DUMMYFUNCTION("""COMPUTED_VALUE"""),"AC")</f>
        <v>AC</v>
      </c>
    </row>
    <row r="232">
      <c r="A232" s="131">
        <f>IFERROR(__xludf.DUMMYFUNCTION("""COMPUTED_VALUE"""),231.0)</f>
        <v>231</v>
      </c>
      <c r="B232" s="131"/>
      <c r="C232" s="131">
        <f>IFERROR(__xludf.DUMMYFUNCTION("""COMPUTED_VALUE"""),1.0)</f>
        <v>1</v>
      </c>
      <c r="D232" s="131" t="b">
        <f>IFERROR(__xludf.DUMMYFUNCTION("""COMPUTED_VALUE"""),FALSE)</f>
        <v>0</v>
      </c>
      <c r="E232" s="131" t="str">
        <f>IFERROR(__xludf.DUMMYFUNCTION("""COMPUTED_VALUE"""),"SEBASTIAN")</f>
        <v>SEBASTIAN</v>
      </c>
      <c r="F232" s="131" t="str">
        <f>IFERROR(__xludf.DUMMYFUNCTION("""COMPUTED_VALUE"""),"NEHEMIAH")</f>
        <v>NEHEMIAH</v>
      </c>
    </row>
    <row r="233">
      <c r="A233" s="131">
        <f>IFERROR(__xludf.DUMMYFUNCTION("""COMPUTED_VALUE"""),232.0)</f>
        <v>232</v>
      </c>
      <c r="B233" s="131"/>
      <c r="C233" s="131">
        <f>IFERROR(__xludf.DUMMYFUNCTION("""COMPUTED_VALUE"""),1.0)</f>
        <v>1</v>
      </c>
      <c r="D233" s="131" t="b">
        <f>IFERROR(__xludf.DUMMYFUNCTION("""COMPUTED_VALUE"""),FALSE)</f>
        <v>0</v>
      </c>
      <c r="E233" s="131" t="str">
        <f>IFERROR(__xludf.DUMMYFUNCTION("""COMPUTED_VALUE"""),"GINONGALA")</f>
        <v>GINONGALA</v>
      </c>
      <c r="F233" s="131" t="str">
        <f>IFERROR(__xludf.DUMMYFUNCTION("""COMPUTED_VALUE"""),"HANNAH MAE")</f>
        <v>HANNAH MAE</v>
      </c>
    </row>
    <row r="234">
      <c r="A234" s="131">
        <f>IFERROR(__xludf.DUMMYFUNCTION("""COMPUTED_VALUE"""),233.0)</f>
        <v>233</v>
      </c>
      <c r="B234" s="131"/>
      <c r="C234" s="131">
        <f>IFERROR(__xludf.DUMMYFUNCTION("""COMPUTED_VALUE"""),76.0)</f>
        <v>76</v>
      </c>
      <c r="D234" s="131" t="b">
        <f>IFERROR(__xludf.DUMMYFUNCTION("""COMPUTED_VALUE"""),FALSE)</f>
        <v>0</v>
      </c>
      <c r="E234" s="131" t="str">
        <f>IFERROR(__xludf.DUMMYFUNCTION("""COMPUTED_VALUE"""),"NIONES")</f>
        <v>NIONES</v>
      </c>
      <c r="F234" s="131" t="str">
        <f>IFERROR(__xludf.DUMMYFUNCTION("""COMPUTED_VALUE"""),"LOUIS")</f>
        <v>LOUIS</v>
      </c>
    </row>
    <row r="235">
      <c r="A235" s="131">
        <f>IFERROR(__xludf.DUMMYFUNCTION("""COMPUTED_VALUE"""),234.0)</f>
        <v>234</v>
      </c>
      <c r="B235" s="131"/>
      <c r="C235" s="131">
        <f>IFERROR(__xludf.DUMMYFUNCTION("""COMPUTED_VALUE"""),76.0)</f>
        <v>76</v>
      </c>
      <c r="D235" s="131" t="b">
        <f>IFERROR(__xludf.DUMMYFUNCTION("""COMPUTED_VALUE"""),FALSE)</f>
        <v>0</v>
      </c>
      <c r="E235" s="131" t="str">
        <f>IFERROR(__xludf.DUMMYFUNCTION("""COMPUTED_VALUE"""),"ACA")</f>
        <v>ACA</v>
      </c>
      <c r="F235" s="131" t="str">
        <f>IFERROR(__xludf.DUMMYFUNCTION("""COMPUTED_VALUE"""),"ELIJAH")</f>
        <v>ELIJAH</v>
      </c>
    </row>
    <row r="236">
      <c r="A236" s="131">
        <f>IFERROR(__xludf.DUMMYFUNCTION("""COMPUTED_VALUE"""),235.0)</f>
        <v>235</v>
      </c>
      <c r="B236" s="131"/>
      <c r="C236" s="131">
        <f>IFERROR(__xludf.DUMMYFUNCTION("""COMPUTED_VALUE"""),120.0)</f>
        <v>120</v>
      </c>
      <c r="D236" s="131" t="b">
        <f>IFERROR(__xludf.DUMMYFUNCTION("""COMPUTED_VALUE"""),FALSE)</f>
        <v>0</v>
      </c>
      <c r="E236" s="131" t="str">
        <f>IFERROR(__xludf.DUMMYFUNCTION("""COMPUTED_VALUE"""),"CERBETO")</f>
        <v>CERBETO</v>
      </c>
      <c r="F236" s="131" t="str">
        <f>IFERROR(__xludf.DUMMYFUNCTION("""COMPUTED_VALUE"""),"AIVANNE")</f>
        <v>AIVANNE</v>
      </c>
    </row>
    <row r="237">
      <c r="A237" s="131">
        <f>IFERROR(__xludf.DUMMYFUNCTION("""COMPUTED_VALUE"""),236.0)</f>
        <v>236</v>
      </c>
      <c r="B237" s="131"/>
      <c r="C237" s="131">
        <f>IFERROR(__xludf.DUMMYFUNCTION("""COMPUTED_VALUE"""),120.0)</f>
        <v>120</v>
      </c>
      <c r="D237" s="131" t="b">
        <f>IFERROR(__xludf.DUMMYFUNCTION("""COMPUTED_VALUE"""),FALSE)</f>
        <v>0</v>
      </c>
      <c r="E237" s="131" t="str">
        <f>IFERROR(__xludf.DUMMYFUNCTION("""COMPUTED_VALUE"""),"PARAZO")</f>
        <v>PARAZO</v>
      </c>
      <c r="F237" s="131" t="str">
        <f>IFERROR(__xludf.DUMMYFUNCTION("""COMPUTED_VALUE"""),"CJ")</f>
        <v>CJ</v>
      </c>
    </row>
    <row r="238">
      <c r="A238" s="131">
        <f>IFERROR(__xludf.DUMMYFUNCTION("""COMPUTED_VALUE"""),237.0)</f>
        <v>237</v>
      </c>
      <c r="B238" s="131"/>
      <c r="C238" s="131">
        <f>IFERROR(__xludf.DUMMYFUNCTION("""COMPUTED_VALUE"""),120.0)</f>
        <v>120</v>
      </c>
      <c r="D238" s="131" t="b">
        <f>IFERROR(__xludf.DUMMYFUNCTION("""COMPUTED_VALUE"""),FALSE)</f>
        <v>0</v>
      </c>
      <c r="E238" s="131" t="str">
        <f>IFERROR(__xludf.DUMMYFUNCTION("""COMPUTED_VALUE"""),"AWA-AW")</f>
        <v>AWA-AW</v>
      </c>
      <c r="F238" s="131" t="str">
        <f>IFERROR(__xludf.DUMMYFUNCTION("""COMPUTED_VALUE"""),"CARL")</f>
        <v>CARL</v>
      </c>
    </row>
    <row r="239">
      <c r="A239" s="131">
        <f>IFERROR(__xludf.DUMMYFUNCTION("""COMPUTED_VALUE"""),238.0)</f>
        <v>238</v>
      </c>
      <c r="B239" s="131"/>
      <c r="C239" s="131">
        <f>IFERROR(__xludf.DUMMYFUNCTION("""COMPUTED_VALUE"""),23.0)</f>
        <v>23</v>
      </c>
      <c r="D239" s="131" t="b">
        <f>IFERROR(__xludf.DUMMYFUNCTION("""COMPUTED_VALUE"""),FALSE)</f>
        <v>0</v>
      </c>
      <c r="E239" s="131" t="str">
        <f>IFERROR(__xludf.DUMMYFUNCTION("""COMPUTED_VALUE"""),"ALAYON")</f>
        <v>ALAYON</v>
      </c>
      <c r="F239" s="131" t="str">
        <f>IFERROR(__xludf.DUMMYFUNCTION("""COMPUTED_VALUE"""),"PATRICIA")</f>
        <v>PATRICIA</v>
      </c>
    </row>
    <row r="240">
      <c r="A240" s="131">
        <f>IFERROR(__xludf.DUMMYFUNCTION("""COMPUTED_VALUE"""),239.0)</f>
        <v>239</v>
      </c>
      <c r="B240" s="131"/>
      <c r="C240" s="131">
        <f>IFERROR(__xludf.DUMMYFUNCTION("""COMPUTED_VALUE"""),23.0)</f>
        <v>23</v>
      </c>
      <c r="D240" s="131" t="b">
        <f>IFERROR(__xludf.DUMMYFUNCTION("""COMPUTED_VALUE"""),FALSE)</f>
        <v>0</v>
      </c>
      <c r="E240" s="131" t="str">
        <f>IFERROR(__xludf.DUMMYFUNCTION("""COMPUTED_VALUE"""),"UDAUNDO")</f>
        <v>UDAUNDO</v>
      </c>
      <c r="F240" s="131" t="str">
        <f>IFERROR(__xludf.DUMMYFUNCTION("""COMPUTED_VALUE"""),"MICA ELLA")</f>
        <v>MICA ELLA</v>
      </c>
    </row>
    <row r="241">
      <c r="A241" s="131">
        <f>IFERROR(__xludf.DUMMYFUNCTION("""COMPUTED_VALUE"""),240.0)</f>
        <v>240</v>
      </c>
      <c r="B241" s="131"/>
      <c r="C241" s="131">
        <f>IFERROR(__xludf.DUMMYFUNCTION("""COMPUTED_VALUE"""),23.0)</f>
        <v>23</v>
      </c>
      <c r="D241" s="131" t="b">
        <f>IFERROR(__xludf.DUMMYFUNCTION("""COMPUTED_VALUE"""),FALSE)</f>
        <v>0</v>
      </c>
      <c r="E241" s="131" t="str">
        <f>IFERROR(__xludf.DUMMYFUNCTION("""COMPUTED_VALUE"""),"CALUBIRAN")</f>
        <v>CALUBIRAN</v>
      </c>
      <c r="F241" s="131" t="str">
        <f>IFERROR(__xludf.DUMMYFUNCTION("""COMPUTED_VALUE"""),"JACKIELYN")</f>
        <v>JACKIELYN</v>
      </c>
    </row>
    <row r="242">
      <c r="A242" s="131">
        <f>IFERROR(__xludf.DUMMYFUNCTION("""COMPUTED_VALUE"""),241.0)</f>
        <v>241</v>
      </c>
      <c r="B242" s="131"/>
      <c r="C242" s="131">
        <f>IFERROR(__xludf.DUMMYFUNCTION("""COMPUTED_VALUE"""),23.0)</f>
        <v>23</v>
      </c>
      <c r="D242" s="131" t="b">
        <f>IFERROR(__xludf.DUMMYFUNCTION("""COMPUTED_VALUE"""),FALSE)</f>
        <v>0</v>
      </c>
      <c r="E242" s="131" t="str">
        <f>IFERROR(__xludf.DUMMYFUNCTION("""COMPUTED_VALUE"""),"MATAMIS")</f>
        <v>MATAMIS</v>
      </c>
      <c r="F242" s="131" t="str">
        <f>IFERROR(__xludf.DUMMYFUNCTION("""COMPUTED_VALUE"""),"JEAH G.")</f>
        <v>JEAH G.</v>
      </c>
    </row>
    <row r="243">
      <c r="A243" s="131">
        <f>IFERROR(__xludf.DUMMYFUNCTION("""COMPUTED_VALUE"""),242.0)</f>
        <v>242</v>
      </c>
      <c r="B243" s="131"/>
      <c r="C243" s="131">
        <f>IFERROR(__xludf.DUMMYFUNCTION("""COMPUTED_VALUE"""),23.0)</f>
        <v>23</v>
      </c>
      <c r="D243" s="131" t="b">
        <f>IFERROR(__xludf.DUMMYFUNCTION("""COMPUTED_VALUE"""),FALSE)</f>
        <v>0</v>
      </c>
      <c r="E243" s="131" t="str">
        <f>IFERROR(__xludf.DUMMYFUNCTION("""COMPUTED_VALUE"""),"MATAMIS")</f>
        <v>MATAMIS</v>
      </c>
      <c r="F243" s="131" t="str">
        <f>IFERROR(__xludf.DUMMYFUNCTION("""COMPUTED_VALUE"""),"JANELA")</f>
        <v>JANELA</v>
      </c>
    </row>
    <row r="244">
      <c r="A244" s="131">
        <f>IFERROR(__xludf.DUMMYFUNCTION("""COMPUTED_VALUE"""),243.0)</f>
        <v>243</v>
      </c>
      <c r="B244" s="131"/>
      <c r="C244" s="131">
        <f>IFERROR(__xludf.DUMMYFUNCTION("""COMPUTED_VALUE"""),23.0)</f>
        <v>23</v>
      </c>
      <c r="D244" s="131" t="b">
        <f>IFERROR(__xludf.DUMMYFUNCTION("""COMPUTED_VALUE"""),FALSE)</f>
        <v>0</v>
      </c>
      <c r="E244" s="131" t="str">
        <f>IFERROR(__xludf.DUMMYFUNCTION("""COMPUTED_VALUE"""),"GALANG")</f>
        <v>GALANG</v>
      </c>
      <c r="F244" s="131" t="str">
        <f>IFERROR(__xludf.DUMMYFUNCTION("""COMPUTED_VALUE"""),"MAGGA")</f>
        <v>MAGGA</v>
      </c>
    </row>
    <row r="245">
      <c r="A245" s="131">
        <f>IFERROR(__xludf.DUMMYFUNCTION("""COMPUTED_VALUE"""),244.0)</f>
        <v>244</v>
      </c>
      <c r="B245" s="131"/>
      <c r="C245" s="131">
        <f>IFERROR(__xludf.DUMMYFUNCTION("""COMPUTED_VALUE"""),244.0)</f>
        <v>244</v>
      </c>
      <c r="D245" s="131" t="b">
        <f>IFERROR(__xludf.DUMMYFUNCTION("""COMPUTED_VALUE"""),TRUE)</f>
        <v>1</v>
      </c>
      <c r="E245" s="131" t="str">
        <f>IFERROR(__xludf.DUMMYFUNCTION("""COMPUTED_VALUE"""),"ORQUIA")</f>
        <v>ORQUIA</v>
      </c>
      <c r="F245" s="131" t="str">
        <f>IFERROR(__xludf.DUMMYFUNCTION("""COMPUTED_VALUE"""),"HANNA ")</f>
        <v>HANNA </v>
      </c>
    </row>
    <row r="246">
      <c r="A246" s="131">
        <f>IFERROR(__xludf.DUMMYFUNCTION("""COMPUTED_VALUE"""),245.0)</f>
        <v>245</v>
      </c>
      <c r="B246" s="131"/>
      <c r="C246" s="131">
        <f>IFERROR(__xludf.DUMMYFUNCTION("""COMPUTED_VALUE"""),244.0)</f>
        <v>244</v>
      </c>
      <c r="D246" s="131" t="b">
        <f>IFERROR(__xludf.DUMMYFUNCTION("""COMPUTED_VALUE"""),FALSE)</f>
        <v>0</v>
      </c>
      <c r="E246" s="131" t="str">
        <f>IFERROR(__xludf.DUMMYFUNCTION("""COMPUTED_VALUE"""),"DEL ROSARIO")</f>
        <v>DEL ROSARIO</v>
      </c>
      <c r="F246" s="131" t="str">
        <f>IFERROR(__xludf.DUMMYFUNCTION("""COMPUTED_VALUE"""),"GRACE")</f>
        <v>GRACE</v>
      </c>
    </row>
    <row r="247">
      <c r="A247" s="131">
        <f>IFERROR(__xludf.DUMMYFUNCTION("""COMPUTED_VALUE"""),246.0)</f>
        <v>246</v>
      </c>
      <c r="B247" s="131"/>
      <c r="C247" s="131">
        <f>IFERROR(__xludf.DUMMYFUNCTION("""COMPUTED_VALUE"""),244.0)</f>
        <v>244</v>
      </c>
      <c r="D247" s="131" t="b">
        <f>IFERROR(__xludf.DUMMYFUNCTION("""COMPUTED_VALUE"""),FALSE)</f>
        <v>0</v>
      </c>
      <c r="E247" s="131" t="str">
        <f>IFERROR(__xludf.DUMMYFUNCTION("""COMPUTED_VALUE"""),"CODILLA")</f>
        <v>CODILLA</v>
      </c>
      <c r="F247" s="131" t="str">
        <f>IFERROR(__xludf.DUMMYFUNCTION("""COMPUTED_VALUE"""),"JANNA")</f>
        <v>JANNA</v>
      </c>
    </row>
    <row r="248">
      <c r="A248" s="131">
        <f>IFERROR(__xludf.DUMMYFUNCTION("""COMPUTED_VALUE"""),247.0)</f>
        <v>247</v>
      </c>
      <c r="B248" s="131"/>
      <c r="C248" s="131">
        <f>IFERROR(__xludf.DUMMYFUNCTION("""COMPUTED_VALUE"""),244.0)</f>
        <v>244</v>
      </c>
      <c r="D248" s="131" t="b">
        <f>IFERROR(__xludf.DUMMYFUNCTION("""COMPUTED_VALUE"""),FALSE)</f>
        <v>0</v>
      </c>
      <c r="E248" s="131" t="str">
        <f>IFERROR(__xludf.DUMMYFUNCTION("""COMPUTED_VALUE"""),"WALATH")</f>
        <v>WALATH</v>
      </c>
      <c r="F248" s="131" t="str">
        <f>IFERROR(__xludf.DUMMYFUNCTION("""COMPUTED_VALUE"""),"AILEEN")</f>
        <v>AILEEN</v>
      </c>
    </row>
    <row r="249">
      <c r="A249" s="131">
        <f>IFERROR(__xludf.DUMMYFUNCTION("""COMPUTED_VALUE"""),248.0)</f>
        <v>248</v>
      </c>
      <c r="B249" s="131"/>
      <c r="C249" s="131">
        <f>IFERROR(__xludf.DUMMYFUNCTION("""COMPUTED_VALUE"""),244.0)</f>
        <v>244</v>
      </c>
      <c r="D249" s="131" t="b">
        <f>IFERROR(__xludf.DUMMYFUNCTION("""COMPUTED_VALUE"""),FALSE)</f>
        <v>0</v>
      </c>
      <c r="E249" s="131" t="str">
        <f>IFERROR(__xludf.DUMMYFUNCTION("""COMPUTED_VALUE"""),"FULLON")</f>
        <v>FULLON</v>
      </c>
      <c r="F249" s="131" t="str">
        <f>IFERROR(__xludf.DUMMYFUNCTION("""COMPUTED_VALUE"""),"SARAH")</f>
        <v>SARAH</v>
      </c>
    </row>
    <row r="250">
      <c r="A250" s="131">
        <f>IFERROR(__xludf.DUMMYFUNCTION("""COMPUTED_VALUE"""),249.0)</f>
        <v>249</v>
      </c>
      <c r="B250" s="131"/>
      <c r="C250" s="131">
        <f>IFERROR(__xludf.DUMMYFUNCTION("""COMPUTED_VALUE"""),244.0)</f>
        <v>244</v>
      </c>
      <c r="D250" s="131" t="b">
        <f>IFERROR(__xludf.DUMMYFUNCTION("""COMPUTED_VALUE"""),FALSE)</f>
        <v>0</v>
      </c>
      <c r="E250" s="131" t="str">
        <f>IFERROR(__xludf.DUMMYFUNCTION("""COMPUTED_VALUE"""),"MONTERDE")</f>
        <v>MONTERDE</v>
      </c>
      <c r="F250" s="131" t="str">
        <f>IFERROR(__xludf.DUMMYFUNCTION("""COMPUTED_VALUE"""),"BELLE")</f>
        <v>BELLE</v>
      </c>
    </row>
    <row r="251">
      <c r="A251" s="86">
        <f>IFERROR(__xludf.DUMMYFUNCTION("""COMPUTED_VALUE"""),250.0)</f>
        <v>250</v>
      </c>
      <c r="B251" s="87"/>
      <c r="C251" s="131">
        <f>IFERROR(__xludf.DUMMYFUNCTION("""COMPUTED_VALUE"""),167.0)</f>
        <v>167</v>
      </c>
      <c r="D251" s="131"/>
      <c r="E251" s="131" t="str">
        <f>IFERROR(__xludf.DUMMYFUNCTION("""COMPUTED_VALUE"""),"RAUSO")</f>
        <v>RAUSO</v>
      </c>
      <c r="F251" s="131" t="str">
        <f>IFERROR(__xludf.DUMMYFUNCTION("""COMPUTED_VALUE"""),"STEVE")</f>
        <v>STEVE</v>
      </c>
      <c r="G251" s="133"/>
      <c r="H251" s="133"/>
      <c r="I251" s="133"/>
      <c r="J251" s="133"/>
      <c r="K251" s="133"/>
      <c r="L251" s="133"/>
      <c r="M251" s="133"/>
      <c r="N251" s="133"/>
      <c r="O251" s="133"/>
      <c r="P251" s="133"/>
      <c r="Q251" s="89"/>
      <c r="R251" s="89"/>
      <c r="S251" s="89"/>
      <c r="T251" s="89"/>
      <c r="U251" s="89"/>
      <c r="V251" s="89"/>
      <c r="W251" s="89"/>
    </row>
    <row r="252">
      <c r="A252" s="131">
        <f>IFERROR(__xludf.DUMMYFUNCTION("""COMPUTED_VALUE"""),251.0)</f>
        <v>251</v>
      </c>
      <c r="B252" s="131"/>
      <c r="C252" s="131">
        <f>IFERROR(__xludf.DUMMYFUNCTION("""COMPUTED_VALUE"""),167.0)</f>
        <v>167</v>
      </c>
      <c r="D252" s="131" t="b">
        <f>IFERROR(__xludf.DUMMYFUNCTION("""COMPUTED_VALUE"""),FALSE)</f>
        <v>0</v>
      </c>
      <c r="E252" s="131" t="str">
        <f>IFERROR(__xludf.DUMMYFUNCTION("""COMPUTED_VALUE"""),"LIBRES")</f>
        <v>LIBRES</v>
      </c>
      <c r="F252" s="131" t="str">
        <f>IFERROR(__xludf.DUMMYFUNCTION("""COMPUTED_VALUE"""),"GABRIEL")</f>
        <v>GABRIEL</v>
      </c>
      <c r="G252" s="93"/>
      <c r="H252" s="93"/>
      <c r="I252" s="93"/>
      <c r="J252" s="93"/>
      <c r="K252" s="93"/>
      <c r="L252" s="93"/>
      <c r="M252" s="93"/>
      <c r="N252" s="93"/>
      <c r="O252" s="93"/>
      <c r="P252" s="93"/>
    </row>
    <row r="253">
      <c r="A253" s="131">
        <f>IFERROR(__xludf.DUMMYFUNCTION("""COMPUTED_VALUE"""),252.0)</f>
        <v>252</v>
      </c>
      <c r="B253" s="131"/>
      <c r="C253" s="131">
        <f>IFERROR(__xludf.DUMMYFUNCTION("""COMPUTED_VALUE"""),167.0)</f>
        <v>167</v>
      </c>
      <c r="D253" s="131" t="b">
        <f>IFERROR(__xludf.DUMMYFUNCTION("""COMPUTED_VALUE"""),FALSE)</f>
        <v>0</v>
      </c>
      <c r="E253" s="94" t="str">
        <f>IFERROR(__xludf.DUMMYFUNCTION("""COMPUTED_VALUE"""),"PARONGAN")</f>
        <v>PARONGAN</v>
      </c>
      <c r="F253" s="94" t="str">
        <f>IFERROR(__xludf.DUMMYFUNCTION("""COMPUTED_VALUE"""),"KIAN")</f>
        <v>KIAN</v>
      </c>
    </row>
    <row r="254">
      <c r="A254" s="131">
        <f>IFERROR(__xludf.DUMMYFUNCTION("""COMPUTED_VALUE"""),253.0)</f>
        <v>253</v>
      </c>
      <c r="B254" s="131"/>
      <c r="C254" s="131">
        <f>IFERROR(__xludf.DUMMYFUNCTION("""COMPUTED_VALUE"""),167.0)</f>
        <v>167</v>
      </c>
      <c r="D254" s="131" t="b">
        <f>IFERROR(__xludf.DUMMYFUNCTION("""COMPUTED_VALUE"""),FALSE)</f>
        <v>0</v>
      </c>
      <c r="E254" s="95" t="str">
        <f>IFERROR(__xludf.DUMMYFUNCTION("""COMPUTED_VALUE"""),"RACCA")</f>
        <v>RACCA</v>
      </c>
      <c r="F254" s="95" t="str">
        <f>IFERROR(__xludf.DUMMYFUNCTION("""COMPUTED_VALUE"""),"GRANT EL")</f>
        <v>GRANT EL</v>
      </c>
    </row>
    <row r="255">
      <c r="A255" s="131">
        <f>IFERROR(__xludf.DUMMYFUNCTION("""COMPUTED_VALUE"""),254.0)</f>
        <v>254</v>
      </c>
      <c r="B255" s="131"/>
      <c r="C255" s="131">
        <f>IFERROR(__xludf.DUMMYFUNCTION("""COMPUTED_VALUE"""),23.0)</f>
        <v>23</v>
      </c>
      <c r="D255" s="131" t="b">
        <f>IFERROR(__xludf.DUMMYFUNCTION("""COMPUTED_VALUE"""),FALSE)</f>
        <v>0</v>
      </c>
      <c r="E255" s="95" t="str">
        <f>IFERROR(__xludf.DUMMYFUNCTION("""COMPUTED_VALUE"""),"MATAMIS")</f>
        <v>MATAMIS</v>
      </c>
      <c r="F255" s="95" t="str">
        <f>IFERROR(__xludf.DUMMYFUNCTION("""COMPUTED_VALUE"""),"SEYVEL")</f>
        <v>SEYVEL</v>
      </c>
    </row>
    <row r="256">
      <c r="A256" s="131">
        <f>IFERROR(__xludf.DUMMYFUNCTION("""COMPUTED_VALUE"""),257.0)</f>
        <v>257</v>
      </c>
      <c r="B256" s="131"/>
      <c r="C256" s="131">
        <f>IFERROR(__xludf.DUMMYFUNCTION("""COMPUTED_VALUE"""),23.0)</f>
        <v>23</v>
      </c>
      <c r="D256" s="131" t="b">
        <f>IFERROR(__xludf.DUMMYFUNCTION("""COMPUTED_VALUE"""),FALSE)</f>
        <v>0</v>
      </c>
      <c r="E256" s="95" t="str">
        <f>IFERROR(__xludf.DUMMYFUNCTION("""COMPUTED_VALUE"""),"PARCAREY")</f>
        <v>PARCAREY</v>
      </c>
      <c r="F256" s="95" t="str">
        <f>IFERROR(__xludf.DUMMYFUNCTION("""COMPUTED_VALUE"""),"MARZETTI")</f>
        <v>MARZETTI</v>
      </c>
    </row>
    <row r="257">
      <c r="A257" s="131">
        <f>IFERROR(__xludf.DUMMYFUNCTION("""COMPUTED_VALUE"""),256.0)</f>
        <v>256</v>
      </c>
      <c r="B257" s="131"/>
      <c r="C257" s="131">
        <f>IFERROR(__xludf.DUMMYFUNCTION("""COMPUTED_VALUE"""),23.0)</f>
        <v>23</v>
      </c>
      <c r="D257" s="131" t="b">
        <f>IFERROR(__xludf.DUMMYFUNCTION("""COMPUTED_VALUE"""),FALSE)</f>
        <v>0</v>
      </c>
      <c r="E257" s="95" t="str">
        <f>IFERROR(__xludf.DUMMYFUNCTION("""COMPUTED_VALUE"""),"AGSALUD")</f>
        <v>AGSALUD</v>
      </c>
      <c r="F257" s="95" t="str">
        <f>IFERROR(__xludf.DUMMYFUNCTION("""COMPUTED_VALUE"""),"ROSE MARIE")</f>
        <v>ROSE MARIE</v>
      </c>
    </row>
    <row r="258">
      <c r="A258" s="131">
        <f>IFERROR(__xludf.DUMMYFUNCTION("""COMPUTED_VALUE"""),259.0)</f>
        <v>259</v>
      </c>
      <c r="B258" s="131"/>
      <c r="C258" s="131">
        <f>IFERROR(__xludf.DUMMYFUNCTION("""COMPUTED_VALUE"""),167.0)</f>
        <v>167</v>
      </c>
      <c r="D258" s="131"/>
      <c r="E258" s="96" t="str">
        <f>IFERROR(__xludf.DUMMYFUNCTION("""COMPUTED_VALUE"""),"Gelicame")</f>
        <v>Gelicame</v>
      </c>
      <c r="F258" s="96" t="str">
        <f>IFERROR(__xludf.DUMMYFUNCTION("""COMPUTED_VALUE"""),"Aljun")</f>
        <v>Aljun</v>
      </c>
    </row>
    <row r="259">
      <c r="A259" s="131">
        <f>IFERROR(__xludf.DUMMYFUNCTION("""COMPUTED_VALUE"""),260.0)</f>
        <v>260</v>
      </c>
      <c r="B259" s="131"/>
      <c r="C259" s="131">
        <f>IFERROR(__xludf.DUMMYFUNCTION("""COMPUTED_VALUE"""),167.0)</f>
        <v>167</v>
      </c>
      <c r="D259" s="131"/>
      <c r="E259" s="95" t="str">
        <f>IFERROR(__xludf.DUMMYFUNCTION("""COMPUTED_VALUE"""),"Valera")</f>
        <v>Valera</v>
      </c>
      <c r="F259" s="95" t="str">
        <f>IFERROR(__xludf.DUMMYFUNCTION("""COMPUTED_VALUE"""),"Edward Luis")</f>
        <v>Edward Luis</v>
      </c>
    </row>
    <row r="260">
      <c r="A260" s="131">
        <f>IFERROR(__xludf.DUMMYFUNCTION("""COMPUTED_VALUE"""),261.0)</f>
        <v>261</v>
      </c>
      <c r="B260" s="131"/>
      <c r="C260" s="131">
        <f>IFERROR(__xludf.DUMMYFUNCTION("""COMPUTED_VALUE"""),23.0)</f>
        <v>23</v>
      </c>
      <c r="D260" s="131"/>
      <c r="E260" s="95" t="str">
        <f>IFERROR(__xludf.DUMMYFUNCTION("""COMPUTED_VALUE"""),"CERBETO")</f>
        <v>CERBETO</v>
      </c>
      <c r="F260" s="95" t="str">
        <f>IFERROR(__xludf.DUMMYFUNCTION("""COMPUTED_VALUE"""),"AIFHA")</f>
        <v>AIFHA</v>
      </c>
    </row>
    <row r="261">
      <c r="A261" s="131">
        <f>IFERROR(__xludf.DUMMYFUNCTION("""COMPUTED_VALUE"""),262.0)</f>
        <v>262</v>
      </c>
      <c r="B261" s="131"/>
      <c r="C261" s="131">
        <f>IFERROR(__xludf.DUMMYFUNCTION("""COMPUTED_VALUE"""),23.0)</f>
        <v>23</v>
      </c>
      <c r="D261" s="131"/>
      <c r="E261" s="95" t="str">
        <f>IFERROR(__xludf.DUMMYFUNCTION("""COMPUTED_VALUE"""),"PARCAREY")</f>
        <v>PARCAREY</v>
      </c>
      <c r="F261" s="95" t="str">
        <f>IFERROR(__xludf.DUMMYFUNCTION("""COMPUTED_VALUE"""),"MARZETTI")</f>
        <v>MARZETTI</v>
      </c>
    </row>
    <row r="262">
      <c r="A262" s="131">
        <f>IFERROR(__xludf.DUMMYFUNCTION("""COMPUTED_VALUE"""),263.0)</f>
        <v>263</v>
      </c>
      <c r="B262" s="131"/>
      <c r="C262" s="131">
        <f>IFERROR(__xludf.DUMMYFUNCTION("""COMPUTED_VALUE"""),1.0)</f>
        <v>1</v>
      </c>
      <c r="D262" s="131"/>
      <c r="E262" s="96" t="str">
        <f>IFERROR(__xludf.DUMMYFUNCTION("""COMPUTED_VALUE"""),"MABAO")</f>
        <v>MABAO</v>
      </c>
      <c r="F262" s="96" t="str">
        <f>IFERROR(__xludf.DUMMYFUNCTION("""COMPUTED_VALUE"""),"ROSELYN")</f>
        <v>ROSELYN</v>
      </c>
    </row>
    <row r="263">
      <c r="A263" s="131">
        <f>IFERROR(__xludf.DUMMYFUNCTION("""COMPUTED_VALUE"""),264.0)</f>
        <v>264</v>
      </c>
      <c r="B263" s="131"/>
      <c r="C263" s="131">
        <f>IFERROR(__xludf.DUMMYFUNCTION("""COMPUTED_VALUE"""),167.0)</f>
        <v>167</v>
      </c>
      <c r="D263" s="131"/>
      <c r="E263" s="96" t="str">
        <f>IFERROR(__xludf.DUMMYFUNCTION("""COMPUTED_VALUE"""),"VALERA")</f>
        <v>VALERA</v>
      </c>
      <c r="F263" s="96" t="str">
        <f>IFERROR(__xludf.DUMMYFUNCTION("""COMPUTED_VALUE"""),"ELY")</f>
        <v>ELY</v>
      </c>
    </row>
    <row r="264">
      <c r="A264" s="131">
        <f>IFERROR(__xludf.DUMMYFUNCTION("""COMPUTED_VALUE"""),265.0)</f>
        <v>265</v>
      </c>
      <c r="B264" s="131"/>
      <c r="C264" s="131">
        <f>IFERROR(__xludf.DUMMYFUNCTION("""COMPUTED_VALUE"""),167.0)</f>
        <v>167</v>
      </c>
      <c r="D264" s="131"/>
      <c r="E264" s="96" t="str">
        <f>IFERROR(__xludf.DUMMYFUNCTION("""COMPUTED_VALUE"""),"RAUSO")</f>
        <v>RAUSO</v>
      </c>
      <c r="F264" s="96" t="str">
        <f>IFERROR(__xludf.DUMMYFUNCTION("""COMPUTED_VALUE"""),"GABRIEL")</f>
        <v>GABRIEL</v>
      </c>
    </row>
    <row r="265">
      <c r="A265" s="131"/>
      <c r="B265" s="131"/>
      <c r="C265" s="131"/>
      <c r="D265" s="131"/>
      <c r="E265" s="96"/>
      <c r="F265" s="96"/>
    </row>
    <row r="266">
      <c r="A266" s="131">
        <f>IFERROR(__xludf.DUMMYFUNCTION("""COMPUTED_VALUE"""),1230.0)</f>
        <v>1230</v>
      </c>
      <c r="B266" s="131"/>
      <c r="C266" s="131">
        <f>IFERROR(__xludf.DUMMYFUNCTION("""COMPUTED_VALUE"""),1230.0)</f>
        <v>1230</v>
      </c>
      <c r="D266" s="131" t="b">
        <f>IFERROR(__xludf.DUMMYFUNCTION("""COMPUTED_VALUE"""),TRUE)</f>
        <v>1</v>
      </c>
      <c r="E266" s="96" t="str">
        <f>IFERROR(__xludf.DUMMYFUNCTION("""COMPUTED_VALUE"""),"CALUALHATIAN")</f>
        <v>CALUALHATIAN</v>
      </c>
      <c r="F266" s="96" t="str">
        <f>IFERROR(__xludf.DUMMYFUNCTION("""COMPUTED_VALUE"""),"DANTE")</f>
        <v>DANTE</v>
      </c>
    </row>
    <row r="267">
      <c r="A267" s="131">
        <f>IFERROR(__xludf.DUMMYFUNCTION("""COMPUTED_VALUE"""),1231.0)</f>
        <v>1231</v>
      </c>
      <c r="B267" s="131"/>
      <c r="C267" s="131">
        <f>IFERROR(__xludf.DUMMYFUNCTION("""COMPUTED_VALUE"""),1230.0)</f>
        <v>1230</v>
      </c>
      <c r="D267" s="131"/>
      <c r="E267" s="97" t="str">
        <f>IFERROR(__xludf.DUMMYFUNCTION("""COMPUTED_VALUE"""),"A.")</f>
        <v>A.</v>
      </c>
      <c r="F267" s="97" t="str">
        <f>IFERROR(__xludf.DUMMYFUNCTION("""COMPUTED_VALUE"""),"BONG")</f>
        <v>BONG</v>
      </c>
    </row>
    <row r="268">
      <c r="A268" s="131">
        <f>IFERROR(__xludf.DUMMYFUNCTION("""COMPUTED_VALUE"""),1232.0)</f>
        <v>1232</v>
      </c>
      <c r="B268" s="131"/>
      <c r="C268" s="131">
        <f>IFERROR(__xludf.DUMMYFUNCTION("""COMPUTED_VALUE"""),1230.0)</f>
        <v>1230</v>
      </c>
      <c r="D268" s="131"/>
      <c r="E268" s="96" t="str">
        <f>IFERROR(__xludf.DUMMYFUNCTION("""COMPUTED_VALUE"""),"SALAC")</f>
        <v>SALAC</v>
      </c>
      <c r="F268" s="96" t="str">
        <f>IFERROR(__xludf.DUMMYFUNCTION("""COMPUTED_VALUE"""),"ROMEO")</f>
        <v>ROMEO</v>
      </c>
    </row>
    <row r="269">
      <c r="A269" s="131">
        <f>IFERROR(__xludf.DUMMYFUNCTION("""COMPUTED_VALUE"""),1233.0)</f>
        <v>1233</v>
      </c>
      <c r="B269" s="131"/>
      <c r="C269" s="131">
        <f>IFERROR(__xludf.DUMMYFUNCTION("""COMPUTED_VALUE"""),1230.0)</f>
        <v>1230</v>
      </c>
      <c r="D269" s="131"/>
      <c r="E269" s="96" t="str">
        <f>IFERROR(__xludf.DUMMYFUNCTION("""COMPUTED_VALUE"""),"GREGORIO")</f>
        <v>GREGORIO</v>
      </c>
      <c r="F269" s="96" t="str">
        <f>IFERROR(__xludf.DUMMYFUNCTION("""COMPUTED_VALUE"""),"MARLOU")</f>
        <v>MARLOU</v>
      </c>
    </row>
    <row r="270">
      <c r="A270" s="131">
        <f>IFERROR(__xludf.DUMMYFUNCTION("""COMPUTED_VALUE"""),1234.0)</f>
        <v>1234</v>
      </c>
      <c r="B270" s="131"/>
      <c r="C270" s="131">
        <f>IFERROR(__xludf.DUMMYFUNCTION("""COMPUTED_VALUE"""),1230.0)</f>
        <v>1230</v>
      </c>
      <c r="D270" s="131"/>
      <c r="E270" s="96" t="str">
        <f>IFERROR(__xludf.DUMMYFUNCTION("""COMPUTED_VALUE"""),"SOMERA")</f>
        <v>SOMERA</v>
      </c>
      <c r="F270" s="96" t="str">
        <f>IFERROR(__xludf.DUMMYFUNCTION("""COMPUTED_VALUE"""),"JAY")</f>
        <v>JAY</v>
      </c>
    </row>
    <row r="271">
      <c r="A271" s="131">
        <f>IFERROR(__xludf.DUMMYFUNCTION("""COMPUTED_VALUE"""),1235.0)</f>
        <v>1235</v>
      </c>
      <c r="B271" s="131"/>
      <c r="C271" s="131">
        <f>IFERROR(__xludf.DUMMYFUNCTION("""COMPUTED_VALUE"""),1230.0)</f>
        <v>1230</v>
      </c>
      <c r="D271" s="131"/>
      <c r="E271" s="96" t="str">
        <f>IFERROR(__xludf.DUMMYFUNCTION("""COMPUTED_VALUE"""),"MALIWAT")</f>
        <v>MALIWAT</v>
      </c>
      <c r="F271" s="96" t="str">
        <f>IFERROR(__xludf.DUMMYFUNCTION("""COMPUTED_VALUE"""),"LEO")</f>
        <v>LEO</v>
      </c>
    </row>
    <row r="272">
      <c r="A272" s="131"/>
      <c r="B272" s="131"/>
      <c r="C272" s="131"/>
      <c r="D272" s="131"/>
      <c r="E272" s="96"/>
      <c r="F272" s="96"/>
    </row>
    <row r="273">
      <c r="A273" s="131">
        <f>IFERROR(__xludf.DUMMYFUNCTION("""COMPUTED_VALUE"""),1236.0)</f>
        <v>1236</v>
      </c>
      <c r="B273" s="131"/>
      <c r="C273" s="131">
        <f>IFERROR(__xludf.DUMMYFUNCTION("""COMPUTED_VALUE"""),1236.0)</f>
        <v>1236</v>
      </c>
      <c r="D273" s="131" t="b">
        <f>IFERROR(__xludf.DUMMYFUNCTION("""COMPUTED_VALUE"""),TRUE)</f>
        <v>1</v>
      </c>
      <c r="E273" s="96" t="str">
        <f>IFERROR(__xludf.DUMMYFUNCTION("""COMPUTED_VALUE"""),"RETAMAR")</f>
        <v>RETAMAR</v>
      </c>
      <c r="F273" s="96" t="str">
        <f>IFERROR(__xludf.DUMMYFUNCTION("""COMPUTED_VALUE"""),"ELENA")</f>
        <v>ELENA</v>
      </c>
    </row>
    <row r="274">
      <c r="A274" s="131">
        <f>IFERROR(__xludf.DUMMYFUNCTION("""COMPUTED_VALUE"""),1237.0)</f>
        <v>1237</v>
      </c>
      <c r="B274" s="131"/>
      <c r="C274" s="131">
        <f>IFERROR(__xludf.DUMMYFUNCTION("""COMPUTED_VALUE"""),1236.0)</f>
        <v>1236</v>
      </c>
      <c r="D274" s="131"/>
      <c r="E274" s="98" t="str">
        <f>IFERROR(__xludf.DUMMYFUNCTION("""COMPUTED_VALUE"""),"VILLA")</f>
        <v>VILLA</v>
      </c>
      <c r="F274" s="96" t="str">
        <f>IFERROR(__xludf.DUMMYFUNCTION("""COMPUTED_VALUE"""),"WENG NIONES")</f>
        <v>WENG NIONES</v>
      </c>
    </row>
    <row r="275">
      <c r="A275" s="131">
        <f>IFERROR(__xludf.DUMMYFUNCTION("""COMPUTED_VALUE"""),1238.0)</f>
        <v>1238</v>
      </c>
      <c r="B275" s="131"/>
      <c r="C275" s="131">
        <f>IFERROR(__xludf.DUMMYFUNCTION("""COMPUTED_VALUE"""),1236.0)</f>
        <v>1236</v>
      </c>
      <c r="D275" s="131"/>
      <c r="E275" s="99" t="str">
        <f>IFERROR(__xludf.DUMMYFUNCTION("""COMPUTED_VALUE"""),"V")</f>
        <v>V</v>
      </c>
      <c r="F275" s="99" t="str">
        <f>IFERROR(__xludf.DUMMYFUNCTION("""COMPUTED_VALUE"""),"ROSE")</f>
        <v>ROSE</v>
      </c>
    </row>
    <row r="276">
      <c r="A276" s="131">
        <f>IFERROR(__xludf.DUMMYFUNCTION("""COMPUTED_VALUE"""),1239.0)</f>
        <v>1239</v>
      </c>
      <c r="B276" s="131"/>
      <c r="C276" s="131">
        <f>IFERROR(__xludf.DUMMYFUNCTION("""COMPUTED_VALUE"""),1236.0)</f>
        <v>1236</v>
      </c>
      <c r="D276" s="131"/>
      <c r="E276" s="100" t="str">
        <f>IFERROR(__xludf.DUMMYFUNCTION("""COMPUTED_VALUE"""),"DATO")</f>
        <v>DATO</v>
      </c>
      <c r="F276" s="100" t="str">
        <f>IFERROR(__xludf.DUMMYFUNCTION("""COMPUTED_VALUE"""),"EVELYN")</f>
        <v>EVELYN</v>
      </c>
    </row>
    <row r="277">
      <c r="A277" s="131">
        <f>IFERROR(__xludf.DUMMYFUNCTION("""COMPUTED_VALUE"""),1240.0)</f>
        <v>1240</v>
      </c>
      <c r="B277" s="131"/>
      <c r="C277" s="131">
        <f>IFERROR(__xludf.DUMMYFUNCTION("""COMPUTED_VALUE"""),1236.0)</f>
        <v>1236</v>
      </c>
      <c r="D277" s="131"/>
      <c r="E277" s="100"/>
      <c r="F277" s="100" t="str">
        <f>IFERROR(__xludf.DUMMYFUNCTION("""COMPUTED_VALUE"""),"ELIZABETH")</f>
        <v>ELIZABETH</v>
      </c>
    </row>
    <row r="278">
      <c r="A278" s="131">
        <f>IFERROR(__xludf.DUMMYFUNCTION("""COMPUTED_VALUE"""),1241.0)</f>
        <v>1241</v>
      </c>
      <c r="B278" s="131"/>
      <c r="C278" s="131">
        <f>IFERROR(__xludf.DUMMYFUNCTION("""COMPUTED_VALUE"""),1236.0)</f>
        <v>1236</v>
      </c>
      <c r="D278" s="131"/>
      <c r="E278" s="100"/>
      <c r="F278" s="100" t="str">
        <f>IFERROR(__xludf.DUMMYFUNCTION("""COMPUTED_VALUE"""),"WINNIE")</f>
        <v>WINNIE</v>
      </c>
    </row>
    <row r="279">
      <c r="A279" s="131">
        <f>IFERROR(__xludf.DUMMYFUNCTION("""COMPUTED_VALUE"""),1242.0)</f>
        <v>1242</v>
      </c>
      <c r="B279" s="131"/>
      <c r="C279" s="131">
        <f>IFERROR(__xludf.DUMMYFUNCTION("""COMPUTED_VALUE"""),1236.0)</f>
        <v>1236</v>
      </c>
      <c r="D279" s="131"/>
      <c r="E279" s="100"/>
      <c r="F279" s="100" t="str">
        <f>IFERROR(__xludf.DUMMYFUNCTION("""COMPUTED_VALUE"""),"MALOU")</f>
        <v>MALOU</v>
      </c>
    </row>
    <row r="280">
      <c r="A280" s="131">
        <f>IFERROR(__xludf.DUMMYFUNCTION("""COMPUTED_VALUE"""),1243.0)</f>
        <v>1243</v>
      </c>
      <c r="B280" s="131"/>
      <c r="C280" s="131">
        <f>IFERROR(__xludf.DUMMYFUNCTION("""COMPUTED_VALUE"""),1236.0)</f>
        <v>1236</v>
      </c>
      <c r="D280" s="131"/>
      <c r="E280" s="100" t="str">
        <f>IFERROR(__xludf.DUMMYFUNCTION("""COMPUTED_VALUE"""),"TOLEDO")</f>
        <v>TOLEDO</v>
      </c>
      <c r="F280" s="100" t="str">
        <f>IFERROR(__xludf.DUMMYFUNCTION("""COMPUTED_VALUE"""),"MAYE")</f>
        <v>MAYE</v>
      </c>
    </row>
    <row r="281">
      <c r="A281" s="131">
        <f>IFERROR(__xludf.DUMMYFUNCTION("""COMPUTED_VALUE"""),1244.0)</f>
        <v>1244</v>
      </c>
      <c r="B281" s="131"/>
      <c r="C281" s="131">
        <f>IFERROR(__xludf.DUMMYFUNCTION("""COMPUTED_VALUE"""),1236.0)</f>
        <v>1236</v>
      </c>
      <c r="D281" s="131"/>
      <c r="E281" s="100" t="str">
        <f>IFERROR(__xludf.DUMMYFUNCTION("""COMPUTED_VALUE"""),"LIM")</f>
        <v>LIM</v>
      </c>
      <c r="F281" s="100" t="str">
        <f>IFERROR(__xludf.DUMMYFUNCTION("""COMPUTED_VALUE"""),"GRACE")</f>
        <v>GRACE</v>
      </c>
    </row>
    <row r="282">
      <c r="A282" s="131">
        <f>IFERROR(__xludf.DUMMYFUNCTION("""COMPUTED_VALUE"""),1245.0)</f>
        <v>1245</v>
      </c>
      <c r="B282" s="131"/>
      <c r="C282" s="131">
        <f>IFERROR(__xludf.DUMMYFUNCTION("""COMPUTED_VALUE"""),1236.0)</f>
        <v>1236</v>
      </c>
      <c r="D282" s="131"/>
      <c r="E282" s="100" t="str">
        <f>IFERROR(__xludf.DUMMYFUNCTION("""COMPUTED_VALUE"""),"CALUALHATIAN")</f>
        <v>CALUALHATIAN</v>
      </c>
      <c r="F282" s="100" t="str">
        <f>IFERROR(__xludf.DUMMYFUNCTION("""COMPUTED_VALUE"""),"ADELAIDA")</f>
        <v>ADELAIDA</v>
      </c>
    </row>
    <row r="283">
      <c r="A283" s="131">
        <f>IFERROR(__xludf.DUMMYFUNCTION("""COMPUTED_VALUE"""),1246.0)</f>
        <v>1246</v>
      </c>
      <c r="B283" s="131"/>
      <c r="C283" s="131">
        <f>IFERROR(__xludf.DUMMYFUNCTION("""COMPUTED_VALUE"""),1236.0)</f>
        <v>1236</v>
      </c>
      <c r="D283" s="131"/>
      <c r="E283" s="101" t="str">
        <f>IFERROR(__xludf.DUMMYFUNCTION("""COMPUTED_VALUE"""),"CALUALHATIAN")</f>
        <v>CALUALHATIAN</v>
      </c>
      <c r="F283" s="101" t="str">
        <f>IFERROR(__xludf.DUMMYFUNCTION("""COMPUTED_VALUE"""),"DAHNA")</f>
        <v>DAHNA</v>
      </c>
    </row>
    <row r="284">
      <c r="A284" s="131">
        <f>IFERROR(__xludf.DUMMYFUNCTION("""COMPUTED_VALUE"""),1247.0)</f>
        <v>1247</v>
      </c>
      <c r="B284" s="131"/>
      <c r="C284" s="131">
        <f>IFERROR(__xludf.DUMMYFUNCTION("""COMPUTED_VALUE"""),1236.0)</f>
        <v>1236</v>
      </c>
      <c r="D284" s="131"/>
      <c r="E284" s="100" t="str">
        <f>IFERROR(__xludf.DUMMYFUNCTION("""COMPUTED_VALUE"""),"SEXON")</f>
        <v>SEXON</v>
      </c>
      <c r="F284" s="100" t="str">
        <f>IFERROR(__xludf.DUMMYFUNCTION("""COMPUTED_VALUE"""),"MARILYN")</f>
        <v>MARILYN</v>
      </c>
    </row>
    <row r="285">
      <c r="A285" s="131">
        <f>IFERROR(__xludf.DUMMYFUNCTION("""COMPUTED_VALUE"""),1248.0)</f>
        <v>1248</v>
      </c>
      <c r="B285" s="131"/>
      <c r="C285" s="131">
        <f>IFERROR(__xludf.DUMMYFUNCTION("""COMPUTED_VALUE"""),1236.0)</f>
        <v>1236</v>
      </c>
      <c r="D285" s="131"/>
      <c r="E285" s="100" t="str">
        <f>IFERROR(__xludf.DUMMYFUNCTION("""COMPUTED_VALUE"""),"CALUALHATIAN")</f>
        <v>CALUALHATIAN</v>
      </c>
      <c r="F285" s="100" t="str">
        <f>IFERROR(__xludf.DUMMYFUNCTION("""COMPUTED_VALUE"""),"DANIKKA")</f>
        <v>DANIKKA</v>
      </c>
    </row>
    <row r="286">
      <c r="A286" s="131">
        <f>IFERROR(__xludf.DUMMYFUNCTION("""COMPUTED_VALUE"""),1249.0)</f>
        <v>1249</v>
      </c>
      <c r="B286" s="131"/>
      <c r="C286" s="131">
        <f>IFERROR(__xludf.DUMMYFUNCTION("""COMPUTED_VALUE"""),1236.0)</f>
        <v>1236</v>
      </c>
      <c r="D286" s="131"/>
      <c r="E286" s="102" t="str">
        <f>IFERROR(__xludf.DUMMYFUNCTION("""COMPUTED_VALUE"""),"CODILLA")</f>
        <v>CODILLA</v>
      </c>
      <c r="F286" s="102" t="str">
        <f>IFERROR(__xludf.DUMMYFUNCTION("""COMPUTED_VALUE"""),"CORY")</f>
        <v>CORY</v>
      </c>
    </row>
    <row r="287">
      <c r="A287" s="131">
        <f>IFERROR(__xludf.DUMMYFUNCTION("""COMPUTED_VALUE"""),1250.0)</f>
        <v>1250</v>
      </c>
      <c r="B287" s="131"/>
      <c r="C287" s="131">
        <f>IFERROR(__xludf.DUMMYFUNCTION("""COMPUTED_VALUE"""),1236.0)</f>
        <v>1236</v>
      </c>
      <c r="D287" s="131"/>
      <c r="E287" s="103" t="str">
        <f>IFERROR(__xludf.DUMMYFUNCTION("""COMPUTED_VALUE"""),"LANGITAN")</f>
        <v>LANGITAN</v>
      </c>
      <c r="F287" s="103" t="str">
        <f>IFERROR(__xludf.DUMMYFUNCTION("""COMPUTED_VALUE"""),"SARAH")</f>
        <v>SARAH</v>
      </c>
    </row>
    <row r="288">
      <c r="A288" s="131">
        <f>IFERROR(__xludf.DUMMYFUNCTION("""COMPUTED_VALUE"""),1251.0)</f>
        <v>1251</v>
      </c>
      <c r="B288" s="131"/>
      <c r="C288" s="131">
        <f>IFERROR(__xludf.DUMMYFUNCTION("""COMPUTED_VALUE"""),1236.0)</f>
        <v>1236</v>
      </c>
      <c r="D288" s="131"/>
      <c r="E288" s="103" t="str">
        <f>IFERROR(__xludf.DUMMYFUNCTION("""COMPUTED_VALUE"""),"LACONSAY")</f>
        <v>LACONSAY</v>
      </c>
      <c r="F288" s="103" t="str">
        <f>IFERROR(__xludf.DUMMYFUNCTION("""COMPUTED_VALUE"""),"MA. LOURDES")</f>
        <v>MA. LOURDES</v>
      </c>
    </row>
    <row r="289">
      <c r="A289" s="131">
        <f>IFERROR(__xludf.DUMMYFUNCTION("""COMPUTED_VALUE"""),1252.0)</f>
        <v>1252</v>
      </c>
      <c r="B289" s="131"/>
      <c r="C289" s="131">
        <f>IFERROR(__xludf.DUMMYFUNCTION("""COMPUTED_VALUE"""),1236.0)</f>
        <v>1236</v>
      </c>
      <c r="D289" s="131"/>
      <c r="E289" s="102" t="str">
        <f>IFERROR(__xludf.DUMMYFUNCTION("""COMPUTED_VALUE"""),"LACONSAY")</f>
        <v>LACONSAY</v>
      </c>
      <c r="F289" s="103" t="str">
        <f>IFERROR(__xludf.DUMMYFUNCTION("""COMPUTED_VALUE"""),"MA. ELENA")</f>
        <v>MA. ELENA</v>
      </c>
    </row>
    <row r="290">
      <c r="A290" s="131">
        <f>IFERROR(__xludf.DUMMYFUNCTION("""COMPUTED_VALUE"""),1253.0)</f>
        <v>1253</v>
      </c>
      <c r="B290" s="131"/>
      <c r="C290" s="131">
        <f>IFERROR(__xludf.DUMMYFUNCTION("""COMPUTED_VALUE"""),1236.0)</f>
        <v>1236</v>
      </c>
      <c r="D290" s="131"/>
      <c r="E290" s="103" t="str">
        <f>IFERROR(__xludf.DUMMYFUNCTION("""COMPUTED_VALUE"""),"MENOSO")</f>
        <v>MENOSO</v>
      </c>
      <c r="F290" s="103" t="str">
        <f>IFERROR(__xludf.DUMMYFUNCTION("""COMPUTED_VALUE"""),"DANICA")</f>
        <v>DANICA</v>
      </c>
    </row>
    <row r="291">
      <c r="A291" s="131">
        <f>IFERROR(__xludf.DUMMYFUNCTION("""COMPUTED_VALUE"""),1254.0)</f>
        <v>1254</v>
      </c>
      <c r="B291" s="131"/>
      <c r="C291" s="131">
        <f>IFERROR(__xludf.DUMMYFUNCTION("""COMPUTED_VALUE"""),1236.0)</f>
        <v>1236</v>
      </c>
      <c r="D291" s="131"/>
      <c r="E291" s="103"/>
      <c r="F291" s="103" t="str">
        <f>IFERROR(__xludf.DUMMYFUNCTION("""COMPUTED_VALUE"""),"AGNES")</f>
        <v>AGNES</v>
      </c>
    </row>
    <row r="292">
      <c r="A292" s="131"/>
      <c r="B292" s="131"/>
      <c r="C292" s="131"/>
      <c r="D292" s="131"/>
      <c r="E292" s="103"/>
      <c r="F292" s="103"/>
    </row>
    <row r="293">
      <c r="A293" s="131">
        <f>IFERROR(__xludf.DUMMYFUNCTION("""COMPUTED_VALUE"""),1255.0)</f>
        <v>1255</v>
      </c>
      <c r="B293" s="131"/>
      <c r="C293" s="131">
        <f>IFERROR(__xludf.DUMMYFUNCTION("""COMPUTED_VALUE"""),1255.0)</f>
        <v>1255</v>
      </c>
      <c r="D293" s="131" t="b">
        <f>IFERROR(__xludf.DUMMYFUNCTION("""COMPUTED_VALUE"""),TRUE)</f>
        <v>1</v>
      </c>
      <c r="E293" s="103" t="str">
        <f>IFERROR(__xludf.DUMMYFUNCTION("""COMPUTED_VALUE"""),"VERTODAZO")</f>
        <v>VERTODAZO</v>
      </c>
      <c r="F293" s="103" t="str">
        <f>IFERROR(__xludf.DUMMYFUNCTION("""COMPUTED_VALUE"""),"MONETH")</f>
        <v>MONETH</v>
      </c>
    </row>
    <row r="294">
      <c r="A294" s="131">
        <f>IFERROR(__xludf.DUMMYFUNCTION("""COMPUTED_VALUE"""),1256.0)</f>
        <v>1256</v>
      </c>
      <c r="B294" s="131"/>
      <c r="C294" s="131">
        <f>IFERROR(__xludf.DUMMYFUNCTION("""COMPUTED_VALUE"""),1255.0)</f>
        <v>1255</v>
      </c>
      <c r="D294" s="131"/>
      <c r="E294" s="103" t="str">
        <f>IFERROR(__xludf.DUMMYFUNCTION("""COMPUTED_VALUE"""),"SOMERA")</f>
        <v>SOMERA</v>
      </c>
      <c r="F294" s="103" t="str">
        <f>IFERROR(__xludf.DUMMYFUNCTION("""COMPUTED_VALUE"""),"CHA")</f>
        <v>CHA</v>
      </c>
    </row>
    <row r="295">
      <c r="A295" s="131">
        <f>IFERROR(__xludf.DUMMYFUNCTION("""COMPUTED_VALUE"""),1257.0)</f>
        <v>1257</v>
      </c>
      <c r="B295" s="131"/>
      <c r="C295" s="131">
        <f>IFERROR(__xludf.DUMMYFUNCTION("""COMPUTED_VALUE"""),1255.0)</f>
        <v>1255</v>
      </c>
      <c r="D295" s="131"/>
      <c r="E295" s="103" t="str">
        <f>IFERROR(__xludf.DUMMYFUNCTION("""COMPUTED_VALUE"""),"MAGDUAY")</f>
        <v>MAGDUAY</v>
      </c>
      <c r="F295" s="103" t="str">
        <f>IFERROR(__xludf.DUMMYFUNCTION("""COMPUTED_VALUE"""),"HEIDEE")</f>
        <v>HEIDEE</v>
      </c>
    </row>
    <row r="296">
      <c r="A296" s="131">
        <f>IFERROR(__xludf.DUMMYFUNCTION("""COMPUTED_VALUE"""),1258.0)</f>
        <v>1258</v>
      </c>
      <c r="B296" s="131"/>
      <c r="C296" s="131">
        <f>IFERROR(__xludf.DUMMYFUNCTION("""COMPUTED_VALUE"""),1255.0)</f>
        <v>1255</v>
      </c>
      <c r="D296" s="131"/>
      <c r="E296" s="103" t="str">
        <f>IFERROR(__xludf.DUMMYFUNCTION("""COMPUTED_VALUE"""),"TANDUL")</f>
        <v>TANDUL</v>
      </c>
      <c r="F296" s="103" t="str">
        <f>IFERROR(__xludf.DUMMYFUNCTION("""COMPUTED_VALUE"""),"RAQUEL")</f>
        <v>RAQUEL</v>
      </c>
    </row>
    <row r="297">
      <c r="A297" s="131">
        <f>IFERROR(__xludf.DUMMYFUNCTION("""COMPUTED_VALUE"""),1259.0)</f>
        <v>1259</v>
      </c>
      <c r="B297" s="131"/>
      <c r="C297" s="131">
        <f>IFERROR(__xludf.DUMMYFUNCTION("""COMPUTED_VALUE"""),1255.0)</f>
        <v>1255</v>
      </c>
      <c r="D297" s="131"/>
      <c r="E297" s="103" t="str">
        <f>IFERROR(__xludf.DUMMYFUNCTION("""COMPUTED_VALUE"""),"ARTICULO")</f>
        <v>ARTICULO</v>
      </c>
      <c r="F297" s="103" t="str">
        <f>IFERROR(__xludf.DUMMYFUNCTION("""COMPUTED_VALUE"""),"LEILA M.")</f>
        <v>LEILA M.</v>
      </c>
    </row>
    <row r="298">
      <c r="A298" s="131">
        <f>IFERROR(__xludf.DUMMYFUNCTION("""COMPUTED_VALUE"""),1260.0)</f>
        <v>1260</v>
      </c>
      <c r="B298" s="131"/>
      <c r="C298" s="131">
        <f>IFERROR(__xludf.DUMMYFUNCTION("""COMPUTED_VALUE"""),1255.0)</f>
        <v>1255</v>
      </c>
      <c r="D298" s="131"/>
      <c r="E298" s="103" t="str">
        <f>IFERROR(__xludf.DUMMYFUNCTION("""COMPUTED_VALUE"""),"BALDONADO")</f>
        <v>BALDONADO</v>
      </c>
      <c r="F298" s="103" t="str">
        <f>IFERROR(__xludf.DUMMYFUNCTION("""COMPUTED_VALUE"""),"JULIETA")</f>
        <v>JULIETA</v>
      </c>
    </row>
    <row r="299">
      <c r="A299" s="131">
        <f>IFERROR(__xludf.DUMMYFUNCTION("""COMPUTED_VALUE"""),1261.0)</f>
        <v>1261</v>
      </c>
      <c r="B299" s="131"/>
      <c r="C299" s="131">
        <f>IFERROR(__xludf.DUMMYFUNCTION("""COMPUTED_VALUE"""),1255.0)</f>
        <v>1255</v>
      </c>
      <c r="D299" s="131"/>
      <c r="E299" s="103" t="str">
        <f>IFERROR(__xludf.DUMMYFUNCTION("""COMPUTED_VALUE"""),"CARLOS")</f>
        <v>CARLOS</v>
      </c>
      <c r="F299" s="103" t="str">
        <f>IFERROR(__xludf.DUMMYFUNCTION("""COMPUTED_VALUE"""),"ANTONETTE M.")</f>
        <v>ANTONETTE M.</v>
      </c>
    </row>
    <row r="300">
      <c r="A300" s="131">
        <f>IFERROR(__xludf.DUMMYFUNCTION("""COMPUTED_VALUE"""),1262.0)</f>
        <v>1262</v>
      </c>
      <c r="B300" s="131"/>
      <c r="C300" s="131">
        <f>IFERROR(__xludf.DUMMYFUNCTION("""COMPUTED_VALUE"""),1255.0)</f>
        <v>1255</v>
      </c>
      <c r="D300" s="131"/>
      <c r="E300" s="103" t="str">
        <f>IFERROR(__xludf.DUMMYFUNCTION("""COMPUTED_VALUE"""),"INCARNATION")</f>
        <v>INCARNATION</v>
      </c>
      <c r="F300" s="103" t="str">
        <f>IFERROR(__xludf.DUMMYFUNCTION("""COMPUTED_VALUE"""),"LUCILA")</f>
        <v>LUCILA</v>
      </c>
    </row>
    <row r="301">
      <c r="A301" s="131">
        <f>IFERROR(__xludf.DUMMYFUNCTION("""COMPUTED_VALUE"""),1263.0)</f>
        <v>1263</v>
      </c>
      <c r="B301" s="131"/>
      <c r="C301" s="131">
        <f>IFERROR(__xludf.DUMMYFUNCTION("""COMPUTED_VALUE"""),1255.0)</f>
        <v>1255</v>
      </c>
      <c r="D301" s="131"/>
      <c r="E301" s="103" t="str">
        <f>IFERROR(__xludf.DUMMYFUNCTION("""COMPUTED_VALUE"""),"MAGAT")</f>
        <v>MAGAT</v>
      </c>
      <c r="F301" s="103" t="str">
        <f>IFERROR(__xludf.DUMMYFUNCTION("""COMPUTED_VALUE"""),"SYLVIA")</f>
        <v>SYLVIA</v>
      </c>
    </row>
    <row r="302">
      <c r="A302" s="131">
        <f>IFERROR(__xludf.DUMMYFUNCTION("""COMPUTED_VALUE"""),1264.0)</f>
        <v>1264</v>
      </c>
      <c r="B302" s="131"/>
      <c r="C302" s="131">
        <f>IFERROR(__xludf.DUMMYFUNCTION("""COMPUTED_VALUE"""),1255.0)</f>
        <v>1255</v>
      </c>
      <c r="D302" s="131"/>
      <c r="E302" s="103" t="str">
        <f>IFERROR(__xludf.DUMMYFUNCTION("""COMPUTED_VALUE"""),"MAGAT")</f>
        <v>MAGAT</v>
      </c>
      <c r="F302" s="103" t="str">
        <f>IFERROR(__xludf.DUMMYFUNCTION("""COMPUTED_VALUE"""),"JOSEPHINA")</f>
        <v>JOSEPHINA</v>
      </c>
    </row>
    <row r="303">
      <c r="A303" s="131">
        <f>IFERROR(__xludf.DUMMYFUNCTION("""COMPUTED_VALUE"""),1265.0)</f>
        <v>1265</v>
      </c>
      <c r="B303" s="131"/>
      <c r="C303" s="131">
        <f>IFERROR(__xludf.DUMMYFUNCTION("""COMPUTED_VALUE"""),1255.0)</f>
        <v>1255</v>
      </c>
      <c r="D303" s="131"/>
      <c r="E303" s="103" t="str">
        <f>IFERROR(__xludf.DUMMYFUNCTION("""COMPUTED_VALUE"""),"VILLARTA")</f>
        <v>VILLARTA</v>
      </c>
      <c r="F303" s="103" t="str">
        <f>IFERROR(__xludf.DUMMYFUNCTION("""COMPUTED_VALUE"""),"JESSICA")</f>
        <v>JESSICA</v>
      </c>
    </row>
    <row r="304">
      <c r="A304" s="131">
        <f>IFERROR(__xludf.DUMMYFUNCTION("""COMPUTED_VALUE"""),1266.0)</f>
        <v>1266</v>
      </c>
      <c r="B304" s="131"/>
      <c r="C304" s="131">
        <f>IFERROR(__xludf.DUMMYFUNCTION("""COMPUTED_VALUE"""),1255.0)</f>
        <v>1255</v>
      </c>
      <c r="D304" s="131"/>
      <c r="E304" s="99" t="str">
        <f>IFERROR(__xludf.DUMMYFUNCTION("""COMPUTED_VALUE"""),"MORAL")</f>
        <v>MORAL</v>
      </c>
      <c r="F304" s="99" t="str">
        <f>IFERROR(__xludf.DUMMYFUNCTION("""COMPUTED_VALUE"""),"LUCHELLE")</f>
        <v>LUCHELLE</v>
      </c>
    </row>
    <row r="305">
      <c r="A305" s="131">
        <f>IFERROR(__xludf.DUMMYFUNCTION("""COMPUTED_VALUE"""),1267.0)</f>
        <v>1267</v>
      </c>
      <c r="B305" s="131"/>
      <c r="C305" s="131">
        <f>IFERROR(__xludf.DUMMYFUNCTION("""COMPUTED_VALUE"""),1255.0)</f>
        <v>1255</v>
      </c>
      <c r="D305" s="131"/>
      <c r="E305" s="100" t="str">
        <f>IFERROR(__xludf.DUMMYFUNCTION("""COMPUTED_VALUE"""),"BRUSOLA")</f>
        <v>BRUSOLA</v>
      </c>
      <c r="F305" s="100" t="str">
        <f>IFERROR(__xludf.DUMMYFUNCTION("""COMPUTED_VALUE"""),"MERLY")</f>
        <v>MERLY</v>
      </c>
    </row>
    <row r="306">
      <c r="A306" s="131">
        <f>IFERROR(__xludf.DUMMYFUNCTION("""COMPUTED_VALUE"""),1268.0)</f>
        <v>1268</v>
      </c>
      <c r="B306" s="131"/>
      <c r="C306" s="131">
        <f>IFERROR(__xludf.DUMMYFUNCTION("""COMPUTED_VALUE"""),1255.0)</f>
        <v>1255</v>
      </c>
      <c r="D306" s="131"/>
      <c r="E306" s="100" t="str">
        <f>IFERROR(__xludf.DUMMYFUNCTION("""COMPUTED_VALUE"""),"TARINAY")</f>
        <v>TARINAY</v>
      </c>
      <c r="F306" s="100" t="str">
        <f>IFERROR(__xludf.DUMMYFUNCTION("""COMPUTED_VALUE"""),"MARILYN")</f>
        <v>MARILYN</v>
      </c>
    </row>
    <row r="307">
      <c r="A307" s="131">
        <f>IFERROR(__xludf.DUMMYFUNCTION("""COMPUTED_VALUE"""),1269.0)</f>
        <v>1269</v>
      </c>
      <c r="B307" s="131"/>
      <c r="C307" s="131">
        <f>IFERROR(__xludf.DUMMYFUNCTION("""COMPUTED_VALUE"""),1255.0)</f>
        <v>1255</v>
      </c>
      <c r="D307" s="131"/>
      <c r="E307" s="100" t="str">
        <f>IFERROR(__xludf.DUMMYFUNCTION("""COMPUTED_VALUE"""),"VARGAS")</f>
        <v>VARGAS</v>
      </c>
      <c r="F307" s="100" t="str">
        <f>IFERROR(__xludf.DUMMYFUNCTION("""COMPUTED_VALUE"""),"VILMA")</f>
        <v>VILMA</v>
      </c>
    </row>
    <row r="308">
      <c r="A308" s="131">
        <f>IFERROR(__xludf.DUMMYFUNCTION("""COMPUTED_VALUE"""),1270.0)</f>
        <v>1270</v>
      </c>
      <c r="B308" s="131"/>
      <c r="C308" s="131">
        <f>IFERROR(__xludf.DUMMYFUNCTION("""COMPUTED_VALUE"""),1255.0)</f>
        <v>1255</v>
      </c>
      <c r="D308" s="131"/>
      <c r="E308" s="100" t="str">
        <f>IFERROR(__xludf.DUMMYFUNCTION("""COMPUTED_VALUE"""),"GAPAS")</f>
        <v>GAPAS</v>
      </c>
      <c r="F308" s="100" t="str">
        <f>IFERROR(__xludf.DUMMYFUNCTION("""COMPUTED_VALUE"""),"EDITH")</f>
        <v>EDITH</v>
      </c>
    </row>
    <row r="309">
      <c r="A309" s="131">
        <f>IFERROR(__xludf.DUMMYFUNCTION("""COMPUTED_VALUE"""),1271.0)</f>
        <v>1271</v>
      </c>
      <c r="B309" s="131"/>
      <c r="C309" s="131">
        <f>IFERROR(__xludf.DUMMYFUNCTION("""COMPUTED_VALUE"""),1255.0)</f>
        <v>1255</v>
      </c>
      <c r="D309" s="131"/>
      <c r="E309" s="100" t="str">
        <f>IFERROR(__xludf.DUMMYFUNCTION("""COMPUTED_VALUE"""),"PACHECO")</f>
        <v>PACHECO</v>
      </c>
      <c r="F309" s="100" t="str">
        <f>IFERROR(__xludf.DUMMYFUNCTION("""COMPUTED_VALUE"""),"CAROLINE")</f>
        <v>CAROLINE</v>
      </c>
    </row>
    <row r="310">
      <c r="A310" s="131">
        <f>IFERROR(__xludf.DUMMYFUNCTION("""COMPUTED_VALUE"""),1272.0)</f>
        <v>1272</v>
      </c>
      <c r="B310" s="131"/>
      <c r="C310" s="131">
        <f>IFERROR(__xludf.DUMMYFUNCTION("""COMPUTED_VALUE"""),1255.0)</f>
        <v>1255</v>
      </c>
      <c r="D310" s="131"/>
      <c r="E310" s="100" t="str">
        <f>IFERROR(__xludf.DUMMYFUNCTION("""COMPUTED_VALUE"""),"BACOSA")</f>
        <v>BACOSA</v>
      </c>
      <c r="F310" s="100" t="str">
        <f>IFERROR(__xludf.DUMMYFUNCTION("""COMPUTED_VALUE"""),"MAIDA")</f>
        <v>MAIDA</v>
      </c>
    </row>
    <row r="311">
      <c r="A311" s="131">
        <f>IFERROR(__xludf.DUMMYFUNCTION("""COMPUTED_VALUE"""),1273.0)</f>
        <v>1273</v>
      </c>
      <c r="B311" s="131"/>
      <c r="C311" s="131">
        <f>IFERROR(__xludf.DUMMYFUNCTION("""COMPUTED_VALUE"""),1255.0)</f>
        <v>1255</v>
      </c>
      <c r="D311" s="131"/>
      <c r="E311" s="100" t="str">
        <f>IFERROR(__xludf.DUMMYFUNCTION("""COMPUTED_VALUE"""),"LIM")</f>
        <v>LIM</v>
      </c>
      <c r="F311" s="100" t="str">
        <f>IFERROR(__xludf.DUMMYFUNCTION("""COMPUTED_VALUE"""),"LANIE")</f>
        <v>LANIE</v>
      </c>
    </row>
    <row r="312">
      <c r="A312" s="131">
        <f>IFERROR(__xludf.DUMMYFUNCTION("""COMPUTED_VALUE"""),1274.0)</f>
        <v>1274</v>
      </c>
      <c r="B312" s="131"/>
      <c r="C312" s="131">
        <f>IFERROR(__xludf.DUMMYFUNCTION("""COMPUTED_VALUE"""),1255.0)</f>
        <v>1255</v>
      </c>
      <c r="D312" s="131"/>
      <c r="E312" s="100" t="str">
        <f>IFERROR(__xludf.DUMMYFUNCTION("""COMPUTED_VALUE"""),"DELA VEGA")</f>
        <v>DELA VEGA</v>
      </c>
      <c r="F312" s="100" t="str">
        <f>IFERROR(__xludf.DUMMYFUNCTION("""COMPUTED_VALUE"""),"MAVIC")</f>
        <v>MAVIC</v>
      </c>
    </row>
    <row r="313">
      <c r="A313" s="131">
        <f>IFERROR(__xludf.DUMMYFUNCTION("""COMPUTED_VALUE"""),1275.0)</f>
        <v>1275</v>
      </c>
      <c r="B313" s="131"/>
      <c r="C313" s="131">
        <f>IFERROR(__xludf.DUMMYFUNCTION("""COMPUTED_VALUE"""),1255.0)</f>
        <v>1255</v>
      </c>
      <c r="D313" s="131"/>
      <c r="E313" s="100"/>
      <c r="F313" s="100" t="str">
        <f>IFERROR(__xludf.DUMMYFUNCTION("""COMPUTED_VALUE"""),"MILA M.")</f>
        <v>MILA M.</v>
      </c>
    </row>
    <row r="314">
      <c r="A314" s="131">
        <f>IFERROR(__xludf.DUMMYFUNCTION("""COMPUTED_VALUE"""),1276.0)</f>
        <v>1276</v>
      </c>
      <c r="B314" s="131"/>
      <c r="C314" s="131">
        <f>IFERROR(__xludf.DUMMYFUNCTION("""COMPUTED_VALUE"""),1230.0)</f>
        <v>1230</v>
      </c>
      <c r="D314" s="131"/>
      <c r="E314" s="100" t="str">
        <f>IFERROR(__xludf.DUMMYFUNCTION("""COMPUTED_VALUE"""),"TANDUL")</f>
        <v>TANDUL</v>
      </c>
      <c r="F314" s="100" t="str">
        <f>IFERROR(__xludf.DUMMYFUNCTION("""COMPUTED_VALUE"""),"ED")</f>
        <v>ED</v>
      </c>
    </row>
    <row r="315">
      <c r="A315" s="131">
        <f>IFERROR(__xludf.DUMMYFUNCTION("""COMPUTED_VALUE"""),1277.0)</f>
        <v>1277</v>
      </c>
      <c r="B315" s="131"/>
      <c r="C315" s="131">
        <f>IFERROR(__xludf.DUMMYFUNCTION("""COMPUTED_VALUE"""),1230.0)</f>
        <v>1230</v>
      </c>
      <c r="D315" s="131"/>
      <c r="E315" s="99" t="str">
        <f>IFERROR(__xludf.DUMMYFUNCTION("""COMPUTED_VALUE"""),"VILLA")</f>
        <v>VILLA</v>
      </c>
      <c r="F315" s="99" t="str">
        <f>IFERROR(__xludf.DUMMYFUNCTION("""COMPUTED_VALUE"""),"EDWARD")</f>
        <v>EDWARD</v>
      </c>
    </row>
    <row r="316">
      <c r="A316" s="131">
        <f>IFERROR(__xludf.DUMMYFUNCTION("""COMPUTED_VALUE"""),1278.0)</f>
        <v>1278</v>
      </c>
      <c r="B316" s="131"/>
      <c r="C316" s="131">
        <f>IFERROR(__xludf.DUMMYFUNCTION("""COMPUTED_VALUE"""),1230.0)</f>
        <v>1230</v>
      </c>
      <c r="D316" s="131"/>
      <c r="E316" s="100" t="str">
        <f>IFERROR(__xludf.DUMMYFUNCTION("""COMPUTED_VALUE"""),"RETAMAR")</f>
        <v>RETAMAR</v>
      </c>
      <c r="F316" s="100" t="str">
        <f>IFERROR(__xludf.DUMMYFUNCTION("""COMPUTED_VALUE"""),"GLEN")</f>
        <v>GLEN</v>
      </c>
    </row>
    <row r="317">
      <c r="A317" s="131">
        <f>IFERROR(__xludf.DUMMYFUNCTION("""COMPUTED_VALUE"""),1279.0)</f>
        <v>1279</v>
      </c>
      <c r="B317" s="131"/>
      <c r="C317" s="131">
        <f>IFERROR(__xludf.DUMMYFUNCTION("""COMPUTED_VALUE"""),1230.0)</f>
        <v>1230</v>
      </c>
      <c r="D317" s="131"/>
      <c r="E317" s="100" t="str">
        <f>IFERROR(__xludf.DUMMYFUNCTION("""COMPUTED_VALUE"""),"PASAYLON")</f>
        <v>PASAYLON</v>
      </c>
      <c r="F317" s="100" t="str">
        <f>IFERROR(__xludf.DUMMYFUNCTION("""COMPUTED_VALUE"""),"RAYMOND")</f>
        <v>RAYMOND</v>
      </c>
    </row>
    <row r="318">
      <c r="A318" s="131">
        <f>IFERROR(__xludf.DUMMYFUNCTION("""COMPUTED_VALUE"""),1280.0)</f>
        <v>1280</v>
      </c>
      <c r="B318" s="131"/>
      <c r="C318" s="131">
        <f>IFERROR(__xludf.DUMMYFUNCTION("""COMPUTED_VALUE"""),1230.0)</f>
        <v>1230</v>
      </c>
      <c r="D318" s="131"/>
      <c r="E318" s="100" t="str">
        <f>IFERROR(__xludf.DUMMYFUNCTION("""COMPUTED_VALUE"""),"CODILLA")</f>
        <v>CODILLA</v>
      </c>
      <c r="F318" s="100" t="str">
        <f>IFERROR(__xludf.DUMMYFUNCTION("""COMPUTED_VALUE"""),"JONNEL")</f>
        <v>JONNEL</v>
      </c>
    </row>
    <row r="319">
      <c r="A319" s="131">
        <f>IFERROR(__xludf.DUMMYFUNCTION("""COMPUTED_VALUE"""),1281.0)</f>
        <v>1281</v>
      </c>
      <c r="B319" s="131"/>
      <c r="C319" s="131">
        <f>IFERROR(__xludf.DUMMYFUNCTION("""COMPUTED_VALUE"""),1230.0)</f>
        <v>1230</v>
      </c>
      <c r="D319" s="131"/>
      <c r="E319" s="100" t="str">
        <f>IFERROR(__xludf.DUMMYFUNCTION("""COMPUTED_VALUE"""),"AZUL")</f>
        <v>AZUL</v>
      </c>
      <c r="F319" s="100" t="str">
        <f>IFERROR(__xludf.DUMMYFUNCTION("""COMPUTED_VALUE"""),"BENIE")</f>
        <v>BENIE</v>
      </c>
    </row>
    <row r="320">
      <c r="A320" s="131">
        <f>IFERROR(__xludf.DUMMYFUNCTION("""COMPUTED_VALUE"""),1282.0)</f>
        <v>1282</v>
      </c>
      <c r="B320" s="131"/>
      <c r="C320" s="131">
        <f>IFERROR(__xludf.DUMMYFUNCTION("""COMPUTED_VALUE"""),1230.0)</f>
        <v>1230</v>
      </c>
      <c r="D320" s="131"/>
      <c r="E320" s="100" t="str">
        <f>IFERROR(__xludf.DUMMYFUNCTION("""COMPUTED_VALUE"""),"E.")</f>
        <v>E.</v>
      </c>
      <c r="F320" s="100" t="str">
        <f>IFERROR(__xludf.DUMMYFUNCTION("""COMPUTED_VALUE"""),"MANNY")</f>
        <v>MANNY</v>
      </c>
    </row>
    <row r="321">
      <c r="A321" s="131"/>
      <c r="B321" s="131"/>
      <c r="C321" s="131"/>
      <c r="D321" s="131"/>
      <c r="E321" s="100"/>
      <c r="F321" s="100"/>
    </row>
    <row r="322">
      <c r="A322" s="131">
        <f>IFERROR(__xludf.DUMMYFUNCTION("""COMPUTED_VALUE"""),1283.0)</f>
        <v>1283</v>
      </c>
      <c r="B322" s="131"/>
      <c r="C322" s="131">
        <f>IFERROR(__xludf.DUMMYFUNCTION("""COMPUTED_VALUE"""),1283.0)</f>
        <v>1283</v>
      </c>
      <c r="D322" s="131" t="b">
        <f>IFERROR(__xludf.DUMMYFUNCTION("""COMPUTED_VALUE"""),TRUE)</f>
        <v>1</v>
      </c>
      <c r="E322" s="101" t="str">
        <f>IFERROR(__xludf.DUMMYFUNCTION("""COMPUTED_VALUE"""),"LIM")</f>
        <v>LIM</v>
      </c>
      <c r="F322" s="101" t="str">
        <f>IFERROR(__xludf.DUMMYFUNCTION("""COMPUTED_VALUE"""),"MARLINA")</f>
        <v>MARLINA</v>
      </c>
    </row>
    <row r="323">
      <c r="A323" s="131"/>
      <c r="B323" s="131"/>
      <c r="C323" s="131"/>
      <c r="D323" s="131"/>
      <c r="E323" s="101"/>
      <c r="F323" s="101"/>
    </row>
    <row r="324">
      <c r="A324" s="131"/>
      <c r="B324" s="131"/>
      <c r="C324" s="131"/>
      <c r="D324" s="131"/>
      <c r="E324" s="101"/>
      <c r="F324" s="101"/>
    </row>
    <row r="325">
      <c r="A325" s="131"/>
      <c r="B325" s="131"/>
      <c r="C325" s="131"/>
      <c r="D325" s="131"/>
      <c r="E325" s="101"/>
      <c r="F325" s="101"/>
    </row>
    <row r="326">
      <c r="A326" s="131"/>
      <c r="B326" s="131"/>
      <c r="C326" s="131"/>
      <c r="D326" s="131"/>
      <c r="E326" s="101"/>
      <c r="F326" s="101"/>
    </row>
    <row r="327">
      <c r="A327" s="131"/>
      <c r="B327" s="131"/>
      <c r="C327" s="131"/>
      <c r="D327" s="131"/>
      <c r="E327" s="105"/>
      <c r="F327" s="105"/>
    </row>
    <row r="328">
      <c r="A328" s="131"/>
      <c r="B328" s="131"/>
      <c r="C328" s="131"/>
      <c r="D328" s="131"/>
      <c r="E328" s="106"/>
      <c r="F328" s="106"/>
    </row>
    <row r="329">
      <c r="A329" s="131"/>
      <c r="B329" s="131"/>
      <c r="C329" s="131"/>
      <c r="D329" s="131"/>
      <c r="E329" s="107"/>
      <c r="F329" s="107"/>
    </row>
    <row r="330">
      <c r="A330" s="131"/>
      <c r="B330" s="131"/>
      <c r="C330" s="131"/>
      <c r="D330" s="131"/>
      <c r="E330" s="107"/>
      <c r="F330" s="107"/>
    </row>
    <row r="331">
      <c r="A331" s="131"/>
      <c r="B331" s="131"/>
      <c r="C331" s="131"/>
      <c r="D331" s="131"/>
      <c r="E331" s="108"/>
      <c r="F331" s="108"/>
    </row>
    <row r="332">
      <c r="A332" s="131"/>
      <c r="B332" s="131"/>
      <c r="C332" s="131"/>
      <c r="D332" s="131"/>
      <c r="E332" s="107"/>
      <c r="F332" s="107"/>
    </row>
    <row r="333">
      <c r="A333" s="131"/>
      <c r="B333" s="131"/>
      <c r="C333" s="131"/>
      <c r="D333" s="131"/>
      <c r="E333" s="106"/>
      <c r="F333" s="106"/>
    </row>
    <row r="334">
      <c r="A334" s="131"/>
      <c r="B334" s="131"/>
      <c r="C334" s="131"/>
      <c r="D334" s="131"/>
      <c r="E334" s="107"/>
      <c r="F334" s="107"/>
    </row>
    <row r="335">
      <c r="A335" s="131"/>
      <c r="B335" s="131"/>
      <c r="C335" s="131"/>
      <c r="D335" s="131"/>
      <c r="E335" s="107"/>
      <c r="F335" s="107"/>
    </row>
    <row r="336">
      <c r="A336" s="131"/>
      <c r="B336" s="131"/>
      <c r="C336" s="131"/>
      <c r="D336" s="131"/>
      <c r="E336" s="107"/>
      <c r="F336" s="107"/>
    </row>
    <row r="337">
      <c r="A337" s="131"/>
      <c r="B337" s="131"/>
      <c r="C337" s="131"/>
      <c r="D337" s="131"/>
      <c r="E337" s="107"/>
      <c r="F337" s="107"/>
    </row>
    <row r="338">
      <c r="A338" s="131"/>
      <c r="B338" s="131"/>
      <c r="C338" s="131"/>
      <c r="D338" s="131"/>
      <c r="E338" s="106"/>
      <c r="F338" s="106"/>
    </row>
    <row r="339">
      <c r="A339" s="131"/>
      <c r="B339" s="131"/>
      <c r="C339" s="131"/>
      <c r="D339" s="131"/>
      <c r="E339" s="107"/>
      <c r="F339" s="107"/>
    </row>
    <row r="340">
      <c r="A340" s="131"/>
      <c r="B340" s="131"/>
      <c r="C340" s="131"/>
      <c r="D340" s="131"/>
      <c r="E340" s="109"/>
      <c r="F340" s="109"/>
    </row>
    <row r="341">
      <c r="A341" s="131"/>
      <c r="B341" s="131"/>
      <c r="C341" s="131"/>
      <c r="D341" s="131"/>
      <c r="E341" s="110"/>
      <c r="F341" s="110"/>
    </row>
    <row r="342">
      <c r="A342" s="131"/>
      <c r="B342" s="131"/>
      <c r="C342" s="131"/>
      <c r="D342" s="131"/>
      <c r="E342" s="110"/>
      <c r="F342" s="110"/>
    </row>
    <row r="343">
      <c r="A343" s="131"/>
      <c r="B343" s="131"/>
      <c r="C343" s="131"/>
      <c r="D343" s="131"/>
      <c r="E343" s="111"/>
      <c r="F343" s="111"/>
    </row>
    <row r="344">
      <c r="A344" s="131"/>
      <c r="B344" s="131"/>
      <c r="C344" s="131"/>
      <c r="D344" s="131"/>
      <c r="E344" s="112"/>
      <c r="F344" s="112"/>
    </row>
    <row r="345">
      <c r="A345" s="131"/>
      <c r="B345" s="131"/>
      <c r="C345" s="131"/>
      <c r="D345" s="131"/>
      <c r="E345" s="112"/>
      <c r="F345" s="112"/>
    </row>
    <row r="346">
      <c r="A346" s="131"/>
      <c r="B346" s="131"/>
      <c r="C346" s="131"/>
      <c r="D346" s="131"/>
      <c r="E346" s="112"/>
      <c r="F346" s="112"/>
    </row>
    <row r="347">
      <c r="A347" s="131"/>
      <c r="B347" s="131"/>
      <c r="C347" s="131"/>
      <c r="D347" s="131"/>
      <c r="E347" s="112"/>
      <c r="F347" s="112"/>
    </row>
    <row r="348">
      <c r="A348" s="131"/>
      <c r="B348" s="131"/>
      <c r="C348" s="131"/>
      <c r="D348" s="131"/>
      <c r="E348" s="113"/>
      <c r="F348" s="110"/>
    </row>
    <row r="349">
      <c r="A349" s="131"/>
      <c r="B349" s="131"/>
      <c r="C349" s="131"/>
      <c r="D349" s="131"/>
      <c r="E349" s="114"/>
      <c r="F349" s="114"/>
    </row>
    <row r="350">
      <c r="A350" s="131"/>
      <c r="B350" s="131"/>
      <c r="C350" s="131"/>
      <c r="D350" s="131"/>
      <c r="E350" s="114"/>
      <c r="F350" s="114"/>
    </row>
    <row r="351">
      <c r="A351" s="131"/>
      <c r="B351" s="131"/>
      <c r="C351" s="131"/>
      <c r="D351" s="131"/>
      <c r="E351" s="114"/>
      <c r="F351" s="114"/>
    </row>
    <row r="352">
      <c r="A352" s="131"/>
      <c r="B352" s="131"/>
      <c r="C352" s="131"/>
      <c r="D352" s="131"/>
      <c r="E352" s="114"/>
      <c r="F352" s="114"/>
    </row>
    <row r="353">
      <c r="A353" s="131"/>
      <c r="B353" s="131"/>
      <c r="C353" s="131"/>
      <c r="D353" s="131"/>
      <c r="E353" s="114"/>
      <c r="F353" s="114"/>
    </row>
    <row r="354">
      <c r="A354" s="131"/>
      <c r="B354" s="131"/>
      <c r="C354" s="131"/>
      <c r="D354" s="131"/>
      <c r="E354" s="114"/>
      <c r="F354" s="114"/>
    </row>
    <row r="355">
      <c r="A355" s="131"/>
      <c r="B355" s="131"/>
      <c r="C355" s="131"/>
      <c r="D355" s="131"/>
      <c r="E355" s="114"/>
      <c r="F355" s="114"/>
    </row>
    <row r="356">
      <c r="A356" s="131"/>
      <c r="B356" s="131"/>
      <c r="C356" s="131"/>
      <c r="D356" s="131"/>
      <c r="E356" s="114"/>
      <c r="F356" s="114"/>
    </row>
    <row r="357">
      <c r="A357" s="131"/>
      <c r="B357" s="131"/>
      <c r="C357" s="131"/>
      <c r="D357" s="131"/>
      <c r="E357" s="114"/>
      <c r="F357" s="114"/>
    </row>
    <row r="358">
      <c r="A358" s="131"/>
      <c r="B358" s="131"/>
      <c r="C358" s="131"/>
      <c r="D358" s="131"/>
      <c r="E358" s="114"/>
      <c r="F358" s="114"/>
    </row>
    <row r="359">
      <c r="A359" s="131"/>
      <c r="B359" s="131"/>
      <c r="C359" s="131"/>
      <c r="D359" s="131"/>
      <c r="E359" s="114"/>
      <c r="F359" s="114"/>
    </row>
    <row r="360">
      <c r="A360" s="131"/>
      <c r="B360" s="131"/>
      <c r="C360" s="131"/>
      <c r="D360" s="131"/>
      <c r="E360" s="114"/>
      <c r="F360" s="114"/>
    </row>
    <row r="361">
      <c r="A361" s="131"/>
      <c r="B361" s="131"/>
      <c r="C361" s="131"/>
      <c r="D361" s="131"/>
      <c r="E361" s="114"/>
      <c r="F361" s="114"/>
    </row>
    <row r="362">
      <c r="A362" s="131"/>
      <c r="B362" s="131"/>
      <c r="C362" s="131"/>
      <c r="D362" s="131"/>
      <c r="E362" s="114"/>
      <c r="F362" s="114"/>
    </row>
    <row r="363">
      <c r="A363" s="131"/>
      <c r="B363" s="131"/>
      <c r="C363" s="131"/>
      <c r="D363" s="131"/>
      <c r="E363" s="114"/>
      <c r="F363" s="114"/>
    </row>
    <row r="364">
      <c r="A364" s="131"/>
      <c r="B364" s="131"/>
      <c r="C364" s="131"/>
      <c r="D364" s="131"/>
      <c r="E364" s="114"/>
      <c r="F364" s="114"/>
    </row>
    <row r="365">
      <c r="A365" s="131"/>
      <c r="B365" s="131"/>
      <c r="C365" s="131"/>
      <c r="D365" s="131"/>
      <c r="E365" s="114"/>
      <c r="F365" s="114"/>
    </row>
    <row r="366">
      <c r="A366" s="131"/>
      <c r="B366" s="131"/>
      <c r="C366" s="131"/>
      <c r="D366" s="131"/>
      <c r="E366" s="114"/>
      <c r="F366" s="114"/>
    </row>
    <row r="367">
      <c r="A367" s="131"/>
      <c r="B367" s="131"/>
      <c r="C367" s="131"/>
      <c r="D367" s="131"/>
      <c r="E367" s="114"/>
      <c r="F367" s="114"/>
    </row>
    <row r="368">
      <c r="A368" s="131"/>
      <c r="B368" s="131"/>
      <c r="C368" s="131"/>
      <c r="D368" s="131"/>
      <c r="E368" s="114"/>
      <c r="F368" s="114"/>
    </row>
    <row r="369">
      <c r="A369" s="131"/>
      <c r="B369" s="131"/>
      <c r="C369" s="131"/>
      <c r="D369" s="131"/>
      <c r="E369" s="131"/>
      <c r="F369" s="131"/>
    </row>
    <row r="370">
      <c r="A370" s="131"/>
      <c r="B370" s="131"/>
      <c r="C370" s="131"/>
      <c r="D370" s="131"/>
      <c r="E370" s="105"/>
      <c r="F370" s="105"/>
    </row>
    <row r="371">
      <c r="A371" s="131"/>
      <c r="B371" s="131"/>
      <c r="C371" s="131"/>
      <c r="D371" s="131"/>
      <c r="E371" s="115"/>
      <c r="F371" s="107"/>
    </row>
    <row r="372">
      <c r="A372" s="131"/>
      <c r="B372" s="131"/>
      <c r="C372" s="131"/>
      <c r="D372" s="131"/>
      <c r="E372" s="107"/>
      <c r="F372" s="107"/>
    </row>
    <row r="373">
      <c r="A373" s="131"/>
      <c r="B373" s="131"/>
      <c r="C373" s="131"/>
      <c r="D373" s="131"/>
      <c r="E373" s="116"/>
      <c r="F373" s="107"/>
    </row>
    <row r="374">
      <c r="A374" s="131"/>
      <c r="B374" s="131"/>
      <c r="C374" s="131"/>
      <c r="D374" s="131"/>
      <c r="E374" s="107"/>
      <c r="F374" s="107"/>
    </row>
    <row r="375">
      <c r="A375" s="131"/>
      <c r="B375" s="131"/>
      <c r="C375" s="131"/>
      <c r="D375" s="131"/>
      <c r="E375" s="107"/>
      <c r="F375" s="107"/>
    </row>
    <row r="376">
      <c r="A376" s="131"/>
      <c r="B376" s="131"/>
      <c r="C376" s="131"/>
      <c r="D376" s="131"/>
      <c r="E376" s="107"/>
      <c r="F376" s="107"/>
    </row>
    <row r="377">
      <c r="A377" s="131"/>
      <c r="B377" s="131"/>
      <c r="C377" s="131"/>
      <c r="D377" s="131"/>
      <c r="E377" s="107"/>
      <c r="F377" s="107"/>
    </row>
    <row r="378">
      <c r="A378" s="131"/>
      <c r="B378" s="131"/>
      <c r="C378" s="131"/>
      <c r="D378" s="131"/>
      <c r="E378" s="107"/>
      <c r="F378" s="107"/>
    </row>
    <row r="379">
      <c r="A379" s="131"/>
      <c r="B379" s="131"/>
      <c r="C379" s="131"/>
      <c r="D379" s="131"/>
      <c r="E379" s="107"/>
      <c r="F379" s="107"/>
    </row>
    <row r="380">
      <c r="A380" s="131"/>
      <c r="B380" s="131"/>
      <c r="C380" s="131"/>
      <c r="D380" s="131"/>
      <c r="E380" s="107"/>
      <c r="F380" s="107"/>
    </row>
    <row r="381">
      <c r="A381" s="131"/>
      <c r="B381" s="131"/>
      <c r="C381" s="131"/>
      <c r="D381" s="131"/>
      <c r="E381" s="107"/>
      <c r="F381" s="107"/>
    </row>
    <row r="382">
      <c r="A382" s="131"/>
      <c r="B382" s="131"/>
      <c r="C382" s="131"/>
      <c r="D382" s="131"/>
      <c r="E382" s="107"/>
      <c r="F382" s="107"/>
    </row>
    <row r="383">
      <c r="A383" s="131"/>
      <c r="B383" s="131"/>
      <c r="C383" s="131"/>
      <c r="D383" s="131"/>
      <c r="E383" s="107"/>
      <c r="F383" s="107"/>
    </row>
    <row r="384">
      <c r="A384" s="131"/>
      <c r="B384" s="131"/>
      <c r="C384" s="131"/>
      <c r="D384" s="131"/>
      <c r="E384" s="107"/>
      <c r="F384" s="107"/>
    </row>
    <row r="385">
      <c r="A385" s="131"/>
      <c r="B385" s="131"/>
      <c r="C385" s="131"/>
      <c r="D385" s="131"/>
      <c r="E385" s="107"/>
      <c r="F385" s="107"/>
    </row>
    <row r="386">
      <c r="A386" s="131"/>
      <c r="B386" s="131"/>
      <c r="C386" s="131"/>
      <c r="D386" s="131"/>
      <c r="E386" s="107"/>
      <c r="F386" s="107"/>
    </row>
    <row r="387">
      <c r="A387" s="131"/>
      <c r="B387" s="131"/>
      <c r="C387" s="131"/>
      <c r="D387" s="131"/>
      <c r="E387" s="107"/>
      <c r="F387" s="107"/>
    </row>
    <row r="388">
      <c r="A388" s="131"/>
      <c r="B388" s="131"/>
      <c r="C388" s="131"/>
      <c r="D388" s="131"/>
      <c r="E388" s="98"/>
      <c r="F388" s="107"/>
    </row>
    <row r="389">
      <c r="A389" s="131"/>
      <c r="B389" s="131"/>
      <c r="C389" s="131"/>
      <c r="D389" s="131"/>
      <c r="E389" s="131"/>
      <c r="F389" s="131"/>
    </row>
    <row r="390">
      <c r="A390" s="131"/>
      <c r="B390" s="131"/>
      <c r="C390" s="131"/>
      <c r="D390" s="131"/>
      <c r="E390" s="105"/>
      <c r="F390" s="105"/>
    </row>
    <row r="391">
      <c r="A391" s="131"/>
      <c r="B391" s="131"/>
      <c r="C391" s="131"/>
      <c r="D391" s="131"/>
      <c r="E391" s="109"/>
      <c r="F391" s="109"/>
    </row>
    <row r="392">
      <c r="A392" s="131"/>
      <c r="B392" s="131"/>
      <c r="C392" s="131"/>
      <c r="D392" s="131"/>
      <c r="E392" s="109"/>
      <c r="F392" s="109"/>
    </row>
    <row r="393">
      <c r="A393" s="131"/>
      <c r="B393" s="131"/>
      <c r="C393" s="131"/>
      <c r="D393" s="131"/>
      <c r="E393" s="109"/>
      <c r="F393" s="109"/>
    </row>
    <row r="394">
      <c r="A394" s="131"/>
      <c r="B394" s="131"/>
      <c r="C394" s="131"/>
      <c r="D394" s="131"/>
      <c r="E394" s="109"/>
      <c r="F394" s="109"/>
    </row>
    <row r="395">
      <c r="A395" s="131"/>
      <c r="B395" s="131"/>
      <c r="C395" s="131"/>
      <c r="D395" s="131"/>
      <c r="E395" s="109"/>
      <c r="F395" s="109"/>
    </row>
    <row r="396">
      <c r="A396" s="131"/>
      <c r="B396" s="131"/>
      <c r="C396" s="131"/>
      <c r="D396" s="131"/>
      <c r="E396" s="109"/>
      <c r="F396" s="109"/>
    </row>
    <row r="397">
      <c r="A397" s="131"/>
      <c r="B397" s="131"/>
      <c r="C397" s="131"/>
      <c r="D397" s="131"/>
      <c r="E397" s="109"/>
      <c r="F397" s="109"/>
    </row>
    <row r="398">
      <c r="A398" s="131"/>
      <c r="B398" s="131"/>
      <c r="C398" s="131"/>
      <c r="D398" s="131"/>
      <c r="E398" s="109"/>
      <c r="F398" s="109"/>
    </row>
    <row r="399">
      <c r="A399" s="131"/>
      <c r="B399" s="131"/>
      <c r="C399" s="131"/>
      <c r="D399" s="131"/>
      <c r="E399" s="109"/>
      <c r="F399" s="109"/>
    </row>
    <row r="400">
      <c r="A400" s="131"/>
      <c r="B400" s="131"/>
      <c r="C400" s="131"/>
      <c r="D400" s="131"/>
      <c r="E400" s="109"/>
      <c r="F400" s="109"/>
    </row>
    <row r="401">
      <c r="A401" s="131"/>
      <c r="B401" s="131"/>
      <c r="C401" s="131"/>
      <c r="D401" s="131"/>
      <c r="E401" s="109"/>
      <c r="F401" s="109"/>
    </row>
    <row r="402">
      <c r="A402" s="131"/>
      <c r="B402" s="131"/>
      <c r="C402" s="131"/>
      <c r="D402" s="131"/>
      <c r="E402" s="109"/>
      <c r="F402" s="109"/>
    </row>
    <row r="403">
      <c r="A403" s="131"/>
      <c r="B403" s="131"/>
      <c r="C403" s="131"/>
      <c r="D403" s="131"/>
      <c r="E403" s="109"/>
      <c r="F403" s="109"/>
    </row>
    <row r="404">
      <c r="A404" s="131"/>
      <c r="B404" s="131"/>
      <c r="C404" s="131"/>
      <c r="D404" s="131"/>
      <c r="E404" s="109"/>
      <c r="F404" s="109"/>
    </row>
    <row r="405">
      <c r="A405" s="131"/>
      <c r="B405" s="131"/>
      <c r="C405" s="131"/>
      <c r="D405" s="131"/>
      <c r="E405" s="109"/>
      <c r="F405" s="109"/>
    </row>
    <row r="406">
      <c r="A406" s="131"/>
      <c r="B406" s="131"/>
      <c r="C406" s="131"/>
      <c r="D406" s="131"/>
      <c r="E406" s="109"/>
      <c r="F406" s="109"/>
    </row>
    <row r="407">
      <c r="A407" s="131"/>
      <c r="B407" s="131"/>
      <c r="C407" s="131"/>
      <c r="D407" s="131"/>
      <c r="E407" s="109"/>
      <c r="F407" s="109"/>
    </row>
    <row r="408">
      <c r="A408" s="131"/>
      <c r="B408" s="131"/>
      <c r="C408" s="131"/>
      <c r="D408" s="131"/>
      <c r="E408" s="109"/>
      <c r="F408" s="109"/>
    </row>
    <row r="409">
      <c r="A409" s="131"/>
      <c r="B409" s="131"/>
      <c r="C409" s="131"/>
      <c r="D409" s="131"/>
      <c r="E409" s="109"/>
      <c r="F409" s="109"/>
    </row>
    <row r="410">
      <c r="A410" s="131"/>
      <c r="B410" s="131"/>
      <c r="C410" s="131"/>
      <c r="D410" s="131"/>
      <c r="E410" s="109"/>
      <c r="F410" s="109"/>
    </row>
    <row r="411">
      <c r="A411" s="131"/>
      <c r="B411" s="131"/>
      <c r="C411" s="131"/>
      <c r="D411" s="131"/>
      <c r="E411" s="109"/>
      <c r="F411" s="109"/>
    </row>
    <row r="412">
      <c r="A412" s="131"/>
      <c r="B412" s="131"/>
      <c r="C412" s="131"/>
      <c r="D412" s="131"/>
      <c r="E412" s="109"/>
      <c r="F412" s="109"/>
    </row>
    <row r="413">
      <c r="A413" s="131"/>
      <c r="B413" s="131"/>
      <c r="C413" s="131"/>
      <c r="D413" s="131"/>
      <c r="E413" s="109"/>
      <c r="F413" s="109"/>
    </row>
    <row r="414">
      <c r="A414" s="131"/>
      <c r="B414" s="131"/>
      <c r="C414" s="131"/>
      <c r="D414" s="131"/>
      <c r="E414" s="109"/>
      <c r="F414" s="109"/>
    </row>
    <row r="415">
      <c r="A415" s="131"/>
      <c r="B415" s="131"/>
      <c r="C415" s="131"/>
      <c r="D415" s="131"/>
      <c r="E415" s="109"/>
      <c r="F415" s="109"/>
    </row>
    <row r="416">
      <c r="A416" s="131"/>
      <c r="B416" s="131"/>
      <c r="C416" s="131"/>
      <c r="D416" s="131"/>
      <c r="E416" s="131"/>
      <c r="F416" s="131"/>
    </row>
    <row r="417">
      <c r="A417" s="131"/>
      <c r="B417" s="131"/>
      <c r="C417" s="131"/>
      <c r="D417" s="131"/>
      <c r="E417" s="105"/>
      <c r="F417" s="105"/>
    </row>
    <row r="418">
      <c r="A418" s="131"/>
      <c r="B418" s="131"/>
      <c r="C418" s="131"/>
      <c r="D418" s="131"/>
      <c r="E418" s="107"/>
      <c r="F418" s="107"/>
    </row>
    <row r="419">
      <c r="A419" s="131"/>
      <c r="B419" s="131"/>
      <c r="C419" s="131"/>
      <c r="D419" s="131"/>
      <c r="E419" s="107"/>
      <c r="F419" s="107"/>
    </row>
    <row r="420">
      <c r="A420" s="131"/>
      <c r="B420" s="131"/>
      <c r="C420" s="131"/>
      <c r="D420" s="131"/>
      <c r="E420" s="107"/>
      <c r="F420" s="107"/>
    </row>
    <row r="421">
      <c r="A421" s="131"/>
      <c r="B421" s="131"/>
      <c r="C421" s="131"/>
      <c r="D421" s="131"/>
      <c r="E421" s="107"/>
      <c r="F421" s="107"/>
    </row>
    <row r="422">
      <c r="A422" s="131"/>
      <c r="B422" s="131"/>
      <c r="C422" s="131"/>
      <c r="D422" s="131"/>
      <c r="E422" s="107"/>
      <c r="F422" s="107"/>
    </row>
    <row r="423">
      <c r="A423" s="131"/>
      <c r="B423" s="131"/>
      <c r="C423" s="131"/>
      <c r="D423" s="131"/>
      <c r="E423" s="107"/>
      <c r="F423" s="107"/>
    </row>
    <row r="424">
      <c r="A424" s="131"/>
      <c r="B424" s="131"/>
      <c r="C424" s="131"/>
      <c r="D424" s="131"/>
      <c r="E424" s="107"/>
      <c r="F424" s="107"/>
    </row>
    <row r="425">
      <c r="A425" s="131"/>
      <c r="B425" s="131"/>
      <c r="C425" s="131"/>
      <c r="D425" s="131"/>
      <c r="E425" s="107"/>
      <c r="F425" s="107"/>
    </row>
    <row r="426">
      <c r="A426" s="131"/>
      <c r="B426" s="131"/>
      <c r="C426" s="131"/>
      <c r="D426" s="131"/>
      <c r="E426" s="107"/>
      <c r="F426" s="107"/>
    </row>
    <row r="427">
      <c r="A427" s="131"/>
      <c r="B427" s="131"/>
      <c r="C427" s="131"/>
      <c r="D427" s="131"/>
      <c r="E427" s="107"/>
      <c r="F427" s="107"/>
    </row>
    <row r="428">
      <c r="A428" s="131"/>
      <c r="B428" s="131"/>
      <c r="C428" s="131"/>
      <c r="D428" s="131"/>
      <c r="E428" s="107"/>
      <c r="F428" s="107"/>
    </row>
    <row r="429">
      <c r="A429" s="131"/>
      <c r="B429" s="131"/>
      <c r="C429" s="131"/>
      <c r="D429" s="131"/>
      <c r="E429" s="107"/>
      <c r="F429" s="107"/>
    </row>
    <row r="430">
      <c r="A430" s="131"/>
      <c r="B430" s="131"/>
      <c r="C430" s="131"/>
      <c r="D430" s="131"/>
      <c r="E430" s="107"/>
      <c r="F430" s="107"/>
    </row>
    <row r="431">
      <c r="A431" s="131"/>
      <c r="B431" s="131"/>
      <c r="C431" s="131"/>
      <c r="D431" s="131"/>
      <c r="E431" s="107"/>
      <c r="F431" s="107"/>
    </row>
    <row r="432">
      <c r="A432" s="131"/>
      <c r="B432" s="131"/>
      <c r="C432" s="131"/>
      <c r="D432" s="131"/>
      <c r="E432" s="107"/>
      <c r="F432" s="107"/>
    </row>
    <row r="433">
      <c r="A433" s="131"/>
      <c r="B433" s="131"/>
      <c r="C433" s="131"/>
      <c r="D433" s="131"/>
      <c r="E433" s="107"/>
      <c r="F433" s="107"/>
    </row>
    <row r="434">
      <c r="A434" s="131"/>
      <c r="B434" s="131"/>
      <c r="C434" s="131"/>
      <c r="D434" s="131"/>
      <c r="E434" s="107"/>
      <c r="F434" s="107"/>
    </row>
    <row r="435">
      <c r="A435" s="131"/>
      <c r="B435" s="131"/>
      <c r="C435" s="131"/>
      <c r="D435" s="131"/>
      <c r="E435" s="107"/>
      <c r="F435" s="107"/>
    </row>
    <row r="436">
      <c r="A436" s="131"/>
      <c r="B436" s="131"/>
      <c r="C436" s="131"/>
      <c r="D436" s="131"/>
      <c r="E436" s="107"/>
      <c r="F436" s="107"/>
    </row>
    <row r="437">
      <c r="A437" s="131"/>
      <c r="B437" s="131"/>
      <c r="C437" s="131"/>
      <c r="D437" s="131"/>
      <c r="E437" s="107"/>
      <c r="F437" s="107"/>
    </row>
    <row r="438">
      <c r="A438" s="131"/>
      <c r="B438" s="131"/>
      <c r="C438" s="131"/>
      <c r="D438" s="131"/>
      <c r="E438" s="107"/>
      <c r="F438" s="107"/>
    </row>
    <row r="439">
      <c r="A439" s="131"/>
      <c r="B439" s="131"/>
      <c r="C439" s="131"/>
      <c r="D439" s="131"/>
      <c r="E439" s="107"/>
      <c r="F439" s="107"/>
    </row>
    <row r="440">
      <c r="A440" s="131"/>
      <c r="B440" s="131"/>
      <c r="C440" s="131"/>
      <c r="D440" s="131"/>
      <c r="E440" s="107"/>
      <c r="F440" s="107"/>
    </row>
    <row r="441">
      <c r="A441" s="131"/>
      <c r="B441" s="131"/>
      <c r="C441" s="131"/>
      <c r="D441" s="131"/>
      <c r="E441" s="107"/>
      <c r="F441" s="107"/>
    </row>
    <row r="442">
      <c r="A442" s="131"/>
      <c r="B442" s="131"/>
      <c r="C442" s="131"/>
      <c r="D442" s="131"/>
      <c r="E442" s="107"/>
      <c r="F442" s="107"/>
    </row>
    <row r="443">
      <c r="A443" s="131"/>
      <c r="B443" s="131"/>
      <c r="C443" s="131"/>
      <c r="D443" s="131"/>
      <c r="E443" s="107"/>
      <c r="F443" s="107"/>
    </row>
    <row r="444">
      <c r="A444" s="131"/>
      <c r="B444" s="131"/>
      <c r="C444" s="131"/>
      <c r="D444" s="131"/>
      <c r="E444" s="107"/>
      <c r="F444" s="107"/>
    </row>
    <row r="445">
      <c r="A445" s="131"/>
      <c r="B445" s="131"/>
      <c r="C445" s="131"/>
      <c r="D445" s="131"/>
      <c r="E445" s="107"/>
      <c r="F445" s="107"/>
    </row>
    <row r="446">
      <c r="A446" s="131"/>
      <c r="B446" s="131"/>
      <c r="C446" s="131"/>
      <c r="D446" s="131"/>
      <c r="E446" s="107"/>
      <c r="F446" s="107"/>
    </row>
    <row r="447">
      <c r="A447" s="131"/>
      <c r="B447" s="131"/>
      <c r="C447" s="131"/>
      <c r="D447" s="131"/>
      <c r="E447" s="107"/>
      <c r="F447" s="107"/>
    </row>
    <row r="448">
      <c r="A448" s="131"/>
      <c r="B448" s="131"/>
      <c r="C448" s="131"/>
      <c r="D448" s="131"/>
      <c r="E448" s="107"/>
      <c r="F448" s="107"/>
    </row>
    <row r="449">
      <c r="A449" s="131"/>
      <c r="B449" s="131"/>
      <c r="C449" s="131"/>
      <c r="D449" s="131"/>
      <c r="E449" s="107"/>
      <c r="F449" s="107"/>
    </row>
    <row r="450">
      <c r="A450" s="131"/>
      <c r="B450" s="131"/>
      <c r="C450" s="131"/>
      <c r="D450" s="131"/>
      <c r="E450" s="107"/>
      <c r="F450" s="107"/>
    </row>
    <row r="451">
      <c r="A451" s="131"/>
      <c r="B451" s="131"/>
      <c r="C451" s="131"/>
      <c r="D451" s="131"/>
      <c r="E451" s="107"/>
      <c r="F451" s="107"/>
    </row>
    <row r="452">
      <c r="A452" s="131"/>
      <c r="B452" s="131"/>
      <c r="C452" s="131"/>
      <c r="D452" s="131"/>
      <c r="E452" s="107"/>
      <c r="F452" s="107"/>
    </row>
    <row r="453">
      <c r="A453" s="131"/>
      <c r="B453" s="131"/>
      <c r="C453" s="131"/>
      <c r="D453" s="131"/>
      <c r="E453" s="107"/>
      <c r="F453" s="107"/>
    </row>
    <row r="454">
      <c r="A454" s="131"/>
      <c r="B454" s="131"/>
      <c r="C454" s="131"/>
      <c r="D454" s="131"/>
      <c r="E454" s="116"/>
      <c r="F454" s="107"/>
    </row>
    <row r="455">
      <c r="A455" s="131"/>
      <c r="B455" s="131"/>
      <c r="C455" s="131"/>
      <c r="D455" s="131"/>
      <c r="E455" s="107"/>
      <c r="F455" s="107"/>
    </row>
    <row r="456">
      <c r="A456" s="131"/>
      <c r="B456" s="131"/>
      <c r="C456" s="131"/>
      <c r="D456" s="131"/>
      <c r="E456" s="107"/>
      <c r="F456" s="107"/>
    </row>
    <row r="457">
      <c r="A457" s="131"/>
      <c r="B457" s="131"/>
      <c r="C457" s="131"/>
      <c r="D457" s="131"/>
      <c r="E457" s="107"/>
      <c r="F457" s="107"/>
    </row>
    <row r="458">
      <c r="A458" s="131"/>
      <c r="B458" s="131"/>
      <c r="C458" s="131"/>
      <c r="D458" s="131"/>
      <c r="E458" s="107"/>
      <c r="F458" s="107"/>
    </row>
    <row r="459">
      <c r="A459" s="131"/>
      <c r="B459" s="131"/>
      <c r="C459" s="131"/>
      <c r="D459" s="131"/>
      <c r="E459" s="118"/>
      <c r="F459" s="107"/>
    </row>
    <row r="460">
      <c r="A460" s="131"/>
      <c r="B460" s="131"/>
      <c r="C460" s="131"/>
      <c r="D460" s="131"/>
      <c r="E460" s="118"/>
      <c r="F460" s="107"/>
    </row>
    <row r="461">
      <c r="A461" s="131"/>
      <c r="B461" s="131"/>
      <c r="C461" s="131"/>
      <c r="D461" s="131"/>
      <c r="E461" s="118"/>
      <c r="F461" s="107"/>
    </row>
    <row r="462">
      <c r="A462" s="131"/>
      <c r="B462" s="131"/>
      <c r="C462" s="131"/>
      <c r="D462" s="131"/>
      <c r="E462" s="118"/>
      <c r="F462" s="107"/>
    </row>
    <row r="463">
      <c r="A463" s="131"/>
      <c r="B463" s="131"/>
      <c r="C463" s="131"/>
      <c r="D463" s="131"/>
      <c r="E463" s="119"/>
      <c r="F463" s="119"/>
    </row>
    <row r="464">
      <c r="A464" s="131"/>
      <c r="B464" s="131"/>
      <c r="C464" s="131"/>
      <c r="D464" s="131"/>
      <c r="E464" s="107"/>
      <c r="F464" s="107"/>
    </row>
    <row r="465">
      <c r="A465" s="131"/>
      <c r="B465" s="131"/>
      <c r="C465" s="131"/>
      <c r="D465" s="131"/>
      <c r="E465" s="107"/>
      <c r="F465" s="107"/>
    </row>
    <row r="466">
      <c r="A466" s="131"/>
      <c r="B466" s="131"/>
      <c r="C466" s="131"/>
      <c r="D466" s="131"/>
      <c r="E466" s="107"/>
      <c r="F466" s="107"/>
    </row>
    <row r="467">
      <c r="A467" s="131"/>
      <c r="B467" s="131"/>
      <c r="C467" s="131"/>
      <c r="D467" s="131"/>
      <c r="E467" s="107"/>
      <c r="F467" s="107"/>
    </row>
    <row r="468">
      <c r="A468" s="131"/>
      <c r="B468" s="131"/>
      <c r="C468" s="131"/>
      <c r="D468" s="131"/>
      <c r="E468" s="107"/>
      <c r="F468" s="107"/>
    </row>
    <row r="469">
      <c r="A469" s="131"/>
      <c r="B469" s="131"/>
      <c r="C469" s="131"/>
      <c r="D469" s="131"/>
      <c r="E469" s="107"/>
      <c r="F469" s="107"/>
    </row>
    <row r="470">
      <c r="A470" s="131"/>
      <c r="B470" s="131"/>
      <c r="C470" s="131"/>
      <c r="D470" s="131"/>
      <c r="E470" s="107"/>
      <c r="F470" s="107"/>
    </row>
    <row r="471">
      <c r="A471" s="131"/>
      <c r="B471" s="131"/>
      <c r="C471" s="131"/>
      <c r="D471" s="131"/>
      <c r="E471" s="107"/>
      <c r="F471" s="107"/>
    </row>
    <row r="472">
      <c r="A472" s="131"/>
      <c r="B472" s="131"/>
      <c r="C472" s="131"/>
      <c r="D472" s="131"/>
      <c r="E472" s="107"/>
      <c r="F472" s="107"/>
    </row>
    <row r="473">
      <c r="A473" s="131"/>
      <c r="B473" s="131"/>
      <c r="C473" s="131"/>
      <c r="D473" s="131"/>
      <c r="E473" s="107"/>
      <c r="F473" s="107"/>
    </row>
    <row r="474">
      <c r="A474" s="131"/>
      <c r="B474" s="131"/>
      <c r="C474" s="131"/>
      <c r="D474" s="131"/>
      <c r="E474" s="107"/>
      <c r="F474" s="107"/>
    </row>
    <row r="475">
      <c r="A475" s="131"/>
      <c r="B475" s="131"/>
      <c r="C475" s="131"/>
      <c r="D475" s="131"/>
      <c r="E475" s="107"/>
      <c r="F475" s="107"/>
    </row>
    <row r="476">
      <c r="A476" s="131"/>
      <c r="B476" s="131"/>
      <c r="C476" s="131"/>
      <c r="D476" s="131"/>
      <c r="E476" s="107"/>
      <c r="F476" s="107"/>
    </row>
    <row r="477">
      <c r="A477" s="131"/>
      <c r="B477" s="131"/>
      <c r="C477" s="131"/>
      <c r="D477" s="131"/>
      <c r="E477" s="107"/>
      <c r="F477" s="107"/>
    </row>
    <row r="478">
      <c r="A478" s="131"/>
      <c r="B478" s="131"/>
      <c r="C478" s="131"/>
      <c r="D478" s="131"/>
      <c r="E478" s="107"/>
      <c r="F478" s="115"/>
    </row>
    <row r="479">
      <c r="A479" s="131"/>
      <c r="B479" s="131"/>
      <c r="C479" s="131"/>
      <c r="D479" s="131"/>
      <c r="E479" s="107"/>
      <c r="F479" s="107"/>
    </row>
    <row r="480">
      <c r="A480" s="131"/>
      <c r="B480" s="131"/>
      <c r="C480" s="131"/>
      <c r="D480" s="131"/>
      <c r="E480" s="131"/>
      <c r="F480" s="131"/>
    </row>
    <row r="481">
      <c r="A481" s="131"/>
      <c r="B481" s="131"/>
      <c r="C481" s="131"/>
      <c r="D481" s="131"/>
      <c r="E481" s="131"/>
      <c r="F481" s="131"/>
    </row>
    <row r="482">
      <c r="A482" s="131"/>
      <c r="B482" s="131"/>
      <c r="C482" s="131"/>
      <c r="D482" s="131"/>
      <c r="E482" s="131"/>
      <c r="F482" s="131"/>
    </row>
    <row r="483">
      <c r="A483" s="131"/>
      <c r="B483" s="131"/>
      <c r="C483" s="131"/>
      <c r="D483" s="131"/>
      <c r="E483" s="131"/>
      <c r="F483" s="131"/>
    </row>
    <row r="484">
      <c r="A484" s="131"/>
      <c r="B484" s="131"/>
      <c r="C484" s="131"/>
      <c r="D484" s="131"/>
      <c r="E484" s="131"/>
      <c r="F484" s="131"/>
    </row>
    <row r="485">
      <c r="A485" s="131"/>
      <c r="B485" s="131"/>
      <c r="C485" s="131"/>
      <c r="D485" s="131"/>
      <c r="E485" s="131"/>
      <c r="F485" s="131"/>
    </row>
    <row r="486">
      <c r="A486" s="131"/>
      <c r="B486" s="131"/>
      <c r="C486" s="131"/>
      <c r="D486" s="131"/>
      <c r="E486" s="131"/>
      <c r="F486" s="131"/>
    </row>
    <row r="487">
      <c r="A487" s="131"/>
      <c r="B487" s="131"/>
      <c r="C487" s="131"/>
      <c r="D487" s="131"/>
      <c r="E487" s="131"/>
      <c r="F487" s="131"/>
    </row>
    <row r="488">
      <c r="A488" s="131"/>
      <c r="B488" s="131"/>
      <c r="C488" s="131"/>
      <c r="D488" s="131"/>
      <c r="E488" s="131"/>
      <c r="F488" s="131"/>
    </row>
    <row r="489">
      <c r="A489" s="131"/>
      <c r="B489" s="131"/>
      <c r="C489" s="131"/>
      <c r="D489" s="131"/>
      <c r="E489" s="131"/>
      <c r="F489" s="131"/>
    </row>
    <row r="490">
      <c r="A490" s="131"/>
      <c r="B490" s="131"/>
      <c r="C490" s="131"/>
      <c r="D490" s="131"/>
      <c r="E490" s="131"/>
      <c r="F490" s="131"/>
    </row>
    <row r="491">
      <c r="A491" s="131"/>
      <c r="B491" s="131"/>
      <c r="C491" s="131"/>
      <c r="D491" s="131"/>
      <c r="E491" s="131"/>
      <c r="F491" s="131"/>
    </row>
    <row r="492">
      <c r="A492" s="131"/>
      <c r="B492" s="131"/>
      <c r="C492" s="131"/>
      <c r="D492" s="131"/>
      <c r="E492" s="131"/>
      <c r="F492" s="131"/>
    </row>
    <row r="493">
      <c r="A493" s="131"/>
      <c r="B493" s="131"/>
      <c r="C493" s="131"/>
      <c r="D493" s="131"/>
      <c r="E493" s="131"/>
      <c r="F493" s="131"/>
    </row>
    <row r="494">
      <c r="A494" s="131"/>
      <c r="B494" s="131"/>
      <c r="C494" s="131"/>
      <c r="D494" s="131"/>
      <c r="E494" s="131"/>
      <c r="F494" s="131"/>
    </row>
    <row r="495">
      <c r="A495" s="131"/>
      <c r="B495" s="131"/>
      <c r="C495" s="131"/>
      <c r="D495" s="131"/>
      <c r="E495" s="131"/>
      <c r="F495" s="131"/>
    </row>
    <row r="496">
      <c r="A496" s="131"/>
      <c r="B496" s="131"/>
      <c r="C496" s="131"/>
      <c r="D496" s="131"/>
      <c r="E496" s="131"/>
      <c r="F496" s="131"/>
    </row>
    <row r="497">
      <c r="A497" s="131"/>
      <c r="B497" s="131"/>
      <c r="C497" s="131"/>
      <c r="D497" s="131"/>
      <c r="E497" s="131"/>
      <c r="F497" s="131"/>
    </row>
    <row r="498">
      <c r="A498" s="131"/>
      <c r="B498" s="131"/>
      <c r="C498" s="131"/>
      <c r="D498" s="131"/>
      <c r="E498" s="131"/>
      <c r="F498" s="131"/>
    </row>
    <row r="499">
      <c r="A499" s="131"/>
      <c r="B499" s="131"/>
      <c r="C499" s="131"/>
      <c r="D499" s="131"/>
      <c r="E499" s="131"/>
      <c r="F499" s="131"/>
    </row>
    <row r="500">
      <c r="A500" s="86"/>
      <c r="B500" s="87"/>
      <c r="C500" s="131"/>
      <c r="D500" s="131"/>
      <c r="E500" s="131"/>
      <c r="F500" s="131"/>
      <c r="G500" s="88"/>
      <c r="L500" s="88"/>
      <c r="Q500" s="89"/>
    </row>
    <row r="501">
      <c r="A501" s="131"/>
      <c r="B501" s="131"/>
      <c r="C501" s="131"/>
      <c r="D501" s="131"/>
      <c r="E501" s="131"/>
      <c r="F501" s="131"/>
      <c r="G501" s="91"/>
      <c r="H501" s="92"/>
      <c r="I501" s="92"/>
      <c r="J501" s="93"/>
      <c r="K501" s="93"/>
      <c r="L501" s="93"/>
      <c r="M501" s="93"/>
      <c r="N501" s="93"/>
      <c r="O501" s="93"/>
      <c r="P501" s="93"/>
      <c r="Q501" s="90"/>
      <c r="R501" s="90"/>
      <c r="S501" s="90"/>
      <c r="T501" s="90"/>
      <c r="U501" s="90"/>
      <c r="V501" s="90"/>
      <c r="W501" s="90"/>
    </row>
    <row r="502">
      <c r="A502" s="131"/>
      <c r="B502" s="131"/>
      <c r="C502" s="131"/>
      <c r="D502" s="131"/>
      <c r="E502" s="94"/>
      <c r="F502" s="94"/>
    </row>
    <row r="503">
      <c r="A503" s="131"/>
      <c r="B503" s="131"/>
      <c r="C503" s="131"/>
      <c r="D503" s="131"/>
      <c r="E503" s="95"/>
      <c r="F503" s="96"/>
    </row>
    <row r="504">
      <c r="A504" s="131"/>
      <c r="B504" s="131"/>
      <c r="C504" s="131"/>
      <c r="D504" s="131"/>
      <c r="E504" s="95"/>
      <c r="F504" s="96"/>
    </row>
    <row r="505">
      <c r="A505" s="131"/>
      <c r="B505" s="131"/>
      <c r="C505" s="131"/>
      <c r="D505" s="131"/>
      <c r="E505" s="96"/>
      <c r="F505" s="96"/>
    </row>
    <row r="506">
      <c r="A506" s="131"/>
      <c r="B506" s="131"/>
      <c r="C506" s="131"/>
      <c r="D506" s="131"/>
      <c r="E506" s="96"/>
      <c r="F506" s="96"/>
    </row>
    <row r="507">
      <c r="A507" s="131"/>
      <c r="B507" s="131"/>
      <c r="C507" s="131"/>
      <c r="D507" s="131"/>
      <c r="E507" s="96"/>
      <c r="F507" s="96"/>
    </row>
    <row r="508">
      <c r="A508" s="131"/>
      <c r="B508" s="131"/>
      <c r="C508" s="131"/>
      <c r="D508" s="131"/>
      <c r="E508" s="96"/>
      <c r="F508" s="96"/>
    </row>
    <row r="509">
      <c r="A509" s="131"/>
      <c r="B509" s="131"/>
      <c r="C509" s="131"/>
      <c r="D509" s="131"/>
      <c r="E509" s="96"/>
      <c r="F509" s="96"/>
    </row>
    <row r="510">
      <c r="A510" s="131"/>
      <c r="B510" s="131"/>
      <c r="C510" s="131"/>
      <c r="D510" s="131"/>
      <c r="E510" s="96"/>
      <c r="F510" s="96"/>
    </row>
    <row r="511">
      <c r="A511" s="131"/>
      <c r="B511" s="131"/>
      <c r="C511" s="131"/>
      <c r="D511" s="131"/>
      <c r="E511" s="96"/>
      <c r="F511" s="96"/>
    </row>
    <row r="512">
      <c r="A512" s="131"/>
      <c r="B512" s="131"/>
      <c r="C512" s="131"/>
      <c r="D512" s="131"/>
      <c r="E512" s="96"/>
      <c r="F512" s="96"/>
    </row>
    <row r="513">
      <c r="A513" s="131"/>
      <c r="B513" s="131"/>
      <c r="C513" s="131"/>
      <c r="D513" s="131"/>
      <c r="E513" s="96"/>
      <c r="F513" s="96"/>
    </row>
    <row r="514">
      <c r="A514" s="131"/>
      <c r="B514" s="131"/>
      <c r="C514" s="131"/>
      <c r="D514" s="131"/>
      <c r="E514" s="96"/>
      <c r="F514" s="96"/>
    </row>
    <row r="515">
      <c r="A515" s="131"/>
      <c r="B515" s="131"/>
      <c r="C515" s="131"/>
      <c r="D515" s="131"/>
      <c r="E515" s="96"/>
      <c r="F515" s="96"/>
    </row>
    <row r="516">
      <c r="A516" s="131"/>
      <c r="B516" s="131"/>
      <c r="C516" s="131"/>
      <c r="D516" s="131"/>
      <c r="E516" s="97"/>
      <c r="F516" s="97"/>
    </row>
    <row r="517">
      <c r="A517" s="131"/>
      <c r="B517" s="131"/>
      <c r="C517" s="131"/>
      <c r="D517" s="131"/>
      <c r="E517" s="96"/>
      <c r="F517" s="96"/>
    </row>
    <row r="518">
      <c r="A518" s="131"/>
      <c r="B518" s="131"/>
      <c r="C518" s="131"/>
      <c r="D518" s="131"/>
      <c r="E518" s="96"/>
      <c r="F518" s="96"/>
    </row>
    <row r="519">
      <c r="A519" s="131"/>
      <c r="B519" s="131"/>
      <c r="C519" s="131"/>
      <c r="D519" s="131"/>
      <c r="E519" s="96"/>
      <c r="F519" s="96"/>
    </row>
    <row r="520">
      <c r="A520" s="131"/>
      <c r="B520" s="131"/>
      <c r="C520" s="131"/>
      <c r="D520" s="131"/>
      <c r="E520" s="96"/>
      <c r="F520" s="96"/>
    </row>
    <row r="521">
      <c r="A521" s="131"/>
      <c r="B521" s="131"/>
      <c r="C521" s="131"/>
      <c r="D521" s="131"/>
      <c r="E521" s="96"/>
      <c r="F521" s="96"/>
    </row>
    <row r="522">
      <c r="A522" s="131"/>
      <c r="B522" s="131"/>
      <c r="C522" s="131"/>
      <c r="D522" s="131"/>
      <c r="E522" s="96"/>
      <c r="F522" s="96"/>
    </row>
    <row r="523">
      <c r="A523" s="131"/>
      <c r="B523" s="131"/>
      <c r="C523" s="131"/>
      <c r="D523" s="131"/>
      <c r="E523" s="98"/>
      <c r="F523" s="96"/>
    </row>
    <row r="524">
      <c r="A524" s="131"/>
      <c r="B524" s="131"/>
      <c r="C524" s="131"/>
      <c r="D524" s="131"/>
      <c r="E524" s="99"/>
      <c r="F524" s="99"/>
    </row>
    <row r="525">
      <c r="A525" s="131"/>
      <c r="B525" s="131"/>
      <c r="C525" s="131"/>
      <c r="D525" s="131"/>
      <c r="E525" s="100"/>
      <c r="F525" s="100"/>
    </row>
    <row r="526">
      <c r="A526" s="131"/>
      <c r="B526" s="131"/>
      <c r="C526" s="131"/>
      <c r="D526" s="131"/>
      <c r="E526" s="100"/>
      <c r="F526" s="100"/>
    </row>
    <row r="527">
      <c r="A527" s="131"/>
      <c r="B527" s="131"/>
      <c r="C527" s="131"/>
      <c r="D527" s="131"/>
      <c r="E527" s="100"/>
      <c r="F527" s="100"/>
    </row>
    <row r="528">
      <c r="A528" s="131"/>
      <c r="B528" s="131"/>
      <c r="C528" s="131"/>
      <c r="D528" s="131"/>
      <c r="E528" s="100"/>
      <c r="F528" s="100"/>
    </row>
    <row r="529">
      <c r="A529" s="131"/>
      <c r="B529" s="131"/>
      <c r="C529" s="131"/>
      <c r="D529" s="131"/>
      <c r="E529" s="100"/>
      <c r="F529" s="100"/>
    </row>
    <row r="530">
      <c r="A530" s="131"/>
      <c r="B530" s="131"/>
      <c r="C530" s="131"/>
      <c r="D530" s="131"/>
      <c r="E530" s="100"/>
      <c r="F530" s="100"/>
    </row>
    <row r="531">
      <c r="A531" s="131"/>
      <c r="B531" s="131"/>
      <c r="C531" s="131"/>
      <c r="D531" s="131"/>
      <c r="E531" s="100"/>
      <c r="F531" s="100"/>
    </row>
    <row r="532">
      <c r="A532" s="131"/>
      <c r="B532" s="131"/>
      <c r="C532" s="131"/>
      <c r="D532" s="131"/>
      <c r="E532" s="101"/>
      <c r="F532" s="101"/>
    </row>
    <row r="533">
      <c r="A533" s="131"/>
      <c r="B533" s="131"/>
      <c r="C533" s="131"/>
      <c r="D533" s="131"/>
      <c r="E533" s="100"/>
      <c r="F533" s="100"/>
    </row>
    <row r="534">
      <c r="A534" s="131"/>
      <c r="B534" s="131"/>
      <c r="C534" s="131"/>
      <c r="D534" s="131"/>
      <c r="E534" s="100"/>
      <c r="F534" s="100"/>
    </row>
    <row r="535">
      <c r="A535" s="131"/>
      <c r="B535" s="131"/>
      <c r="C535" s="131"/>
      <c r="D535" s="131"/>
      <c r="E535" s="102"/>
      <c r="F535" s="102"/>
    </row>
    <row r="536">
      <c r="A536" s="131"/>
      <c r="B536" s="131"/>
      <c r="C536" s="131"/>
      <c r="D536" s="131"/>
      <c r="E536" s="103"/>
      <c r="F536" s="103"/>
    </row>
    <row r="537">
      <c r="A537" s="131"/>
      <c r="B537" s="131"/>
      <c r="C537" s="131"/>
      <c r="D537" s="131"/>
      <c r="E537" s="103"/>
      <c r="F537" s="103"/>
    </row>
    <row r="538">
      <c r="A538" s="131"/>
      <c r="B538" s="131"/>
      <c r="C538" s="131"/>
      <c r="D538" s="131"/>
      <c r="E538" s="102"/>
      <c r="F538" s="103"/>
    </row>
    <row r="539">
      <c r="A539" s="131"/>
      <c r="B539" s="131"/>
      <c r="C539" s="131"/>
      <c r="D539" s="131"/>
      <c r="E539" s="103"/>
      <c r="F539" s="103"/>
    </row>
    <row r="540">
      <c r="A540" s="131"/>
      <c r="B540" s="131"/>
      <c r="C540" s="131"/>
      <c r="D540" s="131"/>
      <c r="E540" s="103"/>
      <c r="F540" s="103"/>
    </row>
    <row r="541">
      <c r="A541" s="131"/>
      <c r="B541" s="131"/>
      <c r="C541" s="131"/>
      <c r="D541" s="131"/>
      <c r="E541" s="103"/>
      <c r="F541" s="103"/>
    </row>
    <row r="542">
      <c r="A542" s="131"/>
      <c r="B542" s="131"/>
      <c r="C542" s="131"/>
      <c r="D542" s="131"/>
      <c r="E542" s="103"/>
      <c r="F542" s="103"/>
    </row>
    <row r="543">
      <c r="A543" s="131"/>
      <c r="B543" s="131"/>
      <c r="C543" s="131"/>
      <c r="D543" s="131"/>
      <c r="E543" s="103"/>
      <c r="F543" s="103"/>
    </row>
    <row r="544">
      <c r="A544" s="131"/>
      <c r="B544" s="131"/>
      <c r="C544" s="131"/>
      <c r="D544" s="131"/>
      <c r="E544" s="103"/>
      <c r="F544" s="103"/>
    </row>
    <row r="545">
      <c r="A545" s="131"/>
      <c r="B545" s="131"/>
      <c r="C545" s="131"/>
      <c r="D545" s="131"/>
      <c r="E545" s="103"/>
      <c r="F545" s="103"/>
    </row>
    <row r="546">
      <c r="A546" s="131"/>
      <c r="B546" s="131"/>
      <c r="C546" s="131"/>
      <c r="D546" s="131"/>
      <c r="E546" s="103"/>
      <c r="F546" s="103"/>
    </row>
    <row r="547">
      <c r="A547" s="131"/>
      <c r="B547" s="131"/>
      <c r="C547" s="131"/>
      <c r="D547" s="131"/>
      <c r="E547" s="103"/>
      <c r="F547" s="103"/>
    </row>
    <row r="548">
      <c r="A548" s="131"/>
      <c r="B548" s="131"/>
      <c r="C548" s="131"/>
      <c r="D548" s="131"/>
      <c r="E548" s="103"/>
      <c r="F548" s="103"/>
    </row>
    <row r="549">
      <c r="A549" s="131"/>
      <c r="B549" s="131"/>
      <c r="C549" s="131"/>
      <c r="D549" s="131"/>
      <c r="E549" s="103"/>
      <c r="F549" s="103"/>
    </row>
    <row r="550">
      <c r="A550" s="131"/>
      <c r="B550" s="131"/>
      <c r="C550" s="131"/>
      <c r="D550" s="131"/>
      <c r="E550" s="103"/>
      <c r="F550" s="103"/>
    </row>
    <row r="551">
      <c r="A551" s="131"/>
      <c r="B551" s="131"/>
      <c r="C551" s="131"/>
      <c r="D551" s="131"/>
      <c r="E551" s="103"/>
      <c r="F551" s="103"/>
    </row>
    <row r="552">
      <c r="A552" s="131"/>
      <c r="B552" s="131"/>
      <c r="C552" s="131"/>
      <c r="D552" s="131"/>
      <c r="E552" s="103"/>
      <c r="F552" s="103"/>
    </row>
    <row r="553">
      <c r="A553" s="131"/>
      <c r="B553" s="131"/>
      <c r="C553" s="131"/>
      <c r="D553" s="131"/>
      <c r="E553" s="99"/>
      <c r="F553" s="99"/>
    </row>
    <row r="554">
      <c r="A554" s="131"/>
      <c r="B554" s="131"/>
      <c r="C554" s="131"/>
      <c r="D554" s="131"/>
      <c r="E554" s="100"/>
      <c r="F554" s="100"/>
    </row>
    <row r="555">
      <c r="A555" s="131"/>
      <c r="B555" s="131"/>
      <c r="C555" s="131"/>
      <c r="D555" s="131"/>
      <c r="E555" s="100"/>
      <c r="F555" s="100"/>
    </row>
    <row r="556">
      <c r="A556" s="131"/>
      <c r="B556" s="131"/>
      <c r="C556" s="131"/>
      <c r="D556" s="131"/>
      <c r="E556" s="100"/>
      <c r="F556" s="100"/>
    </row>
    <row r="557">
      <c r="A557" s="131"/>
      <c r="B557" s="131"/>
      <c r="C557" s="131"/>
      <c r="D557" s="131"/>
      <c r="E557" s="100"/>
      <c r="F557" s="100"/>
    </row>
    <row r="558">
      <c r="A558" s="131"/>
      <c r="B558" s="131"/>
      <c r="C558" s="131"/>
      <c r="D558" s="131"/>
      <c r="E558" s="100"/>
      <c r="F558" s="100"/>
    </row>
    <row r="559">
      <c r="A559" s="131"/>
      <c r="B559" s="131"/>
      <c r="C559" s="131"/>
      <c r="D559" s="131"/>
      <c r="E559" s="100"/>
      <c r="F559" s="100"/>
    </row>
    <row r="560">
      <c r="A560" s="131"/>
      <c r="B560" s="131"/>
      <c r="C560" s="131"/>
      <c r="D560" s="131"/>
      <c r="E560" s="100"/>
      <c r="F560" s="100"/>
    </row>
    <row r="561">
      <c r="A561" s="131"/>
      <c r="B561" s="131"/>
      <c r="C561" s="131"/>
      <c r="D561" s="131"/>
      <c r="E561" s="100"/>
      <c r="F561" s="100"/>
    </row>
    <row r="562">
      <c r="A562" s="131"/>
      <c r="B562" s="131"/>
      <c r="C562" s="131"/>
      <c r="D562" s="131"/>
      <c r="E562" s="100"/>
      <c r="F562" s="100"/>
    </row>
    <row r="563">
      <c r="A563" s="131"/>
      <c r="B563" s="131"/>
      <c r="C563" s="131"/>
      <c r="D563" s="131"/>
      <c r="E563" s="100"/>
      <c r="F563" s="100"/>
    </row>
    <row r="564">
      <c r="A564" s="131"/>
      <c r="B564" s="131"/>
      <c r="C564" s="131"/>
      <c r="D564" s="131"/>
      <c r="E564" s="99"/>
      <c r="F564" s="99"/>
    </row>
    <row r="565">
      <c r="A565" s="131"/>
      <c r="B565" s="131"/>
      <c r="C565" s="131"/>
      <c r="D565" s="131"/>
      <c r="E565" s="100"/>
      <c r="F565" s="100"/>
    </row>
    <row r="566">
      <c r="A566" s="131"/>
      <c r="B566" s="131"/>
      <c r="C566" s="131"/>
      <c r="D566" s="131"/>
      <c r="E566" s="100"/>
      <c r="F566" s="100"/>
    </row>
    <row r="567">
      <c r="A567" s="131"/>
      <c r="B567" s="131"/>
      <c r="C567" s="131"/>
      <c r="D567" s="131"/>
      <c r="E567" s="100"/>
      <c r="F567" s="100"/>
    </row>
    <row r="568">
      <c r="A568" s="131"/>
      <c r="B568" s="131"/>
      <c r="C568" s="131"/>
      <c r="D568" s="131"/>
      <c r="E568" s="100"/>
      <c r="F568" s="100"/>
    </row>
    <row r="569">
      <c r="A569" s="131"/>
      <c r="B569" s="131"/>
      <c r="C569" s="131"/>
      <c r="D569" s="131"/>
      <c r="E569" s="100"/>
      <c r="F569" s="100"/>
    </row>
    <row r="570">
      <c r="A570" s="131"/>
      <c r="B570" s="131"/>
      <c r="C570" s="131"/>
      <c r="D570" s="131"/>
      <c r="E570" s="100"/>
      <c r="F570" s="100"/>
    </row>
    <row r="571">
      <c r="A571" s="131"/>
      <c r="B571" s="131"/>
      <c r="C571" s="131"/>
      <c r="D571" s="131"/>
      <c r="E571" s="101"/>
      <c r="F571" s="101"/>
    </row>
    <row r="572">
      <c r="A572" s="131"/>
      <c r="B572" s="131"/>
      <c r="C572" s="131"/>
      <c r="D572" s="131"/>
      <c r="E572" s="101"/>
      <c r="F572" s="101"/>
    </row>
    <row r="573">
      <c r="A573" s="131"/>
      <c r="B573" s="131"/>
      <c r="C573" s="131"/>
      <c r="D573" s="131"/>
      <c r="E573" s="101"/>
      <c r="F573" s="101"/>
    </row>
    <row r="574">
      <c r="A574" s="131"/>
      <c r="B574" s="131"/>
      <c r="C574" s="131"/>
      <c r="D574" s="131"/>
      <c r="E574" s="101"/>
      <c r="F574" s="101"/>
    </row>
    <row r="575">
      <c r="A575" s="131"/>
      <c r="B575" s="131"/>
      <c r="C575" s="131"/>
      <c r="D575" s="131"/>
      <c r="E575" s="101"/>
      <c r="F575" s="101"/>
    </row>
    <row r="576">
      <c r="A576" s="131"/>
      <c r="B576" s="131"/>
      <c r="C576" s="131"/>
      <c r="D576" s="131"/>
      <c r="E576" s="101"/>
      <c r="F576" s="101"/>
    </row>
    <row r="577">
      <c r="A577" s="131"/>
      <c r="B577" s="131"/>
      <c r="C577" s="131"/>
      <c r="D577" s="131"/>
      <c r="E577" s="105"/>
      <c r="F577" s="105"/>
    </row>
    <row r="578">
      <c r="A578" s="131"/>
      <c r="B578" s="131"/>
      <c r="C578" s="131"/>
      <c r="D578" s="131"/>
      <c r="E578" s="106"/>
      <c r="F578" s="106"/>
    </row>
    <row r="579">
      <c r="A579" s="131"/>
      <c r="B579" s="131"/>
      <c r="C579" s="131"/>
      <c r="D579" s="131"/>
      <c r="E579" s="107"/>
      <c r="F579" s="107"/>
    </row>
    <row r="580">
      <c r="A580" s="131"/>
      <c r="B580" s="131"/>
      <c r="C580" s="131"/>
      <c r="D580" s="131"/>
      <c r="E580" s="107"/>
      <c r="F580" s="107"/>
    </row>
    <row r="581">
      <c r="A581" s="131"/>
      <c r="B581" s="131"/>
      <c r="C581" s="131"/>
      <c r="D581" s="131"/>
      <c r="E581" s="108"/>
      <c r="F581" s="108"/>
    </row>
    <row r="582">
      <c r="A582" s="131"/>
      <c r="B582" s="131"/>
      <c r="C582" s="131"/>
      <c r="D582" s="131"/>
      <c r="E582" s="107"/>
      <c r="F582" s="107"/>
    </row>
    <row r="583">
      <c r="A583" s="131"/>
      <c r="B583" s="131"/>
      <c r="C583" s="131"/>
      <c r="D583" s="131"/>
      <c r="E583" s="106"/>
      <c r="F583" s="106"/>
    </row>
    <row r="584">
      <c r="A584" s="131"/>
      <c r="B584" s="131"/>
      <c r="C584" s="131"/>
      <c r="D584" s="131"/>
      <c r="E584" s="107"/>
      <c r="F584" s="107"/>
    </row>
    <row r="585">
      <c r="A585" s="131"/>
      <c r="B585" s="131"/>
      <c r="C585" s="131"/>
      <c r="D585" s="131"/>
      <c r="E585" s="107"/>
      <c r="F585" s="107"/>
    </row>
    <row r="586">
      <c r="A586" s="131"/>
      <c r="B586" s="131"/>
      <c r="C586" s="131"/>
      <c r="D586" s="131"/>
      <c r="E586" s="107"/>
      <c r="F586" s="107"/>
    </row>
    <row r="587">
      <c r="A587" s="131"/>
      <c r="B587" s="131"/>
      <c r="C587" s="131"/>
      <c r="D587" s="131"/>
      <c r="E587" s="107"/>
      <c r="F587" s="107"/>
    </row>
    <row r="588">
      <c r="A588" s="131"/>
      <c r="B588" s="131"/>
      <c r="C588" s="131"/>
      <c r="D588" s="131"/>
      <c r="E588" s="106"/>
      <c r="F588" s="106"/>
    </row>
    <row r="589">
      <c r="A589" s="131"/>
      <c r="B589" s="131"/>
      <c r="C589" s="131"/>
      <c r="D589" s="131"/>
      <c r="E589" s="107"/>
      <c r="F589" s="107"/>
    </row>
    <row r="590">
      <c r="A590" s="131"/>
      <c r="B590" s="131"/>
      <c r="C590" s="131"/>
      <c r="D590" s="131"/>
      <c r="E590" s="109"/>
      <c r="F590" s="109"/>
    </row>
    <row r="591">
      <c r="A591" s="131"/>
      <c r="B591" s="131"/>
      <c r="C591" s="131"/>
      <c r="D591" s="131"/>
      <c r="E591" s="110"/>
      <c r="F591" s="110"/>
    </row>
    <row r="592">
      <c r="A592" s="131"/>
      <c r="B592" s="131"/>
      <c r="C592" s="131"/>
      <c r="D592" s="131"/>
      <c r="E592" s="110"/>
      <c r="F592" s="110"/>
    </row>
    <row r="593">
      <c r="A593" s="131"/>
      <c r="B593" s="131"/>
      <c r="C593" s="131"/>
      <c r="D593" s="131"/>
      <c r="E593" s="111"/>
      <c r="F593" s="111"/>
    </row>
    <row r="594">
      <c r="A594" s="131"/>
      <c r="B594" s="131"/>
      <c r="C594" s="131"/>
      <c r="D594" s="131"/>
      <c r="E594" s="112"/>
      <c r="F594" s="112"/>
    </row>
    <row r="595">
      <c r="A595" s="131"/>
      <c r="B595" s="131"/>
      <c r="C595" s="131"/>
      <c r="D595" s="131"/>
      <c r="E595" s="112"/>
      <c r="F595" s="112"/>
    </row>
    <row r="596">
      <c r="A596" s="131"/>
      <c r="B596" s="131"/>
      <c r="C596" s="131"/>
      <c r="D596" s="131"/>
      <c r="E596" s="112"/>
      <c r="F596" s="112"/>
    </row>
    <row r="597">
      <c r="A597" s="131"/>
      <c r="B597" s="131"/>
      <c r="C597" s="131"/>
      <c r="D597" s="131"/>
      <c r="E597" s="112"/>
      <c r="F597" s="112"/>
    </row>
    <row r="598">
      <c r="A598" s="131"/>
      <c r="B598" s="131"/>
      <c r="C598" s="131"/>
      <c r="D598" s="131"/>
      <c r="E598" s="113"/>
      <c r="F598" s="110"/>
    </row>
    <row r="599">
      <c r="A599" s="131"/>
      <c r="B599" s="131"/>
      <c r="C599" s="131"/>
      <c r="D599" s="131"/>
      <c r="E599" s="114"/>
      <c r="F599" s="114"/>
    </row>
    <row r="600">
      <c r="A600" s="131"/>
      <c r="B600" s="131"/>
      <c r="C600" s="131"/>
      <c r="D600" s="131"/>
      <c r="E600" s="114"/>
      <c r="F600" s="114"/>
    </row>
    <row r="601">
      <c r="A601" s="131"/>
      <c r="B601" s="131"/>
      <c r="C601" s="131"/>
      <c r="D601" s="131"/>
      <c r="E601" s="114"/>
      <c r="F601" s="114"/>
    </row>
    <row r="602">
      <c r="A602" s="131"/>
      <c r="B602" s="131"/>
      <c r="C602" s="131"/>
      <c r="D602" s="131"/>
      <c r="E602" s="114"/>
      <c r="F602" s="114"/>
    </row>
    <row r="603">
      <c r="A603" s="131"/>
      <c r="B603" s="131"/>
      <c r="C603" s="131"/>
      <c r="D603" s="131"/>
      <c r="E603" s="114"/>
      <c r="F603" s="114"/>
    </row>
    <row r="604">
      <c r="A604" s="131"/>
      <c r="B604" s="131"/>
      <c r="C604" s="131"/>
      <c r="D604" s="131"/>
      <c r="E604" s="114"/>
      <c r="F604" s="114"/>
    </row>
    <row r="605">
      <c r="A605" s="131"/>
      <c r="B605" s="131"/>
      <c r="C605" s="131"/>
      <c r="D605" s="131"/>
      <c r="E605" s="114"/>
      <c r="F605" s="114"/>
    </row>
    <row r="606">
      <c r="A606" s="131"/>
      <c r="B606" s="131"/>
      <c r="C606" s="131"/>
      <c r="D606" s="131"/>
      <c r="E606" s="114"/>
      <c r="F606" s="114"/>
    </row>
    <row r="607">
      <c r="A607" s="131"/>
      <c r="B607" s="131"/>
      <c r="C607" s="131"/>
      <c r="D607" s="131"/>
      <c r="E607" s="114"/>
      <c r="F607" s="114"/>
    </row>
    <row r="608">
      <c r="A608" s="131"/>
      <c r="B608" s="131"/>
      <c r="C608" s="131"/>
      <c r="D608" s="131"/>
      <c r="E608" s="114"/>
      <c r="F608" s="114"/>
    </row>
    <row r="609">
      <c r="A609" s="131"/>
      <c r="B609" s="131"/>
      <c r="C609" s="131"/>
      <c r="D609" s="131"/>
      <c r="E609" s="114"/>
      <c r="F609" s="114"/>
    </row>
    <row r="610">
      <c r="A610" s="131"/>
      <c r="B610" s="131"/>
      <c r="C610" s="131"/>
      <c r="D610" s="131"/>
      <c r="E610" s="114"/>
      <c r="F610" s="114"/>
    </row>
    <row r="611">
      <c r="A611" s="131"/>
      <c r="B611" s="131"/>
      <c r="C611" s="131"/>
      <c r="D611" s="131"/>
      <c r="E611" s="114"/>
      <c r="F611" s="114"/>
    </row>
    <row r="612">
      <c r="A612" s="131"/>
      <c r="B612" s="131"/>
      <c r="C612" s="131"/>
      <c r="D612" s="131"/>
      <c r="E612" s="114"/>
      <c r="F612" s="114"/>
    </row>
    <row r="613">
      <c r="A613" s="131"/>
      <c r="B613" s="131"/>
      <c r="C613" s="131"/>
      <c r="D613" s="131"/>
      <c r="E613" s="114"/>
      <c r="F613" s="114"/>
    </row>
    <row r="614">
      <c r="A614" s="131"/>
      <c r="B614" s="131"/>
      <c r="C614" s="131"/>
      <c r="D614" s="131"/>
      <c r="E614" s="114"/>
      <c r="F614" s="114"/>
    </row>
    <row r="615">
      <c r="A615" s="131"/>
      <c r="B615" s="131"/>
      <c r="C615" s="131"/>
      <c r="D615" s="131"/>
      <c r="E615" s="114"/>
      <c r="F615" s="114"/>
    </row>
    <row r="616">
      <c r="A616" s="131"/>
      <c r="B616" s="131"/>
      <c r="C616" s="131"/>
      <c r="D616" s="131"/>
      <c r="E616" s="114"/>
      <c r="F616" s="114"/>
    </row>
    <row r="617">
      <c r="A617" s="131"/>
      <c r="B617" s="131"/>
      <c r="C617" s="131"/>
      <c r="D617" s="131"/>
      <c r="E617" s="114"/>
      <c r="F617" s="114"/>
    </row>
    <row r="618">
      <c r="A618" s="131"/>
      <c r="B618" s="131"/>
      <c r="C618" s="131"/>
      <c r="D618" s="131"/>
      <c r="E618" s="114"/>
      <c r="F618" s="114"/>
    </row>
    <row r="619">
      <c r="A619" s="131"/>
      <c r="B619" s="131"/>
      <c r="C619" s="131"/>
      <c r="D619" s="131"/>
      <c r="E619" s="131"/>
      <c r="F619" s="131"/>
    </row>
    <row r="620">
      <c r="A620" s="131"/>
      <c r="B620" s="131"/>
      <c r="C620" s="131"/>
      <c r="D620" s="131"/>
      <c r="E620" s="105"/>
      <c r="F620" s="105"/>
    </row>
    <row r="621">
      <c r="A621" s="131"/>
      <c r="B621" s="131"/>
      <c r="C621" s="131"/>
      <c r="D621" s="131"/>
      <c r="E621" s="115"/>
      <c r="F621" s="107"/>
    </row>
    <row r="622">
      <c r="A622" s="131"/>
      <c r="B622" s="131"/>
      <c r="C622" s="131"/>
      <c r="D622" s="131"/>
      <c r="E622" s="107"/>
      <c r="F622" s="107"/>
    </row>
    <row r="623">
      <c r="A623" s="131"/>
      <c r="B623" s="131"/>
      <c r="C623" s="131"/>
      <c r="D623" s="131"/>
      <c r="E623" s="116"/>
      <c r="F623" s="107"/>
    </row>
    <row r="624">
      <c r="A624" s="131"/>
      <c r="B624" s="131"/>
      <c r="C624" s="131"/>
      <c r="D624" s="131"/>
      <c r="E624" s="107"/>
      <c r="F624" s="107"/>
    </row>
    <row r="625">
      <c r="A625" s="131"/>
      <c r="B625" s="131"/>
      <c r="C625" s="131"/>
      <c r="D625" s="131"/>
      <c r="E625" s="107"/>
      <c r="F625" s="107"/>
    </row>
    <row r="626">
      <c r="A626" s="131"/>
      <c r="B626" s="131"/>
      <c r="C626" s="131"/>
      <c r="D626" s="131"/>
      <c r="E626" s="107"/>
      <c r="F626" s="107"/>
    </row>
    <row r="627">
      <c r="A627" s="131"/>
      <c r="B627" s="131"/>
      <c r="C627" s="131"/>
      <c r="D627" s="131"/>
      <c r="E627" s="107"/>
      <c r="F627" s="107"/>
    </row>
    <row r="628">
      <c r="A628" s="131"/>
      <c r="B628" s="131"/>
      <c r="C628" s="131"/>
      <c r="D628" s="131"/>
      <c r="E628" s="107"/>
      <c r="F628" s="107"/>
    </row>
    <row r="629">
      <c r="A629" s="131"/>
      <c r="B629" s="131"/>
      <c r="C629" s="131"/>
      <c r="D629" s="131"/>
      <c r="E629" s="107"/>
      <c r="F629" s="107"/>
    </row>
    <row r="630">
      <c r="A630" s="131"/>
      <c r="B630" s="131"/>
      <c r="C630" s="131"/>
      <c r="D630" s="131"/>
      <c r="E630" s="107"/>
      <c r="F630" s="107"/>
    </row>
    <row r="631">
      <c r="A631" s="131"/>
      <c r="B631" s="131"/>
      <c r="C631" s="131"/>
      <c r="D631" s="131"/>
      <c r="E631" s="107"/>
      <c r="F631" s="107"/>
    </row>
    <row r="632">
      <c r="A632" s="131"/>
      <c r="B632" s="131"/>
      <c r="C632" s="131"/>
      <c r="D632" s="131"/>
      <c r="E632" s="107"/>
      <c r="F632" s="107"/>
    </row>
    <row r="633">
      <c r="A633" s="131"/>
      <c r="B633" s="131"/>
      <c r="C633" s="131"/>
      <c r="D633" s="131"/>
      <c r="E633" s="107"/>
      <c r="F633" s="107"/>
    </row>
    <row r="634">
      <c r="A634" s="131"/>
      <c r="B634" s="131"/>
      <c r="C634" s="131"/>
      <c r="D634" s="131"/>
      <c r="E634" s="107"/>
      <c r="F634" s="107"/>
    </row>
    <row r="635">
      <c r="A635" s="131"/>
      <c r="B635" s="131"/>
      <c r="C635" s="131"/>
      <c r="D635" s="131"/>
      <c r="E635" s="107"/>
      <c r="F635" s="107"/>
    </row>
    <row r="636">
      <c r="A636" s="131"/>
      <c r="B636" s="131"/>
      <c r="C636" s="131"/>
      <c r="D636" s="131"/>
      <c r="E636" s="107"/>
      <c r="F636" s="107"/>
    </row>
    <row r="637">
      <c r="A637" s="131"/>
      <c r="B637" s="131"/>
      <c r="C637" s="131"/>
      <c r="D637" s="131"/>
      <c r="E637" s="107"/>
      <c r="F637" s="107"/>
    </row>
    <row r="638">
      <c r="A638" s="131"/>
      <c r="B638" s="131"/>
      <c r="C638" s="131"/>
      <c r="D638" s="131"/>
      <c r="E638" s="98"/>
      <c r="F638" s="107"/>
    </row>
    <row r="639">
      <c r="A639" s="131"/>
      <c r="B639" s="131"/>
      <c r="C639" s="131"/>
      <c r="D639" s="131"/>
      <c r="E639" s="131"/>
      <c r="F639" s="131"/>
    </row>
    <row r="640">
      <c r="A640" s="131"/>
      <c r="B640" s="131"/>
      <c r="C640" s="131"/>
      <c r="D640" s="131"/>
      <c r="E640" s="105"/>
      <c r="F640" s="105"/>
    </row>
    <row r="641">
      <c r="A641" s="131"/>
      <c r="B641" s="131"/>
      <c r="C641" s="131"/>
      <c r="D641" s="131"/>
      <c r="E641" s="109"/>
      <c r="F641" s="109"/>
    </row>
    <row r="642">
      <c r="A642" s="131"/>
      <c r="B642" s="131"/>
      <c r="C642" s="131"/>
      <c r="D642" s="131"/>
      <c r="E642" s="109"/>
      <c r="F642" s="109"/>
    </row>
    <row r="643">
      <c r="A643" s="131"/>
      <c r="B643" s="131"/>
      <c r="C643" s="131"/>
      <c r="D643" s="131"/>
      <c r="E643" s="109"/>
      <c r="F643" s="109"/>
    </row>
    <row r="644">
      <c r="A644" s="131"/>
      <c r="B644" s="131"/>
      <c r="C644" s="131"/>
      <c r="D644" s="131"/>
      <c r="E644" s="109"/>
      <c r="F644" s="109"/>
    </row>
    <row r="645">
      <c r="A645" s="131"/>
      <c r="B645" s="131"/>
      <c r="C645" s="131"/>
      <c r="D645" s="131"/>
      <c r="E645" s="109"/>
      <c r="F645" s="109"/>
    </row>
    <row r="646">
      <c r="A646" s="131"/>
      <c r="B646" s="131"/>
      <c r="C646" s="131"/>
      <c r="D646" s="131"/>
      <c r="E646" s="109"/>
      <c r="F646" s="109"/>
    </row>
    <row r="647">
      <c r="A647" s="131"/>
      <c r="B647" s="131"/>
      <c r="C647" s="131"/>
      <c r="D647" s="131"/>
      <c r="E647" s="109"/>
      <c r="F647" s="109"/>
    </row>
    <row r="648">
      <c r="A648" s="131"/>
      <c r="B648" s="131"/>
      <c r="C648" s="131"/>
      <c r="D648" s="131"/>
      <c r="E648" s="109"/>
      <c r="F648" s="109"/>
    </row>
    <row r="649">
      <c r="A649" s="131"/>
      <c r="B649" s="131"/>
      <c r="C649" s="131"/>
      <c r="D649" s="131"/>
      <c r="E649" s="109"/>
      <c r="F649" s="109"/>
    </row>
    <row r="650">
      <c r="A650" s="131"/>
      <c r="B650" s="131"/>
      <c r="C650" s="131"/>
      <c r="D650" s="131"/>
      <c r="E650" s="109"/>
      <c r="F650" s="109"/>
    </row>
    <row r="651">
      <c r="A651" s="131"/>
      <c r="B651" s="131"/>
      <c r="C651" s="131"/>
      <c r="D651" s="131"/>
      <c r="E651" s="109"/>
      <c r="F651" s="109"/>
    </row>
    <row r="652">
      <c r="A652" s="131"/>
      <c r="B652" s="131"/>
      <c r="C652" s="131"/>
      <c r="D652" s="131"/>
      <c r="E652" s="109"/>
      <c r="F652" s="109"/>
    </row>
    <row r="653">
      <c r="A653" s="131"/>
      <c r="B653" s="131"/>
      <c r="C653" s="131"/>
      <c r="D653" s="131"/>
      <c r="E653" s="109"/>
      <c r="F653" s="109"/>
    </row>
    <row r="654">
      <c r="A654" s="131"/>
      <c r="B654" s="131"/>
      <c r="C654" s="131"/>
      <c r="D654" s="131"/>
      <c r="E654" s="109"/>
      <c r="F654" s="109"/>
    </row>
    <row r="655">
      <c r="A655" s="131"/>
      <c r="B655" s="131"/>
      <c r="C655" s="131"/>
      <c r="D655" s="131"/>
      <c r="E655" s="109"/>
      <c r="F655" s="109"/>
    </row>
    <row r="656">
      <c r="A656" s="131"/>
      <c r="B656" s="131"/>
      <c r="C656" s="131"/>
      <c r="D656" s="131"/>
      <c r="E656" s="109"/>
      <c r="F656" s="109"/>
    </row>
    <row r="657">
      <c r="A657" s="131"/>
      <c r="B657" s="131"/>
      <c r="C657" s="131"/>
      <c r="D657" s="131"/>
      <c r="E657" s="109"/>
      <c r="F657" s="109"/>
    </row>
    <row r="658">
      <c r="A658" s="131"/>
      <c r="B658" s="131"/>
      <c r="C658" s="131"/>
      <c r="D658" s="131"/>
      <c r="E658" s="109"/>
      <c r="F658" s="109"/>
    </row>
    <row r="659">
      <c r="A659" s="131"/>
      <c r="B659" s="131"/>
      <c r="C659" s="131"/>
      <c r="D659" s="131"/>
      <c r="E659" s="109"/>
      <c r="F659" s="109"/>
    </row>
    <row r="660">
      <c r="A660" s="131"/>
      <c r="B660" s="131"/>
      <c r="C660" s="131"/>
      <c r="D660" s="131"/>
      <c r="E660" s="109"/>
      <c r="F660" s="109"/>
    </row>
    <row r="661">
      <c r="A661" s="131"/>
      <c r="B661" s="131"/>
      <c r="C661" s="131"/>
      <c r="D661" s="131"/>
      <c r="E661" s="109"/>
      <c r="F661" s="109"/>
    </row>
    <row r="662">
      <c r="A662" s="131"/>
      <c r="B662" s="131"/>
      <c r="C662" s="131"/>
      <c r="D662" s="131"/>
      <c r="E662" s="109"/>
      <c r="F662" s="109"/>
    </row>
    <row r="663">
      <c r="A663" s="131"/>
      <c r="B663" s="131"/>
      <c r="C663" s="131"/>
      <c r="D663" s="131"/>
      <c r="E663" s="109"/>
      <c r="F663" s="109"/>
    </row>
    <row r="664">
      <c r="A664" s="131"/>
      <c r="B664" s="131"/>
      <c r="C664" s="131"/>
      <c r="D664" s="131"/>
      <c r="E664" s="109"/>
      <c r="F664" s="109"/>
    </row>
    <row r="665">
      <c r="A665" s="131"/>
      <c r="B665" s="131"/>
      <c r="C665" s="131"/>
      <c r="D665" s="131"/>
      <c r="E665" s="109"/>
      <c r="F665" s="109"/>
    </row>
    <row r="666">
      <c r="A666" s="131"/>
      <c r="B666" s="131"/>
      <c r="C666" s="131"/>
      <c r="D666" s="131"/>
      <c r="E666" s="131"/>
      <c r="F666" s="131"/>
    </row>
    <row r="667">
      <c r="A667" s="131"/>
      <c r="B667" s="131"/>
      <c r="C667" s="131"/>
      <c r="D667" s="131"/>
      <c r="E667" s="105"/>
      <c r="F667" s="105"/>
    </row>
    <row r="668">
      <c r="A668" s="131"/>
      <c r="B668" s="131"/>
      <c r="C668" s="131"/>
      <c r="D668" s="131"/>
      <c r="E668" s="107"/>
      <c r="F668" s="107"/>
    </row>
    <row r="669">
      <c r="A669" s="131"/>
      <c r="B669" s="131"/>
      <c r="C669" s="131"/>
      <c r="D669" s="131"/>
      <c r="E669" s="107"/>
      <c r="F669" s="107"/>
    </row>
    <row r="670">
      <c r="A670" s="131"/>
      <c r="B670" s="131"/>
      <c r="C670" s="131"/>
      <c r="D670" s="131"/>
      <c r="E670" s="107"/>
      <c r="F670" s="107"/>
    </row>
    <row r="671">
      <c r="A671" s="131"/>
      <c r="B671" s="131"/>
      <c r="C671" s="131"/>
      <c r="D671" s="131"/>
      <c r="E671" s="107"/>
      <c r="F671" s="107"/>
    </row>
    <row r="672">
      <c r="A672" s="131"/>
      <c r="B672" s="131"/>
      <c r="C672" s="131"/>
      <c r="D672" s="131"/>
      <c r="E672" s="107"/>
      <c r="F672" s="107"/>
    </row>
    <row r="673">
      <c r="A673" s="131"/>
      <c r="B673" s="131"/>
      <c r="C673" s="131"/>
      <c r="D673" s="131"/>
      <c r="E673" s="107"/>
      <c r="F673" s="107"/>
    </row>
    <row r="674">
      <c r="A674" s="131"/>
      <c r="B674" s="131"/>
      <c r="C674" s="131"/>
      <c r="D674" s="131"/>
      <c r="E674" s="107"/>
      <c r="F674" s="107"/>
    </row>
    <row r="675">
      <c r="A675" s="131"/>
      <c r="B675" s="131"/>
      <c r="C675" s="131"/>
      <c r="D675" s="131"/>
      <c r="E675" s="107"/>
      <c r="F675" s="107"/>
    </row>
    <row r="676">
      <c r="A676" s="131"/>
      <c r="B676" s="131"/>
      <c r="C676" s="131"/>
      <c r="D676" s="131"/>
      <c r="E676" s="107"/>
      <c r="F676" s="107"/>
    </row>
    <row r="677">
      <c r="A677" s="131"/>
      <c r="B677" s="131"/>
      <c r="C677" s="131"/>
      <c r="D677" s="131"/>
      <c r="E677" s="107"/>
      <c r="F677" s="107"/>
    </row>
    <row r="678">
      <c r="A678" s="131"/>
      <c r="B678" s="131"/>
      <c r="C678" s="131"/>
      <c r="D678" s="131"/>
      <c r="E678" s="107"/>
      <c r="F678" s="107"/>
    </row>
    <row r="679">
      <c r="A679" s="131"/>
      <c r="B679" s="131"/>
      <c r="C679" s="131"/>
      <c r="D679" s="131"/>
      <c r="E679" s="107"/>
      <c r="F679" s="107"/>
    </row>
    <row r="680">
      <c r="A680" s="131"/>
      <c r="B680" s="131"/>
      <c r="C680" s="131"/>
      <c r="D680" s="131"/>
      <c r="E680" s="107"/>
      <c r="F680" s="107"/>
    </row>
    <row r="681">
      <c r="A681" s="131"/>
      <c r="B681" s="131"/>
      <c r="C681" s="131"/>
      <c r="D681" s="131"/>
      <c r="E681" s="107"/>
      <c r="F681" s="107"/>
    </row>
    <row r="682">
      <c r="A682" s="131"/>
      <c r="B682" s="131"/>
      <c r="C682" s="131"/>
      <c r="D682" s="131"/>
      <c r="E682" s="107"/>
      <c r="F682" s="107"/>
    </row>
    <row r="683">
      <c r="A683" s="131"/>
      <c r="B683" s="131"/>
      <c r="C683" s="131"/>
      <c r="D683" s="131"/>
      <c r="E683" s="107"/>
      <c r="F683" s="107"/>
    </row>
    <row r="684">
      <c r="A684" s="131"/>
      <c r="B684" s="131"/>
      <c r="C684" s="131"/>
      <c r="D684" s="131"/>
      <c r="E684" s="107"/>
      <c r="F684" s="107"/>
    </row>
    <row r="685">
      <c r="A685" s="131"/>
      <c r="B685" s="131"/>
      <c r="C685" s="131"/>
      <c r="D685" s="131"/>
      <c r="E685" s="107"/>
      <c r="F685" s="107"/>
    </row>
    <row r="686">
      <c r="A686" s="131"/>
      <c r="B686" s="131"/>
      <c r="C686" s="131"/>
      <c r="D686" s="131"/>
      <c r="E686" s="107"/>
      <c r="F686" s="107"/>
    </row>
    <row r="687">
      <c r="A687" s="131"/>
      <c r="B687" s="131"/>
      <c r="C687" s="131"/>
      <c r="D687" s="131"/>
      <c r="E687" s="107"/>
      <c r="F687" s="107"/>
    </row>
    <row r="688">
      <c r="A688" s="131"/>
      <c r="B688" s="131"/>
      <c r="C688" s="131"/>
      <c r="D688" s="131"/>
      <c r="E688" s="107"/>
      <c r="F688" s="107"/>
    </row>
    <row r="689">
      <c r="A689" s="131"/>
      <c r="B689" s="131"/>
      <c r="C689" s="131"/>
      <c r="D689" s="131"/>
      <c r="E689" s="107"/>
      <c r="F689" s="107"/>
    </row>
    <row r="690">
      <c r="A690" s="131"/>
      <c r="B690" s="131"/>
      <c r="C690" s="131"/>
      <c r="D690" s="131"/>
      <c r="E690" s="107"/>
      <c r="F690" s="107"/>
    </row>
    <row r="691">
      <c r="A691" s="131"/>
      <c r="B691" s="131"/>
      <c r="C691" s="131"/>
      <c r="D691" s="131"/>
      <c r="E691" s="107"/>
      <c r="F691" s="107"/>
    </row>
    <row r="692">
      <c r="A692" s="131"/>
      <c r="B692" s="131"/>
      <c r="C692" s="131"/>
      <c r="D692" s="131"/>
      <c r="E692" s="107"/>
      <c r="F692" s="107"/>
    </row>
    <row r="693">
      <c r="A693" s="131"/>
      <c r="B693" s="131"/>
      <c r="C693" s="131"/>
      <c r="D693" s="131"/>
      <c r="E693" s="107"/>
      <c r="F693" s="107"/>
    </row>
    <row r="694">
      <c r="A694" s="131"/>
      <c r="B694" s="131"/>
      <c r="C694" s="131"/>
      <c r="D694" s="131"/>
      <c r="E694" s="107"/>
      <c r="F694" s="107"/>
    </row>
    <row r="695">
      <c r="A695" s="131"/>
      <c r="B695" s="131"/>
      <c r="C695" s="131"/>
      <c r="D695" s="131"/>
      <c r="E695" s="107"/>
      <c r="F695" s="107"/>
    </row>
    <row r="696">
      <c r="A696" s="131"/>
      <c r="B696" s="131"/>
      <c r="C696" s="131"/>
      <c r="D696" s="131"/>
      <c r="E696" s="107"/>
      <c r="F696" s="107"/>
    </row>
    <row r="697">
      <c r="A697" s="131"/>
      <c r="B697" s="131"/>
      <c r="C697" s="131"/>
      <c r="D697" s="131"/>
      <c r="E697" s="107"/>
      <c r="F697" s="107"/>
    </row>
    <row r="698">
      <c r="A698" s="131"/>
      <c r="B698" s="131"/>
      <c r="C698" s="131"/>
      <c r="D698" s="131"/>
      <c r="E698" s="107"/>
      <c r="F698" s="107"/>
    </row>
    <row r="699">
      <c r="A699" s="131"/>
      <c r="B699" s="131"/>
      <c r="C699" s="131"/>
      <c r="D699" s="131"/>
      <c r="E699" s="107"/>
      <c r="F699" s="107"/>
    </row>
    <row r="700">
      <c r="A700" s="131"/>
      <c r="B700" s="131"/>
      <c r="C700" s="131"/>
      <c r="D700" s="131"/>
      <c r="E700" s="107"/>
      <c r="F700" s="107"/>
    </row>
    <row r="701">
      <c r="A701" s="131"/>
      <c r="B701" s="131"/>
      <c r="C701" s="131"/>
      <c r="D701" s="131"/>
      <c r="E701" s="107"/>
      <c r="F701" s="107"/>
    </row>
    <row r="702">
      <c r="A702" s="131"/>
      <c r="B702" s="131"/>
      <c r="C702" s="131"/>
      <c r="D702" s="131"/>
      <c r="E702" s="107"/>
      <c r="F702" s="107"/>
    </row>
    <row r="703">
      <c r="A703" s="131"/>
      <c r="B703" s="131"/>
      <c r="C703" s="131"/>
      <c r="D703" s="131"/>
      <c r="E703" s="107"/>
      <c r="F703" s="107"/>
    </row>
    <row r="704">
      <c r="A704" s="131"/>
      <c r="B704" s="131"/>
      <c r="C704" s="131"/>
      <c r="D704" s="131"/>
      <c r="E704" s="116"/>
      <c r="F704" s="107"/>
    </row>
    <row r="705">
      <c r="A705" s="131"/>
      <c r="B705" s="131"/>
      <c r="C705" s="131"/>
      <c r="D705" s="131"/>
      <c r="E705" s="107"/>
      <c r="F705" s="107"/>
    </row>
    <row r="706">
      <c r="A706" s="131"/>
      <c r="B706" s="131"/>
      <c r="C706" s="131"/>
      <c r="D706" s="131"/>
      <c r="E706" s="107"/>
      <c r="F706" s="107"/>
    </row>
    <row r="707">
      <c r="A707" s="131"/>
      <c r="B707" s="131"/>
      <c r="C707" s="131"/>
      <c r="D707" s="131"/>
      <c r="E707" s="107"/>
      <c r="F707" s="107"/>
    </row>
    <row r="708">
      <c r="A708" s="131"/>
      <c r="B708" s="131"/>
      <c r="C708" s="131"/>
      <c r="D708" s="131"/>
      <c r="E708" s="107"/>
      <c r="F708" s="107"/>
    </row>
    <row r="709">
      <c r="A709" s="131"/>
      <c r="B709" s="131"/>
      <c r="C709" s="131"/>
      <c r="D709" s="131"/>
      <c r="E709" s="118"/>
      <c r="F709" s="107"/>
    </row>
    <row r="710">
      <c r="A710" s="131"/>
      <c r="B710" s="131"/>
      <c r="C710" s="131"/>
      <c r="D710" s="131"/>
      <c r="E710" s="118"/>
      <c r="F710" s="107"/>
    </row>
    <row r="711">
      <c r="A711" s="131"/>
      <c r="B711" s="131"/>
      <c r="C711" s="131"/>
      <c r="D711" s="131"/>
      <c r="E711" s="118"/>
      <c r="F711" s="107"/>
    </row>
    <row r="712">
      <c r="A712" s="131"/>
      <c r="B712" s="131"/>
      <c r="C712" s="131"/>
      <c r="D712" s="131"/>
      <c r="E712" s="118"/>
      <c r="F712" s="107"/>
    </row>
    <row r="713">
      <c r="A713" s="131"/>
      <c r="B713" s="131"/>
      <c r="C713" s="131"/>
      <c r="D713" s="131"/>
      <c r="E713" s="119"/>
      <c r="F713" s="119"/>
    </row>
    <row r="714">
      <c r="A714" s="131"/>
      <c r="B714" s="131"/>
      <c r="C714" s="131"/>
      <c r="D714" s="131"/>
      <c r="E714" s="107"/>
      <c r="F714" s="107"/>
    </row>
    <row r="715">
      <c r="A715" s="131"/>
      <c r="B715" s="131"/>
      <c r="C715" s="131"/>
      <c r="D715" s="131"/>
      <c r="E715" s="107"/>
      <c r="F715" s="107"/>
    </row>
    <row r="716">
      <c r="A716" s="131"/>
      <c r="B716" s="131"/>
      <c r="C716" s="131"/>
      <c r="D716" s="131"/>
      <c r="E716" s="107"/>
      <c r="F716" s="107"/>
    </row>
    <row r="717">
      <c r="A717" s="131"/>
      <c r="B717" s="131"/>
      <c r="C717" s="131"/>
      <c r="D717" s="131"/>
      <c r="E717" s="107"/>
      <c r="F717" s="107"/>
    </row>
    <row r="718">
      <c r="A718" s="131"/>
      <c r="B718" s="131"/>
      <c r="C718" s="131"/>
      <c r="D718" s="131"/>
      <c r="E718" s="107"/>
      <c r="F718" s="107"/>
    </row>
    <row r="719">
      <c r="A719" s="131"/>
      <c r="B719" s="131"/>
      <c r="C719" s="131"/>
      <c r="D719" s="131"/>
      <c r="E719" s="107"/>
      <c r="F719" s="107"/>
    </row>
    <row r="720">
      <c r="A720" s="131"/>
      <c r="B720" s="131"/>
      <c r="C720" s="131"/>
      <c r="D720" s="131"/>
      <c r="E720" s="107"/>
      <c r="F720" s="107"/>
    </row>
    <row r="721">
      <c r="A721" s="131"/>
      <c r="B721" s="131"/>
      <c r="C721" s="131"/>
      <c r="D721" s="131"/>
      <c r="E721" s="107"/>
      <c r="F721" s="107"/>
    </row>
    <row r="722">
      <c r="A722" s="131"/>
      <c r="B722" s="131"/>
      <c r="C722" s="131"/>
      <c r="D722" s="131"/>
      <c r="E722" s="107"/>
      <c r="F722" s="107"/>
    </row>
    <row r="723">
      <c r="A723" s="131"/>
      <c r="B723" s="131"/>
      <c r="C723" s="131"/>
      <c r="D723" s="131"/>
      <c r="E723" s="107"/>
      <c r="F723" s="107"/>
    </row>
    <row r="724">
      <c r="A724" s="131"/>
      <c r="B724" s="131"/>
      <c r="C724" s="131"/>
      <c r="D724" s="131"/>
      <c r="E724" s="107"/>
      <c r="F724" s="107"/>
    </row>
    <row r="725">
      <c r="A725" s="131"/>
      <c r="B725" s="131"/>
      <c r="C725" s="131"/>
      <c r="D725" s="131"/>
      <c r="E725" s="107"/>
      <c r="F725" s="107"/>
    </row>
    <row r="726">
      <c r="A726" s="131"/>
      <c r="B726" s="131"/>
      <c r="C726" s="131"/>
      <c r="D726" s="131"/>
      <c r="E726" s="107"/>
      <c r="F726" s="107"/>
    </row>
    <row r="727">
      <c r="A727" s="131"/>
      <c r="B727" s="131"/>
      <c r="C727" s="131"/>
      <c r="D727" s="131"/>
      <c r="E727" s="107"/>
      <c r="F727" s="107"/>
    </row>
    <row r="728">
      <c r="A728" s="131"/>
      <c r="B728" s="131"/>
      <c r="C728" s="131"/>
      <c r="D728" s="131"/>
      <c r="E728" s="107"/>
      <c r="F728" s="115"/>
    </row>
    <row r="729">
      <c r="A729" s="131"/>
      <c r="B729" s="131"/>
      <c r="C729" s="131"/>
      <c r="D729" s="131"/>
      <c r="E729" s="107"/>
      <c r="F729" s="107"/>
    </row>
    <row r="730">
      <c r="A730" s="131"/>
      <c r="B730" s="131"/>
      <c r="C730" s="131"/>
      <c r="D730" s="131"/>
      <c r="E730" s="131"/>
      <c r="F730" s="131"/>
    </row>
    <row r="731">
      <c r="A731" s="131"/>
      <c r="B731" s="131"/>
      <c r="C731" s="131"/>
      <c r="D731" s="131"/>
      <c r="E731" s="131"/>
      <c r="F731" s="131"/>
    </row>
    <row r="732">
      <c r="A732" s="131"/>
      <c r="B732" s="131"/>
      <c r="C732" s="131"/>
      <c r="D732" s="131"/>
      <c r="E732" s="131"/>
      <c r="F732" s="131"/>
    </row>
    <row r="733">
      <c r="A733" s="131"/>
      <c r="B733" s="131"/>
      <c r="C733" s="131"/>
      <c r="D733" s="131"/>
      <c r="E733" s="131"/>
      <c r="F733" s="131"/>
    </row>
    <row r="734">
      <c r="A734" s="131"/>
      <c r="B734" s="131"/>
      <c r="C734" s="131"/>
      <c r="D734" s="131"/>
      <c r="E734" s="131"/>
      <c r="F734" s="131"/>
    </row>
    <row r="735">
      <c r="A735" s="131"/>
      <c r="B735" s="131"/>
      <c r="C735" s="131"/>
      <c r="D735" s="131"/>
      <c r="E735" s="131"/>
      <c r="F735" s="131"/>
    </row>
    <row r="736">
      <c r="A736" s="131"/>
      <c r="B736" s="131"/>
      <c r="C736" s="131"/>
      <c r="D736" s="131"/>
      <c r="E736" s="131"/>
      <c r="F736" s="131"/>
    </row>
    <row r="737">
      <c r="A737" s="131"/>
      <c r="B737" s="131"/>
      <c r="C737" s="131"/>
      <c r="D737" s="131"/>
      <c r="E737" s="131"/>
      <c r="F737" s="131"/>
    </row>
    <row r="738">
      <c r="A738" s="131"/>
      <c r="B738" s="131"/>
      <c r="C738" s="131"/>
      <c r="D738" s="131"/>
      <c r="E738" s="131"/>
      <c r="F738" s="131"/>
    </row>
    <row r="739">
      <c r="A739" s="131"/>
      <c r="B739" s="131"/>
      <c r="C739" s="131"/>
      <c r="D739" s="131"/>
      <c r="E739" s="131"/>
      <c r="F739" s="131"/>
    </row>
    <row r="740">
      <c r="A740" s="131"/>
      <c r="B740" s="131"/>
      <c r="C740" s="131"/>
      <c r="D740" s="131"/>
      <c r="E740" s="131"/>
      <c r="F740" s="131"/>
    </row>
    <row r="741">
      <c r="A741" s="131"/>
      <c r="B741" s="131"/>
      <c r="C741" s="131"/>
      <c r="D741" s="131"/>
      <c r="E741" s="131"/>
      <c r="F741" s="131"/>
    </row>
    <row r="742">
      <c r="A742" s="131"/>
      <c r="B742" s="131"/>
      <c r="C742" s="131"/>
      <c r="D742" s="131"/>
      <c r="E742" s="131"/>
      <c r="F742" s="131"/>
    </row>
    <row r="743">
      <c r="A743" s="131"/>
      <c r="B743" s="131"/>
      <c r="C743" s="131"/>
      <c r="D743" s="131"/>
      <c r="E743" s="131"/>
      <c r="F743" s="131"/>
    </row>
    <row r="744">
      <c r="A744" s="131"/>
      <c r="B744" s="131"/>
      <c r="C744" s="131"/>
      <c r="D744" s="131"/>
      <c r="E744" s="131"/>
      <c r="F744" s="131"/>
    </row>
    <row r="745">
      <c r="A745" s="131"/>
      <c r="B745" s="131"/>
      <c r="C745" s="131"/>
      <c r="D745" s="131"/>
      <c r="E745" s="131"/>
      <c r="F745" s="131"/>
    </row>
    <row r="746">
      <c r="A746" s="131"/>
      <c r="B746" s="131"/>
      <c r="C746" s="131"/>
      <c r="D746" s="131"/>
      <c r="E746" s="131"/>
      <c r="F746" s="131"/>
    </row>
    <row r="747">
      <c r="A747" s="131"/>
      <c r="B747" s="131"/>
      <c r="C747" s="131"/>
      <c r="D747" s="131"/>
      <c r="E747" s="131"/>
      <c r="F747" s="131"/>
    </row>
    <row r="748">
      <c r="A748" s="131"/>
      <c r="B748" s="131"/>
      <c r="C748" s="131"/>
      <c r="D748" s="131"/>
      <c r="E748" s="131"/>
      <c r="F748" s="131"/>
    </row>
    <row r="749">
      <c r="A749" s="131"/>
      <c r="B749" s="131"/>
      <c r="C749" s="131"/>
      <c r="D749" s="131"/>
      <c r="E749" s="131"/>
      <c r="F749" s="131"/>
    </row>
    <row r="750">
      <c r="A750" s="131"/>
      <c r="B750" s="131"/>
      <c r="C750" s="131"/>
      <c r="D750" s="131"/>
      <c r="E750" s="110"/>
      <c r="F750" s="110"/>
    </row>
    <row r="751">
      <c r="A751" s="131"/>
      <c r="B751" s="131"/>
      <c r="C751" s="131"/>
      <c r="D751" s="131"/>
      <c r="E751" s="111"/>
      <c r="F751" s="111"/>
    </row>
    <row r="752">
      <c r="A752" s="86"/>
      <c r="B752" s="87"/>
      <c r="C752" s="131"/>
      <c r="D752" s="131"/>
      <c r="E752" s="131"/>
      <c r="F752" s="131"/>
      <c r="G752" s="88"/>
      <c r="L752" s="88"/>
      <c r="Q752" s="89"/>
    </row>
    <row r="753">
      <c r="A753" s="131"/>
      <c r="B753" s="131"/>
      <c r="C753" s="131"/>
      <c r="D753" s="131"/>
      <c r="E753" s="131"/>
      <c r="F753" s="131"/>
      <c r="G753" s="91"/>
      <c r="H753" s="92"/>
      <c r="I753" s="92"/>
      <c r="J753" s="93"/>
      <c r="K753" s="93"/>
      <c r="L753" s="93"/>
      <c r="M753" s="93"/>
      <c r="N753" s="93"/>
      <c r="O753" s="93"/>
      <c r="P753" s="93"/>
      <c r="Q753" s="90"/>
      <c r="R753" s="90"/>
      <c r="S753" s="90"/>
      <c r="T753" s="90"/>
      <c r="U753" s="90"/>
      <c r="V753" s="90"/>
      <c r="W753" s="90"/>
    </row>
    <row r="754">
      <c r="A754" s="131"/>
      <c r="B754" s="131"/>
      <c r="C754" s="131"/>
      <c r="D754" s="131"/>
      <c r="E754" s="94"/>
      <c r="F754" s="94"/>
    </row>
    <row r="755">
      <c r="A755" s="131"/>
      <c r="B755" s="131"/>
      <c r="C755" s="131"/>
      <c r="D755" s="131"/>
      <c r="E755" s="95"/>
      <c r="F755" s="96"/>
    </row>
    <row r="756">
      <c r="A756" s="131"/>
      <c r="B756" s="131"/>
      <c r="C756" s="131"/>
      <c r="D756" s="131"/>
      <c r="E756" s="95"/>
      <c r="F756" s="96"/>
    </row>
    <row r="757">
      <c r="A757" s="131"/>
      <c r="B757" s="131"/>
      <c r="C757" s="131"/>
      <c r="D757" s="131"/>
      <c r="E757" s="96"/>
      <c r="F757" s="96"/>
    </row>
    <row r="758">
      <c r="A758" s="131"/>
      <c r="B758" s="131"/>
      <c r="C758" s="131"/>
      <c r="D758" s="131"/>
      <c r="E758" s="96"/>
      <c r="F758" s="96"/>
    </row>
    <row r="759">
      <c r="A759" s="131"/>
      <c r="B759" s="131"/>
      <c r="C759" s="131"/>
      <c r="D759" s="131"/>
      <c r="E759" s="96"/>
      <c r="F759" s="96"/>
    </row>
    <row r="760">
      <c r="A760" s="131"/>
      <c r="B760" s="131"/>
      <c r="C760" s="131"/>
      <c r="D760" s="131"/>
      <c r="E760" s="96"/>
      <c r="F760" s="96"/>
    </row>
    <row r="761">
      <c r="A761" s="131"/>
      <c r="B761" s="131"/>
      <c r="C761" s="131"/>
      <c r="D761" s="131"/>
      <c r="E761" s="96"/>
      <c r="F761" s="96"/>
    </row>
    <row r="762">
      <c r="A762" s="131"/>
      <c r="B762" s="131"/>
      <c r="C762" s="131"/>
      <c r="D762" s="131"/>
      <c r="E762" s="96"/>
      <c r="F762" s="96"/>
    </row>
    <row r="763">
      <c r="A763" s="131"/>
      <c r="B763" s="131"/>
      <c r="C763" s="131"/>
      <c r="D763" s="131"/>
      <c r="E763" s="96"/>
      <c r="F763" s="96"/>
    </row>
    <row r="764">
      <c r="A764" s="131"/>
      <c r="B764" s="131"/>
      <c r="C764" s="131"/>
      <c r="D764" s="131"/>
      <c r="E764" s="96"/>
      <c r="F764" s="96"/>
    </row>
    <row r="765">
      <c r="A765" s="131"/>
      <c r="B765" s="131"/>
      <c r="C765" s="131"/>
      <c r="D765" s="131"/>
      <c r="E765" s="96"/>
      <c r="F765" s="96"/>
    </row>
    <row r="766">
      <c r="A766" s="131"/>
      <c r="B766" s="131"/>
      <c r="C766" s="131"/>
      <c r="D766" s="131"/>
      <c r="E766" s="96"/>
      <c r="F766" s="96"/>
    </row>
    <row r="767">
      <c r="A767" s="131"/>
      <c r="B767" s="131"/>
      <c r="C767" s="131"/>
      <c r="D767" s="131"/>
      <c r="E767" s="96"/>
      <c r="F767" s="96"/>
    </row>
    <row r="768">
      <c r="A768" s="131"/>
      <c r="B768" s="131"/>
      <c r="C768" s="131"/>
      <c r="D768" s="131"/>
      <c r="E768" s="97"/>
      <c r="F768" s="97"/>
    </row>
    <row r="769">
      <c r="A769" s="131"/>
      <c r="B769" s="131"/>
      <c r="C769" s="131"/>
      <c r="D769" s="131"/>
      <c r="E769" s="96"/>
      <c r="F769" s="96"/>
    </row>
    <row r="770">
      <c r="A770" s="131"/>
      <c r="B770" s="131"/>
      <c r="C770" s="131"/>
      <c r="D770" s="131"/>
      <c r="E770" s="96"/>
      <c r="F770" s="96"/>
    </row>
    <row r="771">
      <c r="A771" s="131"/>
      <c r="B771" s="131"/>
      <c r="C771" s="131"/>
      <c r="D771" s="131"/>
      <c r="E771" s="96"/>
      <c r="F771" s="96"/>
    </row>
    <row r="772">
      <c r="A772" s="131"/>
      <c r="B772" s="131"/>
      <c r="C772" s="131"/>
      <c r="D772" s="131"/>
      <c r="E772" s="96"/>
      <c r="F772" s="96"/>
    </row>
    <row r="773">
      <c r="A773" s="131"/>
      <c r="B773" s="131"/>
      <c r="C773" s="131"/>
      <c r="D773" s="131"/>
      <c r="E773" s="96"/>
      <c r="F773" s="96"/>
    </row>
    <row r="774">
      <c r="A774" s="131"/>
      <c r="B774" s="131"/>
      <c r="C774" s="131"/>
      <c r="D774" s="131"/>
      <c r="E774" s="96"/>
      <c r="F774" s="96"/>
    </row>
    <row r="775">
      <c r="A775" s="131"/>
      <c r="B775" s="131"/>
      <c r="C775" s="131"/>
      <c r="D775" s="131"/>
      <c r="E775" s="98"/>
      <c r="F775" s="96"/>
    </row>
    <row r="776">
      <c r="A776" s="131"/>
      <c r="B776" s="131"/>
      <c r="C776" s="131"/>
      <c r="D776" s="131"/>
      <c r="E776" s="99"/>
      <c r="F776" s="99"/>
    </row>
    <row r="777">
      <c r="A777" s="131"/>
      <c r="B777" s="131"/>
      <c r="C777" s="131"/>
      <c r="D777" s="131"/>
      <c r="E777" s="100"/>
      <c r="F777" s="100"/>
    </row>
    <row r="778">
      <c r="A778" s="131"/>
      <c r="B778" s="131"/>
      <c r="C778" s="131"/>
      <c r="D778" s="131"/>
      <c r="E778" s="100"/>
      <c r="F778" s="100"/>
    </row>
    <row r="779">
      <c r="A779" s="131"/>
      <c r="B779" s="131"/>
      <c r="C779" s="131"/>
      <c r="D779" s="131"/>
      <c r="E779" s="100"/>
      <c r="F779" s="100"/>
    </row>
    <row r="780">
      <c r="A780" s="131"/>
      <c r="B780" s="131"/>
      <c r="C780" s="131"/>
      <c r="D780" s="131"/>
      <c r="E780" s="100"/>
      <c r="F780" s="100"/>
    </row>
    <row r="781">
      <c r="A781" s="131"/>
      <c r="B781" s="131"/>
      <c r="C781" s="131"/>
      <c r="D781" s="131"/>
      <c r="E781" s="100"/>
      <c r="F781" s="100"/>
    </row>
    <row r="782">
      <c r="A782" s="131"/>
      <c r="B782" s="131"/>
      <c r="C782" s="131"/>
      <c r="D782" s="131"/>
      <c r="E782" s="100"/>
      <c r="F782" s="100"/>
    </row>
    <row r="783">
      <c r="A783" s="131"/>
      <c r="B783" s="131"/>
      <c r="C783" s="131"/>
      <c r="D783" s="131"/>
      <c r="E783" s="100"/>
      <c r="F783" s="100"/>
    </row>
    <row r="784">
      <c r="A784" s="131"/>
      <c r="B784" s="131"/>
      <c r="C784" s="131"/>
      <c r="D784" s="131"/>
      <c r="E784" s="101"/>
      <c r="F784" s="101"/>
    </row>
    <row r="785">
      <c r="A785" s="131"/>
      <c r="B785" s="131"/>
      <c r="C785" s="131"/>
      <c r="D785" s="131"/>
      <c r="E785" s="100"/>
      <c r="F785" s="100"/>
    </row>
    <row r="786">
      <c r="A786" s="131"/>
      <c r="B786" s="131"/>
      <c r="C786" s="131"/>
      <c r="D786" s="131"/>
      <c r="E786" s="100"/>
      <c r="F786" s="100"/>
    </row>
    <row r="787">
      <c r="A787" s="131"/>
      <c r="B787" s="131"/>
      <c r="C787" s="131"/>
      <c r="D787" s="131"/>
      <c r="E787" s="102"/>
      <c r="F787" s="102"/>
    </row>
    <row r="788">
      <c r="A788" s="131"/>
      <c r="B788" s="131"/>
      <c r="C788" s="131"/>
      <c r="D788" s="131"/>
      <c r="E788" s="103"/>
      <c r="F788" s="103"/>
    </row>
    <row r="789">
      <c r="A789" s="131"/>
      <c r="B789" s="131"/>
      <c r="C789" s="131"/>
      <c r="D789" s="131"/>
      <c r="E789" s="103"/>
      <c r="F789" s="103"/>
    </row>
    <row r="790">
      <c r="A790" s="131"/>
      <c r="B790" s="131"/>
      <c r="C790" s="131"/>
      <c r="D790" s="131"/>
      <c r="E790" s="102"/>
      <c r="F790" s="103"/>
    </row>
    <row r="791">
      <c r="A791" s="131"/>
      <c r="B791" s="131"/>
      <c r="C791" s="131"/>
      <c r="D791" s="131"/>
      <c r="E791" s="103"/>
      <c r="F791" s="103"/>
    </row>
    <row r="792">
      <c r="A792" s="131"/>
      <c r="B792" s="131"/>
      <c r="C792" s="131"/>
      <c r="D792" s="131"/>
      <c r="E792" s="103"/>
      <c r="F792" s="103"/>
    </row>
    <row r="793">
      <c r="A793" s="131"/>
      <c r="B793" s="131"/>
      <c r="C793" s="131"/>
      <c r="D793" s="131"/>
      <c r="E793" s="103"/>
      <c r="F793" s="103"/>
    </row>
    <row r="794">
      <c r="A794" s="131"/>
      <c r="B794" s="131"/>
      <c r="C794" s="131"/>
      <c r="D794" s="131"/>
      <c r="E794" s="103"/>
      <c r="F794" s="103"/>
    </row>
    <row r="795">
      <c r="A795" s="131"/>
      <c r="B795" s="131"/>
      <c r="C795" s="131"/>
      <c r="D795" s="131"/>
      <c r="E795" s="103"/>
      <c r="F795" s="103"/>
    </row>
    <row r="796">
      <c r="A796" s="131"/>
      <c r="B796" s="131"/>
      <c r="C796" s="131"/>
      <c r="D796" s="131"/>
      <c r="E796" s="103"/>
      <c r="F796" s="103"/>
    </row>
    <row r="797">
      <c r="A797" s="131"/>
      <c r="B797" s="131"/>
      <c r="C797" s="131"/>
      <c r="D797" s="131"/>
      <c r="E797" s="103"/>
      <c r="F797" s="103"/>
    </row>
    <row r="798">
      <c r="A798" s="131"/>
      <c r="B798" s="131"/>
      <c r="C798" s="131"/>
      <c r="D798" s="131"/>
      <c r="E798" s="103"/>
      <c r="F798" s="103"/>
    </row>
    <row r="799">
      <c r="A799" s="131"/>
      <c r="B799" s="131"/>
      <c r="C799" s="131"/>
      <c r="D799" s="131"/>
      <c r="E799" s="103"/>
      <c r="F799" s="103"/>
    </row>
    <row r="800">
      <c r="A800" s="131"/>
      <c r="B800" s="131"/>
      <c r="C800" s="131"/>
      <c r="D800" s="131"/>
      <c r="E800" s="103"/>
      <c r="F800" s="103"/>
    </row>
    <row r="801">
      <c r="A801" s="131"/>
      <c r="B801" s="131"/>
      <c r="C801" s="131"/>
      <c r="D801" s="131"/>
      <c r="E801" s="103"/>
      <c r="F801" s="103"/>
    </row>
    <row r="802">
      <c r="A802" s="131"/>
      <c r="B802" s="131"/>
      <c r="C802" s="131"/>
      <c r="D802" s="131"/>
      <c r="E802" s="103"/>
      <c r="F802" s="103"/>
    </row>
    <row r="803">
      <c r="A803" s="131"/>
      <c r="B803" s="131"/>
      <c r="C803" s="131"/>
      <c r="D803" s="131"/>
      <c r="E803" s="103"/>
      <c r="F803" s="103"/>
    </row>
    <row r="804">
      <c r="A804" s="131"/>
      <c r="B804" s="131"/>
      <c r="C804" s="131"/>
      <c r="D804" s="131"/>
      <c r="E804" s="103"/>
      <c r="F804" s="103"/>
    </row>
    <row r="805">
      <c r="A805" s="131"/>
      <c r="B805" s="131"/>
      <c r="C805" s="131"/>
      <c r="D805" s="131"/>
      <c r="E805" s="99"/>
      <c r="F805" s="99"/>
    </row>
    <row r="806">
      <c r="A806" s="131"/>
      <c r="B806" s="131"/>
      <c r="C806" s="131"/>
      <c r="D806" s="131"/>
      <c r="E806" s="100"/>
      <c r="F806" s="100"/>
    </row>
    <row r="807">
      <c r="A807" s="131"/>
      <c r="B807" s="131"/>
      <c r="C807" s="131"/>
      <c r="D807" s="131"/>
      <c r="E807" s="100"/>
      <c r="F807" s="100"/>
    </row>
    <row r="808">
      <c r="A808" s="131"/>
      <c r="B808" s="131"/>
      <c r="C808" s="131"/>
      <c r="D808" s="131"/>
      <c r="E808" s="100"/>
      <c r="F808" s="100"/>
    </row>
    <row r="809">
      <c r="A809" s="131"/>
      <c r="B809" s="131"/>
      <c r="C809" s="131"/>
      <c r="D809" s="131"/>
      <c r="E809" s="100"/>
      <c r="F809" s="100"/>
    </row>
    <row r="810">
      <c r="A810" s="131"/>
      <c r="B810" s="131"/>
      <c r="C810" s="131"/>
      <c r="D810" s="131"/>
      <c r="E810" s="100"/>
      <c r="F810" s="100"/>
    </row>
    <row r="811">
      <c r="A811" s="131"/>
      <c r="B811" s="131"/>
      <c r="C811" s="131"/>
      <c r="D811" s="131"/>
      <c r="E811" s="100"/>
      <c r="F811" s="100"/>
    </row>
    <row r="812">
      <c r="A812" s="131"/>
      <c r="B812" s="131"/>
      <c r="C812" s="131"/>
      <c r="D812" s="131"/>
      <c r="E812" s="100"/>
      <c r="F812" s="100"/>
    </row>
    <row r="813">
      <c r="A813" s="131"/>
      <c r="B813" s="131"/>
      <c r="C813" s="131"/>
      <c r="D813" s="131"/>
      <c r="E813" s="100"/>
      <c r="F813" s="100"/>
    </row>
    <row r="814">
      <c r="A814" s="131"/>
      <c r="B814" s="131"/>
      <c r="C814" s="131"/>
      <c r="D814" s="131"/>
      <c r="E814" s="100"/>
      <c r="F814" s="100"/>
    </row>
    <row r="815">
      <c r="A815" s="131"/>
      <c r="B815" s="131"/>
      <c r="C815" s="131"/>
      <c r="D815" s="131"/>
      <c r="E815" s="100"/>
      <c r="F815" s="100"/>
    </row>
    <row r="816">
      <c r="A816" s="131"/>
      <c r="B816" s="131"/>
      <c r="C816" s="131"/>
      <c r="D816" s="131"/>
      <c r="E816" s="99"/>
      <c r="F816" s="99"/>
    </row>
    <row r="817">
      <c r="A817" s="131"/>
      <c r="B817" s="131"/>
      <c r="C817" s="131"/>
      <c r="D817" s="131"/>
      <c r="E817" s="100"/>
      <c r="F817" s="100"/>
    </row>
    <row r="818">
      <c r="A818" s="131"/>
      <c r="B818" s="131"/>
      <c r="C818" s="131"/>
      <c r="D818" s="131"/>
      <c r="E818" s="100"/>
      <c r="F818" s="100"/>
    </row>
    <row r="819">
      <c r="A819" s="131"/>
      <c r="B819" s="131"/>
      <c r="C819" s="131"/>
      <c r="D819" s="131"/>
      <c r="E819" s="100"/>
      <c r="F819" s="100"/>
    </row>
    <row r="820">
      <c r="A820" s="131"/>
      <c r="B820" s="131"/>
      <c r="C820" s="131"/>
      <c r="D820" s="131"/>
      <c r="E820" s="100"/>
      <c r="F820" s="100"/>
    </row>
    <row r="821">
      <c r="A821" s="131"/>
      <c r="B821" s="131"/>
      <c r="C821" s="131"/>
      <c r="D821" s="131"/>
      <c r="E821" s="100"/>
      <c r="F821" s="100"/>
    </row>
    <row r="822">
      <c r="A822" s="131"/>
      <c r="B822" s="131"/>
      <c r="C822" s="131"/>
      <c r="D822" s="131"/>
      <c r="E822" s="100"/>
      <c r="F822" s="100"/>
    </row>
    <row r="823">
      <c r="A823" s="131"/>
      <c r="B823" s="131"/>
      <c r="C823" s="131"/>
      <c r="D823" s="131"/>
      <c r="E823" s="101"/>
      <c r="F823" s="101"/>
    </row>
    <row r="824">
      <c r="A824" s="131"/>
      <c r="B824" s="131"/>
      <c r="C824" s="131"/>
      <c r="D824" s="131"/>
      <c r="E824" s="101"/>
      <c r="F824" s="101"/>
    </row>
    <row r="825">
      <c r="A825" s="131"/>
      <c r="B825" s="131"/>
      <c r="C825" s="131"/>
      <c r="D825" s="131"/>
      <c r="E825" s="101"/>
      <c r="F825" s="101"/>
    </row>
    <row r="826">
      <c r="A826" s="131"/>
      <c r="B826" s="131"/>
      <c r="C826" s="131"/>
      <c r="D826" s="131"/>
      <c r="E826" s="101"/>
      <c r="F826" s="101"/>
    </row>
    <row r="827">
      <c r="A827" s="131"/>
      <c r="B827" s="131"/>
      <c r="C827" s="131"/>
      <c r="D827" s="131"/>
      <c r="E827" s="101"/>
      <c r="F827" s="101"/>
    </row>
    <row r="828">
      <c r="A828" s="131"/>
      <c r="B828" s="131"/>
      <c r="C828" s="131"/>
      <c r="D828" s="131"/>
      <c r="E828" s="101"/>
      <c r="F828" s="101"/>
    </row>
    <row r="829">
      <c r="A829" s="131"/>
      <c r="B829" s="131"/>
      <c r="C829" s="131"/>
      <c r="D829" s="131"/>
      <c r="E829" s="105"/>
      <c r="F829" s="105"/>
    </row>
    <row r="830">
      <c r="A830" s="131"/>
      <c r="B830" s="131"/>
      <c r="C830" s="131"/>
      <c r="D830" s="131"/>
      <c r="E830" s="106"/>
      <c r="F830" s="106"/>
    </row>
    <row r="831">
      <c r="A831" s="131"/>
      <c r="B831" s="131"/>
      <c r="C831" s="131"/>
      <c r="D831" s="131"/>
      <c r="E831" s="107"/>
      <c r="F831" s="107"/>
    </row>
    <row r="832">
      <c r="A832" s="131"/>
      <c r="B832" s="131"/>
      <c r="C832" s="131"/>
      <c r="D832" s="131"/>
      <c r="E832" s="107"/>
      <c r="F832" s="107"/>
    </row>
    <row r="833">
      <c r="A833" s="131"/>
      <c r="B833" s="131"/>
      <c r="C833" s="131"/>
      <c r="D833" s="131"/>
      <c r="E833" s="108"/>
      <c r="F833" s="108"/>
    </row>
    <row r="834">
      <c r="A834" s="131"/>
      <c r="B834" s="131"/>
      <c r="C834" s="131"/>
      <c r="D834" s="131"/>
      <c r="E834" s="107"/>
      <c r="F834" s="107"/>
    </row>
    <row r="835">
      <c r="A835" s="131"/>
      <c r="B835" s="131"/>
      <c r="C835" s="131"/>
      <c r="D835" s="131"/>
      <c r="E835" s="106"/>
      <c r="F835" s="106"/>
    </row>
    <row r="836">
      <c r="A836" s="131"/>
      <c r="B836" s="131"/>
      <c r="C836" s="131"/>
      <c r="D836" s="131"/>
      <c r="E836" s="107"/>
      <c r="F836" s="107"/>
    </row>
    <row r="837">
      <c r="A837" s="131"/>
      <c r="B837" s="131"/>
      <c r="C837" s="131"/>
      <c r="D837" s="131"/>
      <c r="E837" s="107"/>
      <c r="F837" s="107"/>
    </row>
    <row r="838">
      <c r="A838" s="131"/>
      <c r="B838" s="131"/>
      <c r="C838" s="131"/>
      <c r="D838" s="131"/>
      <c r="E838" s="107"/>
      <c r="F838" s="107"/>
    </row>
    <row r="839">
      <c r="A839" s="131"/>
      <c r="B839" s="131"/>
      <c r="C839" s="131"/>
      <c r="D839" s="131"/>
      <c r="E839" s="107"/>
      <c r="F839" s="107"/>
    </row>
    <row r="840">
      <c r="A840" s="131"/>
      <c r="B840" s="131"/>
      <c r="C840" s="131"/>
      <c r="D840" s="131"/>
      <c r="E840" s="106"/>
      <c r="F840" s="106"/>
    </row>
    <row r="841">
      <c r="A841" s="131"/>
      <c r="B841" s="131"/>
      <c r="C841" s="131"/>
      <c r="D841" s="131"/>
      <c r="E841" s="107"/>
      <c r="F841" s="107"/>
    </row>
    <row r="842">
      <c r="A842" s="131"/>
      <c r="B842" s="131"/>
      <c r="C842" s="131"/>
      <c r="D842" s="131"/>
      <c r="E842" s="109"/>
      <c r="F842" s="109"/>
    </row>
    <row r="843">
      <c r="A843" s="131"/>
      <c r="B843" s="131"/>
      <c r="C843" s="131"/>
      <c r="D843" s="131"/>
      <c r="E843" s="110"/>
      <c r="F843" s="110"/>
    </row>
    <row r="844">
      <c r="A844" s="131"/>
      <c r="B844" s="131"/>
      <c r="C844" s="131"/>
      <c r="D844" s="131"/>
      <c r="E844" s="110"/>
      <c r="F844" s="110"/>
    </row>
    <row r="845">
      <c r="A845" s="131"/>
      <c r="B845" s="131"/>
      <c r="C845" s="131"/>
      <c r="D845" s="131"/>
      <c r="E845" s="111"/>
      <c r="F845" s="111"/>
    </row>
    <row r="846">
      <c r="A846" s="86"/>
      <c r="B846" s="87"/>
      <c r="C846" s="131"/>
      <c r="D846" s="131"/>
      <c r="E846" s="131"/>
      <c r="F846" s="131"/>
      <c r="G846" s="121"/>
      <c r="H846" s="13"/>
      <c r="I846" s="13"/>
      <c r="J846" s="13"/>
      <c r="K846" s="14"/>
      <c r="L846" s="121"/>
      <c r="M846" s="13"/>
      <c r="N846" s="13"/>
      <c r="O846" s="13"/>
      <c r="P846" s="14"/>
      <c r="Q846" s="122"/>
      <c r="R846" s="13"/>
      <c r="S846" s="13"/>
      <c r="T846" s="13"/>
      <c r="U846" s="13"/>
      <c r="V846" s="13"/>
      <c r="W846" s="14"/>
    </row>
    <row r="847">
      <c r="A847" s="131"/>
      <c r="B847" s="131"/>
      <c r="C847" s="131"/>
      <c r="D847" s="131"/>
      <c r="E847" s="131"/>
      <c r="F847" s="131"/>
      <c r="G847" s="123"/>
      <c r="H847" s="124"/>
      <c r="I847" s="124"/>
      <c r="J847" s="125"/>
      <c r="K847" s="125"/>
      <c r="L847" s="126"/>
      <c r="M847" s="125"/>
      <c r="N847" s="125"/>
      <c r="O847" s="125"/>
      <c r="P847" s="127"/>
      <c r="Q847" s="128"/>
      <c r="R847" s="129"/>
      <c r="S847" s="129"/>
      <c r="T847" s="129"/>
      <c r="U847" s="129"/>
      <c r="V847" s="129"/>
      <c r="W847" s="130"/>
    </row>
    <row r="848">
      <c r="A848" s="131"/>
      <c r="B848" s="131"/>
      <c r="C848" s="131"/>
      <c r="D848" s="131"/>
      <c r="E848" s="94"/>
      <c r="F848" s="94"/>
    </row>
    <row r="849">
      <c r="A849" s="131"/>
      <c r="B849" s="131"/>
      <c r="C849" s="131"/>
      <c r="D849" s="131"/>
      <c r="E849" s="95"/>
      <c r="F849" s="96"/>
    </row>
    <row r="850">
      <c r="A850" s="131"/>
      <c r="B850" s="131"/>
      <c r="C850" s="131"/>
      <c r="D850" s="131"/>
      <c r="E850" s="95"/>
      <c r="F850" s="96"/>
    </row>
    <row r="851">
      <c r="A851" s="131"/>
      <c r="B851" s="131"/>
      <c r="C851" s="131"/>
      <c r="D851" s="131"/>
      <c r="E851" s="96"/>
      <c r="F851" s="96"/>
    </row>
    <row r="852">
      <c r="A852" s="131"/>
      <c r="B852" s="131"/>
      <c r="C852" s="131"/>
      <c r="D852" s="131"/>
      <c r="E852" s="96"/>
      <c r="F852" s="96"/>
    </row>
    <row r="853">
      <c r="A853" s="131"/>
      <c r="B853" s="131"/>
      <c r="C853" s="131"/>
      <c r="D853" s="131"/>
      <c r="E853" s="96"/>
      <c r="F853" s="96"/>
    </row>
    <row r="854">
      <c r="A854" s="131"/>
      <c r="B854" s="131"/>
      <c r="C854" s="131"/>
      <c r="D854" s="131"/>
      <c r="E854" s="96"/>
      <c r="F854" s="96"/>
    </row>
    <row r="855">
      <c r="A855" s="131"/>
      <c r="B855" s="131"/>
      <c r="C855" s="131"/>
      <c r="D855" s="131"/>
      <c r="E855" s="96"/>
      <c r="F855" s="96"/>
    </row>
    <row r="856">
      <c r="A856" s="131"/>
      <c r="B856" s="131"/>
      <c r="C856" s="131"/>
      <c r="D856" s="131"/>
      <c r="E856" s="96"/>
      <c r="F856" s="96"/>
    </row>
    <row r="857">
      <c r="A857" s="131"/>
      <c r="B857" s="131"/>
      <c r="C857" s="131"/>
      <c r="D857" s="131"/>
      <c r="E857" s="96"/>
      <c r="F857" s="96"/>
    </row>
    <row r="858">
      <c r="A858" s="131"/>
      <c r="B858" s="131"/>
      <c r="C858" s="131"/>
      <c r="D858" s="131"/>
      <c r="E858" s="96"/>
      <c r="F858" s="96"/>
    </row>
    <row r="859">
      <c r="A859" s="131"/>
      <c r="B859" s="131"/>
      <c r="C859" s="131"/>
      <c r="D859" s="131"/>
      <c r="E859" s="96"/>
      <c r="F859" s="96"/>
    </row>
    <row r="860">
      <c r="A860" s="131"/>
      <c r="B860" s="131"/>
      <c r="C860" s="131"/>
      <c r="D860" s="131"/>
      <c r="E860" s="96"/>
      <c r="F860" s="96"/>
    </row>
    <row r="861">
      <c r="A861" s="131"/>
      <c r="B861" s="131"/>
      <c r="C861" s="131"/>
      <c r="D861" s="131"/>
      <c r="E861" s="96"/>
      <c r="F861" s="96"/>
    </row>
    <row r="862">
      <c r="A862" s="131"/>
      <c r="B862" s="131"/>
      <c r="C862" s="131"/>
      <c r="D862" s="131"/>
      <c r="E862" s="97"/>
      <c r="F862" s="97"/>
    </row>
    <row r="863">
      <c r="A863" s="131"/>
      <c r="B863" s="131"/>
      <c r="C863" s="131"/>
      <c r="D863" s="131"/>
      <c r="E863" s="96"/>
      <c r="F863" s="96"/>
    </row>
    <row r="864">
      <c r="A864" s="131"/>
      <c r="B864" s="131"/>
      <c r="C864" s="131"/>
      <c r="D864" s="131"/>
      <c r="E864" s="96"/>
      <c r="F864" s="96"/>
    </row>
    <row r="865">
      <c r="A865" s="131"/>
      <c r="B865" s="131"/>
      <c r="C865" s="131"/>
      <c r="D865" s="131"/>
      <c r="E865" s="96"/>
      <c r="F865" s="96"/>
    </row>
    <row r="866">
      <c r="A866" s="131"/>
      <c r="B866" s="131"/>
      <c r="C866" s="131"/>
      <c r="D866" s="131"/>
      <c r="E866" s="96"/>
      <c r="F866" s="96"/>
    </row>
    <row r="867">
      <c r="A867" s="131"/>
      <c r="B867" s="131"/>
      <c r="C867" s="131"/>
      <c r="D867" s="131"/>
      <c r="E867" s="96"/>
      <c r="F867" s="96"/>
    </row>
    <row r="868">
      <c r="A868" s="131"/>
      <c r="B868" s="131"/>
      <c r="C868" s="131"/>
      <c r="D868" s="131"/>
      <c r="E868" s="96"/>
      <c r="F868" s="96"/>
    </row>
    <row r="869">
      <c r="A869" s="131"/>
      <c r="B869" s="131"/>
      <c r="C869" s="131"/>
      <c r="D869" s="131"/>
      <c r="E869" s="98"/>
      <c r="F869" s="96"/>
    </row>
    <row r="870">
      <c r="A870" s="131"/>
      <c r="B870" s="131"/>
      <c r="C870" s="131"/>
      <c r="D870" s="131"/>
      <c r="E870" s="99"/>
      <c r="F870" s="99"/>
    </row>
    <row r="871">
      <c r="A871" s="131"/>
      <c r="B871" s="131"/>
      <c r="C871" s="131"/>
      <c r="D871" s="131"/>
      <c r="E871" s="100"/>
      <c r="F871" s="100"/>
    </row>
    <row r="872">
      <c r="A872" s="131"/>
      <c r="B872" s="131"/>
      <c r="C872" s="131"/>
      <c r="D872" s="131"/>
      <c r="E872" s="100"/>
      <c r="F872" s="100"/>
    </row>
    <row r="873">
      <c r="A873" s="131"/>
      <c r="B873" s="131"/>
      <c r="C873" s="131"/>
      <c r="D873" s="131"/>
      <c r="E873" s="100"/>
      <c r="F873" s="100"/>
    </row>
    <row r="874">
      <c r="A874" s="131"/>
      <c r="B874" s="131"/>
      <c r="C874" s="131"/>
      <c r="D874" s="131"/>
      <c r="E874" s="100"/>
      <c r="F874" s="100"/>
    </row>
    <row r="875">
      <c r="A875" s="131"/>
      <c r="B875" s="131"/>
      <c r="C875" s="131"/>
      <c r="D875" s="131"/>
      <c r="E875" s="100"/>
      <c r="F875" s="100"/>
    </row>
    <row r="876">
      <c r="A876" s="131"/>
      <c r="B876" s="131"/>
      <c r="C876" s="131"/>
      <c r="D876" s="131"/>
      <c r="E876" s="100"/>
      <c r="F876" s="100"/>
    </row>
    <row r="877">
      <c r="A877" s="131"/>
      <c r="B877" s="131"/>
      <c r="C877" s="131"/>
      <c r="D877" s="131"/>
      <c r="E877" s="100"/>
      <c r="F877" s="100"/>
    </row>
    <row r="878">
      <c r="A878" s="131"/>
      <c r="B878" s="131"/>
      <c r="C878" s="131"/>
      <c r="D878" s="131"/>
      <c r="E878" s="101"/>
      <c r="F878" s="101"/>
    </row>
    <row r="879">
      <c r="A879" s="131"/>
      <c r="B879" s="131"/>
      <c r="C879" s="131"/>
      <c r="D879" s="131"/>
      <c r="E879" s="100"/>
      <c r="F879" s="100"/>
    </row>
    <row r="880">
      <c r="A880" s="131"/>
      <c r="B880" s="131"/>
      <c r="C880" s="131"/>
      <c r="D880" s="131"/>
      <c r="E880" s="100"/>
      <c r="F880" s="100"/>
    </row>
    <row r="881">
      <c r="A881" s="131"/>
      <c r="B881" s="131"/>
      <c r="C881" s="131"/>
      <c r="D881" s="131"/>
      <c r="E881" s="102"/>
      <c r="F881" s="102"/>
    </row>
    <row r="882">
      <c r="A882" s="131"/>
      <c r="B882" s="131"/>
      <c r="C882" s="131"/>
      <c r="D882" s="131"/>
      <c r="E882" s="103"/>
      <c r="F882" s="103"/>
    </row>
    <row r="883">
      <c r="A883" s="131"/>
      <c r="B883" s="131"/>
      <c r="C883" s="131"/>
      <c r="D883" s="131"/>
      <c r="E883" s="103"/>
      <c r="F883" s="103"/>
    </row>
    <row r="884">
      <c r="A884" s="131"/>
      <c r="B884" s="131"/>
      <c r="C884" s="131"/>
      <c r="D884" s="131"/>
      <c r="E884" s="102"/>
      <c r="F884" s="103"/>
    </row>
    <row r="885">
      <c r="A885" s="131"/>
      <c r="B885" s="131"/>
      <c r="C885" s="131"/>
      <c r="D885" s="131"/>
      <c r="E885" s="103"/>
      <c r="F885" s="103"/>
    </row>
    <row r="886">
      <c r="A886" s="131"/>
      <c r="B886" s="131"/>
      <c r="C886" s="131"/>
      <c r="D886" s="131"/>
      <c r="E886" s="103"/>
      <c r="F886" s="103"/>
    </row>
    <row r="887">
      <c r="A887" s="131"/>
      <c r="B887" s="131"/>
      <c r="C887" s="131"/>
      <c r="D887" s="131"/>
      <c r="E887" s="103"/>
      <c r="F887" s="103"/>
    </row>
    <row r="888">
      <c r="A888" s="131"/>
      <c r="B888" s="131"/>
      <c r="C888" s="131"/>
      <c r="D888" s="131"/>
      <c r="E888" s="103"/>
      <c r="F888" s="103"/>
    </row>
    <row r="889">
      <c r="A889" s="131"/>
      <c r="B889" s="131"/>
      <c r="C889" s="131"/>
      <c r="D889" s="131"/>
      <c r="E889" s="103"/>
      <c r="F889" s="103"/>
    </row>
    <row r="890">
      <c r="A890" s="131"/>
      <c r="B890" s="131"/>
      <c r="C890" s="131"/>
      <c r="D890" s="131"/>
      <c r="E890" s="103"/>
      <c r="F890" s="103"/>
    </row>
    <row r="891">
      <c r="A891" s="131"/>
      <c r="B891" s="131"/>
      <c r="C891" s="131"/>
      <c r="D891" s="131"/>
      <c r="E891" s="103"/>
      <c r="F891" s="103"/>
    </row>
    <row r="892">
      <c r="A892" s="131"/>
      <c r="B892" s="131"/>
      <c r="C892" s="131"/>
      <c r="D892" s="131"/>
      <c r="E892" s="103"/>
      <c r="F892" s="103"/>
    </row>
    <row r="893">
      <c r="A893" s="131"/>
      <c r="B893" s="131"/>
      <c r="C893" s="131"/>
      <c r="D893" s="131"/>
      <c r="E893" s="103"/>
      <c r="F893" s="103"/>
    </row>
    <row r="894">
      <c r="A894" s="131"/>
      <c r="B894" s="131"/>
      <c r="C894" s="131"/>
      <c r="D894" s="131"/>
      <c r="E894" s="103"/>
      <c r="F894" s="103"/>
    </row>
    <row r="895">
      <c r="A895" s="131"/>
      <c r="B895" s="131"/>
      <c r="C895" s="131"/>
      <c r="D895" s="131"/>
      <c r="E895" s="103"/>
      <c r="F895" s="103"/>
    </row>
    <row r="896">
      <c r="A896" s="131"/>
      <c r="B896" s="131"/>
      <c r="C896" s="131"/>
      <c r="D896" s="131"/>
      <c r="E896" s="103"/>
      <c r="F896" s="103"/>
    </row>
    <row r="897">
      <c r="A897" s="131"/>
      <c r="B897" s="131"/>
      <c r="C897" s="131"/>
      <c r="D897" s="131"/>
      <c r="E897" s="103"/>
      <c r="F897" s="103"/>
    </row>
    <row r="898">
      <c r="A898" s="131"/>
      <c r="B898" s="131"/>
      <c r="C898" s="131"/>
      <c r="D898" s="131"/>
      <c r="E898" s="103"/>
      <c r="F898" s="103"/>
    </row>
    <row r="899">
      <c r="A899" s="131"/>
      <c r="B899" s="131"/>
      <c r="C899" s="131"/>
      <c r="D899" s="131"/>
      <c r="E899" s="99"/>
      <c r="F899" s="99"/>
    </row>
    <row r="900">
      <c r="A900" s="131"/>
      <c r="B900" s="131"/>
      <c r="C900" s="131"/>
      <c r="D900" s="131"/>
      <c r="E900" s="100"/>
      <c r="F900" s="100"/>
    </row>
    <row r="901">
      <c r="A901" s="131"/>
      <c r="B901" s="131"/>
      <c r="C901" s="131"/>
      <c r="D901" s="131"/>
      <c r="E901" s="100"/>
      <c r="F901" s="100"/>
    </row>
    <row r="902">
      <c r="A902" s="131"/>
      <c r="B902" s="131"/>
      <c r="C902" s="131"/>
      <c r="D902" s="131"/>
      <c r="E902" s="100"/>
      <c r="F902" s="100"/>
    </row>
    <row r="903">
      <c r="A903" s="131"/>
      <c r="B903" s="131"/>
      <c r="C903" s="131"/>
      <c r="D903" s="131"/>
      <c r="E903" s="100"/>
      <c r="F903" s="100"/>
    </row>
    <row r="904">
      <c r="A904" s="131"/>
      <c r="B904" s="131"/>
      <c r="C904" s="131"/>
      <c r="D904" s="131"/>
      <c r="E904" s="100"/>
      <c r="F904" s="100"/>
    </row>
    <row r="905">
      <c r="A905" s="131"/>
      <c r="B905" s="131"/>
      <c r="C905" s="131"/>
      <c r="D905" s="131"/>
      <c r="E905" s="100"/>
      <c r="F905" s="100"/>
    </row>
    <row r="906">
      <c r="A906" s="131"/>
      <c r="B906" s="131"/>
      <c r="C906" s="131"/>
      <c r="D906" s="131"/>
      <c r="E906" s="100"/>
      <c r="F906" s="100"/>
    </row>
    <row r="907">
      <c r="A907" s="131"/>
      <c r="B907" s="131"/>
      <c r="C907" s="131"/>
      <c r="D907" s="131"/>
      <c r="E907" s="100"/>
      <c r="F907" s="100"/>
    </row>
    <row r="908">
      <c r="A908" s="131"/>
      <c r="B908" s="131"/>
      <c r="C908" s="131"/>
      <c r="D908" s="131"/>
      <c r="E908" s="100"/>
      <c r="F908" s="100"/>
    </row>
    <row r="909">
      <c r="A909" s="131"/>
      <c r="B909" s="131"/>
      <c r="C909" s="131"/>
      <c r="D909" s="131"/>
      <c r="E909" s="100"/>
      <c r="F909" s="100"/>
    </row>
    <row r="910">
      <c r="A910" s="131"/>
      <c r="B910" s="131"/>
      <c r="C910" s="131"/>
      <c r="D910" s="131"/>
      <c r="E910" s="99"/>
      <c r="F910" s="99"/>
    </row>
    <row r="911">
      <c r="A911" s="131"/>
      <c r="B911" s="131"/>
      <c r="C911" s="131"/>
      <c r="D911" s="131"/>
      <c r="E911" s="100"/>
      <c r="F911" s="100"/>
    </row>
    <row r="912">
      <c r="A912" s="131"/>
      <c r="B912" s="131"/>
      <c r="C912" s="131"/>
      <c r="D912" s="131"/>
      <c r="E912" s="100"/>
      <c r="F912" s="100"/>
    </row>
    <row r="913">
      <c r="A913" s="131"/>
      <c r="B913" s="131"/>
      <c r="C913" s="131"/>
      <c r="D913" s="131"/>
      <c r="E913" s="100"/>
      <c r="F913" s="100"/>
    </row>
    <row r="914">
      <c r="A914" s="131"/>
      <c r="B914" s="131"/>
      <c r="C914" s="131"/>
      <c r="D914" s="131"/>
      <c r="E914" s="100"/>
      <c r="F914" s="100"/>
    </row>
    <row r="915">
      <c r="A915" s="131"/>
      <c r="B915" s="131"/>
      <c r="C915" s="131"/>
      <c r="D915" s="131"/>
      <c r="E915" s="100"/>
      <c r="F915" s="100"/>
    </row>
    <row r="916">
      <c r="A916" s="131"/>
      <c r="B916" s="131"/>
      <c r="C916" s="131"/>
      <c r="D916" s="131"/>
      <c r="E916" s="100"/>
      <c r="F916" s="100"/>
    </row>
    <row r="917">
      <c r="A917" s="131"/>
      <c r="B917" s="131"/>
      <c r="C917" s="131"/>
      <c r="D917" s="131"/>
      <c r="E917" s="101"/>
      <c r="F917" s="101"/>
    </row>
    <row r="918">
      <c r="A918" s="131"/>
      <c r="B918" s="131"/>
      <c r="C918" s="131"/>
      <c r="D918" s="131"/>
      <c r="E918" s="101"/>
      <c r="F918" s="101"/>
    </row>
    <row r="919">
      <c r="A919" s="131"/>
      <c r="B919" s="131"/>
      <c r="C919" s="131"/>
      <c r="D919" s="131"/>
      <c r="E919" s="101"/>
      <c r="F919" s="101"/>
    </row>
    <row r="920">
      <c r="A920" s="131"/>
      <c r="B920" s="131"/>
      <c r="C920" s="131"/>
      <c r="D920" s="131"/>
      <c r="E920" s="101"/>
      <c r="F920" s="101"/>
    </row>
    <row r="921">
      <c r="A921" s="131"/>
      <c r="B921" s="131"/>
      <c r="C921" s="131"/>
      <c r="D921" s="131"/>
      <c r="E921" s="101"/>
      <c r="F921" s="101"/>
    </row>
    <row r="922">
      <c r="A922" s="131"/>
      <c r="B922" s="131"/>
      <c r="C922" s="131"/>
      <c r="D922" s="131"/>
      <c r="E922" s="101"/>
      <c r="F922" s="101"/>
    </row>
    <row r="923">
      <c r="A923" s="131"/>
      <c r="B923" s="131"/>
      <c r="C923" s="131"/>
      <c r="D923" s="131"/>
      <c r="E923" s="105"/>
      <c r="F923" s="105"/>
    </row>
    <row r="924">
      <c r="A924" s="131"/>
      <c r="B924" s="131"/>
      <c r="C924" s="131"/>
      <c r="D924" s="131"/>
      <c r="E924" s="106"/>
      <c r="F924" s="106"/>
    </row>
    <row r="925">
      <c r="A925" s="131"/>
      <c r="B925" s="131"/>
      <c r="C925" s="131"/>
      <c r="D925" s="131"/>
      <c r="E925" s="107"/>
      <c r="F925" s="107"/>
    </row>
    <row r="926">
      <c r="A926" s="131"/>
      <c r="B926" s="131"/>
      <c r="C926" s="131"/>
      <c r="D926" s="131"/>
      <c r="E926" s="107"/>
      <c r="F926" s="107"/>
    </row>
    <row r="927">
      <c r="A927" s="131"/>
      <c r="B927" s="131"/>
      <c r="C927" s="131"/>
      <c r="D927" s="131"/>
      <c r="E927" s="108"/>
      <c r="F927" s="108"/>
    </row>
    <row r="928">
      <c r="A928" s="131"/>
      <c r="B928" s="131"/>
      <c r="C928" s="131"/>
      <c r="D928" s="131"/>
      <c r="E928" s="107"/>
      <c r="F928" s="107"/>
    </row>
    <row r="929">
      <c r="A929" s="131"/>
      <c r="B929" s="131"/>
      <c r="C929" s="131"/>
      <c r="D929" s="131"/>
      <c r="E929" s="106"/>
      <c r="F929" s="106"/>
    </row>
    <row r="930">
      <c r="A930" s="131"/>
      <c r="B930" s="131"/>
      <c r="C930" s="131"/>
      <c r="D930" s="131"/>
      <c r="E930" s="107"/>
      <c r="F930" s="107"/>
    </row>
    <row r="931">
      <c r="A931" s="131"/>
      <c r="B931" s="131"/>
      <c r="C931" s="131"/>
      <c r="D931" s="131"/>
      <c r="E931" s="107"/>
      <c r="F931" s="107"/>
    </row>
    <row r="932">
      <c r="A932" s="131"/>
      <c r="B932" s="131"/>
      <c r="C932" s="131"/>
      <c r="D932" s="131"/>
      <c r="E932" s="107"/>
      <c r="F932" s="107"/>
    </row>
    <row r="933">
      <c r="A933" s="131"/>
      <c r="B933" s="131"/>
      <c r="C933" s="131"/>
      <c r="D933" s="131"/>
      <c r="E933" s="107"/>
      <c r="F933" s="107"/>
    </row>
    <row r="934">
      <c r="A934" s="131"/>
      <c r="B934" s="131"/>
      <c r="C934" s="131"/>
      <c r="D934" s="131"/>
      <c r="E934" s="106"/>
      <c r="F934" s="106"/>
    </row>
    <row r="935">
      <c r="A935" s="131"/>
      <c r="B935" s="131"/>
      <c r="C935" s="131"/>
      <c r="D935" s="131"/>
      <c r="E935" s="107"/>
      <c r="F935" s="107"/>
    </row>
    <row r="936">
      <c r="A936" s="131"/>
      <c r="B936" s="131"/>
      <c r="C936" s="131"/>
      <c r="D936" s="131"/>
      <c r="E936" s="109"/>
      <c r="F936" s="109"/>
    </row>
    <row r="937">
      <c r="A937" s="131"/>
      <c r="B937" s="131"/>
      <c r="C937" s="131"/>
      <c r="D937" s="131"/>
      <c r="E937" s="110"/>
      <c r="F937" s="110"/>
    </row>
    <row r="938">
      <c r="A938" s="131"/>
      <c r="B938" s="131"/>
      <c r="C938" s="131"/>
      <c r="D938" s="131"/>
      <c r="E938" s="110"/>
      <c r="F938" s="110"/>
    </row>
    <row r="939">
      <c r="A939" s="131"/>
      <c r="B939" s="131"/>
      <c r="C939" s="131"/>
      <c r="D939" s="131"/>
      <c r="E939" s="111"/>
      <c r="F939" s="111"/>
    </row>
    <row r="940">
      <c r="A940" s="131"/>
      <c r="B940" s="131"/>
      <c r="C940" s="131"/>
      <c r="D940" s="131"/>
      <c r="E940" s="131"/>
      <c r="F940" s="131"/>
    </row>
    <row r="941">
      <c r="A941" s="131"/>
      <c r="B941" s="131"/>
      <c r="C941" s="131"/>
      <c r="D941" s="131"/>
      <c r="E941" s="131"/>
      <c r="F941" s="131"/>
    </row>
    <row r="942">
      <c r="A942" s="131"/>
      <c r="B942" s="131"/>
      <c r="C942" s="131"/>
      <c r="D942" s="131"/>
      <c r="E942" s="131"/>
      <c r="F942" s="131"/>
    </row>
    <row r="943">
      <c r="A943" s="131"/>
      <c r="B943" s="131"/>
      <c r="C943" s="131"/>
      <c r="D943" s="131"/>
      <c r="E943" s="131"/>
      <c r="F943" s="131"/>
    </row>
    <row r="944">
      <c r="A944" s="131"/>
      <c r="B944" s="131"/>
      <c r="C944" s="131"/>
      <c r="D944" s="131"/>
      <c r="E944" s="131"/>
      <c r="F944" s="131"/>
    </row>
    <row r="945">
      <c r="A945" s="131"/>
      <c r="B945" s="131"/>
      <c r="C945" s="131"/>
      <c r="D945" s="131"/>
      <c r="E945" s="131"/>
      <c r="F945" s="131"/>
    </row>
    <row r="946">
      <c r="A946" s="131"/>
      <c r="B946" s="131"/>
      <c r="C946" s="131"/>
      <c r="D946" s="131"/>
      <c r="E946" s="131"/>
      <c r="F946" s="131"/>
    </row>
    <row r="947">
      <c r="A947" s="131"/>
      <c r="B947" s="131"/>
      <c r="C947" s="131"/>
      <c r="D947" s="131"/>
      <c r="E947" s="131"/>
      <c r="F947" s="131"/>
    </row>
    <row r="948">
      <c r="A948" s="131"/>
      <c r="B948" s="131"/>
      <c r="C948" s="131"/>
      <c r="D948" s="131"/>
      <c r="E948" s="131"/>
      <c r="F948" s="131"/>
    </row>
    <row r="949">
      <c r="A949" s="131"/>
      <c r="B949" s="131"/>
      <c r="C949" s="131"/>
      <c r="D949" s="131"/>
      <c r="E949" s="131"/>
      <c r="F949" s="131"/>
    </row>
    <row r="950">
      <c r="A950" s="131"/>
      <c r="B950" s="131"/>
      <c r="C950" s="131"/>
      <c r="D950" s="131"/>
      <c r="E950" s="131"/>
      <c r="F950" s="131"/>
    </row>
    <row r="951">
      <c r="A951" s="131"/>
      <c r="B951" s="131"/>
      <c r="C951" s="131"/>
      <c r="D951" s="131"/>
      <c r="E951" s="131"/>
      <c r="F951" s="131"/>
    </row>
    <row r="952">
      <c r="A952" s="131"/>
      <c r="B952" s="131"/>
      <c r="C952" s="131"/>
      <c r="D952" s="131"/>
      <c r="E952" s="131"/>
      <c r="F952" s="131"/>
    </row>
    <row r="953">
      <c r="A953" s="131"/>
      <c r="B953" s="131"/>
      <c r="C953" s="131"/>
      <c r="D953" s="131"/>
      <c r="E953" s="131"/>
      <c r="F953" s="131"/>
    </row>
    <row r="954">
      <c r="A954" s="131"/>
      <c r="B954" s="131"/>
      <c r="C954" s="131"/>
      <c r="D954" s="131"/>
      <c r="E954" s="131"/>
      <c r="F954" s="131"/>
    </row>
    <row r="955">
      <c r="A955" s="131"/>
      <c r="B955" s="131"/>
      <c r="C955" s="131"/>
      <c r="D955" s="131"/>
      <c r="E955" s="131"/>
      <c r="F955" s="131"/>
    </row>
    <row r="956">
      <c r="A956" s="131"/>
      <c r="B956" s="131"/>
      <c r="C956" s="131"/>
      <c r="D956" s="131"/>
      <c r="E956" s="131"/>
      <c r="F956" s="131"/>
    </row>
    <row r="957">
      <c r="A957" s="131"/>
      <c r="B957" s="131"/>
      <c r="C957" s="131"/>
      <c r="D957" s="131"/>
      <c r="E957" s="131"/>
      <c r="F957" s="131"/>
    </row>
    <row r="958">
      <c r="A958" s="131"/>
      <c r="B958" s="131"/>
      <c r="C958" s="131"/>
      <c r="D958" s="131"/>
      <c r="E958" s="131"/>
      <c r="F958" s="131"/>
    </row>
    <row r="959">
      <c r="A959" s="131"/>
      <c r="B959" s="131"/>
      <c r="C959" s="131"/>
      <c r="D959" s="131"/>
      <c r="E959" s="131"/>
      <c r="F959" s="131"/>
    </row>
    <row r="960">
      <c r="A960" s="131"/>
      <c r="B960" s="131"/>
      <c r="C960" s="131"/>
      <c r="D960" s="131"/>
      <c r="E960" s="131"/>
      <c r="F960" s="131"/>
    </row>
    <row r="961">
      <c r="A961" s="131"/>
      <c r="B961" s="131"/>
      <c r="C961" s="131"/>
      <c r="D961" s="131"/>
      <c r="E961" s="131"/>
      <c r="F961" s="131"/>
    </row>
    <row r="962">
      <c r="A962" s="131"/>
      <c r="B962" s="131"/>
      <c r="C962" s="131"/>
      <c r="D962" s="131"/>
      <c r="E962" s="131"/>
      <c r="F962" s="131"/>
    </row>
    <row r="963">
      <c r="A963" s="131"/>
      <c r="B963" s="131"/>
      <c r="C963" s="131"/>
      <c r="D963" s="131"/>
      <c r="E963" s="131"/>
      <c r="F963" s="131"/>
    </row>
    <row r="964">
      <c r="A964" s="131"/>
      <c r="B964" s="131"/>
      <c r="C964" s="131"/>
      <c r="D964" s="131"/>
      <c r="E964" s="131"/>
      <c r="F964" s="131"/>
    </row>
    <row r="965">
      <c r="A965" s="131"/>
      <c r="B965" s="131"/>
      <c r="C965" s="131"/>
      <c r="D965" s="131"/>
      <c r="E965" s="131"/>
      <c r="F965" s="131"/>
    </row>
    <row r="966">
      <c r="A966" s="131"/>
      <c r="B966" s="131"/>
      <c r="C966" s="131"/>
      <c r="D966" s="131"/>
      <c r="E966" s="131"/>
      <c r="F966" s="131"/>
    </row>
    <row r="967">
      <c r="A967" s="131"/>
      <c r="B967" s="131"/>
      <c r="C967" s="131"/>
      <c r="D967" s="131"/>
      <c r="E967" s="131"/>
      <c r="F967" s="131"/>
    </row>
    <row r="968">
      <c r="A968" s="131"/>
      <c r="B968" s="131"/>
      <c r="C968" s="131"/>
      <c r="D968" s="131"/>
      <c r="E968" s="131"/>
      <c r="F968" s="131"/>
    </row>
    <row r="969">
      <c r="A969" s="131"/>
      <c r="B969" s="131"/>
      <c r="C969" s="131"/>
      <c r="D969" s="131"/>
      <c r="E969" s="131"/>
      <c r="F969" s="131"/>
    </row>
    <row r="970">
      <c r="A970" s="131"/>
      <c r="B970" s="131"/>
      <c r="C970" s="131"/>
      <c r="D970" s="131"/>
      <c r="E970" s="131"/>
      <c r="F970" s="131"/>
    </row>
    <row r="971">
      <c r="A971" s="131"/>
      <c r="B971" s="131"/>
      <c r="C971" s="131"/>
      <c r="D971" s="131"/>
      <c r="E971" s="131"/>
      <c r="F971" s="131"/>
    </row>
    <row r="972">
      <c r="A972" s="131"/>
      <c r="B972" s="131"/>
      <c r="C972" s="131"/>
      <c r="D972" s="131"/>
      <c r="E972" s="131"/>
      <c r="F972" s="131"/>
    </row>
    <row r="973">
      <c r="A973" s="131"/>
      <c r="B973" s="131"/>
      <c r="C973" s="131"/>
      <c r="D973" s="131"/>
      <c r="E973" s="131"/>
      <c r="F973" s="131"/>
    </row>
    <row r="974">
      <c r="A974" s="131"/>
      <c r="B974" s="131"/>
      <c r="C974" s="131"/>
      <c r="D974" s="131"/>
      <c r="E974" s="131"/>
      <c r="F974" s="131"/>
    </row>
    <row r="975">
      <c r="A975" s="131"/>
      <c r="B975" s="131"/>
      <c r="C975" s="131"/>
      <c r="D975" s="131"/>
      <c r="E975" s="131"/>
      <c r="F975" s="131"/>
    </row>
    <row r="976">
      <c r="A976" s="131"/>
      <c r="B976" s="131"/>
      <c r="C976" s="131"/>
      <c r="D976" s="131"/>
      <c r="E976" s="131"/>
      <c r="F976" s="131"/>
    </row>
    <row r="977">
      <c r="A977" s="131"/>
      <c r="B977" s="131"/>
      <c r="C977" s="131"/>
      <c r="D977" s="131"/>
      <c r="E977" s="131"/>
      <c r="F977" s="131"/>
    </row>
    <row r="978">
      <c r="A978" s="131"/>
      <c r="B978" s="131"/>
      <c r="C978" s="131"/>
      <c r="D978" s="131"/>
      <c r="E978" s="131"/>
      <c r="F978" s="131"/>
    </row>
    <row r="979">
      <c r="A979" s="131"/>
      <c r="B979" s="131"/>
      <c r="C979" s="131"/>
      <c r="D979" s="131"/>
      <c r="E979" s="131"/>
      <c r="F979" s="131"/>
    </row>
    <row r="980">
      <c r="A980" s="131"/>
      <c r="B980" s="131"/>
      <c r="C980" s="131"/>
      <c r="D980" s="131"/>
      <c r="E980" s="131"/>
      <c r="F980" s="131"/>
    </row>
    <row r="981">
      <c r="A981" s="131"/>
      <c r="B981" s="131"/>
      <c r="C981" s="131"/>
      <c r="D981" s="131"/>
      <c r="E981" s="131"/>
      <c r="F981" s="131"/>
    </row>
    <row r="982">
      <c r="A982" s="131"/>
      <c r="B982" s="131"/>
      <c r="C982" s="131"/>
      <c r="D982" s="131"/>
      <c r="E982" s="131"/>
      <c r="F982" s="131"/>
    </row>
    <row r="983">
      <c r="A983" s="131"/>
      <c r="B983" s="131"/>
      <c r="C983" s="131"/>
      <c r="D983" s="131"/>
      <c r="E983" s="131"/>
      <c r="F983" s="131"/>
    </row>
    <row r="984">
      <c r="A984" s="131"/>
      <c r="B984" s="131"/>
      <c r="C984" s="131"/>
      <c r="D984" s="131"/>
      <c r="E984" s="131"/>
      <c r="F984" s="131"/>
    </row>
    <row r="985">
      <c r="A985" s="131"/>
      <c r="B985" s="131"/>
      <c r="C985" s="131"/>
      <c r="D985" s="131"/>
      <c r="E985" s="131"/>
      <c r="F985" s="131"/>
    </row>
    <row r="986">
      <c r="A986" s="131"/>
      <c r="B986" s="131"/>
      <c r="C986" s="131"/>
      <c r="D986" s="131"/>
      <c r="E986" s="131"/>
      <c r="F986" s="131"/>
    </row>
    <row r="987">
      <c r="A987" s="131"/>
      <c r="B987" s="131"/>
      <c r="C987" s="131"/>
      <c r="D987" s="131"/>
      <c r="E987" s="131"/>
      <c r="F987" s="131"/>
    </row>
    <row r="988">
      <c r="A988" s="131"/>
      <c r="B988" s="131"/>
      <c r="C988" s="131"/>
      <c r="D988" s="131"/>
      <c r="E988" s="131"/>
      <c r="F988" s="131"/>
    </row>
    <row r="989">
      <c r="A989" s="131"/>
      <c r="B989" s="131"/>
      <c r="C989" s="131"/>
      <c r="D989" s="131"/>
      <c r="E989" s="131"/>
      <c r="F989" s="131"/>
    </row>
    <row r="990">
      <c r="A990" s="131"/>
      <c r="B990" s="131"/>
      <c r="C990" s="131"/>
      <c r="D990" s="131"/>
      <c r="E990" s="131"/>
      <c r="F990" s="131"/>
    </row>
    <row r="991">
      <c r="A991" s="131"/>
      <c r="B991" s="131"/>
      <c r="C991" s="131"/>
      <c r="D991" s="131"/>
      <c r="E991" s="131"/>
      <c r="F991" s="131"/>
    </row>
    <row r="992">
      <c r="A992" s="131"/>
      <c r="B992" s="131"/>
      <c r="C992" s="131"/>
      <c r="D992" s="131"/>
      <c r="E992" s="131"/>
      <c r="F992" s="131"/>
    </row>
    <row r="993">
      <c r="A993" s="131"/>
      <c r="B993" s="131"/>
      <c r="C993" s="131"/>
      <c r="D993" s="131"/>
      <c r="E993" s="131"/>
      <c r="F993" s="131"/>
    </row>
    <row r="994">
      <c r="A994" s="131"/>
      <c r="B994" s="131"/>
      <c r="C994" s="131"/>
      <c r="D994" s="131"/>
      <c r="E994" s="131"/>
      <c r="F994" s="131"/>
    </row>
  </sheetData>
  <mergeCells count="12">
    <mergeCell ref="L752:P752"/>
    <mergeCell ref="Q752:W752"/>
    <mergeCell ref="G846:K846"/>
    <mergeCell ref="L846:P846"/>
    <mergeCell ref="Q846:W846"/>
    <mergeCell ref="G1:K1"/>
    <mergeCell ref="L1:P1"/>
    <mergeCell ref="Q1:W1"/>
    <mergeCell ref="G500:K500"/>
    <mergeCell ref="L500:P500"/>
    <mergeCell ref="Q500:W500"/>
    <mergeCell ref="G752:K752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2" max="22" width="16.29"/>
    <col customWidth="1" min="23" max="23" width="16.14"/>
  </cols>
  <sheetData>
    <row r="1">
      <c r="A1" s="86" t="s">
        <v>554</v>
      </c>
      <c r="B1" s="87" t="s">
        <v>27</v>
      </c>
      <c r="G1" s="121" t="s">
        <v>555</v>
      </c>
      <c r="H1" s="13"/>
      <c r="I1" s="13"/>
      <c r="J1" s="13"/>
      <c r="K1" s="14"/>
      <c r="L1" s="121" t="s">
        <v>556</v>
      </c>
      <c r="M1" s="13"/>
      <c r="N1" s="13"/>
      <c r="O1" s="13"/>
      <c r="P1" s="14"/>
      <c r="Q1" s="122" t="s">
        <v>33</v>
      </c>
      <c r="R1" s="13"/>
      <c r="S1" s="13"/>
      <c r="T1" s="13"/>
      <c r="U1" s="13"/>
      <c r="V1" s="13"/>
      <c r="W1" s="14"/>
    </row>
    <row r="2">
      <c r="A2" s="90" t="s">
        <v>41</v>
      </c>
      <c r="B2" s="90" t="s">
        <v>42</v>
      </c>
      <c r="C2" s="90" t="s">
        <v>43</v>
      </c>
      <c r="D2" s="90" t="s">
        <v>44</v>
      </c>
      <c r="E2" s="90" t="s">
        <v>45</v>
      </c>
      <c r="F2" s="90" t="s">
        <v>46</v>
      </c>
      <c r="G2" s="123" t="s">
        <v>557</v>
      </c>
      <c r="H2" s="124" t="s">
        <v>558</v>
      </c>
      <c r="I2" s="124" t="s">
        <v>559</v>
      </c>
      <c r="J2" s="125" t="s">
        <v>560</v>
      </c>
      <c r="K2" s="125" t="s">
        <v>561</v>
      </c>
      <c r="L2" s="126" t="s">
        <v>562</v>
      </c>
      <c r="M2" s="125" t="s">
        <v>563</v>
      </c>
      <c r="N2" s="125" t="s">
        <v>564</v>
      </c>
      <c r="O2" s="125" t="s">
        <v>565</v>
      </c>
      <c r="P2" s="127" t="s">
        <v>566</v>
      </c>
      <c r="Q2" s="128" t="s">
        <v>567</v>
      </c>
      <c r="R2" s="129" t="s">
        <v>568</v>
      </c>
      <c r="S2" s="129" t="s">
        <v>569</v>
      </c>
      <c r="T2" s="129" t="s">
        <v>570</v>
      </c>
      <c r="U2" s="129" t="s">
        <v>571</v>
      </c>
      <c r="V2" s="129" t="s">
        <v>572</v>
      </c>
      <c r="W2" s="130" t="s">
        <v>573</v>
      </c>
    </row>
    <row r="3">
      <c r="A3" s="131">
        <f>IFERROR(__xludf.DUMMYFUNCTION("QUERY(MASTERLIST!A3:F997, ""SELECT *"", 0)"),1.0)</f>
        <v>1</v>
      </c>
      <c r="B3" s="131"/>
      <c r="C3" s="131">
        <f>IFERROR(__xludf.DUMMYFUNCTION("""COMPUTED_VALUE"""),1.0)</f>
        <v>1</v>
      </c>
      <c r="D3" s="131" t="b">
        <f>IFERROR(__xludf.DUMMYFUNCTION("""COMPUTED_VALUE"""),TRUE)</f>
        <v>1</v>
      </c>
      <c r="E3" s="94" t="str">
        <f>IFERROR(__xludf.DUMMYFUNCTION("""COMPUTED_VALUE"""),"ARANDA")</f>
        <v>ARANDA</v>
      </c>
      <c r="F3" s="94" t="str">
        <f>IFERROR(__xludf.DUMMYFUNCTION("""COMPUTED_VALUE"""),"KAI")</f>
        <v>KAI</v>
      </c>
    </row>
    <row r="4">
      <c r="A4" s="131">
        <f>IFERROR(__xludf.DUMMYFUNCTION("""COMPUTED_VALUE"""),2.0)</f>
        <v>2</v>
      </c>
      <c r="B4" s="131"/>
      <c r="C4" s="131">
        <f>IFERROR(__xludf.DUMMYFUNCTION("""COMPUTED_VALUE"""),1.0)</f>
        <v>1</v>
      </c>
      <c r="D4" s="131" t="b">
        <f>IFERROR(__xludf.DUMMYFUNCTION("""COMPUTED_VALUE"""),FALSE)</f>
        <v>0</v>
      </c>
      <c r="E4" s="95" t="str">
        <f>IFERROR(__xludf.DUMMYFUNCTION("""COMPUTED_VALUE"""),"ARCILLA")</f>
        <v>ARCILLA</v>
      </c>
      <c r="F4" s="96" t="str">
        <f>IFERROR(__xludf.DUMMYFUNCTION("""COMPUTED_VALUE"""),"DANIELA")</f>
        <v>DANIELA</v>
      </c>
    </row>
    <row r="5">
      <c r="A5" s="131">
        <f>IFERROR(__xludf.DUMMYFUNCTION("""COMPUTED_VALUE"""),3.0)</f>
        <v>3</v>
      </c>
      <c r="B5" s="131"/>
      <c r="C5" s="131">
        <f>IFERROR(__xludf.DUMMYFUNCTION("""COMPUTED_VALUE"""),1.0)</f>
        <v>1</v>
      </c>
      <c r="D5" s="131" t="b">
        <f>IFERROR(__xludf.DUMMYFUNCTION("""COMPUTED_VALUE"""),FALSE)</f>
        <v>0</v>
      </c>
      <c r="E5" s="95" t="str">
        <f>IFERROR(__xludf.DUMMYFUNCTION("""COMPUTED_VALUE"""),"ANDRE")</f>
        <v>ANDRE</v>
      </c>
      <c r="F5" s="96" t="str">
        <f>IFERROR(__xludf.DUMMYFUNCTION("""COMPUTED_VALUE"""),"CARLA")</f>
        <v>CARLA</v>
      </c>
    </row>
    <row r="6">
      <c r="A6" s="131">
        <f>IFERROR(__xludf.DUMMYFUNCTION("""COMPUTED_VALUE"""),4.0)</f>
        <v>4</v>
      </c>
      <c r="B6" s="131"/>
      <c r="C6" s="131">
        <f>IFERROR(__xludf.DUMMYFUNCTION("""COMPUTED_VALUE"""),1.0)</f>
        <v>1</v>
      </c>
      <c r="D6" s="131" t="b">
        <f>IFERROR(__xludf.DUMMYFUNCTION("""COMPUTED_VALUE"""),FALSE)</f>
        <v>0</v>
      </c>
      <c r="E6" s="96" t="str">
        <f>IFERROR(__xludf.DUMMYFUNCTION("""COMPUTED_VALUE"""),"BALDELOVAR")</f>
        <v>BALDELOVAR</v>
      </c>
      <c r="F6" s="96" t="str">
        <f>IFERROR(__xludf.DUMMYFUNCTION("""COMPUTED_VALUE"""),"LEANNE")</f>
        <v>LEANNE</v>
      </c>
    </row>
    <row r="7">
      <c r="A7" s="131">
        <f>IFERROR(__xludf.DUMMYFUNCTION("""COMPUTED_VALUE"""),5.0)</f>
        <v>5</v>
      </c>
      <c r="B7" s="131"/>
      <c r="C7" s="131">
        <f>IFERROR(__xludf.DUMMYFUNCTION("""COMPUTED_VALUE"""),1.0)</f>
        <v>1</v>
      </c>
      <c r="D7" s="131" t="b">
        <f>IFERROR(__xludf.DUMMYFUNCTION("""COMPUTED_VALUE"""),FALSE)</f>
        <v>0</v>
      </c>
      <c r="E7" s="96" t="str">
        <f>IFERROR(__xludf.DUMMYFUNCTION("""COMPUTED_VALUE"""),"BANTAYAN")</f>
        <v>BANTAYAN</v>
      </c>
      <c r="F7" s="96" t="str">
        <f>IFERROR(__xludf.DUMMYFUNCTION("""COMPUTED_VALUE"""),"EURASIA")</f>
        <v>EURASIA</v>
      </c>
    </row>
    <row r="8">
      <c r="A8" s="131">
        <f>IFERROR(__xludf.DUMMYFUNCTION("""COMPUTED_VALUE"""),6.0)</f>
        <v>6</v>
      </c>
      <c r="B8" s="131"/>
      <c r="C8" s="131">
        <f>IFERROR(__xludf.DUMMYFUNCTION("""COMPUTED_VALUE"""),1.0)</f>
        <v>1</v>
      </c>
      <c r="D8" s="131" t="b">
        <f>IFERROR(__xludf.DUMMYFUNCTION("""COMPUTED_VALUE"""),FALSE)</f>
        <v>0</v>
      </c>
      <c r="E8" s="96" t="str">
        <f>IFERROR(__xludf.DUMMYFUNCTION("""COMPUTED_VALUE"""),"BUCTOT")</f>
        <v>BUCTOT</v>
      </c>
      <c r="F8" s="96" t="str">
        <f>IFERROR(__xludf.DUMMYFUNCTION("""COMPUTED_VALUE"""),"JEZEBEL")</f>
        <v>JEZEBEL</v>
      </c>
    </row>
    <row r="9">
      <c r="A9" s="131">
        <f>IFERROR(__xludf.DUMMYFUNCTION("""COMPUTED_VALUE"""),7.0)</f>
        <v>7</v>
      </c>
      <c r="B9" s="131"/>
      <c r="C9" s="131">
        <f>IFERROR(__xludf.DUMMYFUNCTION("""COMPUTED_VALUE"""),1.0)</f>
        <v>1</v>
      </c>
      <c r="D9" s="131" t="b">
        <f>IFERROR(__xludf.DUMMYFUNCTION("""COMPUTED_VALUE"""),FALSE)</f>
        <v>0</v>
      </c>
      <c r="E9" s="96" t="str">
        <f>IFERROR(__xludf.DUMMYFUNCTION("""COMPUTED_VALUE"""),"ENCARNACION")</f>
        <v>ENCARNACION</v>
      </c>
      <c r="F9" s="96" t="str">
        <f>IFERROR(__xludf.DUMMYFUNCTION("""COMPUTED_VALUE"""),"KRISTEL")</f>
        <v>KRISTEL</v>
      </c>
    </row>
    <row r="10">
      <c r="A10" s="131">
        <f>IFERROR(__xludf.DUMMYFUNCTION("""COMPUTED_VALUE"""),8.0)</f>
        <v>8</v>
      </c>
      <c r="B10" s="131"/>
      <c r="C10" s="131">
        <f>IFERROR(__xludf.DUMMYFUNCTION("""COMPUTED_VALUE"""),1.0)</f>
        <v>1</v>
      </c>
      <c r="D10" s="131" t="b">
        <f>IFERROR(__xludf.DUMMYFUNCTION("""COMPUTED_VALUE"""),FALSE)</f>
        <v>0</v>
      </c>
      <c r="E10" s="96" t="str">
        <f>IFERROR(__xludf.DUMMYFUNCTION("""COMPUTED_VALUE"""),"GUTIERREZ")</f>
        <v>GUTIERREZ</v>
      </c>
      <c r="F10" s="96" t="str">
        <f>IFERROR(__xludf.DUMMYFUNCTION("""COMPUTED_VALUE"""),"PAOLA")</f>
        <v>PAOLA</v>
      </c>
    </row>
    <row r="11">
      <c r="A11" s="131">
        <f>IFERROR(__xludf.DUMMYFUNCTION("""COMPUTED_VALUE"""),9.0)</f>
        <v>9</v>
      </c>
      <c r="B11" s="131"/>
      <c r="C11" s="131">
        <f>IFERROR(__xludf.DUMMYFUNCTION("""COMPUTED_VALUE"""),1.0)</f>
        <v>1</v>
      </c>
      <c r="D11" s="131" t="b">
        <f>IFERROR(__xludf.DUMMYFUNCTION("""COMPUTED_VALUE"""),FALSE)</f>
        <v>0</v>
      </c>
      <c r="E11" s="96" t="str">
        <f>IFERROR(__xludf.DUMMYFUNCTION("""COMPUTED_VALUE"""),"HISPANO")</f>
        <v>HISPANO</v>
      </c>
      <c r="F11" s="96" t="str">
        <f>IFERROR(__xludf.DUMMYFUNCTION("""COMPUTED_VALUE"""),"HANNA")</f>
        <v>HANNA</v>
      </c>
    </row>
    <row r="12">
      <c r="A12" s="131">
        <f>IFERROR(__xludf.DUMMYFUNCTION("""COMPUTED_VALUE"""),10.0)</f>
        <v>10</v>
      </c>
      <c r="B12" s="131"/>
      <c r="C12" s="131">
        <f>IFERROR(__xludf.DUMMYFUNCTION("""COMPUTED_VALUE"""),1.0)</f>
        <v>1</v>
      </c>
      <c r="D12" s="131" t="b">
        <f>IFERROR(__xludf.DUMMYFUNCTION("""COMPUTED_VALUE"""),FALSE)</f>
        <v>0</v>
      </c>
      <c r="E12" s="96" t="str">
        <f>IFERROR(__xludf.DUMMYFUNCTION("""COMPUTED_VALUE"""),"MALOLOY-ON")</f>
        <v>MALOLOY-ON</v>
      </c>
      <c r="F12" s="96" t="str">
        <f>IFERROR(__xludf.DUMMYFUNCTION("""COMPUTED_VALUE"""),"MARIANA")</f>
        <v>MARIANA</v>
      </c>
    </row>
    <row r="13">
      <c r="A13" s="131">
        <f>IFERROR(__xludf.DUMMYFUNCTION("""COMPUTED_VALUE"""),11.0)</f>
        <v>11</v>
      </c>
      <c r="B13" s="131"/>
      <c r="C13" s="131">
        <f>IFERROR(__xludf.DUMMYFUNCTION("""COMPUTED_VALUE"""),1.0)</f>
        <v>1</v>
      </c>
      <c r="D13" s="131" t="b">
        <f>IFERROR(__xludf.DUMMYFUNCTION("""COMPUTED_VALUE"""),FALSE)</f>
        <v>0</v>
      </c>
      <c r="E13" s="96" t="str">
        <f>IFERROR(__xludf.DUMMYFUNCTION("""COMPUTED_VALUE"""),"MALOLOY-ON")</f>
        <v>MALOLOY-ON</v>
      </c>
      <c r="F13" s="96" t="str">
        <f>IFERROR(__xludf.DUMMYFUNCTION("""COMPUTED_VALUE"""),"JOISEALAY")</f>
        <v>JOISEALAY</v>
      </c>
    </row>
    <row r="14">
      <c r="A14" s="131">
        <f>IFERROR(__xludf.DUMMYFUNCTION("""COMPUTED_VALUE"""),12.0)</f>
        <v>12</v>
      </c>
      <c r="B14" s="131"/>
      <c r="C14" s="131">
        <f>IFERROR(__xludf.DUMMYFUNCTION("""COMPUTED_VALUE"""),1.0)</f>
        <v>1</v>
      </c>
      <c r="D14" s="131" t="b">
        <f>IFERROR(__xludf.DUMMYFUNCTION("""COMPUTED_VALUE"""),FALSE)</f>
        <v>0</v>
      </c>
      <c r="E14" s="96" t="str">
        <f>IFERROR(__xludf.DUMMYFUNCTION("""COMPUTED_VALUE"""),"ORQUIA")</f>
        <v>ORQUIA</v>
      </c>
      <c r="F14" s="96" t="str">
        <f>IFERROR(__xludf.DUMMYFUNCTION("""COMPUTED_VALUE"""),"KAYLA")</f>
        <v>KAYLA</v>
      </c>
    </row>
    <row r="15">
      <c r="A15" s="131">
        <f>IFERROR(__xludf.DUMMYFUNCTION("""COMPUTED_VALUE"""),13.0)</f>
        <v>13</v>
      </c>
      <c r="B15" s="131"/>
      <c r="C15" s="131">
        <f>IFERROR(__xludf.DUMMYFUNCTION("""COMPUTED_VALUE"""),1.0)</f>
        <v>1</v>
      </c>
      <c r="D15" s="131" t="b">
        <f>IFERROR(__xludf.DUMMYFUNCTION("""COMPUTED_VALUE"""),FALSE)</f>
        <v>0</v>
      </c>
      <c r="E15" s="96" t="str">
        <f>IFERROR(__xludf.DUMMYFUNCTION("""COMPUTED_VALUE"""),"PIGAO")</f>
        <v>PIGAO</v>
      </c>
      <c r="F15" s="96" t="str">
        <f>IFERROR(__xludf.DUMMYFUNCTION("""COMPUTED_VALUE"""),"HANNAH")</f>
        <v>HANNAH</v>
      </c>
    </row>
    <row r="16">
      <c r="A16" s="131">
        <f>IFERROR(__xludf.DUMMYFUNCTION("""COMPUTED_VALUE"""),14.0)</f>
        <v>14</v>
      </c>
      <c r="B16" s="131"/>
      <c r="C16" s="131">
        <f>IFERROR(__xludf.DUMMYFUNCTION("""COMPUTED_VALUE"""),1.0)</f>
        <v>1</v>
      </c>
      <c r="D16" s="131" t="b">
        <f>IFERROR(__xludf.DUMMYFUNCTION("""COMPUTED_VALUE"""),FALSE)</f>
        <v>0</v>
      </c>
      <c r="E16" s="96" t="str">
        <f>IFERROR(__xludf.DUMMYFUNCTION("""COMPUTED_VALUE"""),"RELEVO")</f>
        <v>RELEVO</v>
      </c>
      <c r="F16" s="96" t="str">
        <f>IFERROR(__xludf.DUMMYFUNCTION("""COMPUTED_VALUE"""),"RICA")</f>
        <v>RICA</v>
      </c>
    </row>
    <row r="17">
      <c r="A17" s="131">
        <f>IFERROR(__xludf.DUMMYFUNCTION("""COMPUTED_VALUE"""),15.0)</f>
        <v>15</v>
      </c>
      <c r="B17" s="131"/>
      <c r="C17" s="131">
        <f>IFERROR(__xludf.DUMMYFUNCTION("""COMPUTED_VALUE"""),1.0)</f>
        <v>1</v>
      </c>
      <c r="D17" s="131" t="b">
        <f>IFERROR(__xludf.DUMMYFUNCTION("""COMPUTED_VALUE"""),FALSE)</f>
        <v>0</v>
      </c>
      <c r="E17" s="97" t="str">
        <f>IFERROR(__xludf.DUMMYFUNCTION("""COMPUTED_VALUE"""),"REYES")</f>
        <v>REYES</v>
      </c>
      <c r="F17" s="97" t="str">
        <f>IFERROR(__xludf.DUMMYFUNCTION("""COMPUTED_VALUE"""),"ARIANNE")</f>
        <v>ARIANNE</v>
      </c>
    </row>
    <row r="18">
      <c r="A18" s="131">
        <f>IFERROR(__xludf.DUMMYFUNCTION("""COMPUTED_VALUE"""),16.0)</f>
        <v>16</v>
      </c>
      <c r="B18" s="131"/>
      <c r="C18" s="131">
        <f>IFERROR(__xludf.DUMMYFUNCTION("""COMPUTED_VALUE"""),1.0)</f>
        <v>1</v>
      </c>
      <c r="D18" s="131" t="b">
        <f>IFERROR(__xludf.DUMMYFUNCTION("""COMPUTED_VALUE"""),FALSE)</f>
        <v>0</v>
      </c>
      <c r="E18" s="96" t="str">
        <f>IFERROR(__xludf.DUMMYFUNCTION("""COMPUTED_VALUE"""),"ROMANO")</f>
        <v>ROMANO</v>
      </c>
      <c r="F18" s="96" t="str">
        <f>IFERROR(__xludf.DUMMYFUNCTION("""COMPUTED_VALUE"""),"ROZANE")</f>
        <v>ROZANE</v>
      </c>
    </row>
    <row r="19">
      <c r="A19" s="131">
        <f>IFERROR(__xludf.DUMMYFUNCTION("""COMPUTED_VALUE"""),17.0)</f>
        <v>17</v>
      </c>
      <c r="B19" s="131"/>
      <c r="C19" s="131">
        <f>IFERROR(__xludf.DUMMYFUNCTION("""COMPUTED_VALUE"""),1.0)</f>
        <v>1</v>
      </c>
      <c r="D19" s="131" t="b">
        <f>IFERROR(__xludf.DUMMYFUNCTION("""COMPUTED_VALUE"""),FALSE)</f>
        <v>0</v>
      </c>
      <c r="E19" s="96" t="str">
        <f>IFERROR(__xludf.DUMMYFUNCTION("""COMPUTED_VALUE"""),"SEBASTIAN")</f>
        <v>SEBASTIAN</v>
      </c>
      <c r="F19" s="96" t="str">
        <f>IFERROR(__xludf.DUMMYFUNCTION("""COMPUTED_VALUE"""),"JENNIFER")</f>
        <v>JENNIFER</v>
      </c>
    </row>
    <row r="20">
      <c r="A20" s="131">
        <f>IFERROR(__xludf.DUMMYFUNCTION("""COMPUTED_VALUE"""),18.0)</f>
        <v>18</v>
      </c>
      <c r="B20" s="131"/>
      <c r="C20" s="131">
        <f>IFERROR(__xludf.DUMMYFUNCTION("""COMPUTED_VALUE"""),1.0)</f>
        <v>1</v>
      </c>
      <c r="D20" s="131" t="b">
        <f>IFERROR(__xludf.DUMMYFUNCTION("""COMPUTED_VALUE"""),FALSE)</f>
        <v>0</v>
      </c>
      <c r="E20" s="96" t="str">
        <f>IFERROR(__xludf.DUMMYFUNCTION("""COMPUTED_VALUE"""),"SIMON")</f>
        <v>SIMON</v>
      </c>
      <c r="F20" s="96" t="str">
        <f>IFERROR(__xludf.DUMMYFUNCTION("""COMPUTED_VALUE"""),"SHERRIE")</f>
        <v>SHERRIE</v>
      </c>
    </row>
    <row r="21">
      <c r="A21" s="131">
        <f>IFERROR(__xludf.DUMMYFUNCTION("""COMPUTED_VALUE"""),19.0)</f>
        <v>19</v>
      </c>
      <c r="B21" s="131">
        <f>IFERROR(__xludf.DUMMYFUNCTION("""COMPUTED_VALUE"""),15.0)</f>
        <v>15</v>
      </c>
      <c r="C21" s="131">
        <f>IFERROR(__xludf.DUMMYFUNCTION("""COMPUTED_VALUE"""),1.0)</f>
        <v>1</v>
      </c>
      <c r="D21" s="131" t="b">
        <f>IFERROR(__xludf.DUMMYFUNCTION("""COMPUTED_VALUE"""),FALSE)</f>
        <v>0</v>
      </c>
      <c r="E21" s="96" t="str">
        <f>IFERROR(__xludf.DUMMYFUNCTION("""COMPUTED_VALUE"""),"TAMIDLES")</f>
        <v>TAMIDLES</v>
      </c>
      <c r="F21" s="96" t="str">
        <f>IFERROR(__xludf.DUMMYFUNCTION("""COMPUTED_VALUE"""),"CZARINA")</f>
        <v>CZARINA</v>
      </c>
    </row>
    <row r="22">
      <c r="A22" s="131">
        <f>IFERROR(__xludf.DUMMYFUNCTION("""COMPUTED_VALUE"""),20.0)</f>
        <v>20</v>
      </c>
      <c r="B22" s="131">
        <f>IFERROR(__xludf.DUMMYFUNCTION("""COMPUTED_VALUE"""),15.0)</f>
        <v>15</v>
      </c>
      <c r="C22" s="131">
        <f>IFERROR(__xludf.DUMMYFUNCTION("""COMPUTED_VALUE"""),1.0)</f>
        <v>1</v>
      </c>
      <c r="D22" s="131" t="b">
        <f>IFERROR(__xludf.DUMMYFUNCTION("""COMPUTED_VALUE"""),FALSE)</f>
        <v>0</v>
      </c>
      <c r="E22" s="96" t="str">
        <f>IFERROR(__xludf.DUMMYFUNCTION("""COMPUTED_VALUE"""),"ULAN")</f>
        <v>ULAN</v>
      </c>
      <c r="F22" s="96" t="str">
        <f>IFERROR(__xludf.DUMMYFUNCTION("""COMPUTED_VALUE"""),"MCWAYNE")</f>
        <v>MCWAYNE</v>
      </c>
    </row>
    <row r="23">
      <c r="A23" s="131">
        <f>IFERROR(__xludf.DUMMYFUNCTION("""COMPUTED_VALUE"""),21.0)</f>
        <v>21</v>
      </c>
      <c r="B23" s="131"/>
      <c r="C23" s="131">
        <f>IFERROR(__xludf.DUMMYFUNCTION("""COMPUTED_VALUE"""),1.0)</f>
        <v>1</v>
      </c>
      <c r="D23" s="131" t="b">
        <f>IFERROR(__xludf.DUMMYFUNCTION("""COMPUTED_VALUE"""),FALSE)</f>
        <v>0</v>
      </c>
      <c r="E23" s="96" t="str">
        <f>IFERROR(__xludf.DUMMYFUNCTION("""COMPUTED_VALUE"""),"VILLARTA")</f>
        <v>VILLARTA</v>
      </c>
      <c r="F23" s="96" t="str">
        <f>IFERROR(__xludf.DUMMYFUNCTION("""COMPUTED_VALUE"""),"JERICKA")</f>
        <v>JERICKA</v>
      </c>
    </row>
    <row r="24">
      <c r="A24" s="131">
        <f>IFERROR(__xludf.DUMMYFUNCTION("""COMPUTED_VALUE"""),22.0)</f>
        <v>22</v>
      </c>
      <c r="B24" s="131"/>
      <c r="C24" s="131"/>
      <c r="D24" s="131" t="b">
        <f>IFERROR(__xludf.DUMMYFUNCTION("""COMPUTED_VALUE"""),FALSE)</f>
        <v>0</v>
      </c>
      <c r="E24" s="98"/>
      <c r="F24" s="96" t="str">
        <f>IFERROR(__xludf.DUMMYFUNCTION("""COMPUTED_VALUE"""),"ANGEL")</f>
        <v>ANGEL</v>
      </c>
    </row>
    <row r="25">
      <c r="A25" s="131">
        <f>IFERROR(__xludf.DUMMYFUNCTION("""COMPUTED_VALUE"""),23.0)</f>
        <v>23</v>
      </c>
      <c r="B25" s="131"/>
      <c r="C25" s="131">
        <f>IFERROR(__xludf.DUMMYFUNCTION("""COMPUTED_VALUE"""),23.0)</f>
        <v>23</v>
      </c>
      <c r="D25" s="131" t="b">
        <f>IFERROR(__xludf.DUMMYFUNCTION("""COMPUTED_VALUE"""),TRUE)</f>
        <v>1</v>
      </c>
      <c r="E25" s="99" t="str">
        <f>IFERROR(__xludf.DUMMYFUNCTION("""COMPUTED_VALUE"""),"AVANCENA")</f>
        <v>AVANCENA</v>
      </c>
      <c r="F25" s="99" t="str">
        <f>IFERROR(__xludf.DUMMYFUNCTION("""COMPUTED_VALUE"""),"AIMEE")</f>
        <v>AIMEE</v>
      </c>
    </row>
    <row r="26">
      <c r="A26" s="131">
        <f>IFERROR(__xludf.DUMMYFUNCTION("""COMPUTED_VALUE"""),24.0)</f>
        <v>24</v>
      </c>
      <c r="B26" s="131"/>
      <c r="C26" s="131">
        <f>IFERROR(__xludf.DUMMYFUNCTION("""COMPUTED_VALUE"""),23.0)</f>
        <v>23</v>
      </c>
      <c r="D26" s="131" t="b">
        <f>IFERROR(__xludf.DUMMYFUNCTION("""COMPUTED_VALUE"""),FALSE)</f>
        <v>0</v>
      </c>
      <c r="E26" s="100" t="str">
        <f>IFERROR(__xludf.DUMMYFUNCTION("""COMPUTED_VALUE"""),"CABO")</f>
        <v>CABO</v>
      </c>
      <c r="F26" s="100" t="str">
        <f>IFERROR(__xludf.DUMMYFUNCTION("""COMPUTED_VALUE"""),"MELANIE")</f>
        <v>MELANIE</v>
      </c>
    </row>
    <row r="27">
      <c r="A27" s="131">
        <f>IFERROR(__xludf.DUMMYFUNCTION("""COMPUTED_VALUE"""),25.0)</f>
        <v>25</v>
      </c>
      <c r="B27" s="131">
        <f>IFERROR(__xludf.DUMMYFUNCTION("""COMPUTED_VALUE"""),24.0)</f>
        <v>24</v>
      </c>
      <c r="C27" s="131">
        <f>IFERROR(__xludf.DUMMYFUNCTION("""COMPUTED_VALUE"""),23.0)</f>
        <v>23</v>
      </c>
      <c r="D27" s="131" t="b">
        <f>IFERROR(__xludf.DUMMYFUNCTION("""COMPUTED_VALUE"""),FALSE)</f>
        <v>0</v>
      </c>
      <c r="E27" s="100" t="str">
        <f>IFERROR(__xludf.DUMMYFUNCTION("""COMPUTED_VALUE"""),"CARLOS")</f>
        <v>CARLOS</v>
      </c>
      <c r="F27" s="100" t="str">
        <f>IFERROR(__xludf.DUMMYFUNCTION("""COMPUTED_VALUE"""),"FRANCINE")</f>
        <v>FRANCINE</v>
      </c>
    </row>
    <row r="28">
      <c r="A28" s="131">
        <f>IFERROR(__xludf.DUMMYFUNCTION("""COMPUTED_VALUE"""),26.0)</f>
        <v>26</v>
      </c>
      <c r="B28" s="131"/>
      <c r="C28" s="131">
        <f>IFERROR(__xludf.DUMMYFUNCTION("""COMPUTED_VALUE"""),23.0)</f>
        <v>23</v>
      </c>
      <c r="D28" s="131" t="b">
        <f>IFERROR(__xludf.DUMMYFUNCTION("""COMPUTED_VALUE"""),FALSE)</f>
        <v>0</v>
      </c>
      <c r="E28" s="100" t="str">
        <f>IFERROR(__xludf.DUMMYFUNCTION("""COMPUTED_VALUE"""),"DALIOAN")</f>
        <v>DALIOAN</v>
      </c>
      <c r="F28" s="100" t="str">
        <f>IFERROR(__xludf.DUMMYFUNCTION("""COMPUTED_VALUE"""),"MONIQUE")</f>
        <v>MONIQUE</v>
      </c>
    </row>
    <row r="29">
      <c r="A29" s="131">
        <f>IFERROR(__xludf.DUMMYFUNCTION("""COMPUTED_VALUE"""),27.0)</f>
        <v>27</v>
      </c>
      <c r="B29" s="131"/>
      <c r="C29" s="131">
        <f>IFERROR(__xludf.DUMMYFUNCTION("""COMPUTED_VALUE"""),23.0)</f>
        <v>23</v>
      </c>
      <c r="D29" s="131" t="b">
        <f>IFERROR(__xludf.DUMMYFUNCTION("""COMPUTED_VALUE"""),FALSE)</f>
        <v>0</v>
      </c>
      <c r="E29" s="100" t="str">
        <f>IFERROR(__xludf.DUMMYFUNCTION("""COMPUTED_VALUE"""),"GELICAME")</f>
        <v>GELICAME</v>
      </c>
      <c r="F29" s="100" t="str">
        <f>IFERROR(__xludf.DUMMYFUNCTION("""COMPUTED_VALUE"""),"ARYHANA")</f>
        <v>ARYHANA</v>
      </c>
    </row>
    <row r="30">
      <c r="A30" s="131">
        <f>IFERROR(__xludf.DUMMYFUNCTION("""COMPUTED_VALUE"""),28.0)</f>
        <v>28</v>
      </c>
      <c r="B30" s="131"/>
      <c r="C30" s="131">
        <f>IFERROR(__xludf.DUMMYFUNCTION("""COMPUTED_VALUE"""),23.0)</f>
        <v>23</v>
      </c>
      <c r="D30" s="131" t="b">
        <f>IFERROR(__xludf.DUMMYFUNCTION("""COMPUTED_VALUE"""),FALSE)</f>
        <v>0</v>
      </c>
      <c r="E30" s="100" t="str">
        <f>IFERROR(__xludf.DUMMYFUNCTION("""COMPUTED_VALUE"""),"GUIMONG")</f>
        <v>GUIMONG</v>
      </c>
      <c r="F30" s="100" t="str">
        <f>IFERROR(__xludf.DUMMYFUNCTION("""COMPUTED_VALUE"""),"FAITH")</f>
        <v>FAITH</v>
      </c>
    </row>
    <row r="31">
      <c r="A31" s="131">
        <f>IFERROR(__xludf.DUMMYFUNCTION("""COMPUTED_VALUE"""),29.0)</f>
        <v>29</v>
      </c>
      <c r="B31" s="131"/>
      <c r="C31" s="131">
        <f>IFERROR(__xludf.DUMMYFUNCTION("""COMPUTED_VALUE"""),23.0)</f>
        <v>23</v>
      </c>
      <c r="D31" s="131" t="b">
        <f>IFERROR(__xludf.DUMMYFUNCTION("""COMPUTED_VALUE"""),FALSE)</f>
        <v>0</v>
      </c>
      <c r="E31" s="100" t="str">
        <f>IFERROR(__xludf.DUMMYFUNCTION("""COMPUTED_VALUE"""),"MANALOTO")</f>
        <v>MANALOTO</v>
      </c>
      <c r="F31" s="100" t="str">
        <f>IFERROR(__xludf.DUMMYFUNCTION("""COMPUTED_VALUE"""),"YOSHA")</f>
        <v>YOSHA</v>
      </c>
    </row>
    <row r="32">
      <c r="A32" s="131">
        <f>IFERROR(__xludf.DUMMYFUNCTION("""COMPUTED_VALUE"""),30.0)</f>
        <v>30</v>
      </c>
      <c r="B32" s="131"/>
      <c r="C32" s="131">
        <f>IFERROR(__xludf.DUMMYFUNCTION("""COMPUTED_VALUE"""),23.0)</f>
        <v>23</v>
      </c>
      <c r="D32" s="131" t="b">
        <f>IFERROR(__xludf.DUMMYFUNCTION("""COMPUTED_VALUE"""),FALSE)</f>
        <v>0</v>
      </c>
      <c r="E32" s="100" t="str">
        <f>IFERROR(__xludf.DUMMYFUNCTION("""COMPUTED_VALUE"""),"MARINAS")</f>
        <v>MARINAS</v>
      </c>
      <c r="F32" s="100" t="str">
        <f>IFERROR(__xludf.DUMMYFUNCTION("""COMPUTED_VALUE"""),"CHERRY")</f>
        <v>CHERRY</v>
      </c>
    </row>
    <row r="33">
      <c r="A33" s="131">
        <f>IFERROR(__xludf.DUMMYFUNCTION("""COMPUTED_VALUE"""),31.0)</f>
        <v>31</v>
      </c>
      <c r="B33" s="131"/>
      <c r="C33" s="131">
        <f>IFERROR(__xludf.DUMMYFUNCTION("""COMPUTED_VALUE"""),23.0)</f>
        <v>23</v>
      </c>
      <c r="D33" s="131" t="b">
        <f>IFERROR(__xludf.DUMMYFUNCTION("""COMPUTED_VALUE"""),FALSE)</f>
        <v>0</v>
      </c>
      <c r="E33" s="101" t="str">
        <f>IFERROR(__xludf.DUMMYFUNCTION("""COMPUTED_VALUE"""),"JIMENEZ")</f>
        <v>JIMENEZ</v>
      </c>
      <c r="F33" s="101" t="str">
        <f>IFERROR(__xludf.DUMMYFUNCTION("""COMPUTED_VALUE"""),"RUTH JHAMELA")</f>
        <v>RUTH JHAMELA</v>
      </c>
    </row>
    <row r="34">
      <c r="A34" s="131">
        <f>IFERROR(__xludf.DUMMYFUNCTION("""COMPUTED_VALUE"""),32.0)</f>
        <v>32</v>
      </c>
      <c r="B34" s="131"/>
      <c r="C34" s="131">
        <f>IFERROR(__xludf.DUMMYFUNCTION("""COMPUTED_VALUE"""),23.0)</f>
        <v>23</v>
      </c>
      <c r="D34" s="131" t="b">
        <f>IFERROR(__xludf.DUMMYFUNCTION("""COMPUTED_VALUE"""),FALSE)</f>
        <v>0</v>
      </c>
      <c r="E34" s="100" t="str">
        <f>IFERROR(__xludf.DUMMYFUNCTION("""COMPUTED_VALUE"""),"GUILLERMO")</f>
        <v>GUILLERMO</v>
      </c>
      <c r="F34" s="100" t="str">
        <f>IFERROR(__xludf.DUMMYFUNCTION("""COMPUTED_VALUE"""),"STAR")</f>
        <v>STAR</v>
      </c>
    </row>
    <row r="35">
      <c r="A35" s="131">
        <f>IFERROR(__xludf.DUMMYFUNCTION("""COMPUTED_VALUE"""),33.0)</f>
        <v>33</v>
      </c>
      <c r="B35" s="131"/>
      <c r="C35" s="131">
        <f>IFERROR(__xludf.DUMMYFUNCTION("""COMPUTED_VALUE"""),23.0)</f>
        <v>23</v>
      </c>
      <c r="D35" s="131" t="b">
        <f>IFERROR(__xludf.DUMMYFUNCTION("""COMPUTED_VALUE"""),FALSE)</f>
        <v>0</v>
      </c>
      <c r="E35" s="100" t="str">
        <f>IFERROR(__xludf.DUMMYFUNCTION("""COMPUTED_VALUE"""),"CATENZA")</f>
        <v>CATENZA</v>
      </c>
      <c r="F35" s="100" t="str">
        <f>IFERROR(__xludf.DUMMYFUNCTION("""COMPUTED_VALUE"""),"PRINCESS")</f>
        <v>PRINCESS</v>
      </c>
    </row>
    <row r="36">
      <c r="A36" s="131">
        <f>IFERROR(__xludf.DUMMYFUNCTION("""COMPUTED_VALUE"""),34.0)</f>
        <v>34</v>
      </c>
      <c r="B36" s="131"/>
      <c r="C36" s="131">
        <f>IFERROR(__xludf.DUMMYFUNCTION("""COMPUTED_VALUE"""),23.0)</f>
        <v>23</v>
      </c>
      <c r="D36" s="131" t="b">
        <f>IFERROR(__xludf.DUMMYFUNCTION("""COMPUTED_VALUE"""),FALSE)</f>
        <v>0</v>
      </c>
      <c r="E36" s="102" t="str">
        <f>IFERROR(__xludf.DUMMYFUNCTION("""COMPUTED_VALUE"""),"GORDON")</f>
        <v>GORDON</v>
      </c>
      <c r="F36" s="102" t="str">
        <f>IFERROR(__xludf.DUMMYFUNCTION("""COMPUTED_VALUE"""),"HARRY")</f>
        <v>HARRY</v>
      </c>
    </row>
    <row r="37">
      <c r="A37" s="131">
        <f>IFERROR(__xludf.DUMMYFUNCTION("""COMPUTED_VALUE"""),35.0)</f>
        <v>35</v>
      </c>
      <c r="B37" s="131"/>
      <c r="C37" s="131">
        <f>IFERROR(__xludf.DUMMYFUNCTION("""COMPUTED_VALUE"""),23.0)</f>
        <v>23</v>
      </c>
      <c r="D37" s="131" t="b">
        <f>IFERROR(__xludf.DUMMYFUNCTION("""COMPUTED_VALUE"""),FALSE)</f>
        <v>0</v>
      </c>
      <c r="E37" s="103" t="str">
        <f>IFERROR(__xludf.DUMMYFUNCTION("""COMPUTED_VALUE"""),"AVILLANO")</f>
        <v>AVILLANO</v>
      </c>
      <c r="F37" s="103" t="str">
        <f>IFERROR(__xludf.DUMMYFUNCTION("""COMPUTED_VALUE"""),"ANGEL DIANNE")</f>
        <v>ANGEL DIANNE</v>
      </c>
    </row>
    <row r="38">
      <c r="A38" s="131">
        <f>IFERROR(__xludf.DUMMYFUNCTION("""COMPUTED_VALUE"""),36.0)</f>
        <v>36</v>
      </c>
      <c r="B38" s="131"/>
      <c r="C38" s="131">
        <f>IFERROR(__xludf.DUMMYFUNCTION("""COMPUTED_VALUE"""),23.0)</f>
        <v>23</v>
      </c>
      <c r="D38" s="131" t="b">
        <f>IFERROR(__xludf.DUMMYFUNCTION("""COMPUTED_VALUE"""),FALSE)</f>
        <v>0</v>
      </c>
      <c r="E38" s="103" t="str">
        <f>IFERROR(__xludf.DUMMYFUNCTION("""COMPUTED_VALUE"""),"BALTAZAR")</f>
        <v>BALTAZAR</v>
      </c>
      <c r="F38" s="103" t="str">
        <f>IFERROR(__xludf.DUMMYFUNCTION("""COMPUTED_VALUE"""),"ARSTON")</f>
        <v>ARSTON</v>
      </c>
    </row>
    <row r="39">
      <c r="A39" s="131">
        <f>IFERROR(__xludf.DUMMYFUNCTION("""COMPUTED_VALUE"""),37.0)</f>
        <v>37</v>
      </c>
      <c r="B39" s="131"/>
      <c r="C39" s="131">
        <f>IFERROR(__xludf.DUMMYFUNCTION("""COMPUTED_VALUE"""),23.0)</f>
        <v>23</v>
      </c>
      <c r="D39" s="131" t="b">
        <f>IFERROR(__xludf.DUMMYFUNCTION("""COMPUTED_VALUE"""),FALSE)</f>
        <v>0</v>
      </c>
      <c r="E39" s="102" t="str">
        <f>IFERROR(__xludf.DUMMYFUNCTION("""COMPUTED_VALUE"""),"SISON")</f>
        <v>SISON</v>
      </c>
      <c r="F39" s="103" t="str">
        <f>IFERROR(__xludf.DUMMYFUNCTION("""COMPUTED_VALUE"""),"KRISTA MAE")</f>
        <v>KRISTA MAE</v>
      </c>
    </row>
    <row r="40">
      <c r="A40" s="131">
        <f>IFERROR(__xludf.DUMMYFUNCTION("""COMPUTED_VALUE"""),38.0)</f>
        <v>38</v>
      </c>
      <c r="B40" s="131"/>
      <c r="C40" s="131">
        <f>IFERROR(__xludf.DUMMYFUNCTION("""COMPUTED_VALUE"""),23.0)</f>
        <v>23</v>
      </c>
      <c r="D40" s="131" t="b">
        <f>IFERROR(__xludf.DUMMYFUNCTION("""COMPUTED_VALUE"""),FALSE)</f>
        <v>0</v>
      </c>
      <c r="E40" s="103" t="str">
        <f>IFERROR(__xludf.DUMMYFUNCTION("""COMPUTED_VALUE"""),"GARCIA")</f>
        <v>GARCIA</v>
      </c>
      <c r="F40" s="103" t="str">
        <f>IFERROR(__xludf.DUMMYFUNCTION("""COMPUTED_VALUE"""),"SELTHIEL")</f>
        <v>SELTHIEL</v>
      </c>
    </row>
    <row r="41">
      <c r="A41" s="131">
        <f>IFERROR(__xludf.DUMMYFUNCTION("""COMPUTED_VALUE"""),39.0)</f>
        <v>39</v>
      </c>
      <c r="B41" s="131"/>
      <c r="C41" s="131">
        <f>IFERROR(__xludf.DUMMYFUNCTION("""COMPUTED_VALUE"""),23.0)</f>
        <v>23</v>
      </c>
      <c r="D41" s="131" t="b">
        <f>IFERROR(__xludf.DUMMYFUNCTION("""COMPUTED_VALUE"""),FALSE)</f>
        <v>0</v>
      </c>
      <c r="E41" s="103" t="str">
        <f>IFERROR(__xludf.DUMMYFUNCTION("""COMPUTED_VALUE"""),"HIJARA")</f>
        <v>HIJARA</v>
      </c>
      <c r="F41" s="103" t="str">
        <f>IFERROR(__xludf.DUMMYFUNCTION("""COMPUTED_VALUE"""),"JAIHMIER VIELLE")</f>
        <v>JAIHMIER VIELLE</v>
      </c>
    </row>
    <row r="42">
      <c r="A42" s="131">
        <f>IFERROR(__xludf.DUMMYFUNCTION("""COMPUTED_VALUE"""),40.0)</f>
        <v>40</v>
      </c>
      <c r="B42" s="131"/>
      <c r="C42" s="131">
        <f>IFERROR(__xludf.DUMMYFUNCTION("""COMPUTED_VALUE"""),23.0)</f>
        <v>23</v>
      </c>
      <c r="D42" s="131" t="b">
        <f>IFERROR(__xludf.DUMMYFUNCTION("""COMPUTED_VALUE"""),FALSE)</f>
        <v>0</v>
      </c>
      <c r="E42" s="103" t="str">
        <f>IFERROR(__xludf.DUMMYFUNCTION("""COMPUTED_VALUE"""),"MAGBANUA")</f>
        <v>MAGBANUA</v>
      </c>
      <c r="F42" s="103" t="str">
        <f>IFERROR(__xludf.DUMMYFUNCTION("""COMPUTED_VALUE"""),"MANUEL HARVEY")</f>
        <v>MANUEL HARVEY</v>
      </c>
    </row>
    <row r="43">
      <c r="A43" s="131">
        <f>IFERROR(__xludf.DUMMYFUNCTION("""COMPUTED_VALUE"""),41.0)</f>
        <v>41</v>
      </c>
      <c r="B43" s="131"/>
      <c r="C43" s="131">
        <f>IFERROR(__xludf.DUMMYFUNCTION("""COMPUTED_VALUE"""),23.0)</f>
        <v>23</v>
      </c>
      <c r="D43" s="131" t="b">
        <f>IFERROR(__xludf.DUMMYFUNCTION("""COMPUTED_VALUE"""),FALSE)</f>
        <v>0</v>
      </c>
      <c r="E43" s="103" t="str">
        <f>IFERROR(__xludf.DUMMYFUNCTION("""COMPUTED_VALUE"""),"TABOY")</f>
        <v>TABOY</v>
      </c>
      <c r="F43" s="103" t="str">
        <f>IFERROR(__xludf.DUMMYFUNCTION("""COMPUTED_VALUE"""),"PRIMO KLYDE")</f>
        <v>PRIMO KLYDE</v>
      </c>
    </row>
    <row r="44">
      <c r="A44" s="131">
        <f>IFERROR(__xludf.DUMMYFUNCTION("""COMPUTED_VALUE"""),42.0)</f>
        <v>42</v>
      </c>
      <c r="B44" s="131"/>
      <c r="C44" s="131"/>
      <c r="D44" s="131" t="b">
        <f>IFERROR(__xludf.DUMMYFUNCTION("""COMPUTED_VALUE"""),FALSE)</f>
        <v>0</v>
      </c>
      <c r="E44" s="103"/>
      <c r="F44" s="103"/>
    </row>
    <row r="45">
      <c r="A45" s="131">
        <f>IFERROR(__xludf.DUMMYFUNCTION("""COMPUTED_VALUE"""),43.0)</f>
        <v>43</v>
      </c>
      <c r="B45" s="131"/>
      <c r="C45" s="131">
        <f>IFERROR(__xludf.DUMMYFUNCTION("""COMPUTED_VALUE"""),23.0)</f>
        <v>23</v>
      </c>
      <c r="D45" s="131" t="b">
        <f>IFERROR(__xludf.DUMMYFUNCTION("""COMPUTED_VALUE"""),FALSE)</f>
        <v>0</v>
      </c>
      <c r="E45" s="103" t="str">
        <f>IFERROR(__xludf.DUMMYFUNCTION("""COMPUTED_VALUE"""),"SABEJON")</f>
        <v>SABEJON</v>
      </c>
      <c r="F45" s="103" t="str">
        <f>IFERROR(__xludf.DUMMYFUNCTION("""COMPUTED_VALUE"""),"KENNETH")</f>
        <v>KENNETH</v>
      </c>
    </row>
    <row r="46">
      <c r="A46" s="131">
        <f>IFERROR(__xludf.DUMMYFUNCTION("""COMPUTED_VALUE"""),44.0)</f>
        <v>44</v>
      </c>
      <c r="B46" s="131"/>
      <c r="C46" s="131">
        <f>IFERROR(__xludf.DUMMYFUNCTION("""COMPUTED_VALUE"""),23.0)</f>
        <v>23</v>
      </c>
      <c r="D46" s="131" t="b">
        <f>IFERROR(__xludf.DUMMYFUNCTION("""COMPUTED_VALUE"""),FALSE)</f>
        <v>0</v>
      </c>
      <c r="E46" s="103" t="str">
        <f>IFERROR(__xludf.DUMMYFUNCTION("""COMPUTED_VALUE"""),"LIRRAG")</f>
        <v>LIRRAG</v>
      </c>
      <c r="F46" s="103" t="str">
        <f>IFERROR(__xludf.DUMMYFUNCTION("""COMPUTED_VALUE"""),"DAN EDRIK")</f>
        <v>DAN EDRIK</v>
      </c>
    </row>
    <row r="47">
      <c r="A47" s="131">
        <f>IFERROR(__xludf.DUMMYFUNCTION("""COMPUTED_VALUE"""),45.0)</f>
        <v>45</v>
      </c>
      <c r="B47" s="131"/>
      <c r="C47" s="131">
        <f>IFERROR(__xludf.DUMMYFUNCTION("""COMPUTED_VALUE"""),23.0)</f>
        <v>23</v>
      </c>
      <c r="D47" s="131" t="b">
        <f>IFERROR(__xludf.DUMMYFUNCTION("""COMPUTED_VALUE"""),FALSE)</f>
        <v>0</v>
      </c>
      <c r="E47" s="103" t="str">
        <f>IFERROR(__xludf.DUMMYFUNCTION("""COMPUTED_VALUE"""),"DELA ROSA")</f>
        <v>DELA ROSA</v>
      </c>
      <c r="F47" s="103" t="str">
        <f>IFERROR(__xludf.DUMMYFUNCTION("""COMPUTED_VALUE"""),"JOREVE")</f>
        <v>JOREVE</v>
      </c>
    </row>
    <row r="48">
      <c r="A48" s="131">
        <f>IFERROR(__xludf.DUMMYFUNCTION("""COMPUTED_VALUE"""),46.0)</f>
        <v>46</v>
      </c>
      <c r="B48" s="131"/>
      <c r="C48" s="131">
        <f>IFERROR(__xludf.DUMMYFUNCTION("""COMPUTED_VALUE"""),23.0)</f>
        <v>23</v>
      </c>
      <c r="D48" s="131" t="b">
        <f>IFERROR(__xludf.DUMMYFUNCTION("""COMPUTED_VALUE"""),FALSE)</f>
        <v>0</v>
      </c>
      <c r="E48" s="103" t="str">
        <f>IFERROR(__xludf.DUMMYFUNCTION("""COMPUTED_VALUE"""),"KOI")</f>
        <v>KOI</v>
      </c>
      <c r="F48" s="103" t="str">
        <f>IFERROR(__xludf.DUMMYFUNCTION("""COMPUTED_VALUE"""),"HERMYLYN")</f>
        <v>HERMYLYN</v>
      </c>
    </row>
    <row r="49">
      <c r="A49" s="131">
        <f>IFERROR(__xludf.DUMMYFUNCTION("""COMPUTED_VALUE"""),47.0)</f>
        <v>47</v>
      </c>
      <c r="B49" s="131"/>
      <c r="C49" s="131">
        <f>IFERROR(__xludf.DUMMYFUNCTION("""COMPUTED_VALUE"""),23.0)</f>
        <v>23</v>
      </c>
      <c r="D49" s="131" t="b">
        <f>IFERROR(__xludf.DUMMYFUNCTION("""COMPUTED_VALUE"""),FALSE)</f>
        <v>0</v>
      </c>
      <c r="E49" s="103" t="str">
        <f>IFERROR(__xludf.DUMMYFUNCTION("""COMPUTED_VALUE"""),"SILVANO")</f>
        <v>SILVANO</v>
      </c>
      <c r="F49" s="103" t="str">
        <f>IFERROR(__xludf.DUMMYFUNCTION("""COMPUTED_VALUE"""),"CRISJARED")</f>
        <v>CRISJARED</v>
      </c>
    </row>
    <row r="50">
      <c r="A50" s="131">
        <f>IFERROR(__xludf.DUMMYFUNCTION("""COMPUTED_VALUE"""),48.0)</f>
        <v>48</v>
      </c>
      <c r="B50" s="131"/>
      <c r="C50" s="131">
        <f>IFERROR(__xludf.DUMMYFUNCTION("""COMPUTED_VALUE"""),23.0)</f>
        <v>23</v>
      </c>
      <c r="D50" s="131" t="b">
        <f>IFERROR(__xludf.DUMMYFUNCTION("""COMPUTED_VALUE"""),FALSE)</f>
        <v>0</v>
      </c>
      <c r="E50" s="103" t="str">
        <f>IFERROR(__xludf.DUMMYFUNCTION("""COMPUTED_VALUE"""),"CORONEL")</f>
        <v>CORONEL</v>
      </c>
      <c r="F50" s="103" t="str">
        <f>IFERROR(__xludf.DUMMYFUNCTION("""COMPUTED_VALUE"""),"CARL CEDRICK")</f>
        <v>CARL CEDRICK</v>
      </c>
    </row>
    <row r="51">
      <c r="A51" s="131">
        <f>IFERROR(__xludf.DUMMYFUNCTION("""COMPUTED_VALUE"""),49.0)</f>
        <v>49</v>
      </c>
      <c r="B51" s="131"/>
      <c r="C51" s="131">
        <f>IFERROR(__xludf.DUMMYFUNCTION("""COMPUTED_VALUE"""),23.0)</f>
        <v>23</v>
      </c>
      <c r="D51" s="131" t="b">
        <f>IFERROR(__xludf.DUMMYFUNCTION("""COMPUTED_VALUE"""),FALSE)</f>
        <v>0</v>
      </c>
      <c r="E51" s="103" t="str">
        <f>IFERROR(__xludf.DUMMYFUNCTION("""COMPUTED_VALUE"""),"ORTALEZA")</f>
        <v>ORTALEZA</v>
      </c>
      <c r="F51" s="103" t="str">
        <f>IFERROR(__xludf.DUMMYFUNCTION("""COMPUTED_VALUE"""),"FROI FANCIS")</f>
        <v>FROI FANCIS</v>
      </c>
    </row>
    <row r="52">
      <c r="A52" s="131">
        <f>IFERROR(__xludf.DUMMYFUNCTION("""COMPUTED_VALUE"""),50.0)</f>
        <v>50</v>
      </c>
      <c r="B52" s="131"/>
      <c r="C52" s="131">
        <f>IFERROR(__xludf.DUMMYFUNCTION("""COMPUTED_VALUE"""),23.0)</f>
        <v>23</v>
      </c>
      <c r="D52" s="131" t="b">
        <f>IFERROR(__xludf.DUMMYFUNCTION("""COMPUTED_VALUE"""),FALSE)</f>
        <v>0</v>
      </c>
      <c r="E52" s="103" t="str">
        <f>IFERROR(__xludf.DUMMYFUNCTION("""COMPUTED_VALUE"""),"ESPOZO")</f>
        <v>ESPOZO</v>
      </c>
      <c r="F52" s="103" t="str">
        <f>IFERROR(__xludf.DUMMYFUNCTION("""COMPUTED_VALUE"""),"MAICA ELLA")</f>
        <v>MAICA ELLA</v>
      </c>
    </row>
    <row r="53">
      <c r="A53" s="131">
        <f>IFERROR(__xludf.DUMMYFUNCTION("""COMPUTED_VALUE"""),51.0)</f>
        <v>51</v>
      </c>
      <c r="B53" s="131"/>
      <c r="C53" s="131">
        <f>IFERROR(__xludf.DUMMYFUNCTION("""COMPUTED_VALUE"""),23.0)</f>
        <v>23</v>
      </c>
      <c r="D53" s="131" t="b">
        <f>IFERROR(__xludf.DUMMYFUNCTION("""COMPUTED_VALUE"""),FALSE)</f>
        <v>0</v>
      </c>
      <c r="E53" s="103" t="str">
        <f>IFERROR(__xludf.DUMMYFUNCTION("""COMPUTED_VALUE"""),"SOBERANO")</f>
        <v>SOBERANO</v>
      </c>
      <c r="F53" s="103" t="str">
        <f>IFERROR(__xludf.DUMMYFUNCTION("""COMPUTED_VALUE"""),"ZAIRUS")</f>
        <v>ZAIRUS</v>
      </c>
    </row>
    <row r="54">
      <c r="A54" s="131">
        <f>IFERROR(__xludf.DUMMYFUNCTION("""COMPUTED_VALUE"""),52.0)</f>
        <v>52</v>
      </c>
      <c r="B54" s="131"/>
      <c r="C54" s="131">
        <f>IFERROR(__xludf.DUMMYFUNCTION("""COMPUTED_VALUE"""),23.0)</f>
        <v>23</v>
      </c>
      <c r="D54" s="131" t="b">
        <f>IFERROR(__xludf.DUMMYFUNCTION("""COMPUTED_VALUE"""),FALSE)</f>
        <v>0</v>
      </c>
      <c r="E54" s="99" t="str">
        <f>IFERROR(__xludf.DUMMYFUNCTION("""COMPUTED_VALUE"""),"ERA")</f>
        <v>ERA</v>
      </c>
      <c r="F54" s="99" t="str">
        <f>IFERROR(__xludf.DUMMYFUNCTION("""COMPUTED_VALUE"""),"ANALEZA")</f>
        <v>ANALEZA</v>
      </c>
    </row>
    <row r="55">
      <c r="A55" s="131">
        <f>IFERROR(__xludf.DUMMYFUNCTION("""COMPUTED_VALUE"""),53.0)</f>
        <v>53</v>
      </c>
      <c r="B55" s="131"/>
      <c r="C55" s="131">
        <f>IFERROR(__xludf.DUMMYFUNCTION("""COMPUTED_VALUE"""),23.0)</f>
        <v>23</v>
      </c>
      <c r="D55" s="131" t="b">
        <f>IFERROR(__xludf.DUMMYFUNCTION("""COMPUTED_VALUE"""),FALSE)</f>
        <v>0</v>
      </c>
      <c r="E55" s="100" t="str">
        <f>IFERROR(__xludf.DUMMYFUNCTION("""COMPUTED_VALUE"""),"ARANA")</f>
        <v>ARANA</v>
      </c>
      <c r="F55" s="100" t="str">
        <f>IFERROR(__xludf.DUMMYFUNCTION("""COMPUTED_VALUE"""),"RHEANA")</f>
        <v>RHEANA</v>
      </c>
    </row>
    <row r="56">
      <c r="A56" s="131">
        <f>IFERROR(__xludf.DUMMYFUNCTION("""COMPUTED_VALUE"""),54.0)</f>
        <v>54</v>
      </c>
      <c r="B56" s="131"/>
      <c r="C56" s="131">
        <f>IFERROR(__xludf.DUMMYFUNCTION("""COMPUTED_VALUE"""),23.0)</f>
        <v>23</v>
      </c>
      <c r="D56" s="131" t="b">
        <f>IFERROR(__xludf.DUMMYFUNCTION("""COMPUTED_VALUE"""),FALSE)</f>
        <v>0</v>
      </c>
      <c r="E56" s="100" t="str">
        <f>IFERROR(__xludf.DUMMYFUNCTION("""COMPUTED_VALUE"""),"BANDE")</f>
        <v>BANDE</v>
      </c>
      <c r="F56" s="100" t="str">
        <f>IFERROR(__xludf.DUMMYFUNCTION("""COMPUTED_VALUE"""),"ERICA")</f>
        <v>ERICA</v>
      </c>
    </row>
    <row r="57">
      <c r="A57" s="131">
        <f>IFERROR(__xludf.DUMMYFUNCTION("""COMPUTED_VALUE"""),55.0)</f>
        <v>55</v>
      </c>
      <c r="B57" s="131"/>
      <c r="C57" s="131">
        <f>IFERROR(__xludf.DUMMYFUNCTION("""COMPUTED_VALUE"""),23.0)</f>
        <v>23</v>
      </c>
      <c r="D57" s="131" t="b">
        <f>IFERROR(__xludf.DUMMYFUNCTION("""COMPUTED_VALUE"""),FALSE)</f>
        <v>0</v>
      </c>
      <c r="E57" s="100" t="str">
        <f>IFERROR(__xludf.DUMMYFUNCTION("""COMPUTED_VALUE"""),"DEL ROSARIO")</f>
        <v>DEL ROSARIO</v>
      </c>
      <c r="F57" s="100" t="str">
        <f>IFERROR(__xludf.DUMMYFUNCTION("""COMPUTED_VALUE"""),"JOY")</f>
        <v>JOY</v>
      </c>
    </row>
    <row r="58">
      <c r="A58" s="131">
        <f>IFERROR(__xludf.DUMMYFUNCTION("""COMPUTED_VALUE"""),56.0)</f>
        <v>56</v>
      </c>
      <c r="B58" s="131"/>
      <c r="C58" s="131">
        <f>IFERROR(__xludf.DUMMYFUNCTION("""COMPUTED_VALUE"""),23.0)</f>
        <v>23</v>
      </c>
      <c r="D58" s="131" t="b">
        <f>IFERROR(__xludf.DUMMYFUNCTION("""COMPUTED_VALUE"""),FALSE)</f>
        <v>0</v>
      </c>
      <c r="E58" s="100" t="str">
        <f>IFERROR(__xludf.DUMMYFUNCTION("""COMPUTED_VALUE"""),"GUETA")</f>
        <v>GUETA</v>
      </c>
      <c r="F58" s="100" t="str">
        <f>IFERROR(__xludf.DUMMYFUNCTION("""COMPUTED_VALUE"""),"SEYVEL")</f>
        <v>SEYVEL</v>
      </c>
    </row>
    <row r="59">
      <c r="A59" s="131">
        <f>IFERROR(__xludf.DUMMYFUNCTION("""COMPUTED_VALUE"""),57.0)</f>
        <v>57</v>
      </c>
      <c r="B59" s="131"/>
      <c r="C59" s="131">
        <f>IFERROR(__xludf.DUMMYFUNCTION("""COMPUTED_VALUE"""),23.0)</f>
        <v>23</v>
      </c>
      <c r="D59" s="131" t="b">
        <f>IFERROR(__xludf.DUMMYFUNCTION("""COMPUTED_VALUE"""),FALSE)</f>
        <v>0</v>
      </c>
      <c r="E59" s="100" t="str">
        <f>IFERROR(__xludf.DUMMYFUNCTION("""COMPUTED_VALUE"""),"MALIPOT")</f>
        <v>MALIPOT</v>
      </c>
      <c r="F59" s="100" t="str">
        <f>IFERROR(__xludf.DUMMYFUNCTION("""COMPUTED_VALUE"""),"JUSTINE")</f>
        <v>JUSTINE</v>
      </c>
    </row>
    <row r="60">
      <c r="A60" s="131">
        <f>IFERROR(__xludf.DUMMYFUNCTION("""COMPUTED_VALUE"""),58.0)</f>
        <v>58</v>
      </c>
      <c r="B60" s="131"/>
      <c r="C60" s="131">
        <f>IFERROR(__xludf.DUMMYFUNCTION("""COMPUTED_VALUE"""),23.0)</f>
        <v>23</v>
      </c>
      <c r="D60" s="131" t="b">
        <f>IFERROR(__xludf.DUMMYFUNCTION("""COMPUTED_VALUE"""),FALSE)</f>
        <v>0</v>
      </c>
      <c r="E60" s="100" t="str">
        <f>IFERROR(__xludf.DUMMYFUNCTION("""COMPUTED_VALUE"""),"PATRICIO")</f>
        <v>PATRICIO</v>
      </c>
      <c r="F60" s="100" t="str">
        <f>IFERROR(__xludf.DUMMYFUNCTION("""COMPUTED_VALUE"""),"VANESSA")</f>
        <v>VANESSA</v>
      </c>
    </row>
    <row r="61">
      <c r="A61" s="131">
        <f>IFERROR(__xludf.DUMMYFUNCTION("""COMPUTED_VALUE"""),59.0)</f>
        <v>59</v>
      </c>
      <c r="B61" s="131"/>
      <c r="C61" s="131">
        <f>IFERROR(__xludf.DUMMYFUNCTION("""COMPUTED_VALUE"""),23.0)</f>
        <v>23</v>
      </c>
      <c r="D61" s="131" t="b">
        <f>IFERROR(__xludf.DUMMYFUNCTION("""COMPUTED_VALUE"""),FALSE)</f>
        <v>0</v>
      </c>
      <c r="E61" s="100" t="str">
        <f>IFERROR(__xludf.DUMMYFUNCTION("""COMPUTED_VALUE"""),"PONCE")</f>
        <v>PONCE</v>
      </c>
      <c r="F61" s="100" t="str">
        <f>IFERROR(__xludf.DUMMYFUNCTION("""COMPUTED_VALUE"""),"SHEENA")</f>
        <v>SHEENA</v>
      </c>
    </row>
    <row r="62">
      <c r="A62" s="131">
        <f>IFERROR(__xludf.DUMMYFUNCTION("""COMPUTED_VALUE"""),60.0)</f>
        <v>60</v>
      </c>
      <c r="B62" s="131"/>
      <c r="C62" s="131">
        <f>IFERROR(__xludf.DUMMYFUNCTION("""COMPUTED_VALUE"""),23.0)</f>
        <v>23</v>
      </c>
      <c r="D62" s="131" t="b">
        <f>IFERROR(__xludf.DUMMYFUNCTION("""COMPUTED_VALUE"""),FALSE)</f>
        <v>0</v>
      </c>
      <c r="E62" s="100" t="str">
        <f>IFERROR(__xludf.DUMMYFUNCTION("""COMPUTED_VALUE"""),"RAMOS")</f>
        <v>RAMOS</v>
      </c>
      <c r="F62" s="100" t="str">
        <f>IFERROR(__xludf.DUMMYFUNCTION("""COMPUTED_VALUE"""),"AA")</f>
        <v>AA</v>
      </c>
    </row>
    <row r="63">
      <c r="A63" s="131">
        <f>IFERROR(__xludf.DUMMYFUNCTION("""COMPUTED_VALUE"""),61.0)</f>
        <v>61</v>
      </c>
      <c r="B63" s="131"/>
      <c r="C63" s="131">
        <f>IFERROR(__xludf.DUMMYFUNCTION("""COMPUTED_VALUE"""),23.0)</f>
        <v>23</v>
      </c>
      <c r="D63" s="131" t="b">
        <f>IFERROR(__xludf.DUMMYFUNCTION("""COMPUTED_VALUE"""),FALSE)</f>
        <v>0</v>
      </c>
      <c r="E63" s="100" t="str">
        <f>IFERROR(__xludf.DUMMYFUNCTION("""COMPUTED_VALUE"""),"REPUBLO")</f>
        <v>REPUBLO</v>
      </c>
      <c r="F63" s="100" t="str">
        <f>IFERROR(__xludf.DUMMYFUNCTION("""COMPUTED_VALUE"""),"CLARISSA")</f>
        <v>CLARISSA</v>
      </c>
    </row>
    <row r="64">
      <c r="A64" s="131">
        <f>IFERROR(__xludf.DUMMYFUNCTION("""COMPUTED_VALUE"""),62.0)</f>
        <v>62</v>
      </c>
      <c r="B64" s="131"/>
      <c r="C64" s="131">
        <f>IFERROR(__xludf.DUMMYFUNCTION("""COMPUTED_VALUE"""),23.0)</f>
        <v>23</v>
      </c>
      <c r="D64" s="131" t="b">
        <f>IFERROR(__xludf.DUMMYFUNCTION("""COMPUTED_VALUE"""),FALSE)</f>
        <v>0</v>
      </c>
      <c r="E64" s="100"/>
      <c r="F64" s="100" t="str">
        <f>IFERROR(__xludf.DUMMYFUNCTION("""COMPUTED_VALUE"""),"JENNY")</f>
        <v>JENNY</v>
      </c>
    </row>
    <row r="65">
      <c r="A65" s="131">
        <f>IFERROR(__xludf.DUMMYFUNCTION("""COMPUTED_VALUE"""),63.0)</f>
        <v>63</v>
      </c>
      <c r="B65" s="131"/>
      <c r="C65" s="131">
        <f>IFERROR(__xludf.DUMMYFUNCTION("""COMPUTED_VALUE"""),23.0)</f>
        <v>23</v>
      </c>
      <c r="D65" s="131" t="b">
        <f>IFERROR(__xludf.DUMMYFUNCTION("""COMPUTED_VALUE"""),FALSE)</f>
        <v>0</v>
      </c>
      <c r="E65" s="99" t="str">
        <f>IFERROR(__xludf.DUMMYFUNCTION("""COMPUTED_VALUE"""),"MAGISTRADO")</f>
        <v>MAGISTRADO</v>
      </c>
      <c r="F65" s="99" t="str">
        <f>IFERROR(__xludf.DUMMYFUNCTION("""COMPUTED_VALUE"""),"ERICA")</f>
        <v>ERICA</v>
      </c>
    </row>
    <row r="66">
      <c r="A66" s="131">
        <f>IFERROR(__xludf.DUMMYFUNCTION("""COMPUTED_VALUE"""),64.0)</f>
        <v>64</v>
      </c>
      <c r="B66" s="131"/>
      <c r="C66" s="131">
        <f>IFERROR(__xludf.DUMMYFUNCTION("""COMPUTED_VALUE"""),23.0)</f>
        <v>23</v>
      </c>
      <c r="D66" s="131" t="b">
        <f>IFERROR(__xludf.DUMMYFUNCTION("""COMPUTED_VALUE"""),FALSE)</f>
        <v>0</v>
      </c>
      <c r="E66" s="100" t="str">
        <f>IFERROR(__xludf.DUMMYFUNCTION("""COMPUTED_VALUE"""),"CARANGUIAN")</f>
        <v>CARANGUIAN</v>
      </c>
      <c r="F66" s="100" t="str">
        <f>IFERROR(__xludf.DUMMYFUNCTION("""COMPUTED_VALUE"""),"DIVINA GRACE")</f>
        <v>DIVINA GRACE</v>
      </c>
    </row>
    <row r="67">
      <c r="A67" s="131">
        <f>IFERROR(__xludf.DUMMYFUNCTION("""COMPUTED_VALUE"""),65.0)</f>
        <v>65</v>
      </c>
      <c r="B67" s="131"/>
      <c r="C67" s="131">
        <f>IFERROR(__xludf.DUMMYFUNCTION("""COMPUTED_VALUE"""),23.0)</f>
        <v>23</v>
      </c>
      <c r="D67" s="131" t="b">
        <f>IFERROR(__xludf.DUMMYFUNCTION("""COMPUTED_VALUE"""),FALSE)</f>
        <v>0</v>
      </c>
      <c r="E67" s="100" t="str">
        <f>IFERROR(__xludf.DUMMYFUNCTION("""COMPUTED_VALUE"""),"ERA")</f>
        <v>ERA</v>
      </c>
      <c r="F67" s="100" t="str">
        <f>IFERROR(__xludf.DUMMYFUNCTION("""COMPUTED_VALUE"""),"CHRISTINA")</f>
        <v>CHRISTINA</v>
      </c>
    </row>
    <row r="68">
      <c r="A68" s="131">
        <f>IFERROR(__xludf.DUMMYFUNCTION("""COMPUTED_VALUE"""),66.0)</f>
        <v>66</v>
      </c>
      <c r="B68" s="131"/>
      <c r="C68" s="131">
        <f>IFERROR(__xludf.DUMMYFUNCTION("""COMPUTED_VALUE"""),23.0)</f>
        <v>23</v>
      </c>
      <c r="D68" s="131" t="b">
        <f>IFERROR(__xludf.DUMMYFUNCTION("""COMPUTED_VALUE"""),FALSE)</f>
        <v>0</v>
      </c>
      <c r="E68" s="100" t="str">
        <f>IFERROR(__xludf.DUMMYFUNCTION("""COMPUTED_VALUE"""),"MAGISTRADO")</f>
        <v>MAGISTRADO</v>
      </c>
      <c r="F68" s="100" t="str">
        <f>IFERROR(__xludf.DUMMYFUNCTION("""COMPUTED_VALUE"""),"LOVELY")</f>
        <v>LOVELY</v>
      </c>
    </row>
    <row r="69">
      <c r="A69" s="131">
        <f>IFERROR(__xludf.DUMMYFUNCTION("""COMPUTED_VALUE"""),67.0)</f>
        <v>67</v>
      </c>
      <c r="B69" s="131"/>
      <c r="C69" s="131">
        <f>IFERROR(__xludf.DUMMYFUNCTION("""COMPUTED_VALUE"""),23.0)</f>
        <v>23</v>
      </c>
      <c r="D69" s="131" t="b">
        <f>IFERROR(__xludf.DUMMYFUNCTION("""COMPUTED_VALUE"""),FALSE)</f>
        <v>0</v>
      </c>
      <c r="E69" s="100" t="str">
        <f>IFERROR(__xludf.DUMMYFUNCTION("""COMPUTED_VALUE"""),"PACLITA")</f>
        <v>PACLITA</v>
      </c>
      <c r="F69" s="100" t="str">
        <f>IFERROR(__xludf.DUMMYFUNCTION("""COMPUTED_VALUE"""),"CHERRY ANN")</f>
        <v>CHERRY ANN</v>
      </c>
    </row>
    <row r="70">
      <c r="A70" s="131">
        <f>IFERROR(__xludf.DUMMYFUNCTION("""COMPUTED_VALUE"""),68.0)</f>
        <v>68</v>
      </c>
      <c r="B70" s="131"/>
      <c r="C70" s="131">
        <f>IFERROR(__xludf.DUMMYFUNCTION("""COMPUTED_VALUE"""),23.0)</f>
        <v>23</v>
      </c>
      <c r="D70" s="131" t="b">
        <f>IFERROR(__xludf.DUMMYFUNCTION("""COMPUTED_VALUE"""),FALSE)</f>
        <v>0</v>
      </c>
      <c r="E70" s="100" t="str">
        <f>IFERROR(__xludf.DUMMYFUNCTION("""COMPUTED_VALUE"""),"PALOMA")</f>
        <v>PALOMA</v>
      </c>
      <c r="F70" s="100" t="str">
        <f>IFERROR(__xludf.DUMMYFUNCTION("""COMPUTED_VALUE"""),"ALEAH")</f>
        <v>ALEAH</v>
      </c>
    </row>
    <row r="71">
      <c r="A71" s="131">
        <f>IFERROR(__xludf.DUMMYFUNCTION("""COMPUTED_VALUE"""),69.0)</f>
        <v>69</v>
      </c>
      <c r="B71" s="131"/>
      <c r="C71" s="131">
        <f>IFERROR(__xludf.DUMMYFUNCTION("""COMPUTED_VALUE"""),23.0)</f>
        <v>23</v>
      </c>
      <c r="D71" s="131" t="b">
        <f>IFERROR(__xludf.DUMMYFUNCTION("""COMPUTED_VALUE"""),FALSE)</f>
        <v>0</v>
      </c>
      <c r="E71" s="100" t="str">
        <f>IFERROR(__xludf.DUMMYFUNCTION("""COMPUTED_VALUE"""),"SATURINAS")</f>
        <v>SATURINAS</v>
      </c>
      <c r="F71" s="100" t="str">
        <f>IFERROR(__xludf.DUMMYFUNCTION("""COMPUTED_VALUE"""),"ALEXANDRA GRACE")</f>
        <v>ALEXANDRA GRACE</v>
      </c>
    </row>
    <row r="72">
      <c r="A72" s="131">
        <f>IFERROR(__xludf.DUMMYFUNCTION("""COMPUTED_VALUE"""),70.0)</f>
        <v>70</v>
      </c>
      <c r="B72" s="131"/>
      <c r="C72" s="131">
        <f>IFERROR(__xludf.DUMMYFUNCTION("""COMPUTED_VALUE"""),23.0)</f>
        <v>23</v>
      </c>
      <c r="D72" s="131" t="b">
        <f>IFERROR(__xludf.DUMMYFUNCTION("""COMPUTED_VALUE"""),FALSE)</f>
        <v>0</v>
      </c>
      <c r="E72" s="101" t="str">
        <f>IFERROR(__xludf.DUMMYFUNCTION("""COMPUTED_VALUE"""),"RONQUILLO")</f>
        <v>RONQUILLO</v>
      </c>
      <c r="F72" s="101" t="str">
        <f>IFERROR(__xludf.DUMMYFUNCTION("""COMPUTED_VALUE"""),"SHANE")</f>
        <v>SHANE</v>
      </c>
    </row>
    <row r="73">
      <c r="A73" s="131">
        <f>IFERROR(__xludf.DUMMYFUNCTION("""COMPUTED_VALUE"""),71.0)</f>
        <v>71</v>
      </c>
      <c r="B73" s="131"/>
      <c r="C73" s="131">
        <f>IFERROR(__xludf.DUMMYFUNCTION("""COMPUTED_VALUE"""),23.0)</f>
        <v>23</v>
      </c>
      <c r="D73" s="131" t="b">
        <f>IFERROR(__xludf.DUMMYFUNCTION("""COMPUTED_VALUE"""),FALSE)</f>
        <v>0</v>
      </c>
      <c r="E73" s="101" t="str">
        <f>IFERROR(__xludf.DUMMYFUNCTION("""COMPUTED_VALUE"""),"MARFIL")</f>
        <v>MARFIL</v>
      </c>
      <c r="F73" s="104" t="str">
        <f>IFERROR(__xludf.DUMMYFUNCTION("""COMPUTED_VALUE"""),"ADELAIZA")</f>
        <v>ADELAIZA</v>
      </c>
    </row>
    <row r="74">
      <c r="A74" s="131">
        <f>IFERROR(__xludf.DUMMYFUNCTION("""COMPUTED_VALUE"""),72.0)</f>
        <v>72</v>
      </c>
      <c r="B74" s="131"/>
      <c r="C74" s="131">
        <f>IFERROR(__xludf.DUMMYFUNCTION("""COMPUTED_VALUE"""),23.0)</f>
        <v>23</v>
      </c>
      <c r="D74" s="131" t="b">
        <f>IFERROR(__xludf.DUMMYFUNCTION("""COMPUTED_VALUE"""),FALSE)</f>
        <v>0</v>
      </c>
      <c r="E74" s="101" t="str">
        <f>IFERROR(__xludf.DUMMYFUNCTION("""COMPUTED_VALUE"""),"PERALTA")</f>
        <v>PERALTA</v>
      </c>
      <c r="F74" s="101" t="str">
        <f>IFERROR(__xludf.DUMMYFUNCTION("""COMPUTED_VALUE"""),"ALAICA")</f>
        <v>ALAICA</v>
      </c>
    </row>
    <row r="75">
      <c r="A75" s="131">
        <f>IFERROR(__xludf.DUMMYFUNCTION("""COMPUTED_VALUE"""),73.0)</f>
        <v>73</v>
      </c>
      <c r="B75" s="131"/>
      <c r="C75" s="131">
        <f>IFERROR(__xludf.DUMMYFUNCTION("""COMPUTED_VALUE"""),23.0)</f>
        <v>23</v>
      </c>
      <c r="D75" s="131" t="b">
        <f>IFERROR(__xludf.DUMMYFUNCTION("""COMPUTED_VALUE"""),FALSE)</f>
        <v>0</v>
      </c>
      <c r="E75" s="101"/>
      <c r="F75" s="101" t="str">
        <f>IFERROR(__xludf.DUMMYFUNCTION("""COMPUTED_VALUE"""),"ALISA")</f>
        <v>ALISA</v>
      </c>
    </row>
    <row r="76">
      <c r="A76" s="131">
        <f>IFERROR(__xludf.DUMMYFUNCTION("""COMPUTED_VALUE"""),74.0)</f>
        <v>74</v>
      </c>
      <c r="B76" s="131"/>
      <c r="C76" s="131">
        <f>IFERROR(__xludf.DUMMYFUNCTION("""COMPUTED_VALUE"""),23.0)</f>
        <v>23</v>
      </c>
      <c r="D76" s="131" t="b">
        <f>IFERROR(__xludf.DUMMYFUNCTION("""COMPUTED_VALUE"""),FALSE)</f>
        <v>0</v>
      </c>
      <c r="E76" s="101" t="str">
        <f>IFERROR(__xludf.DUMMYFUNCTION("""COMPUTED_VALUE"""),"VILLANUEVA")</f>
        <v>VILLANUEVA</v>
      </c>
      <c r="F76" s="101" t="str">
        <f>IFERROR(__xludf.DUMMYFUNCTION("""COMPUTED_VALUE"""),"SOFIA")</f>
        <v>SOFIA</v>
      </c>
    </row>
    <row r="77">
      <c r="A77" s="131">
        <f>IFERROR(__xludf.DUMMYFUNCTION("""COMPUTED_VALUE"""),75.0)</f>
        <v>75</v>
      </c>
      <c r="B77" s="131"/>
      <c r="C77" s="131">
        <f>IFERROR(__xludf.DUMMYFUNCTION("""COMPUTED_VALUE"""),23.0)</f>
        <v>23</v>
      </c>
      <c r="D77" s="131" t="b">
        <f>IFERROR(__xludf.DUMMYFUNCTION("""COMPUTED_VALUE"""),FALSE)</f>
        <v>0</v>
      </c>
      <c r="E77" s="101" t="str">
        <f>IFERROR(__xludf.DUMMYFUNCTION("""COMPUTED_VALUE"""),"TAKEYAMA")</f>
        <v>TAKEYAMA</v>
      </c>
      <c r="F77" s="101" t="str">
        <f>IFERROR(__xludf.DUMMYFUNCTION("""COMPUTED_VALUE"""),"YUKA")</f>
        <v>YUKA</v>
      </c>
    </row>
    <row r="78">
      <c r="A78" s="131">
        <f>IFERROR(__xludf.DUMMYFUNCTION("""COMPUTED_VALUE"""),76.0)</f>
        <v>76</v>
      </c>
      <c r="B78" s="131"/>
      <c r="C78" s="131">
        <f>IFERROR(__xludf.DUMMYFUNCTION("""COMPUTED_VALUE"""),76.0)</f>
        <v>76</v>
      </c>
      <c r="D78" s="131" t="b">
        <f>IFERROR(__xludf.DUMMYFUNCTION("""COMPUTED_VALUE"""),TRUE)</f>
        <v>1</v>
      </c>
      <c r="E78" s="105" t="str">
        <f>IFERROR(__xludf.DUMMYFUNCTION("""COMPUTED_VALUE"""),"ANTONIO")</f>
        <v>ANTONIO</v>
      </c>
      <c r="F78" s="105" t="str">
        <f>IFERROR(__xludf.DUMMYFUNCTION("""COMPUTED_VALUE"""),"CHOLO MIGUEL")</f>
        <v>CHOLO MIGUEL</v>
      </c>
    </row>
    <row r="79">
      <c r="A79" s="131">
        <f>IFERROR(__xludf.DUMMYFUNCTION("""COMPUTED_VALUE"""),77.0)</f>
        <v>77</v>
      </c>
      <c r="B79" s="131"/>
      <c r="C79" s="131">
        <f>IFERROR(__xludf.DUMMYFUNCTION("""COMPUTED_VALUE"""),76.0)</f>
        <v>76</v>
      </c>
      <c r="D79" s="131" t="b">
        <f>IFERROR(__xludf.DUMMYFUNCTION("""COMPUTED_VALUE"""),FALSE)</f>
        <v>0</v>
      </c>
      <c r="E79" s="106" t="str">
        <f>IFERROR(__xludf.DUMMYFUNCTION("""COMPUTED_VALUE"""),"ELCANA")</f>
        <v>ELCANA</v>
      </c>
      <c r="F79" s="106" t="str">
        <f>IFERROR(__xludf.DUMMYFUNCTION("""COMPUTED_VALUE"""),"JOAQUIN")</f>
        <v>JOAQUIN</v>
      </c>
    </row>
    <row r="80">
      <c r="A80" s="131">
        <f>IFERROR(__xludf.DUMMYFUNCTION("""COMPUTED_VALUE"""),78.0)</f>
        <v>78</v>
      </c>
      <c r="B80" s="131"/>
      <c r="C80" s="131">
        <f>IFERROR(__xludf.DUMMYFUNCTION("""COMPUTED_VALUE"""),76.0)</f>
        <v>76</v>
      </c>
      <c r="D80" s="131" t="b">
        <f>IFERROR(__xludf.DUMMYFUNCTION("""COMPUTED_VALUE"""),FALSE)</f>
        <v>0</v>
      </c>
      <c r="E80" s="107" t="str">
        <f>IFERROR(__xludf.DUMMYFUNCTION("""COMPUTED_VALUE"""),"VILLARTA")</f>
        <v>VILLARTA</v>
      </c>
      <c r="F80" s="107" t="str">
        <f>IFERROR(__xludf.DUMMYFUNCTION("""COMPUTED_VALUE"""),"JEXTER")</f>
        <v>JEXTER</v>
      </c>
    </row>
    <row r="81">
      <c r="A81" s="131">
        <f>IFERROR(__xludf.DUMMYFUNCTION("""COMPUTED_VALUE"""),79.0)</f>
        <v>79</v>
      </c>
      <c r="B81" s="131"/>
      <c r="C81" s="131">
        <f>IFERROR(__xludf.DUMMYFUNCTION("""COMPUTED_VALUE"""),76.0)</f>
        <v>76</v>
      </c>
      <c r="D81" s="131" t="b">
        <f>IFERROR(__xludf.DUMMYFUNCTION("""COMPUTED_VALUE"""),FALSE)</f>
        <v>0</v>
      </c>
      <c r="E81" s="107" t="str">
        <f>IFERROR(__xludf.DUMMYFUNCTION("""COMPUTED_VALUE"""),"MANUYAG")</f>
        <v>MANUYAG</v>
      </c>
      <c r="F81" s="107" t="str">
        <f>IFERROR(__xludf.DUMMYFUNCTION("""COMPUTED_VALUE"""),"RAYVER")</f>
        <v>RAYVER</v>
      </c>
    </row>
    <row r="82">
      <c r="A82" s="131">
        <f>IFERROR(__xludf.DUMMYFUNCTION("""COMPUTED_VALUE"""),80.0)</f>
        <v>80</v>
      </c>
      <c r="B82" s="131"/>
      <c r="C82" s="131">
        <f>IFERROR(__xludf.DUMMYFUNCTION("""COMPUTED_VALUE"""),76.0)</f>
        <v>76</v>
      </c>
      <c r="D82" s="131" t="b">
        <f>IFERROR(__xludf.DUMMYFUNCTION("""COMPUTED_VALUE"""),FALSE)</f>
        <v>0</v>
      </c>
      <c r="E82" s="108" t="str">
        <f>IFERROR(__xludf.DUMMYFUNCTION("""COMPUTED_VALUE"""),"RAAGAS")</f>
        <v>RAAGAS</v>
      </c>
      <c r="F82" s="108" t="str">
        <f>IFERROR(__xludf.DUMMYFUNCTION("""COMPUTED_VALUE"""),"PRINCE JHAMIR (YOHAN)")</f>
        <v>PRINCE JHAMIR (YOHAN)</v>
      </c>
    </row>
    <row r="83">
      <c r="A83" s="131">
        <f>IFERROR(__xludf.DUMMYFUNCTION("""COMPUTED_VALUE"""),81.0)</f>
        <v>81</v>
      </c>
      <c r="B83" s="131"/>
      <c r="C83" s="131">
        <f>IFERROR(__xludf.DUMMYFUNCTION("""COMPUTED_VALUE"""),76.0)</f>
        <v>76</v>
      </c>
      <c r="D83" s="131" t="b">
        <f>IFERROR(__xludf.DUMMYFUNCTION("""COMPUTED_VALUE"""),FALSE)</f>
        <v>0</v>
      </c>
      <c r="E83" s="107" t="str">
        <f>IFERROR(__xludf.DUMMYFUNCTION("""COMPUTED_VALUE"""),"MALOLOY-ON")</f>
        <v>MALOLOY-ON</v>
      </c>
      <c r="F83" s="107" t="str">
        <f>IFERROR(__xludf.DUMMYFUNCTION("""COMPUTED_VALUE"""),"HARLEY")</f>
        <v>HARLEY</v>
      </c>
    </row>
    <row r="84">
      <c r="A84" s="131">
        <f>IFERROR(__xludf.DUMMYFUNCTION("""COMPUTED_VALUE"""),82.0)</f>
        <v>82</v>
      </c>
      <c r="B84" s="131"/>
      <c r="C84" s="131">
        <f>IFERROR(__xludf.DUMMYFUNCTION("""COMPUTED_VALUE"""),76.0)</f>
        <v>76</v>
      </c>
      <c r="D84" s="131" t="b">
        <f>IFERROR(__xludf.DUMMYFUNCTION("""COMPUTED_VALUE"""),FALSE)</f>
        <v>0</v>
      </c>
      <c r="E84" s="106" t="str">
        <f>IFERROR(__xludf.DUMMYFUNCTION("""COMPUTED_VALUE"""),"MEDINA")</f>
        <v>MEDINA</v>
      </c>
      <c r="F84" s="106" t="str">
        <f>IFERROR(__xludf.DUMMYFUNCTION("""COMPUTED_VALUE"""),"JOHN PAUL")</f>
        <v>JOHN PAUL</v>
      </c>
    </row>
    <row r="85">
      <c r="A85" s="131">
        <f>IFERROR(__xludf.DUMMYFUNCTION("""COMPUTED_VALUE"""),83.0)</f>
        <v>83</v>
      </c>
      <c r="B85" s="131"/>
      <c r="C85" s="131">
        <f>IFERROR(__xludf.DUMMYFUNCTION("""COMPUTED_VALUE"""),76.0)</f>
        <v>76</v>
      </c>
      <c r="D85" s="131" t="b">
        <f>IFERROR(__xludf.DUMMYFUNCTION("""COMPUTED_VALUE"""),FALSE)</f>
        <v>0</v>
      </c>
      <c r="E85" s="107" t="str">
        <f>IFERROR(__xludf.DUMMYFUNCTION("""COMPUTED_VALUE"""),"SALTA")</f>
        <v>SALTA</v>
      </c>
      <c r="F85" s="107" t="str">
        <f>IFERROR(__xludf.DUMMYFUNCTION("""COMPUTED_VALUE"""),"KARL")</f>
        <v>KARL</v>
      </c>
    </row>
    <row r="86">
      <c r="A86" s="131">
        <f>IFERROR(__xludf.DUMMYFUNCTION("""COMPUTED_VALUE"""),84.0)</f>
        <v>84</v>
      </c>
      <c r="B86" s="131"/>
      <c r="C86" s="131">
        <f>IFERROR(__xludf.DUMMYFUNCTION("""COMPUTED_VALUE"""),76.0)</f>
        <v>76</v>
      </c>
      <c r="D86" s="131" t="b">
        <f>IFERROR(__xludf.DUMMYFUNCTION("""COMPUTED_VALUE"""),FALSE)</f>
        <v>0</v>
      </c>
      <c r="E86" s="107" t="str">
        <f>IFERROR(__xludf.DUMMYFUNCTION("""COMPUTED_VALUE"""),"ROBLOS")</f>
        <v>ROBLOS</v>
      </c>
      <c r="F86" s="107" t="str">
        <f>IFERROR(__xludf.DUMMYFUNCTION("""COMPUTED_VALUE"""),"CEDRIC")</f>
        <v>CEDRIC</v>
      </c>
    </row>
    <row r="87">
      <c r="A87" s="131">
        <f>IFERROR(__xludf.DUMMYFUNCTION("""COMPUTED_VALUE"""),85.0)</f>
        <v>85</v>
      </c>
      <c r="B87" s="131"/>
      <c r="C87" s="131">
        <f>IFERROR(__xludf.DUMMYFUNCTION("""COMPUTED_VALUE"""),76.0)</f>
        <v>76</v>
      </c>
      <c r="D87" s="131" t="b">
        <f>IFERROR(__xludf.DUMMYFUNCTION("""COMPUTED_VALUE"""),FALSE)</f>
        <v>0</v>
      </c>
      <c r="E87" s="107" t="str">
        <f>IFERROR(__xludf.DUMMYFUNCTION("""COMPUTED_VALUE"""),"RIVAS")</f>
        <v>RIVAS</v>
      </c>
      <c r="F87" s="107" t="str">
        <f>IFERROR(__xludf.DUMMYFUNCTION("""COMPUTED_VALUE"""),"RAY ALLEN")</f>
        <v>RAY ALLEN</v>
      </c>
    </row>
    <row r="88">
      <c r="A88" s="131">
        <f>IFERROR(__xludf.DUMMYFUNCTION("""COMPUTED_VALUE"""),86.0)</f>
        <v>86</v>
      </c>
      <c r="B88" s="131"/>
      <c r="C88" s="131">
        <f>IFERROR(__xludf.DUMMYFUNCTION("""COMPUTED_VALUE"""),76.0)</f>
        <v>76</v>
      </c>
      <c r="D88" s="131" t="b">
        <f>IFERROR(__xludf.DUMMYFUNCTION("""COMPUTED_VALUE"""),FALSE)</f>
        <v>0</v>
      </c>
      <c r="E88" s="107" t="str">
        <f>IFERROR(__xludf.DUMMYFUNCTION("""COMPUTED_VALUE"""),"MAGDANGAN")</f>
        <v>MAGDANGAN</v>
      </c>
      <c r="F88" s="107" t="str">
        <f>IFERROR(__xludf.DUMMYFUNCTION("""COMPUTED_VALUE"""),"DENMARK")</f>
        <v>DENMARK</v>
      </c>
    </row>
    <row r="89">
      <c r="A89" s="131">
        <f>IFERROR(__xludf.DUMMYFUNCTION("""COMPUTED_VALUE"""),87.0)</f>
        <v>87</v>
      </c>
      <c r="B89" s="131"/>
      <c r="C89" s="131">
        <f>IFERROR(__xludf.DUMMYFUNCTION("""COMPUTED_VALUE"""),76.0)</f>
        <v>76</v>
      </c>
      <c r="D89" s="131" t="b">
        <f>IFERROR(__xludf.DUMMYFUNCTION("""COMPUTED_VALUE"""),FALSE)</f>
        <v>0</v>
      </c>
      <c r="E89" s="106" t="str">
        <f>IFERROR(__xludf.DUMMYFUNCTION("""COMPUTED_VALUE"""),"SABONG")</f>
        <v>SABONG</v>
      </c>
      <c r="F89" s="106" t="str">
        <f>IFERROR(__xludf.DUMMYFUNCTION("""COMPUTED_VALUE"""),"VINCE")</f>
        <v>VINCE</v>
      </c>
    </row>
    <row r="90">
      <c r="A90" s="131">
        <f>IFERROR(__xludf.DUMMYFUNCTION("""COMPUTED_VALUE"""),88.0)</f>
        <v>88</v>
      </c>
      <c r="B90" s="131"/>
      <c r="C90" s="131">
        <f>IFERROR(__xludf.DUMMYFUNCTION("""COMPUTED_VALUE"""),76.0)</f>
        <v>76</v>
      </c>
      <c r="D90" s="131" t="b">
        <f>IFERROR(__xludf.DUMMYFUNCTION("""COMPUTED_VALUE"""),FALSE)</f>
        <v>0</v>
      </c>
      <c r="E90" s="107" t="str">
        <f>IFERROR(__xludf.DUMMYFUNCTION("""COMPUTED_VALUE"""),"AQUINO")</f>
        <v>AQUINO</v>
      </c>
      <c r="F90" s="107" t="str">
        <f>IFERROR(__xludf.DUMMYFUNCTION("""COMPUTED_VALUE"""),"MARVIN")</f>
        <v>MARVIN</v>
      </c>
    </row>
    <row r="91">
      <c r="A91" s="131">
        <f>IFERROR(__xludf.DUMMYFUNCTION("""COMPUTED_VALUE"""),89.0)</f>
        <v>89</v>
      </c>
      <c r="B91" s="131"/>
      <c r="C91" s="131">
        <f>IFERROR(__xludf.DUMMYFUNCTION("""COMPUTED_VALUE"""),76.0)</f>
        <v>76</v>
      </c>
      <c r="D91" s="131" t="b">
        <f>IFERROR(__xludf.DUMMYFUNCTION("""COMPUTED_VALUE"""),FALSE)</f>
        <v>0</v>
      </c>
      <c r="E91" s="109" t="str">
        <f>IFERROR(__xludf.DUMMYFUNCTION("""COMPUTED_VALUE"""),"LANOZO")</f>
        <v>LANOZO</v>
      </c>
      <c r="F91" s="109" t="str">
        <f>IFERROR(__xludf.DUMMYFUNCTION("""COMPUTED_VALUE"""),"REGGIENALD")</f>
        <v>REGGIENALD</v>
      </c>
    </row>
    <row r="92">
      <c r="A92" s="131">
        <f>IFERROR(__xludf.DUMMYFUNCTION("""COMPUTED_VALUE"""),90.0)</f>
        <v>90</v>
      </c>
      <c r="B92" s="131"/>
      <c r="C92" s="131">
        <f>IFERROR(__xludf.DUMMYFUNCTION("""COMPUTED_VALUE"""),76.0)</f>
        <v>76</v>
      </c>
      <c r="D92" s="131" t="b">
        <f>IFERROR(__xludf.DUMMYFUNCTION("""COMPUTED_VALUE"""),FALSE)</f>
        <v>0</v>
      </c>
      <c r="E92" s="110" t="str">
        <f>IFERROR(__xludf.DUMMYFUNCTION("""COMPUTED_VALUE"""),"QUIRONA")</f>
        <v>QUIRONA</v>
      </c>
      <c r="F92" s="110" t="str">
        <f>IFERROR(__xludf.DUMMYFUNCTION("""COMPUTED_VALUE"""),"IAN CHRISTOPHER")</f>
        <v>IAN CHRISTOPHER</v>
      </c>
    </row>
    <row r="93">
      <c r="A93" s="131">
        <f>IFERROR(__xludf.DUMMYFUNCTION("""COMPUTED_VALUE"""),91.0)</f>
        <v>91</v>
      </c>
      <c r="B93" s="131"/>
      <c r="C93" s="131">
        <f>IFERROR(__xludf.DUMMYFUNCTION("""COMPUTED_VALUE"""),76.0)</f>
        <v>76</v>
      </c>
      <c r="D93" s="131" t="b">
        <f>IFERROR(__xludf.DUMMYFUNCTION("""COMPUTED_VALUE"""),FALSE)</f>
        <v>0</v>
      </c>
      <c r="E93" s="110" t="str">
        <f>IFERROR(__xludf.DUMMYFUNCTION("""COMPUTED_VALUE"""),"BAUYON")</f>
        <v>BAUYON</v>
      </c>
      <c r="F93" s="110" t="str">
        <f>IFERROR(__xludf.DUMMYFUNCTION("""COMPUTED_VALUE"""),"JOHN CARLO")</f>
        <v>JOHN CARLO</v>
      </c>
    </row>
    <row r="94">
      <c r="A94" s="131">
        <f>IFERROR(__xludf.DUMMYFUNCTION("""COMPUTED_VALUE"""),92.0)</f>
        <v>92</v>
      </c>
      <c r="B94" s="131"/>
      <c r="C94" s="131">
        <f>IFERROR(__xludf.DUMMYFUNCTION("""COMPUTED_VALUE"""),76.0)</f>
        <v>76</v>
      </c>
      <c r="D94" s="131" t="b">
        <f>IFERROR(__xludf.DUMMYFUNCTION("""COMPUTED_VALUE"""),FALSE)</f>
        <v>0</v>
      </c>
      <c r="E94" s="111" t="str">
        <f>IFERROR(__xludf.DUMMYFUNCTION("""COMPUTED_VALUE"""),"FIGUEROA")</f>
        <v>FIGUEROA</v>
      </c>
      <c r="F94" s="111" t="str">
        <f>IFERROR(__xludf.DUMMYFUNCTION("""COMPUTED_VALUE"""),"RONALD")</f>
        <v>RONALD</v>
      </c>
    </row>
    <row r="95">
      <c r="A95" s="131"/>
      <c r="B95" s="131"/>
      <c r="C95" s="131"/>
      <c r="D95" s="131"/>
      <c r="E95" s="112"/>
      <c r="F95" s="112"/>
    </row>
    <row r="96">
      <c r="A96" s="131"/>
      <c r="B96" s="131"/>
      <c r="C96" s="131"/>
      <c r="D96" s="131"/>
      <c r="E96" s="112"/>
      <c r="F96" s="112"/>
    </row>
    <row r="97">
      <c r="A97" s="131"/>
      <c r="B97" s="131"/>
      <c r="C97" s="131"/>
      <c r="D97" s="131"/>
      <c r="E97" s="112"/>
      <c r="F97" s="112"/>
    </row>
    <row r="98">
      <c r="A98" s="131"/>
      <c r="B98" s="131"/>
      <c r="C98" s="131"/>
      <c r="D98" s="131"/>
      <c r="E98" s="112"/>
      <c r="F98" s="112"/>
    </row>
    <row r="99">
      <c r="A99" s="131"/>
      <c r="B99" s="131"/>
      <c r="C99" s="131">
        <f>IFERROR(__xludf.DUMMYFUNCTION("""COMPUTED_VALUE"""),76.0)</f>
        <v>76</v>
      </c>
      <c r="D99" s="131" t="b">
        <f>IFERROR(__xludf.DUMMYFUNCTION("""COMPUTED_VALUE"""),FALSE)</f>
        <v>0</v>
      </c>
      <c r="E99" s="113" t="str">
        <f>IFERROR(__xludf.DUMMYFUNCTION("""COMPUTED_VALUE"""),"INACTIVE")</f>
        <v>INACTIVE</v>
      </c>
      <c r="F99" s="110"/>
    </row>
    <row r="100">
      <c r="A100" s="131">
        <f>IFERROR(__xludf.DUMMYFUNCTION("""COMPUTED_VALUE"""),99.0)</f>
        <v>99</v>
      </c>
      <c r="B100" s="131"/>
      <c r="C100" s="131">
        <f>IFERROR(__xludf.DUMMYFUNCTION("""COMPUTED_VALUE"""),76.0)</f>
        <v>76</v>
      </c>
      <c r="D100" s="131" t="b">
        <f>IFERROR(__xludf.DUMMYFUNCTION("""COMPUTED_VALUE"""),FALSE)</f>
        <v>0</v>
      </c>
      <c r="E100" s="114" t="str">
        <f>IFERROR(__xludf.DUMMYFUNCTION("""COMPUTED_VALUE"""),"BONIFACIO")</f>
        <v>BONIFACIO</v>
      </c>
      <c r="F100" s="114" t="str">
        <f>IFERROR(__xludf.DUMMYFUNCTION("""COMPUTED_VALUE"""),"JUNIOR")</f>
        <v>JUNIOR</v>
      </c>
    </row>
    <row r="101">
      <c r="A101" s="131">
        <f>IFERROR(__xludf.DUMMYFUNCTION("""COMPUTED_VALUE"""),100.0)</f>
        <v>100</v>
      </c>
      <c r="B101" s="131"/>
      <c r="C101" s="131">
        <f>IFERROR(__xludf.DUMMYFUNCTION("""COMPUTED_VALUE"""),76.0)</f>
        <v>76</v>
      </c>
      <c r="D101" s="131" t="b">
        <f>IFERROR(__xludf.DUMMYFUNCTION("""COMPUTED_VALUE"""),FALSE)</f>
        <v>0</v>
      </c>
      <c r="E101" s="114" t="str">
        <f>IFERROR(__xludf.DUMMYFUNCTION("""COMPUTED_VALUE"""),"CASTILLO")</f>
        <v>CASTILLO</v>
      </c>
      <c r="F101" s="114" t="str">
        <f>IFERROR(__xludf.DUMMYFUNCTION("""COMPUTED_VALUE"""),"JOHNREY")</f>
        <v>JOHNREY</v>
      </c>
    </row>
    <row r="102">
      <c r="A102" s="131">
        <f>IFERROR(__xludf.DUMMYFUNCTION("""COMPUTED_VALUE"""),101.0)</f>
        <v>101</v>
      </c>
      <c r="B102" s="131"/>
      <c r="C102" s="131">
        <f>IFERROR(__xludf.DUMMYFUNCTION("""COMPUTED_VALUE"""),76.0)</f>
        <v>76</v>
      </c>
      <c r="D102" s="131" t="b">
        <f>IFERROR(__xludf.DUMMYFUNCTION("""COMPUTED_VALUE"""),FALSE)</f>
        <v>0</v>
      </c>
      <c r="E102" s="114" t="str">
        <f>IFERROR(__xludf.DUMMYFUNCTION("""COMPUTED_VALUE"""),"MENDOZA")</f>
        <v>MENDOZA</v>
      </c>
      <c r="F102" s="114" t="str">
        <f>IFERROR(__xludf.DUMMYFUNCTION("""COMPUTED_VALUE"""),"JUSTINE IAN")</f>
        <v>JUSTINE IAN</v>
      </c>
    </row>
    <row r="103">
      <c r="A103" s="131">
        <f>IFERROR(__xludf.DUMMYFUNCTION("""COMPUTED_VALUE"""),102.0)</f>
        <v>102</v>
      </c>
      <c r="B103" s="131"/>
      <c r="C103" s="131">
        <f>IFERROR(__xludf.DUMMYFUNCTION("""COMPUTED_VALUE"""),76.0)</f>
        <v>76</v>
      </c>
      <c r="D103" s="131" t="b">
        <f>IFERROR(__xludf.DUMMYFUNCTION("""COMPUTED_VALUE"""),FALSE)</f>
        <v>0</v>
      </c>
      <c r="E103" s="114" t="str">
        <f>IFERROR(__xludf.DUMMYFUNCTION("""COMPUTED_VALUE"""),"FERMIN")</f>
        <v>FERMIN</v>
      </c>
      <c r="F103" s="114" t="str">
        <f>IFERROR(__xludf.DUMMYFUNCTION("""COMPUTED_VALUE"""),"HARIMAR")</f>
        <v>HARIMAR</v>
      </c>
    </row>
    <row r="104">
      <c r="A104" s="131">
        <f>IFERROR(__xludf.DUMMYFUNCTION("""COMPUTED_VALUE"""),103.0)</f>
        <v>103</v>
      </c>
      <c r="B104" s="131"/>
      <c r="C104" s="131">
        <f>IFERROR(__xludf.DUMMYFUNCTION("""COMPUTED_VALUE"""),76.0)</f>
        <v>76</v>
      </c>
      <c r="D104" s="131" t="b">
        <f>IFERROR(__xludf.DUMMYFUNCTION("""COMPUTED_VALUE"""),FALSE)</f>
        <v>0</v>
      </c>
      <c r="E104" s="114" t="str">
        <f>IFERROR(__xludf.DUMMYFUNCTION("""COMPUTED_VALUE"""),"ADEME")</f>
        <v>ADEME</v>
      </c>
      <c r="F104" s="114" t="str">
        <f>IFERROR(__xludf.DUMMYFUNCTION("""COMPUTED_VALUE"""),"JOHN EVO")</f>
        <v>JOHN EVO</v>
      </c>
    </row>
    <row r="105">
      <c r="A105" s="131">
        <f>IFERROR(__xludf.DUMMYFUNCTION("""COMPUTED_VALUE"""),104.0)</f>
        <v>104</v>
      </c>
      <c r="B105" s="131"/>
      <c r="C105" s="131">
        <f>IFERROR(__xludf.DUMMYFUNCTION("""COMPUTED_VALUE"""),76.0)</f>
        <v>76</v>
      </c>
      <c r="D105" s="131" t="b">
        <f>IFERROR(__xludf.DUMMYFUNCTION("""COMPUTED_VALUE"""),FALSE)</f>
        <v>0</v>
      </c>
      <c r="E105" s="114" t="str">
        <f>IFERROR(__xludf.DUMMYFUNCTION("""COMPUTED_VALUE"""),"FLAGNE")</f>
        <v>FLAGNE</v>
      </c>
      <c r="F105" s="114" t="str">
        <f>IFERROR(__xludf.DUMMYFUNCTION("""COMPUTED_VALUE"""),"JHANDY")</f>
        <v>JHANDY</v>
      </c>
    </row>
    <row r="106">
      <c r="A106" s="131">
        <f>IFERROR(__xludf.DUMMYFUNCTION("""COMPUTED_VALUE"""),105.0)</f>
        <v>105</v>
      </c>
      <c r="B106" s="131"/>
      <c r="C106" s="131">
        <f>IFERROR(__xludf.DUMMYFUNCTION("""COMPUTED_VALUE"""),76.0)</f>
        <v>76</v>
      </c>
      <c r="D106" s="131" t="b">
        <f>IFERROR(__xludf.DUMMYFUNCTION("""COMPUTED_VALUE"""),FALSE)</f>
        <v>0</v>
      </c>
      <c r="E106" s="114" t="str">
        <f>IFERROR(__xludf.DUMMYFUNCTION("""COMPUTED_VALUE"""),"GURION")</f>
        <v>GURION</v>
      </c>
      <c r="F106" s="114" t="str">
        <f>IFERROR(__xludf.DUMMYFUNCTION("""COMPUTED_VALUE"""),"ARJIE")</f>
        <v>ARJIE</v>
      </c>
    </row>
    <row r="107">
      <c r="A107" s="131">
        <f>IFERROR(__xludf.DUMMYFUNCTION("""COMPUTED_VALUE"""),106.0)</f>
        <v>106</v>
      </c>
      <c r="B107" s="131"/>
      <c r="C107" s="131">
        <f>IFERROR(__xludf.DUMMYFUNCTION("""COMPUTED_VALUE"""),76.0)</f>
        <v>76</v>
      </c>
      <c r="D107" s="131" t="b">
        <f>IFERROR(__xludf.DUMMYFUNCTION("""COMPUTED_VALUE"""),FALSE)</f>
        <v>0</v>
      </c>
      <c r="E107" s="114" t="str">
        <f>IFERROR(__xludf.DUMMYFUNCTION("""COMPUTED_VALUE"""),"INAJE")</f>
        <v>INAJE</v>
      </c>
      <c r="F107" s="114" t="str">
        <f>IFERROR(__xludf.DUMMYFUNCTION("""COMPUTED_VALUE"""),"JAYSON")</f>
        <v>JAYSON</v>
      </c>
    </row>
    <row r="108">
      <c r="A108" s="131">
        <f>IFERROR(__xludf.DUMMYFUNCTION("""COMPUTED_VALUE"""),107.0)</f>
        <v>107</v>
      </c>
      <c r="B108" s="131"/>
      <c r="C108" s="131">
        <f>IFERROR(__xludf.DUMMYFUNCTION("""COMPUTED_VALUE"""),76.0)</f>
        <v>76</v>
      </c>
      <c r="D108" s="131" t="b">
        <f>IFERROR(__xludf.DUMMYFUNCTION("""COMPUTED_VALUE"""),FALSE)</f>
        <v>0</v>
      </c>
      <c r="E108" s="114" t="str">
        <f>IFERROR(__xludf.DUMMYFUNCTION("""COMPUTED_VALUE"""),"LUANGCO")</f>
        <v>LUANGCO</v>
      </c>
      <c r="F108" s="114" t="str">
        <f>IFERROR(__xludf.DUMMYFUNCTION("""COMPUTED_VALUE"""),"MARKHIEL")</f>
        <v>MARKHIEL</v>
      </c>
    </row>
    <row r="109">
      <c r="A109" s="131">
        <f>IFERROR(__xludf.DUMMYFUNCTION("""COMPUTED_VALUE"""),108.0)</f>
        <v>108</v>
      </c>
      <c r="B109" s="131"/>
      <c r="C109" s="131">
        <f>IFERROR(__xludf.DUMMYFUNCTION("""COMPUTED_VALUE"""),76.0)</f>
        <v>76</v>
      </c>
      <c r="D109" s="131" t="b">
        <f>IFERROR(__xludf.DUMMYFUNCTION("""COMPUTED_VALUE"""),FALSE)</f>
        <v>0</v>
      </c>
      <c r="E109" s="114" t="str">
        <f>IFERROR(__xludf.DUMMYFUNCTION("""COMPUTED_VALUE"""),"NAPARATO")</f>
        <v>NAPARATO</v>
      </c>
      <c r="F109" s="114" t="str">
        <f>IFERROR(__xludf.DUMMYFUNCTION("""COMPUTED_VALUE"""),"JONEL")</f>
        <v>JONEL</v>
      </c>
    </row>
    <row r="110">
      <c r="A110" s="131">
        <f>IFERROR(__xludf.DUMMYFUNCTION("""COMPUTED_VALUE"""),109.0)</f>
        <v>109</v>
      </c>
      <c r="B110" s="131"/>
      <c r="C110" s="131">
        <f>IFERROR(__xludf.DUMMYFUNCTION("""COMPUTED_VALUE"""),76.0)</f>
        <v>76</v>
      </c>
      <c r="D110" s="131" t="b">
        <f>IFERROR(__xludf.DUMMYFUNCTION("""COMPUTED_VALUE"""),FALSE)</f>
        <v>0</v>
      </c>
      <c r="E110" s="114" t="str">
        <f>IFERROR(__xludf.DUMMYFUNCTION("""COMPUTED_VALUE"""),"NAPARATO")</f>
        <v>NAPARATO</v>
      </c>
      <c r="F110" s="114" t="str">
        <f>IFERROR(__xludf.DUMMYFUNCTION("""COMPUTED_VALUE"""),"JEFF")</f>
        <v>JEFF</v>
      </c>
    </row>
    <row r="111">
      <c r="A111" s="131">
        <f>IFERROR(__xludf.DUMMYFUNCTION("""COMPUTED_VALUE"""),110.0)</f>
        <v>110</v>
      </c>
      <c r="B111" s="131"/>
      <c r="C111" s="131">
        <f>IFERROR(__xludf.DUMMYFUNCTION("""COMPUTED_VALUE"""),76.0)</f>
        <v>76</v>
      </c>
      <c r="D111" s="131" t="b">
        <f>IFERROR(__xludf.DUMMYFUNCTION("""COMPUTED_VALUE"""),FALSE)</f>
        <v>0</v>
      </c>
      <c r="E111" s="114" t="str">
        <f>IFERROR(__xludf.DUMMYFUNCTION("""COMPUTED_VALUE"""),"PABILLO")</f>
        <v>PABILLO</v>
      </c>
      <c r="F111" s="114" t="str">
        <f>IFERROR(__xludf.DUMMYFUNCTION("""COMPUTED_VALUE"""),"PRINCE ALECK")</f>
        <v>PRINCE ALECK</v>
      </c>
    </row>
    <row r="112">
      <c r="A112" s="131">
        <f>IFERROR(__xludf.DUMMYFUNCTION("""COMPUTED_VALUE"""),111.0)</f>
        <v>111</v>
      </c>
      <c r="B112" s="131"/>
      <c r="C112" s="131">
        <f>IFERROR(__xludf.DUMMYFUNCTION("""COMPUTED_VALUE"""),76.0)</f>
        <v>76</v>
      </c>
      <c r="D112" s="131" t="b">
        <f>IFERROR(__xludf.DUMMYFUNCTION("""COMPUTED_VALUE"""),FALSE)</f>
        <v>0</v>
      </c>
      <c r="E112" s="114" t="str">
        <f>IFERROR(__xludf.DUMMYFUNCTION("""COMPUTED_VALUE"""),"PRINCESA")</f>
        <v>PRINCESA</v>
      </c>
      <c r="F112" s="114" t="str">
        <f>IFERROR(__xludf.DUMMYFUNCTION("""COMPUTED_VALUE"""),"ADRIAN CARL")</f>
        <v>ADRIAN CARL</v>
      </c>
    </row>
    <row r="113">
      <c r="A113" s="131">
        <f>IFERROR(__xludf.DUMMYFUNCTION("""COMPUTED_VALUE"""),112.0)</f>
        <v>112</v>
      </c>
      <c r="B113" s="131"/>
      <c r="C113" s="131">
        <f>IFERROR(__xludf.DUMMYFUNCTION("""COMPUTED_VALUE"""),76.0)</f>
        <v>76</v>
      </c>
      <c r="D113" s="131" t="b">
        <f>IFERROR(__xludf.DUMMYFUNCTION("""COMPUTED_VALUE"""),FALSE)</f>
        <v>0</v>
      </c>
      <c r="E113" s="114" t="str">
        <f>IFERROR(__xludf.DUMMYFUNCTION("""COMPUTED_VALUE"""),"RAMOS")</f>
        <v>RAMOS</v>
      </c>
      <c r="F113" s="114" t="str">
        <f>IFERROR(__xludf.DUMMYFUNCTION("""COMPUTED_VALUE"""),"JEREMIAH")</f>
        <v>JEREMIAH</v>
      </c>
    </row>
    <row r="114">
      <c r="A114" s="131">
        <f>IFERROR(__xludf.DUMMYFUNCTION("""COMPUTED_VALUE"""),113.0)</f>
        <v>113</v>
      </c>
      <c r="B114" s="131"/>
      <c r="C114" s="131">
        <f>IFERROR(__xludf.DUMMYFUNCTION("""COMPUTED_VALUE"""),76.0)</f>
        <v>76</v>
      </c>
      <c r="D114" s="131" t="b">
        <f>IFERROR(__xludf.DUMMYFUNCTION("""COMPUTED_VALUE"""),FALSE)</f>
        <v>0</v>
      </c>
      <c r="E114" s="114" t="str">
        <f>IFERROR(__xludf.DUMMYFUNCTION("""COMPUTED_VALUE"""),"RAMOS")</f>
        <v>RAMOS</v>
      </c>
      <c r="F114" s="114" t="str">
        <f>IFERROR(__xludf.DUMMYFUNCTION("""COMPUTED_VALUE"""),"MATTHEW")</f>
        <v>MATTHEW</v>
      </c>
    </row>
    <row r="115">
      <c r="A115" s="131">
        <f>IFERROR(__xludf.DUMMYFUNCTION("""COMPUTED_VALUE"""),114.0)</f>
        <v>114</v>
      </c>
      <c r="B115" s="131"/>
      <c r="C115" s="131">
        <f>IFERROR(__xludf.DUMMYFUNCTION("""COMPUTED_VALUE"""),76.0)</f>
        <v>76</v>
      </c>
      <c r="D115" s="131" t="b">
        <f>IFERROR(__xludf.DUMMYFUNCTION("""COMPUTED_VALUE"""),FALSE)</f>
        <v>0</v>
      </c>
      <c r="E115" s="114" t="str">
        <f>IFERROR(__xludf.DUMMYFUNCTION("""COMPUTED_VALUE"""),"RAMOS")</f>
        <v>RAMOS</v>
      </c>
      <c r="F115" s="114" t="str">
        <f>IFERROR(__xludf.DUMMYFUNCTION("""COMPUTED_VALUE"""),"JONAS")</f>
        <v>JONAS</v>
      </c>
    </row>
    <row r="116">
      <c r="A116" s="131">
        <f>IFERROR(__xludf.DUMMYFUNCTION("""COMPUTED_VALUE"""),115.0)</f>
        <v>115</v>
      </c>
      <c r="B116" s="131"/>
      <c r="C116" s="131">
        <f>IFERROR(__xludf.DUMMYFUNCTION("""COMPUTED_VALUE"""),76.0)</f>
        <v>76</v>
      </c>
      <c r="D116" s="131" t="b">
        <f>IFERROR(__xludf.DUMMYFUNCTION("""COMPUTED_VALUE"""),FALSE)</f>
        <v>0</v>
      </c>
      <c r="E116" s="114" t="str">
        <f>IFERROR(__xludf.DUMMYFUNCTION("""COMPUTED_VALUE"""),"ROMANO")</f>
        <v>ROMANO</v>
      </c>
      <c r="F116" s="114" t="str">
        <f>IFERROR(__xludf.DUMMYFUNCTION("""COMPUTED_VALUE"""),"XIANREY")</f>
        <v>XIANREY</v>
      </c>
    </row>
    <row r="117">
      <c r="A117" s="131">
        <f>IFERROR(__xludf.DUMMYFUNCTION("""COMPUTED_VALUE"""),116.0)</f>
        <v>116</v>
      </c>
      <c r="B117" s="131"/>
      <c r="C117" s="131">
        <f>IFERROR(__xludf.DUMMYFUNCTION("""COMPUTED_VALUE"""),76.0)</f>
        <v>76</v>
      </c>
      <c r="D117" s="131" t="b">
        <f>IFERROR(__xludf.DUMMYFUNCTION("""COMPUTED_VALUE"""),FALSE)</f>
        <v>0</v>
      </c>
      <c r="E117" s="114" t="str">
        <f>IFERROR(__xludf.DUMMYFUNCTION("""COMPUTED_VALUE"""),"AMBROCIO")</f>
        <v>AMBROCIO</v>
      </c>
      <c r="F117" s="114" t="str">
        <f>IFERROR(__xludf.DUMMYFUNCTION("""COMPUTED_VALUE"""),"JAMES")</f>
        <v>JAMES</v>
      </c>
    </row>
    <row r="118">
      <c r="A118" s="131">
        <f>IFERROR(__xludf.DUMMYFUNCTION("""COMPUTED_VALUE"""),117.0)</f>
        <v>117</v>
      </c>
      <c r="B118" s="131"/>
      <c r="C118" s="131">
        <f>IFERROR(__xludf.DUMMYFUNCTION("""COMPUTED_VALUE"""),76.0)</f>
        <v>76</v>
      </c>
      <c r="D118" s="131" t="b">
        <f>IFERROR(__xludf.DUMMYFUNCTION("""COMPUTED_VALUE"""),FALSE)</f>
        <v>0</v>
      </c>
      <c r="E118" s="114" t="str">
        <f>IFERROR(__xludf.DUMMYFUNCTION("""COMPUTED_VALUE"""),"PANADO")</f>
        <v>PANADO</v>
      </c>
      <c r="F118" s="114" t="str">
        <f>IFERROR(__xludf.DUMMYFUNCTION("""COMPUTED_VALUE"""),"JAMES")</f>
        <v>JAMES</v>
      </c>
    </row>
    <row r="119">
      <c r="A119" s="131">
        <f>IFERROR(__xludf.DUMMYFUNCTION("""COMPUTED_VALUE"""),118.0)</f>
        <v>118</v>
      </c>
      <c r="B119" s="131"/>
      <c r="C119" s="131">
        <f>IFERROR(__xludf.DUMMYFUNCTION("""COMPUTED_VALUE"""),76.0)</f>
        <v>76</v>
      </c>
      <c r="D119" s="131" t="b">
        <f>IFERROR(__xludf.DUMMYFUNCTION("""COMPUTED_VALUE"""),FALSE)</f>
        <v>0</v>
      </c>
      <c r="E119" s="114" t="str">
        <f>IFERROR(__xludf.DUMMYFUNCTION("""COMPUTED_VALUE"""),"MALLARI")</f>
        <v>MALLARI</v>
      </c>
      <c r="F119" s="114" t="str">
        <f>IFERROR(__xludf.DUMMYFUNCTION("""COMPUTED_VALUE"""),"JAY IAN")</f>
        <v>JAY IAN</v>
      </c>
    </row>
    <row r="120">
      <c r="A120" s="131"/>
      <c r="B120" s="131"/>
      <c r="C120" s="131"/>
      <c r="D120" s="131"/>
      <c r="E120" s="131"/>
      <c r="F120" s="131"/>
    </row>
    <row r="121">
      <c r="A121" s="131">
        <f>IFERROR(__xludf.DUMMYFUNCTION("""COMPUTED_VALUE"""),120.0)</f>
        <v>120</v>
      </c>
      <c r="B121" s="131"/>
      <c r="C121" s="131">
        <f>IFERROR(__xludf.DUMMYFUNCTION("""COMPUTED_VALUE"""),120.0)</f>
        <v>120</v>
      </c>
      <c r="D121" s="131" t="b">
        <f>IFERROR(__xludf.DUMMYFUNCTION("""COMPUTED_VALUE"""),TRUE)</f>
        <v>1</v>
      </c>
      <c r="E121" s="105" t="str">
        <f>IFERROR(__xludf.DUMMYFUNCTION("""COMPUTED_VALUE"""),"MACASA")</f>
        <v>MACASA</v>
      </c>
      <c r="F121" s="105" t="str">
        <f>IFERROR(__xludf.DUMMYFUNCTION("""COMPUTED_VALUE"""),"POLO")</f>
        <v>POLO</v>
      </c>
    </row>
    <row r="122">
      <c r="A122" s="131">
        <f>IFERROR(__xludf.DUMMYFUNCTION("""COMPUTED_VALUE"""),121.0)</f>
        <v>121</v>
      </c>
      <c r="B122" s="131"/>
      <c r="C122" s="131">
        <f>IFERROR(__xludf.DUMMYFUNCTION("""COMPUTED_VALUE"""),120.0)</f>
        <v>120</v>
      </c>
      <c r="D122" s="131" t="b">
        <f>IFERROR(__xludf.DUMMYFUNCTION("""COMPUTED_VALUE"""),FALSE)</f>
        <v>0</v>
      </c>
      <c r="E122" s="115" t="str">
        <f>IFERROR(__xludf.DUMMYFUNCTION("""COMPUTED_VALUE"""),"ALCANTARA")</f>
        <v>ALCANTARA</v>
      </c>
      <c r="F122" s="107" t="str">
        <f>IFERROR(__xludf.DUMMYFUNCTION("""COMPUTED_VALUE"""),"GERALD")</f>
        <v>GERALD</v>
      </c>
    </row>
    <row r="123">
      <c r="A123" s="131">
        <f>IFERROR(__xludf.DUMMYFUNCTION("""COMPUTED_VALUE"""),122.0)</f>
        <v>122</v>
      </c>
      <c r="B123" s="131"/>
      <c r="C123" s="131">
        <f>IFERROR(__xludf.DUMMYFUNCTION("""COMPUTED_VALUE"""),120.0)</f>
        <v>120</v>
      </c>
      <c r="D123" s="131" t="b">
        <f>IFERROR(__xludf.DUMMYFUNCTION("""COMPUTED_VALUE"""),FALSE)</f>
        <v>0</v>
      </c>
      <c r="E123" s="107" t="str">
        <f>IFERROR(__xludf.DUMMYFUNCTION("""COMPUTED_VALUE"""),"ALVIAR")</f>
        <v>ALVIAR</v>
      </c>
      <c r="F123" s="107" t="str">
        <f>IFERROR(__xludf.DUMMYFUNCTION("""COMPUTED_VALUE"""),"PETER")</f>
        <v>PETER</v>
      </c>
    </row>
    <row r="124">
      <c r="A124" s="131">
        <f>IFERROR(__xludf.DUMMYFUNCTION("""COMPUTED_VALUE"""),123.0)</f>
        <v>123</v>
      </c>
      <c r="B124" s="131"/>
      <c r="C124" s="131">
        <f>IFERROR(__xludf.DUMMYFUNCTION("""COMPUTED_VALUE"""),120.0)</f>
        <v>120</v>
      </c>
      <c r="D124" s="131" t="b">
        <f>IFERROR(__xludf.DUMMYFUNCTION("""COMPUTED_VALUE"""),FALSE)</f>
        <v>0</v>
      </c>
      <c r="E124" s="116" t="str">
        <f>IFERROR(__xludf.DUMMYFUNCTION("""COMPUTED_VALUE"""),"BUCTOT")</f>
        <v>BUCTOT</v>
      </c>
      <c r="F124" s="107" t="str">
        <f>IFERROR(__xludf.DUMMYFUNCTION("""COMPUTED_VALUE"""),"JEFFREY")</f>
        <v>JEFFREY</v>
      </c>
    </row>
    <row r="125">
      <c r="A125" s="131">
        <f>IFERROR(__xludf.DUMMYFUNCTION("""COMPUTED_VALUE"""),124.0)</f>
        <v>124</v>
      </c>
      <c r="B125" s="131"/>
      <c r="C125" s="131">
        <f>IFERROR(__xludf.DUMMYFUNCTION("""COMPUTED_VALUE"""),120.0)</f>
        <v>120</v>
      </c>
      <c r="D125" s="131" t="b">
        <f>IFERROR(__xludf.DUMMYFUNCTION("""COMPUTED_VALUE"""),FALSE)</f>
        <v>0</v>
      </c>
      <c r="E125" s="107" t="str">
        <f>IFERROR(__xludf.DUMMYFUNCTION("""COMPUTED_VALUE"""),"CABRERA")</f>
        <v>CABRERA</v>
      </c>
      <c r="F125" s="107" t="str">
        <f>IFERROR(__xludf.DUMMYFUNCTION("""COMPUTED_VALUE"""),"LANCE")</f>
        <v>LANCE</v>
      </c>
    </row>
    <row r="126">
      <c r="A126" s="131">
        <f>IFERROR(__xludf.DUMMYFUNCTION("""COMPUTED_VALUE"""),125.0)</f>
        <v>125</v>
      </c>
      <c r="B126" s="131"/>
      <c r="C126" s="131">
        <f>IFERROR(__xludf.DUMMYFUNCTION("""COMPUTED_VALUE"""),120.0)</f>
        <v>120</v>
      </c>
      <c r="D126" s="131" t="b">
        <f>IFERROR(__xludf.DUMMYFUNCTION("""COMPUTED_VALUE"""),FALSE)</f>
        <v>0</v>
      </c>
      <c r="E126" s="107" t="str">
        <f>IFERROR(__xludf.DUMMYFUNCTION("""COMPUTED_VALUE"""),"CANDIDO")</f>
        <v>CANDIDO</v>
      </c>
      <c r="F126" s="107" t="str">
        <f>IFERROR(__xludf.DUMMYFUNCTION("""COMPUTED_VALUE"""),"PRINCE")</f>
        <v>PRINCE</v>
      </c>
    </row>
    <row r="127">
      <c r="A127" s="131">
        <f>IFERROR(__xludf.DUMMYFUNCTION("""COMPUTED_VALUE"""),126.0)</f>
        <v>126</v>
      </c>
      <c r="B127" s="131"/>
      <c r="C127" s="131">
        <f>IFERROR(__xludf.DUMMYFUNCTION("""COMPUTED_VALUE"""),120.0)</f>
        <v>120</v>
      </c>
      <c r="D127" s="131" t="b">
        <f>IFERROR(__xludf.DUMMYFUNCTION("""COMPUTED_VALUE"""),FALSE)</f>
        <v>0</v>
      </c>
      <c r="E127" s="107" t="str">
        <f>IFERROR(__xludf.DUMMYFUNCTION("""COMPUTED_VALUE"""),"LOUIE")</f>
        <v>LOUIE</v>
      </c>
      <c r="F127" s="107" t="str">
        <f>IFERROR(__xludf.DUMMYFUNCTION("""COMPUTED_VALUE"""),"JAMES")</f>
        <v>JAMES</v>
      </c>
    </row>
    <row r="128">
      <c r="A128" s="131">
        <f>IFERROR(__xludf.DUMMYFUNCTION("""COMPUTED_VALUE"""),127.0)</f>
        <v>127</v>
      </c>
      <c r="B128" s="131"/>
      <c r="C128" s="131">
        <f>IFERROR(__xludf.DUMMYFUNCTION("""COMPUTED_VALUE"""),120.0)</f>
        <v>120</v>
      </c>
      <c r="D128" s="131" t="b">
        <f>IFERROR(__xludf.DUMMYFUNCTION("""COMPUTED_VALUE"""),FALSE)</f>
        <v>0</v>
      </c>
      <c r="E128" s="107" t="str">
        <f>IFERROR(__xludf.DUMMYFUNCTION("""COMPUTED_VALUE"""),"MALIGTAS")</f>
        <v>MALIGTAS</v>
      </c>
      <c r="F128" s="107" t="str">
        <f>IFERROR(__xludf.DUMMYFUNCTION("""COMPUTED_VALUE"""),"SKYE")</f>
        <v>SKYE</v>
      </c>
    </row>
    <row r="129">
      <c r="A129" s="131">
        <f>IFERROR(__xludf.DUMMYFUNCTION("""COMPUTED_VALUE"""),128.0)</f>
        <v>128</v>
      </c>
      <c r="B129" s="131"/>
      <c r="C129" s="131">
        <f>IFERROR(__xludf.DUMMYFUNCTION("""COMPUTED_VALUE"""),120.0)</f>
        <v>120</v>
      </c>
      <c r="D129" s="131" t="b">
        <f>IFERROR(__xludf.DUMMYFUNCTION("""COMPUTED_VALUE"""),FALSE)</f>
        <v>0</v>
      </c>
      <c r="E129" s="107" t="str">
        <f>IFERROR(__xludf.DUMMYFUNCTION("""COMPUTED_VALUE"""),"NEHEMIAH")</f>
        <v>NEHEMIAH</v>
      </c>
      <c r="F129" s="107" t="str">
        <f>IFERROR(__xludf.DUMMYFUNCTION("""COMPUTED_VALUE"""),"ARKHEL")</f>
        <v>ARKHEL</v>
      </c>
    </row>
    <row r="130">
      <c r="A130" s="131">
        <f>IFERROR(__xludf.DUMMYFUNCTION("""COMPUTED_VALUE"""),129.0)</f>
        <v>129</v>
      </c>
      <c r="B130" s="131"/>
      <c r="C130" s="131">
        <f>IFERROR(__xludf.DUMMYFUNCTION("""COMPUTED_VALUE"""),120.0)</f>
        <v>120</v>
      </c>
      <c r="D130" s="131" t="b">
        <f>IFERROR(__xludf.DUMMYFUNCTION("""COMPUTED_VALUE"""),FALSE)</f>
        <v>0</v>
      </c>
      <c r="E130" s="107" t="str">
        <f>IFERROR(__xludf.DUMMYFUNCTION("""COMPUTED_VALUE"""),"OLASO")</f>
        <v>OLASO</v>
      </c>
      <c r="F130" s="107" t="str">
        <f>IFERROR(__xludf.DUMMYFUNCTION("""COMPUTED_VALUE"""),"CHARLES")</f>
        <v>CHARLES</v>
      </c>
    </row>
    <row r="131">
      <c r="A131" s="131">
        <f>IFERROR(__xludf.DUMMYFUNCTION("""COMPUTED_VALUE"""),130.0)</f>
        <v>130</v>
      </c>
      <c r="B131" s="131"/>
      <c r="C131" s="131">
        <f>IFERROR(__xludf.DUMMYFUNCTION("""COMPUTED_VALUE"""),120.0)</f>
        <v>120</v>
      </c>
      <c r="D131" s="131" t="b">
        <f>IFERROR(__xludf.DUMMYFUNCTION("""COMPUTED_VALUE"""),FALSE)</f>
        <v>0</v>
      </c>
      <c r="E131" s="107" t="str">
        <f>IFERROR(__xludf.DUMMYFUNCTION("""COMPUTED_VALUE"""),"PASCUA")</f>
        <v>PASCUA</v>
      </c>
      <c r="F131" s="107" t="str">
        <f>IFERROR(__xludf.DUMMYFUNCTION("""COMPUTED_VALUE"""),"JOHN MICHAEL")</f>
        <v>JOHN MICHAEL</v>
      </c>
    </row>
    <row r="132">
      <c r="A132" s="131">
        <f>IFERROR(__xludf.DUMMYFUNCTION("""COMPUTED_VALUE"""),131.0)</f>
        <v>131</v>
      </c>
      <c r="B132" s="131"/>
      <c r="C132" s="131">
        <f>IFERROR(__xludf.DUMMYFUNCTION("""COMPUTED_VALUE"""),120.0)</f>
        <v>120</v>
      </c>
      <c r="D132" s="131" t="b">
        <f>IFERROR(__xludf.DUMMYFUNCTION("""COMPUTED_VALUE"""),FALSE)</f>
        <v>0</v>
      </c>
      <c r="E132" s="107" t="str">
        <f>IFERROR(__xludf.DUMMYFUNCTION("""COMPUTED_VALUE"""),"PERALTA")</f>
        <v>PERALTA</v>
      </c>
      <c r="F132" s="107" t="str">
        <f>IFERROR(__xludf.DUMMYFUNCTION("""COMPUTED_VALUE"""),"MARLON")</f>
        <v>MARLON</v>
      </c>
    </row>
    <row r="133">
      <c r="A133" s="131">
        <f>IFERROR(__xludf.DUMMYFUNCTION("""COMPUTED_VALUE"""),132.0)</f>
        <v>132</v>
      </c>
      <c r="B133" s="131"/>
      <c r="C133" s="131">
        <f>IFERROR(__xludf.DUMMYFUNCTION("""COMPUTED_VALUE"""),120.0)</f>
        <v>120</v>
      </c>
      <c r="D133" s="131" t="b">
        <f>IFERROR(__xludf.DUMMYFUNCTION("""COMPUTED_VALUE"""),FALSE)</f>
        <v>0</v>
      </c>
      <c r="E133" s="107" t="str">
        <f>IFERROR(__xludf.DUMMYFUNCTION("""COMPUTED_VALUE"""),"PESAYCO")</f>
        <v>PESAYCO</v>
      </c>
      <c r="F133" s="107" t="str">
        <f>IFERROR(__xludf.DUMMYFUNCTION("""COMPUTED_VALUE"""),"KEITH")</f>
        <v>KEITH</v>
      </c>
    </row>
    <row r="134">
      <c r="A134" s="131">
        <f>IFERROR(__xludf.DUMMYFUNCTION("""COMPUTED_VALUE"""),133.0)</f>
        <v>133</v>
      </c>
      <c r="B134" s="131"/>
      <c r="C134" s="131">
        <f>IFERROR(__xludf.DUMMYFUNCTION("""COMPUTED_VALUE"""),120.0)</f>
        <v>120</v>
      </c>
      <c r="D134" s="131" t="b">
        <f>IFERROR(__xludf.DUMMYFUNCTION("""COMPUTED_VALUE"""),FALSE)</f>
        <v>0</v>
      </c>
      <c r="E134" s="107" t="str">
        <f>IFERROR(__xludf.DUMMYFUNCTION("""COMPUTED_VALUE"""),"RAZON")</f>
        <v>RAZON</v>
      </c>
      <c r="F134" s="107" t="str">
        <f>IFERROR(__xludf.DUMMYFUNCTION("""COMPUTED_VALUE"""),"JOSHUA")</f>
        <v>JOSHUA</v>
      </c>
    </row>
    <row r="135">
      <c r="A135" s="131">
        <f>IFERROR(__xludf.DUMMYFUNCTION("""COMPUTED_VALUE"""),134.0)</f>
        <v>134</v>
      </c>
      <c r="B135" s="131"/>
      <c r="C135" s="131">
        <f>IFERROR(__xludf.DUMMYFUNCTION("""COMPUTED_VALUE"""),120.0)</f>
        <v>120</v>
      </c>
      <c r="D135" s="131" t="b">
        <f>IFERROR(__xludf.DUMMYFUNCTION("""COMPUTED_VALUE"""),FALSE)</f>
        <v>0</v>
      </c>
      <c r="E135" s="107" t="str">
        <f>IFERROR(__xludf.DUMMYFUNCTION("""COMPUTED_VALUE"""),"ROCCO")</f>
        <v>ROCCO</v>
      </c>
      <c r="F135" s="107" t="str">
        <f>IFERROR(__xludf.DUMMYFUNCTION("""COMPUTED_VALUE"""),"MARK")</f>
        <v>MARK</v>
      </c>
    </row>
    <row r="136">
      <c r="A136" s="131">
        <f>IFERROR(__xludf.DUMMYFUNCTION("""COMPUTED_VALUE"""),135.0)</f>
        <v>135</v>
      </c>
      <c r="B136" s="131"/>
      <c r="C136" s="131">
        <f>IFERROR(__xludf.DUMMYFUNCTION("""COMPUTED_VALUE"""),120.0)</f>
        <v>120</v>
      </c>
      <c r="D136" s="131" t="b">
        <f>IFERROR(__xludf.DUMMYFUNCTION("""COMPUTED_VALUE"""),FALSE)</f>
        <v>0</v>
      </c>
      <c r="E136" s="107" t="str">
        <f>IFERROR(__xludf.DUMMYFUNCTION("""COMPUTED_VALUE"""),"ROME")</f>
        <v>ROME</v>
      </c>
      <c r="F136" s="107" t="str">
        <f>IFERROR(__xludf.DUMMYFUNCTION("""COMPUTED_VALUE"""),"ZAYIN")</f>
        <v>ZAYIN</v>
      </c>
    </row>
    <row r="137">
      <c r="A137" s="131">
        <f>IFERROR(__xludf.DUMMYFUNCTION("""COMPUTED_VALUE"""),136.0)</f>
        <v>136</v>
      </c>
      <c r="B137" s="131"/>
      <c r="C137" s="131">
        <f>IFERROR(__xludf.DUMMYFUNCTION("""COMPUTED_VALUE"""),120.0)</f>
        <v>120</v>
      </c>
      <c r="D137" s="131" t="b">
        <f>IFERROR(__xludf.DUMMYFUNCTION("""COMPUTED_VALUE"""),FALSE)</f>
        <v>0</v>
      </c>
      <c r="E137" s="107" t="str">
        <f>IFERROR(__xludf.DUMMYFUNCTION("""COMPUTED_VALUE"""),"ROME")</f>
        <v>ROME</v>
      </c>
      <c r="F137" s="107" t="str">
        <f>IFERROR(__xludf.DUMMYFUNCTION("""COMPUTED_VALUE"""),"ZACH")</f>
        <v>ZACH</v>
      </c>
    </row>
    <row r="138">
      <c r="A138" s="131">
        <f>IFERROR(__xludf.DUMMYFUNCTION("""COMPUTED_VALUE"""),137.0)</f>
        <v>137</v>
      </c>
      <c r="B138" s="131"/>
      <c r="C138" s="131">
        <f>IFERROR(__xludf.DUMMYFUNCTION("""COMPUTED_VALUE"""),120.0)</f>
        <v>120</v>
      </c>
      <c r="D138" s="131" t="b">
        <f>IFERROR(__xludf.DUMMYFUNCTION("""COMPUTED_VALUE"""),FALSE)</f>
        <v>0</v>
      </c>
      <c r="E138" s="107" t="str">
        <f>IFERROR(__xludf.DUMMYFUNCTION("""COMPUTED_VALUE"""),"SERRANO")</f>
        <v>SERRANO</v>
      </c>
      <c r="F138" s="107" t="str">
        <f>IFERROR(__xludf.DUMMYFUNCTION("""COMPUTED_VALUE"""),"MICO")</f>
        <v>MICO</v>
      </c>
    </row>
    <row r="139">
      <c r="A139" s="131">
        <f>IFERROR(__xludf.DUMMYFUNCTION("""COMPUTED_VALUE"""),138.0)</f>
        <v>138</v>
      </c>
      <c r="B139" s="131"/>
      <c r="C139" s="131">
        <f>IFERROR(__xludf.DUMMYFUNCTION("""COMPUTED_VALUE"""),120.0)</f>
        <v>120</v>
      </c>
      <c r="D139" s="131" t="b">
        <f>IFERROR(__xludf.DUMMYFUNCTION("""COMPUTED_VALUE"""),FALSE)</f>
        <v>0</v>
      </c>
      <c r="E139" s="98"/>
      <c r="F139" s="107" t="str">
        <f>IFERROR(__xludf.DUMMYFUNCTION("""COMPUTED_VALUE"""),"PAUL")</f>
        <v>PAUL</v>
      </c>
    </row>
    <row r="140">
      <c r="A140" s="131"/>
      <c r="B140" s="131"/>
      <c r="C140" s="131"/>
      <c r="D140" s="131"/>
      <c r="E140" s="131"/>
      <c r="F140" s="131"/>
    </row>
    <row r="141">
      <c r="A141" s="131">
        <f>IFERROR(__xludf.DUMMYFUNCTION("""COMPUTED_VALUE"""),140.0)</f>
        <v>140</v>
      </c>
      <c r="B141" s="131"/>
      <c r="C141" s="131">
        <f>IFERROR(__xludf.DUMMYFUNCTION("""COMPUTED_VALUE"""),140.0)</f>
        <v>140</v>
      </c>
      <c r="D141" s="131" t="b">
        <f>IFERROR(__xludf.DUMMYFUNCTION("""COMPUTED_VALUE"""),TRUE)</f>
        <v>1</v>
      </c>
      <c r="E141" s="105" t="str">
        <f>IFERROR(__xludf.DUMMYFUNCTION("""COMPUTED_VALUE"""),"ARANDA")</f>
        <v>ARANDA</v>
      </c>
      <c r="F141" s="105" t="str">
        <f>IFERROR(__xludf.DUMMYFUNCTION("""COMPUTED_VALUE"""),"IYA")</f>
        <v>IYA</v>
      </c>
    </row>
    <row r="142">
      <c r="A142" s="131">
        <f>IFERROR(__xludf.DUMMYFUNCTION("""COMPUTED_VALUE"""),141.0)</f>
        <v>141</v>
      </c>
      <c r="B142" s="131"/>
      <c r="C142" s="131">
        <f>IFERROR(__xludf.DUMMYFUNCTION("""COMPUTED_VALUE"""),140.0)</f>
        <v>140</v>
      </c>
      <c r="D142" s="131" t="b">
        <f>IFERROR(__xludf.DUMMYFUNCTION("""COMPUTED_VALUE"""),FALSE)</f>
        <v>0</v>
      </c>
      <c r="E142" s="109" t="str">
        <f>IFERROR(__xludf.DUMMYFUNCTION("""COMPUTED_VALUE"""),"ALIANZA")</f>
        <v>ALIANZA</v>
      </c>
      <c r="F142" s="109" t="str">
        <f>IFERROR(__xludf.DUMMYFUNCTION("""COMPUTED_VALUE"""),"JESEMIL")</f>
        <v>JESEMIL</v>
      </c>
    </row>
    <row r="143">
      <c r="A143" s="131">
        <f>IFERROR(__xludf.DUMMYFUNCTION("""COMPUTED_VALUE"""),142.0)</f>
        <v>142</v>
      </c>
      <c r="B143" s="131"/>
      <c r="C143" s="131">
        <f>IFERROR(__xludf.DUMMYFUNCTION("""COMPUTED_VALUE"""),140.0)</f>
        <v>140</v>
      </c>
      <c r="D143" s="131" t="b">
        <f>IFERROR(__xludf.DUMMYFUNCTION("""COMPUTED_VALUE"""),FALSE)</f>
        <v>0</v>
      </c>
      <c r="E143" s="109" t="str">
        <f>IFERROR(__xludf.DUMMYFUNCTION("""COMPUTED_VALUE"""),"ANTONIO")</f>
        <v>ANTONIO</v>
      </c>
      <c r="F143" s="109" t="str">
        <f>IFERROR(__xludf.DUMMYFUNCTION("""COMPUTED_VALUE"""),"CHAM")</f>
        <v>CHAM</v>
      </c>
    </row>
    <row r="144">
      <c r="A144" s="131">
        <f>IFERROR(__xludf.DUMMYFUNCTION("""COMPUTED_VALUE"""),143.0)</f>
        <v>143</v>
      </c>
      <c r="B144" s="131"/>
      <c r="C144" s="131">
        <f>IFERROR(__xludf.DUMMYFUNCTION("""COMPUTED_VALUE"""),140.0)</f>
        <v>140</v>
      </c>
      <c r="D144" s="131" t="b">
        <f>IFERROR(__xludf.DUMMYFUNCTION("""COMPUTED_VALUE"""),FALSE)</f>
        <v>0</v>
      </c>
      <c r="E144" s="109" t="str">
        <f>IFERROR(__xludf.DUMMYFUNCTION("""COMPUTED_VALUE"""),"AQUINO")</f>
        <v>AQUINO</v>
      </c>
      <c r="F144" s="109" t="str">
        <f>IFERROR(__xludf.DUMMYFUNCTION("""COMPUTED_VALUE"""),"JOANNA")</f>
        <v>JOANNA</v>
      </c>
    </row>
    <row r="145">
      <c r="A145" s="131">
        <f>IFERROR(__xludf.DUMMYFUNCTION("""COMPUTED_VALUE"""),144.0)</f>
        <v>144</v>
      </c>
      <c r="B145" s="131"/>
      <c r="C145" s="131">
        <f>IFERROR(__xludf.DUMMYFUNCTION("""COMPUTED_VALUE"""),140.0)</f>
        <v>140</v>
      </c>
      <c r="D145" s="131" t="b">
        <f>IFERROR(__xludf.DUMMYFUNCTION("""COMPUTED_VALUE"""),FALSE)</f>
        <v>0</v>
      </c>
      <c r="E145" s="109" t="str">
        <f>IFERROR(__xludf.DUMMYFUNCTION("""COMPUTED_VALUE"""),"ARANDA")</f>
        <v>ARANDA</v>
      </c>
      <c r="F145" s="109" t="str">
        <f>IFERROR(__xludf.DUMMYFUNCTION("""COMPUTED_VALUE"""),"ALEXANDRA")</f>
        <v>ALEXANDRA</v>
      </c>
    </row>
    <row r="146">
      <c r="A146" s="131">
        <f>IFERROR(__xludf.DUMMYFUNCTION("""COMPUTED_VALUE"""),145.0)</f>
        <v>145</v>
      </c>
      <c r="B146" s="131"/>
      <c r="C146" s="131">
        <f>IFERROR(__xludf.DUMMYFUNCTION("""COMPUTED_VALUE"""),140.0)</f>
        <v>140</v>
      </c>
      <c r="D146" s="131" t="b">
        <f>IFERROR(__xludf.DUMMYFUNCTION("""COMPUTED_VALUE"""),FALSE)</f>
        <v>0</v>
      </c>
      <c r="E146" s="109" t="str">
        <f>IFERROR(__xludf.DUMMYFUNCTION("""COMPUTED_VALUE"""),"CARAAN")</f>
        <v>CARAAN</v>
      </c>
      <c r="F146" s="109" t="str">
        <f>IFERROR(__xludf.DUMMYFUNCTION("""COMPUTED_VALUE"""),"CATHLINE")</f>
        <v>CATHLINE</v>
      </c>
    </row>
    <row r="147">
      <c r="A147" s="131">
        <f>IFERROR(__xludf.DUMMYFUNCTION("""COMPUTED_VALUE"""),146.0)</f>
        <v>146</v>
      </c>
      <c r="B147" s="131"/>
      <c r="C147" s="131">
        <f>IFERROR(__xludf.DUMMYFUNCTION("""COMPUTED_VALUE"""),140.0)</f>
        <v>140</v>
      </c>
      <c r="D147" s="131" t="b">
        <f>IFERROR(__xludf.DUMMYFUNCTION("""COMPUTED_VALUE"""),FALSE)</f>
        <v>0</v>
      </c>
      <c r="E147" s="109" t="str">
        <f>IFERROR(__xludf.DUMMYFUNCTION("""COMPUTED_VALUE"""),"CASTILLO")</f>
        <v>CASTILLO</v>
      </c>
      <c r="F147" s="109" t="str">
        <f>IFERROR(__xludf.DUMMYFUNCTION("""COMPUTED_VALUE"""),"JASIEL")</f>
        <v>JASIEL</v>
      </c>
    </row>
    <row r="148">
      <c r="A148" s="131">
        <f>IFERROR(__xludf.DUMMYFUNCTION("""COMPUTED_VALUE"""),147.0)</f>
        <v>147</v>
      </c>
      <c r="B148" s="131"/>
      <c r="C148" s="131">
        <f>IFERROR(__xludf.DUMMYFUNCTION("""COMPUTED_VALUE"""),140.0)</f>
        <v>140</v>
      </c>
      <c r="D148" s="131" t="b">
        <f>IFERROR(__xludf.DUMMYFUNCTION("""COMPUTED_VALUE"""),FALSE)</f>
        <v>0</v>
      </c>
      <c r="E148" s="109" t="str">
        <f>IFERROR(__xludf.DUMMYFUNCTION("""COMPUTED_VALUE"""),"CEA")</f>
        <v>CEA</v>
      </c>
      <c r="F148" s="109" t="str">
        <f>IFERROR(__xludf.DUMMYFUNCTION("""COMPUTED_VALUE"""),"DIANA")</f>
        <v>DIANA</v>
      </c>
    </row>
    <row r="149">
      <c r="A149" s="131">
        <f>IFERROR(__xludf.DUMMYFUNCTION("""COMPUTED_VALUE"""),148.0)</f>
        <v>148</v>
      </c>
      <c r="B149" s="131"/>
      <c r="C149" s="131">
        <f>IFERROR(__xludf.DUMMYFUNCTION("""COMPUTED_VALUE"""),140.0)</f>
        <v>140</v>
      </c>
      <c r="D149" s="131" t="b">
        <f>IFERROR(__xludf.DUMMYFUNCTION("""COMPUTED_VALUE"""),FALSE)</f>
        <v>0</v>
      </c>
      <c r="E149" s="109" t="str">
        <f>IFERROR(__xludf.DUMMYFUNCTION("""COMPUTED_VALUE"""),"CHUA")</f>
        <v>CHUA</v>
      </c>
      <c r="F149" s="109" t="str">
        <f>IFERROR(__xludf.DUMMYFUNCTION("""COMPUTED_VALUE"""),"PJ")</f>
        <v>PJ</v>
      </c>
    </row>
    <row r="150">
      <c r="A150" s="131">
        <f>IFERROR(__xludf.DUMMYFUNCTION("""COMPUTED_VALUE"""),149.0)</f>
        <v>149</v>
      </c>
      <c r="B150" s="131"/>
      <c r="C150" s="131">
        <f>IFERROR(__xludf.DUMMYFUNCTION("""COMPUTED_VALUE"""),140.0)</f>
        <v>140</v>
      </c>
      <c r="D150" s="131" t="b">
        <f>IFERROR(__xludf.DUMMYFUNCTION("""COMPUTED_VALUE"""),FALSE)</f>
        <v>0</v>
      </c>
      <c r="E150" s="109" t="str">
        <f>IFERROR(__xludf.DUMMYFUNCTION("""COMPUTED_VALUE"""),"DIZON")</f>
        <v>DIZON</v>
      </c>
      <c r="F150" s="109" t="str">
        <f>IFERROR(__xludf.DUMMYFUNCTION("""COMPUTED_VALUE"""),"ARRA")</f>
        <v>ARRA</v>
      </c>
    </row>
    <row r="151">
      <c r="A151" s="131">
        <f>IFERROR(__xludf.DUMMYFUNCTION("""COMPUTED_VALUE"""),150.0)</f>
        <v>150</v>
      </c>
      <c r="B151" s="131"/>
      <c r="C151" s="131">
        <f>IFERROR(__xludf.DUMMYFUNCTION("""COMPUTED_VALUE"""),140.0)</f>
        <v>140</v>
      </c>
      <c r="D151" s="131" t="b">
        <f>IFERROR(__xludf.DUMMYFUNCTION("""COMPUTED_VALUE"""),FALSE)</f>
        <v>0</v>
      </c>
      <c r="E151" s="109" t="str">
        <f>IFERROR(__xludf.DUMMYFUNCTION("""COMPUTED_VALUE"""),"ECLEVIA")</f>
        <v>ECLEVIA</v>
      </c>
      <c r="F151" s="109" t="str">
        <f>IFERROR(__xludf.DUMMYFUNCTION("""COMPUTED_VALUE"""),"ANGELICA")</f>
        <v>ANGELICA</v>
      </c>
    </row>
    <row r="152">
      <c r="A152" s="131">
        <f>IFERROR(__xludf.DUMMYFUNCTION("""COMPUTED_VALUE"""),151.0)</f>
        <v>151</v>
      </c>
      <c r="B152" s="131"/>
      <c r="C152" s="131">
        <f>IFERROR(__xludf.DUMMYFUNCTION("""COMPUTED_VALUE"""),140.0)</f>
        <v>140</v>
      </c>
      <c r="D152" s="131" t="b">
        <f>IFERROR(__xludf.DUMMYFUNCTION("""COMPUTED_VALUE"""),FALSE)</f>
        <v>0</v>
      </c>
      <c r="E152" s="109" t="str">
        <f>IFERROR(__xludf.DUMMYFUNCTION("""COMPUTED_VALUE"""),"FELIPE")</f>
        <v>FELIPE</v>
      </c>
      <c r="F152" s="109" t="str">
        <f>IFERROR(__xludf.DUMMYFUNCTION("""COMPUTED_VALUE"""),"JAIMIE")</f>
        <v>JAIMIE</v>
      </c>
    </row>
    <row r="153">
      <c r="A153" s="131">
        <f>IFERROR(__xludf.DUMMYFUNCTION("""COMPUTED_VALUE"""),152.0)</f>
        <v>152</v>
      </c>
      <c r="B153" s="131"/>
      <c r="C153" s="131">
        <f>IFERROR(__xludf.DUMMYFUNCTION("""COMPUTED_VALUE"""),140.0)</f>
        <v>140</v>
      </c>
      <c r="D153" s="131" t="b">
        <f>IFERROR(__xludf.DUMMYFUNCTION("""COMPUTED_VALUE"""),FALSE)</f>
        <v>0</v>
      </c>
      <c r="E153" s="109" t="str">
        <f>IFERROR(__xludf.DUMMYFUNCTION("""COMPUTED_VALUE"""),"FERNANDEZ")</f>
        <v>FERNANDEZ</v>
      </c>
      <c r="F153" s="109" t="str">
        <f>IFERROR(__xludf.DUMMYFUNCTION("""COMPUTED_VALUE"""),"SHARMAINE")</f>
        <v>SHARMAINE</v>
      </c>
    </row>
    <row r="154">
      <c r="A154" s="131">
        <f>IFERROR(__xludf.DUMMYFUNCTION("""COMPUTED_VALUE"""),153.0)</f>
        <v>153</v>
      </c>
      <c r="B154" s="131"/>
      <c r="C154" s="131">
        <f>IFERROR(__xludf.DUMMYFUNCTION("""COMPUTED_VALUE"""),140.0)</f>
        <v>140</v>
      </c>
      <c r="D154" s="131" t="b">
        <f>IFERROR(__xludf.DUMMYFUNCTION("""COMPUTED_VALUE"""),FALSE)</f>
        <v>0</v>
      </c>
      <c r="E154" s="109" t="str">
        <f>IFERROR(__xludf.DUMMYFUNCTION("""COMPUTED_VALUE"""),"FILIO")</f>
        <v>FILIO</v>
      </c>
      <c r="F154" s="109" t="str">
        <f>IFERROR(__xludf.DUMMYFUNCTION("""COMPUTED_VALUE"""),"DAISY")</f>
        <v>DAISY</v>
      </c>
    </row>
    <row r="155">
      <c r="A155" s="131">
        <f>IFERROR(__xludf.DUMMYFUNCTION("""COMPUTED_VALUE"""),154.0)</f>
        <v>154</v>
      </c>
      <c r="B155" s="131"/>
      <c r="C155" s="131">
        <f>IFERROR(__xludf.DUMMYFUNCTION("""COMPUTED_VALUE"""),140.0)</f>
        <v>140</v>
      </c>
      <c r="D155" s="131" t="b">
        <f>IFERROR(__xludf.DUMMYFUNCTION("""COMPUTED_VALUE"""),FALSE)</f>
        <v>0</v>
      </c>
      <c r="E155" s="109" t="str">
        <f>IFERROR(__xludf.DUMMYFUNCTION("""COMPUTED_VALUE"""),"FILIO")</f>
        <v>FILIO</v>
      </c>
      <c r="F155" s="109" t="str">
        <f>IFERROR(__xludf.DUMMYFUNCTION("""COMPUTED_VALUE"""),"JENNY")</f>
        <v>JENNY</v>
      </c>
    </row>
    <row r="156">
      <c r="A156" s="131">
        <f>IFERROR(__xludf.DUMMYFUNCTION("""COMPUTED_VALUE"""),155.0)</f>
        <v>155</v>
      </c>
      <c r="B156" s="131"/>
      <c r="C156" s="131">
        <f>IFERROR(__xludf.DUMMYFUNCTION("""COMPUTED_VALUE"""),140.0)</f>
        <v>140</v>
      </c>
      <c r="D156" s="131" t="b">
        <f>IFERROR(__xludf.DUMMYFUNCTION("""COMPUTED_VALUE"""),FALSE)</f>
        <v>0</v>
      </c>
      <c r="E156" s="109" t="str">
        <f>IFERROR(__xludf.DUMMYFUNCTION("""COMPUTED_VALUE"""),"FLORO")</f>
        <v>FLORO</v>
      </c>
      <c r="F156" s="109" t="str">
        <f>IFERROR(__xludf.DUMMYFUNCTION("""COMPUTED_VALUE"""),"JUSTINE")</f>
        <v>JUSTINE</v>
      </c>
    </row>
    <row r="157">
      <c r="A157" s="131">
        <f>IFERROR(__xludf.DUMMYFUNCTION("""COMPUTED_VALUE"""),156.0)</f>
        <v>156</v>
      </c>
      <c r="B157" s="131"/>
      <c r="C157" s="131">
        <f>IFERROR(__xludf.DUMMYFUNCTION("""COMPUTED_VALUE"""),140.0)</f>
        <v>140</v>
      </c>
      <c r="D157" s="131" t="b">
        <f>IFERROR(__xludf.DUMMYFUNCTION("""COMPUTED_VALUE"""),FALSE)</f>
        <v>0</v>
      </c>
      <c r="E157" s="109" t="str">
        <f>IFERROR(__xludf.DUMMYFUNCTION("""COMPUTED_VALUE"""),"FLORO")</f>
        <v>FLORO</v>
      </c>
      <c r="F157" s="109" t="str">
        <f>IFERROR(__xludf.DUMMYFUNCTION("""COMPUTED_VALUE"""),"MICA")</f>
        <v>MICA</v>
      </c>
    </row>
    <row r="158">
      <c r="A158" s="131">
        <f>IFERROR(__xludf.DUMMYFUNCTION("""COMPUTED_VALUE"""),157.0)</f>
        <v>157</v>
      </c>
      <c r="B158" s="131"/>
      <c r="C158" s="131">
        <f>IFERROR(__xludf.DUMMYFUNCTION("""COMPUTED_VALUE"""),140.0)</f>
        <v>140</v>
      </c>
      <c r="D158" s="131" t="b">
        <f>IFERROR(__xludf.DUMMYFUNCTION("""COMPUTED_VALUE"""),FALSE)</f>
        <v>0</v>
      </c>
      <c r="E158" s="109" t="str">
        <f>IFERROR(__xludf.DUMMYFUNCTION("""COMPUTED_VALUE"""),"FRANCISCO")</f>
        <v>FRANCISCO</v>
      </c>
      <c r="F158" s="109" t="str">
        <f>IFERROR(__xludf.DUMMYFUNCTION("""COMPUTED_VALUE"""),"RAMILYN")</f>
        <v>RAMILYN</v>
      </c>
    </row>
    <row r="159">
      <c r="A159" s="131">
        <f>IFERROR(__xludf.DUMMYFUNCTION("""COMPUTED_VALUE"""),158.0)</f>
        <v>158</v>
      </c>
      <c r="B159" s="131"/>
      <c r="C159" s="131">
        <f>IFERROR(__xludf.DUMMYFUNCTION("""COMPUTED_VALUE"""),140.0)</f>
        <v>140</v>
      </c>
      <c r="D159" s="131" t="b">
        <f>IFERROR(__xludf.DUMMYFUNCTION("""COMPUTED_VALUE"""),FALSE)</f>
        <v>0</v>
      </c>
      <c r="E159" s="109" t="str">
        <f>IFERROR(__xludf.DUMMYFUNCTION("""COMPUTED_VALUE"""),"GEMOTO")</f>
        <v>GEMOTO</v>
      </c>
      <c r="F159" s="109" t="str">
        <f>IFERROR(__xludf.DUMMYFUNCTION("""COMPUTED_VALUE"""),"JASMINE")</f>
        <v>JASMINE</v>
      </c>
    </row>
    <row r="160">
      <c r="A160" s="131">
        <f>IFERROR(__xludf.DUMMYFUNCTION("""COMPUTED_VALUE"""),159.0)</f>
        <v>159</v>
      </c>
      <c r="B160" s="131"/>
      <c r="C160" s="131">
        <f>IFERROR(__xludf.DUMMYFUNCTION("""COMPUTED_VALUE"""),140.0)</f>
        <v>140</v>
      </c>
      <c r="D160" s="131" t="b">
        <f>IFERROR(__xludf.DUMMYFUNCTION("""COMPUTED_VALUE"""),FALSE)</f>
        <v>0</v>
      </c>
      <c r="E160" s="109" t="str">
        <f>IFERROR(__xludf.DUMMYFUNCTION("""COMPUTED_VALUE"""),"LABAYNE")</f>
        <v>LABAYNE</v>
      </c>
      <c r="F160" s="109" t="str">
        <f>IFERROR(__xludf.DUMMYFUNCTION("""COMPUTED_VALUE"""),"GRACE")</f>
        <v>GRACE</v>
      </c>
    </row>
    <row r="161">
      <c r="A161" s="131">
        <f>IFERROR(__xludf.DUMMYFUNCTION("""COMPUTED_VALUE"""),160.0)</f>
        <v>160</v>
      </c>
      <c r="B161" s="131"/>
      <c r="C161" s="131">
        <f>IFERROR(__xludf.DUMMYFUNCTION("""COMPUTED_VALUE"""),140.0)</f>
        <v>140</v>
      </c>
      <c r="D161" s="131" t="b">
        <f>IFERROR(__xludf.DUMMYFUNCTION("""COMPUTED_VALUE"""),FALSE)</f>
        <v>0</v>
      </c>
      <c r="E161" s="109" t="str">
        <f>IFERROR(__xludf.DUMMYFUNCTION("""COMPUTED_VALUE"""),"OCEMAN")</f>
        <v>OCEMAN</v>
      </c>
      <c r="F161" s="109" t="str">
        <f>IFERROR(__xludf.DUMMYFUNCTION("""COMPUTED_VALUE"""),"RAI-RAI")</f>
        <v>RAI-RAI</v>
      </c>
    </row>
    <row r="162">
      <c r="A162" s="131">
        <f>IFERROR(__xludf.DUMMYFUNCTION("""COMPUTED_VALUE"""),161.0)</f>
        <v>161</v>
      </c>
      <c r="B162" s="131"/>
      <c r="C162" s="131">
        <f>IFERROR(__xludf.DUMMYFUNCTION("""COMPUTED_VALUE"""),140.0)</f>
        <v>140</v>
      </c>
      <c r="D162" s="131" t="b">
        <f>IFERROR(__xludf.DUMMYFUNCTION("""COMPUTED_VALUE"""),FALSE)</f>
        <v>0</v>
      </c>
      <c r="E162" s="109" t="str">
        <f>IFERROR(__xludf.DUMMYFUNCTION("""COMPUTED_VALUE"""),"ORQUIA")</f>
        <v>ORQUIA</v>
      </c>
      <c r="F162" s="109" t="str">
        <f>IFERROR(__xludf.DUMMYFUNCTION("""COMPUTED_VALUE"""),"KEZA")</f>
        <v>KEZA</v>
      </c>
    </row>
    <row r="163">
      <c r="A163" s="131">
        <f>IFERROR(__xludf.DUMMYFUNCTION("""COMPUTED_VALUE"""),162.0)</f>
        <v>162</v>
      </c>
      <c r="B163" s="131"/>
      <c r="C163" s="131">
        <f>IFERROR(__xludf.DUMMYFUNCTION("""COMPUTED_VALUE"""),140.0)</f>
        <v>140</v>
      </c>
      <c r="D163" s="131" t="b">
        <f>IFERROR(__xludf.DUMMYFUNCTION("""COMPUTED_VALUE"""),FALSE)</f>
        <v>0</v>
      </c>
      <c r="E163" s="109" t="str">
        <f>IFERROR(__xludf.DUMMYFUNCTION("""COMPUTED_VALUE"""),"PERALTA")</f>
        <v>PERALTA</v>
      </c>
      <c r="F163" s="109" t="str">
        <f>IFERROR(__xludf.DUMMYFUNCTION("""COMPUTED_VALUE"""),"YEN")</f>
        <v>YEN</v>
      </c>
    </row>
    <row r="164">
      <c r="A164" s="131">
        <f>IFERROR(__xludf.DUMMYFUNCTION("""COMPUTED_VALUE"""),163.0)</f>
        <v>163</v>
      </c>
      <c r="B164" s="131"/>
      <c r="C164" s="131">
        <f>IFERROR(__xludf.DUMMYFUNCTION("""COMPUTED_VALUE"""),140.0)</f>
        <v>140</v>
      </c>
      <c r="D164" s="131" t="b">
        <f>IFERROR(__xludf.DUMMYFUNCTION("""COMPUTED_VALUE"""),FALSE)</f>
        <v>0</v>
      </c>
      <c r="E164" s="109" t="str">
        <f>IFERROR(__xludf.DUMMYFUNCTION("""COMPUTED_VALUE"""),"TAN SANCHEZ")</f>
        <v>TAN SANCHEZ</v>
      </c>
      <c r="F164" s="109" t="str">
        <f>IFERROR(__xludf.DUMMYFUNCTION("""COMPUTED_VALUE"""),"MARY KHAYE")</f>
        <v>MARY KHAYE</v>
      </c>
    </row>
    <row r="165">
      <c r="A165" s="131">
        <f>IFERROR(__xludf.DUMMYFUNCTION("""COMPUTED_VALUE"""),164.0)</f>
        <v>164</v>
      </c>
      <c r="B165" s="131"/>
      <c r="C165" s="131">
        <f>IFERROR(__xludf.DUMMYFUNCTION("""COMPUTED_VALUE"""),140.0)</f>
        <v>140</v>
      </c>
      <c r="D165" s="131" t="b">
        <f>IFERROR(__xludf.DUMMYFUNCTION("""COMPUTED_VALUE"""),FALSE)</f>
        <v>0</v>
      </c>
      <c r="E165" s="109" t="str">
        <f>IFERROR(__xludf.DUMMYFUNCTION("""COMPUTED_VALUE"""),"TANDUL")</f>
        <v>TANDUL</v>
      </c>
      <c r="F165" s="109" t="str">
        <f>IFERROR(__xludf.DUMMYFUNCTION("""COMPUTED_VALUE"""),"ELAIJAH")</f>
        <v>ELAIJAH</v>
      </c>
    </row>
    <row r="166">
      <c r="A166" s="131">
        <f>IFERROR(__xludf.DUMMYFUNCTION("""COMPUTED_VALUE"""),165.0)</f>
        <v>165</v>
      </c>
      <c r="B166" s="131"/>
      <c r="C166" s="131">
        <f>IFERROR(__xludf.DUMMYFUNCTION("""COMPUTED_VALUE"""),140.0)</f>
        <v>140</v>
      </c>
      <c r="D166" s="131" t="b">
        <f>IFERROR(__xludf.DUMMYFUNCTION("""COMPUTED_VALUE"""),FALSE)</f>
        <v>0</v>
      </c>
      <c r="E166" s="109" t="str">
        <f>IFERROR(__xludf.DUMMYFUNCTION("""COMPUTED_VALUE"""),"VILLONES")</f>
        <v>VILLONES</v>
      </c>
      <c r="F166" s="109" t="str">
        <f>IFERROR(__xludf.DUMMYFUNCTION("""COMPUTED_VALUE"""),"RHEA")</f>
        <v>RHEA</v>
      </c>
    </row>
    <row r="167">
      <c r="A167" s="131">
        <f>IFERROR(__xludf.DUMMYFUNCTION("""COMPUTED_VALUE"""),166.0)</f>
        <v>166</v>
      </c>
      <c r="B167" s="131"/>
      <c r="C167" s="131"/>
      <c r="D167" s="131" t="b">
        <f>IFERROR(__xludf.DUMMYFUNCTION("""COMPUTED_VALUE"""),FALSE)</f>
        <v>0</v>
      </c>
      <c r="E167" s="131"/>
      <c r="F167" s="131"/>
    </row>
    <row r="168">
      <c r="A168" s="131">
        <f>IFERROR(__xludf.DUMMYFUNCTION("""COMPUTED_VALUE"""),167.0)</f>
        <v>167</v>
      </c>
      <c r="B168" s="131"/>
      <c r="C168" s="131">
        <f>IFERROR(__xludf.DUMMYFUNCTION("""COMPUTED_VALUE"""),167.0)</f>
        <v>167</v>
      </c>
      <c r="D168" s="131" t="b">
        <f>IFERROR(__xludf.DUMMYFUNCTION("""COMPUTED_VALUE"""),TRUE)</f>
        <v>1</v>
      </c>
      <c r="E168" s="105" t="str">
        <f>IFERROR(__xludf.DUMMYFUNCTION("""COMPUTED_VALUE"""),"DE-DIOS")</f>
        <v>DE-DIOS</v>
      </c>
      <c r="F168" s="105" t="str">
        <f>IFERROR(__xludf.DUMMYFUNCTION("""COMPUTED_VALUE"""),"JAY-EL")</f>
        <v>JAY-EL</v>
      </c>
    </row>
    <row r="169">
      <c r="A169" s="131">
        <f>IFERROR(__xludf.DUMMYFUNCTION("""COMPUTED_VALUE"""),168.0)</f>
        <v>168</v>
      </c>
      <c r="B169" s="131"/>
      <c r="C169" s="131">
        <f>IFERROR(__xludf.DUMMYFUNCTION("""COMPUTED_VALUE"""),167.0)</f>
        <v>167</v>
      </c>
      <c r="D169" s="131" t="b">
        <f>IFERROR(__xludf.DUMMYFUNCTION("""COMPUTED_VALUE"""),FALSE)</f>
        <v>0</v>
      </c>
      <c r="E169" s="107" t="str">
        <f>IFERROR(__xludf.DUMMYFUNCTION("""COMPUTED_VALUE"""),"BARONGGO")</f>
        <v>BARONGGO</v>
      </c>
      <c r="F169" s="107" t="str">
        <f>IFERROR(__xludf.DUMMYFUNCTION("""COMPUTED_VALUE"""),"FRANK")</f>
        <v>FRANK</v>
      </c>
    </row>
    <row r="170">
      <c r="A170" s="131">
        <f>IFERROR(__xludf.DUMMYFUNCTION("""COMPUTED_VALUE"""),169.0)</f>
        <v>169</v>
      </c>
      <c r="B170" s="131"/>
      <c r="C170" s="131">
        <f>IFERROR(__xludf.DUMMYFUNCTION("""COMPUTED_VALUE"""),167.0)</f>
        <v>167</v>
      </c>
      <c r="D170" s="131" t="b">
        <f>IFERROR(__xludf.DUMMYFUNCTION("""COMPUTED_VALUE"""),FALSE)</f>
        <v>0</v>
      </c>
      <c r="E170" s="107" t="str">
        <f>IFERROR(__xludf.DUMMYFUNCTION("""COMPUTED_VALUE"""),"ABENOJAR")</f>
        <v>ABENOJAR</v>
      </c>
      <c r="F170" s="107" t="str">
        <f>IFERROR(__xludf.DUMMYFUNCTION("""COMPUTED_VALUE"""),"CLIFFORD")</f>
        <v>CLIFFORD</v>
      </c>
    </row>
    <row r="171">
      <c r="A171" s="131">
        <f>IFERROR(__xludf.DUMMYFUNCTION("""COMPUTED_VALUE"""),170.0)</f>
        <v>170</v>
      </c>
      <c r="B171" s="131"/>
      <c r="C171" s="131">
        <f>IFERROR(__xludf.DUMMYFUNCTION("""COMPUTED_VALUE"""),167.0)</f>
        <v>167</v>
      </c>
      <c r="D171" s="131" t="b">
        <f>IFERROR(__xludf.DUMMYFUNCTION("""COMPUTED_VALUE"""),FALSE)</f>
        <v>0</v>
      </c>
      <c r="E171" s="107" t="str">
        <f>IFERROR(__xludf.DUMMYFUNCTION("""COMPUTED_VALUE"""),"ABUS")</f>
        <v>ABUS</v>
      </c>
      <c r="F171" s="107" t="str">
        <f>IFERROR(__xludf.DUMMYFUNCTION("""COMPUTED_VALUE"""),"RV PETER")</f>
        <v>RV PETER</v>
      </c>
    </row>
    <row r="172">
      <c r="A172" s="131">
        <f>IFERROR(__xludf.DUMMYFUNCTION("""COMPUTED_VALUE"""),171.0)</f>
        <v>171</v>
      </c>
      <c r="B172" s="131"/>
      <c r="C172" s="131">
        <f>IFERROR(__xludf.DUMMYFUNCTION("""COMPUTED_VALUE"""),167.0)</f>
        <v>167</v>
      </c>
      <c r="D172" s="131" t="b">
        <f>IFERROR(__xludf.DUMMYFUNCTION("""COMPUTED_VALUE"""),FALSE)</f>
        <v>0</v>
      </c>
      <c r="E172" s="107" t="str">
        <f>IFERROR(__xludf.DUMMYFUNCTION("""COMPUTED_VALUE"""),"ANTONIO")</f>
        <v>ANTONIO</v>
      </c>
      <c r="F172" s="107" t="str">
        <f>IFERROR(__xludf.DUMMYFUNCTION("""COMPUTED_VALUE"""),"DON")</f>
        <v>DON</v>
      </c>
    </row>
    <row r="173">
      <c r="A173" s="131">
        <f>IFERROR(__xludf.DUMMYFUNCTION("""COMPUTED_VALUE"""),172.0)</f>
        <v>172</v>
      </c>
      <c r="B173" s="131"/>
      <c r="C173" s="131">
        <f>IFERROR(__xludf.DUMMYFUNCTION("""COMPUTED_VALUE"""),167.0)</f>
        <v>167</v>
      </c>
      <c r="D173" s="131" t="b">
        <f>IFERROR(__xludf.DUMMYFUNCTION("""COMPUTED_VALUE"""),FALSE)</f>
        <v>0</v>
      </c>
      <c r="E173" s="107" t="str">
        <f>IFERROR(__xludf.DUMMYFUNCTION("""COMPUTED_VALUE"""),"BERDIN")</f>
        <v>BERDIN</v>
      </c>
      <c r="F173" s="107" t="str">
        <f>IFERROR(__xludf.DUMMYFUNCTION("""COMPUTED_VALUE"""),"KURT")</f>
        <v>KURT</v>
      </c>
    </row>
    <row r="174">
      <c r="A174" s="131">
        <f>IFERROR(__xludf.DUMMYFUNCTION("""COMPUTED_VALUE"""),173.0)</f>
        <v>173</v>
      </c>
      <c r="B174" s="131"/>
      <c r="C174" s="131">
        <f>IFERROR(__xludf.DUMMYFUNCTION("""COMPUTED_VALUE"""),167.0)</f>
        <v>167</v>
      </c>
      <c r="D174" s="131" t="b">
        <f>IFERROR(__xludf.DUMMYFUNCTION("""COMPUTED_VALUE"""),FALSE)</f>
        <v>0</v>
      </c>
      <c r="E174" s="107" t="str">
        <f>IFERROR(__xludf.DUMMYFUNCTION("""COMPUTED_VALUE"""),"CALUBIRAN")</f>
        <v>CALUBIRAN</v>
      </c>
      <c r="F174" s="107" t="str">
        <f>IFERROR(__xludf.DUMMYFUNCTION("""COMPUTED_VALUE"""),"JOEL")</f>
        <v>JOEL</v>
      </c>
    </row>
    <row r="175">
      <c r="A175" s="131">
        <f>IFERROR(__xludf.DUMMYFUNCTION("""COMPUTED_VALUE"""),174.0)</f>
        <v>174</v>
      </c>
      <c r="B175" s="131"/>
      <c r="C175" s="131">
        <f>IFERROR(__xludf.DUMMYFUNCTION("""COMPUTED_VALUE"""),167.0)</f>
        <v>167</v>
      </c>
      <c r="D175" s="131" t="b">
        <f>IFERROR(__xludf.DUMMYFUNCTION("""COMPUTED_VALUE"""),FALSE)</f>
        <v>0</v>
      </c>
      <c r="E175" s="107" t="str">
        <f>IFERROR(__xludf.DUMMYFUNCTION("""COMPUTED_VALUE"""),"CARANGAN")</f>
        <v>CARANGAN</v>
      </c>
      <c r="F175" s="107" t="str">
        <f>IFERROR(__xludf.DUMMYFUNCTION("""COMPUTED_VALUE"""),"LANCE")</f>
        <v>LANCE</v>
      </c>
    </row>
    <row r="176">
      <c r="A176" s="131">
        <f>IFERROR(__xludf.DUMMYFUNCTION("""COMPUTED_VALUE"""),175.0)</f>
        <v>175</v>
      </c>
      <c r="B176" s="131"/>
      <c r="C176" s="131">
        <f>IFERROR(__xludf.DUMMYFUNCTION("""COMPUTED_VALUE"""),167.0)</f>
        <v>167</v>
      </c>
      <c r="D176" s="131" t="b">
        <f>IFERROR(__xludf.DUMMYFUNCTION("""COMPUTED_VALUE"""),FALSE)</f>
        <v>0</v>
      </c>
      <c r="E176" s="107" t="str">
        <f>IFERROR(__xludf.DUMMYFUNCTION("""COMPUTED_VALUE"""),"CASINUSIMAN")</f>
        <v>CASINUSIMAN</v>
      </c>
      <c r="F176" s="107" t="str">
        <f>IFERROR(__xludf.DUMMYFUNCTION("""COMPUTED_VALUE"""),"RAINER")</f>
        <v>RAINER</v>
      </c>
    </row>
    <row r="177">
      <c r="A177" s="131">
        <f>IFERROR(__xludf.DUMMYFUNCTION("""COMPUTED_VALUE"""),176.0)</f>
        <v>176</v>
      </c>
      <c r="B177" s="131"/>
      <c r="C177" s="131">
        <f>IFERROR(__xludf.DUMMYFUNCTION("""COMPUTED_VALUE"""),167.0)</f>
        <v>167</v>
      </c>
      <c r="D177" s="131" t="b">
        <f>IFERROR(__xludf.DUMMYFUNCTION("""COMPUTED_VALUE"""),FALSE)</f>
        <v>0</v>
      </c>
      <c r="E177" s="107" t="str">
        <f>IFERROR(__xludf.DUMMYFUNCTION("""COMPUTED_VALUE"""),"CORVERA")</f>
        <v>CORVERA</v>
      </c>
      <c r="F177" s="107" t="str">
        <f>IFERROR(__xludf.DUMMYFUNCTION("""COMPUTED_VALUE"""),"FLORENCE")</f>
        <v>FLORENCE</v>
      </c>
    </row>
    <row r="178">
      <c r="A178" s="131">
        <f>IFERROR(__xludf.DUMMYFUNCTION("""COMPUTED_VALUE"""),177.0)</f>
        <v>177</v>
      </c>
      <c r="B178" s="131"/>
      <c r="C178" s="131">
        <f>IFERROR(__xludf.DUMMYFUNCTION("""COMPUTED_VALUE"""),167.0)</f>
        <v>167</v>
      </c>
      <c r="D178" s="131" t="b">
        <f>IFERROR(__xludf.DUMMYFUNCTION("""COMPUTED_VALUE"""),FALSE)</f>
        <v>0</v>
      </c>
      <c r="E178" s="107" t="str">
        <f>IFERROR(__xludf.DUMMYFUNCTION("""COMPUTED_VALUE"""),"DABALOS")</f>
        <v>DABALOS</v>
      </c>
      <c r="F178" s="107" t="str">
        <f>IFERROR(__xludf.DUMMYFUNCTION("""COMPUTED_VALUE"""),"MERVIN")</f>
        <v>MERVIN</v>
      </c>
    </row>
    <row r="179">
      <c r="A179" s="131">
        <f>IFERROR(__xludf.DUMMYFUNCTION("""COMPUTED_VALUE"""),178.0)</f>
        <v>178</v>
      </c>
      <c r="B179" s="131"/>
      <c r="C179" s="131">
        <f>IFERROR(__xludf.DUMMYFUNCTION("""COMPUTED_VALUE"""),167.0)</f>
        <v>167</v>
      </c>
      <c r="D179" s="131" t="b">
        <f>IFERROR(__xludf.DUMMYFUNCTION("""COMPUTED_VALUE"""),FALSE)</f>
        <v>0</v>
      </c>
      <c r="E179" s="107" t="str">
        <f>IFERROR(__xludf.DUMMYFUNCTION("""COMPUTED_VALUE"""),"DATO")</f>
        <v>DATO</v>
      </c>
      <c r="F179" s="107" t="str">
        <f>IFERROR(__xludf.DUMMYFUNCTION("""COMPUTED_VALUE"""),"JOHN AL")</f>
        <v>JOHN AL</v>
      </c>
    </row>
    <row r="180">
      <c r="A180" s="131">
        <f>IFERROR(__xludf.DUMMYFUNCTION("""COMPUTED_VALUE"""),179.0)</f>
        <v>179</v>
      </c>
      <c r="B180" s="131"/>
      <c r="C180" s="131">
        <f>IFERROR(__xludf.DUMMYFUNCTION("""COMPUTED_VALUE"""),167.0)</f>
        <v>167</v>
      </c>
      <c r="D180" s="131" t="b">
        <f>IFERROR(__xludf.DUMMYFUNCTION("""COMPUTED_VALUE"""),FALSE)</f>
        <v>0</v>
      </c>
      <c r="E180" s="107" t="str">
        <f>IFERROR(__xludf.DUMMYFUNCTION("""COMPUTED_VALUE"""),"DELA CRUZ")</f>
        <v>DELA CRUZ</v>
      </c>
      <c r="F180" s="107" t="str">
        <f>IFERROR(__xludf.DUMMYFUNCTION("""COMPUTED_VALUE"""),"DYLAN")</f>
        <v>DYLAN</v>
      </c>
    </row>
    <row r="181">
      <c r="A181" s="131">
        <f>IFERROR(__xludf.DUMMYFUNCTION("""COMPUTED_VALUE"""),180.0)</f>
        <v>180</v>
      </c>
      <c r="B181" s="131"/>
      <c r="C181" s="131">
        <f>IFERROR(__xludf.DUMMYFUNCTION("""COMPUTED_VALUE"""),167.0)</f>
        <v>167</v>
      </c>
      <c r="D181" s="131" t="b">
        <f>IFERROR(__xludf.DUMMYFUNCTION("""COMPUTED_VALUE"""),FALSE)</f>
        <v>0</v>
      </c>
      <c r="E181" s="107" t="str">
        <f>IFERROR(__xludf.DUMMYFUNCTION("""COMPUTED_VALUE"""),"DELA PEÑA")</f>
        <v>DELA PEÑA</v>
      </c>
      <c r="F181" s="107" t="str">
        <f>IFERROR(__xludf.DUMMYFUNCTION("""COMPUTED_VALUE"""),"ACEL")</f>
        <v>ACEL</v>
      </c>
    </row>
    <row r="182">
      <c r="A182" s="131">
        <f>IFERROR(__xludf.DUMMYFUNCTION("""COMPUTED_VALUE"""),181.0)</f>
        <v>181</v>
      </c>
      <c r="B182" s="131"/>
      <c r="C182" s="131">
        <f>IFERROR(__xludf.DUMMYFUNCTION("""COMPUTED_VALUE"""),167.0)</f>
        <v>167</v>
      </c>
      <c r="D182" s="131" t="b">
        <f>IFERROR(__xludf.DUMMYFUNCTION("""COMPUTED_VALUE"""),FALSE)</f>
        <v>0</v>
      </c>
      <c r="E182" s="107" t="str">
        <f>IFERROR(__xludf.DUMMYFUNCTION("""COMPUTED_VALUE"""),"DELECTOR")</f>
        <v>DELECTOR</v>
      </c>
      <c r="F182" s="107" t="str">
        <f>IFERROR(__xludf.DUMMYFUNCTION("""COMPUTED_VALUE"""),"FRANCIS CRISTEL")</f>
        <v>FRANCIS CRISTEL</v>
      </c>
    </row>
    <row r="183">
      <c r="A183" s="131">
        <f>IFERROR(__xludf.DUMMYFUNCTION("""COMPUTED_VALUE"""),182.0)</f>
        <v>182</v>
      </c>
      <c r="B183" s="131"/>
      <c r="C183" s="131">
        <f>IFERROR(__xludf.DUMMYFUNCTION("""COMPUTED_VALUE"""),167.0)</f>
        <v>167</v>
      </c>
      <c r="D183" s="131" t="b">
        <f>IFERROR(__xludf.DUMMYFUNCTION("""COMPUTED_VALUE"""),FALSE)</f>
        <v>0</v>
      </c>
      <c r="E183" s="107" t="str">
        <f>IFERROR(__xludf.DUMMYFUNCTION("""COMPUTED_VALUE"""),"DELECTOR")</f>
        <v>DELECTOR</v>
      </c>
      <c r="F183" s="107" t="str">
        <f>IFERROR(__xludf.DUMMYFUNCTION("""COMPUTED_VALUE"""),"FRANZINE CARLO")</f>
        <v>FRANZINE CARLO</v>
      </c>
    </row>
    <row r="184">
      <c r="A184" s="131">
        <f>IFERROR(__xludf.DUMMYFUNCTION("""COMPUTED_VALUE"""),183.0)</f>
        <v>183</v>
      </c>
      <c r="B184" s="131"/>
      <c r="C184" s="131">
        <f>IFERROR(__xludf.DUMMYFUNCTION("""COMPUTED_VALUE"""),167.0)</f>
        <v>167</v>
      </c>
      <c r="D184" s="131" t="b">
        <f>IFERROR(__xludf.DUMMYFUNCTION("""COMPUTED_VALUE"""),FALSE)</f>
        <v>0</v>
      </c>
      <c r="E184" s="107" t="str">
        <f>IFERROR(__xludf.DUMMYFUNCTION("""COMPUTED_VALUE"""),"FRONDA")</f>
        <v>FRONDA</v>
      </c>
      <c r="F184" s="107" t="str">
        <f>IFERROR(__xludf.DUMMYFUNCTION("""COMPUTED_VALUE"""),"ED")</f>
        <v>ED</v>
      </c>
    </row>
    <row r="185">
      <c r="A185" s="131">
        <f>IFERROR(__xludf.DUMMYFUNCTION("""COMPUTED_VALUE"""),184.0)</f>
        <v>184</v>
      </c>
      <c r="B185" s="131"/>
      <c r="C185" s="131">
        <f>IFERROR(__xludf.DUMMYFUNCTION("""COMPUTED_VALUE"""),167.0)</f>
        <v>167</v>
      </c>
      <c r="D185" s="131" t="b">
        <f>IFERROR(__xludf.DUMMYFUNCTION("""COMPUTED_VALUE"""),FALSE)</f>
        <v>0</v>
      </c>
      <c r="E185" s="107" t="str">
        <f>IFERROR(__xludf.DUMMYFUNCTION("""COMPUTED_VALUE"""),"GELICAME")</f>
        <v>GELICAME</v>
      </c>
      <c r="F185" s="107" t="str">
        <f>IFERROR(__xludf.DUMMYFUNCTION("""COMPUTED_VALUE"""),"ALJHUN")</f>
        <v>ALJHUN</v>
      </c>
    </row>
    <row r="186">
      <c r="A186" s="131">
        <f>IFERROR(__xludf.DUMMYFUNCTION("""COMPUTED_VALUE"""),185.0)</f>
        <v>185</v>
      </c>
      <c r="B186" s="131"/>
      <c r="C186" s="131">
        <f>IFERROR(__xludf.DUMMYFUNCTION("""COMPUTED_VALUE"""),167.0)</f>
        <v>167</v>
      </c>
      <c r="D186" s="131" t="b">
        <f>IFERROR(__xludf.DUMMYFUNCTION("""COMPUTED_VALUE"""),FALSE)</f>
        <v>0</v>
      </c>
      <c r="E186" s="107" t="str">
        <f>IFERROR(__xludf.DUMMYFUNCTION("""COMPUTED_VALUE"""),"LABAYNE")</f>
        <v>LABAYNE</v>
      </c>
      <c r="F186" s="107" t="str">
        <f>IFERROR(__xludf.DUMMYFUNCTION("""COMPUTED_VALUE"""),"JOSHUA")</f>
        <v>JOSHUA</v>
      </c>
    </row>
    <row r="187">
      <c r="A187" s="131">
        <f>IFERROR(__xludf.DUMMYFUNCTION("""COMPUTED_VALUE"""),186.0)</f>
        <v>186</v>
      </c>
      <c r="B187" s="131"/>
      <c r="C187" s="131">
        <f>IFERROR(__xludf.DUMMYFUNCTION("""COMPUTED_VALUE"""),167.0)</f>
        <v>167</v>
      </c>
      <c r="D187" s="131" t="b">
        <f>IFERROR(__xludf.DUMMYFUNCTION("""COMPUTED_VALUE"""),FALSE)</f>
        <v>0</v>
      </c>
      <c r="E187" s="107" t="str">
        <f>IFERROR(__xludf.DUMMYFUNCTION("""COMPUTED_VALUE"""),"LABAYNE")</f>
        <v>LABAYNE</v>
      </c>
      <c r="F187" s="107" t="str">
        <f>IFERROR(__xludf.DUMMYFUNCTION("""COMPUTED_VALUE"""),"MARK")</f>
        <v>MARK</v>
      </c>
    </row>
    <row r="188">
      <c r="A188" s="131">
        <f>IFERROR(__xludf.DUMMYFUNCTION("""COMPUTED_VALUE"""),187.0)</f>
        <v>187</v>
      </c>
      <c r="B188" s="131"/>
      <c r="C188" s="131">
        <f>IFERROR(__xludf.DUMMYFUNCTION("""COMPUTED_VALUE"""),167.0)</f>
        <v>167</v>
      </c>
      <c r="D188" s="131" t="b">
        <f>IFERROR(__xludf.DUMMYFUNCTION("""COMPUTED_VALUE"""),FALSE)</f>
        <v>0</v>
      </c>
      <c r="E188" s="107" t="str">
        <f>IFERROR(__xludf.DUMMYFUNCTION("""COMPUTED_VALUE"""),"LABAYNE")</f>
        <v>LABAYNE</v>
      </c>
      <c r="F188" s="107" t="str">
        <f>IFERROR(__xludf.DUMMYFUNCTION("""COMPUTED_VALUE"""),"JAMES")</f>
        <v>JAMES</v>
      </c>
    </row>
    <row r="189">
      <c r="A189" s="131">
        <f>IFERROR(__xludf.DUMMYFUNCTION("""COMPUTED_VALUE"""),188.0)</f>
        <v>188</v>
      </c>
      <c r="B189" s="131"/>
      <c r="C189" s="131">
        <f>IFERROR(__xludf.DUMMYFUNCTION("""COMPUTED_VALUE"""),167.0)</f>
        <v>167</v>
      </c>
      <c r="D189" s="131" t="b">
        <f>IFERROR(__xludf.DUMMYFUNCTION("""COMPUTED_VALUE"""),FALSE)</f>
        <v>0</v>
      </c>
      <c r="E189" s="107" t="str">
        <f>IFERROR(__xludf.DUMMYFUNCTION("""COMPUTED_VALUE"""),"LLORENTE")</f>
        <v>LLORENTE</v>
      </c>
      <c r="F189" s="107" t="str">
        <f>IFERROR(__xludf.DUMMYFUNCTION("""COMPUTED_VALUE"""),"MILLS")</f>
        <v>MILLS</v>
      </c>
    </row>
    <row r="190">
      <c r="A190" s="131">
        <f>IFERROR(__xludf.DUMMYFUNCTION("""COMPUTED_VALUE"""),189.0)</f>
        <v>189</v>
      </c>
      <c r="B190" s="131"/>
      <c r="C190" s="131">
        <f>IFERROR(__xludf.DUMMYFUNCTION("""COMPUTED_VALUE"""),167.0)</f>
        <v>167</v>
      </c>
      <c r="D190" s="131" t="b">
        <f>IFERROR(__xludf.DUMMYFUNCTION("""COMPUTED_VALUE"""),FALSE)</f>
        <v>0</v>
      </c>
      <c r="E190" s="107" t="str">
        <f>IFERROR(__xludf.DUMMYFUNCTION("""COMPUTED_VALUE"""),"MANUEL")</f>
        <v>MANUEL</v>
      </c>
      <c r="F190" s="107" t="str">
        <f>IFERROR(__xludf.DUMMYFUNCTION("""COMPUTED_VALUE"""),"JOHN MARK")</f>
        <v>JOHN MARK</v>
      </c>
    </row>
    <row r="191">
      <c r="A191" s="131">
        <f>IFERROR(__xludf.DUMMYFUNCTION("""COMPUTED_VALUE"""),190.0)</f>
        <v>190</v>
      </c>
      <c r="B191" s="131"/>
      <c r="C191" s="131">
        <f>IFERROR(__xludf.DUMMYFUNCTION("""COMPUTED_VALUE"""),167.0)</f>
        <v>167</v>
      </c>
      <c r="D191" s="131" t="b">
        <f>IFERROR(__xludf.DUMMYFUNCTION("""COMPUTED_VALUE"""),FALSE)</f>
        <v>0</v>
      </c>
      <c r="E191" s="107" t="str">
        <f>IFERROR(__xludf.DUMMYFUNCTION("""COMPUTED_VALUE"""),"MENDOZA")</f>
        <v>MENDOZA</v>
      </c>
      <c r="F191" s="107" t="str">
        <f>IFERROR(__xludf.DUMMYFUNCTION("""COMPUTED_VALUE"""),"JM")</f>
        <v>JM</v>
      </c>
    </row>
    <row r="192">
      <c r="A192" s="131">
        <f>IFERROR(__xludf.DUMMYFUNCTION("""COMPUTED_VALUE"""),191.0)</f>
        <v>191</v>
      </c>
      <c r="B192" s="131"/>
      <c r="C192" s="131">
        <f>IFERROR(__xludf.DUMMYFUNCTION("""COMPUTED_VALUE"""),167.0)</f>
        <v>167</v>
      </c>
      <c r="D192" s="131" t="b">
        <f>IFERROR(__xludf.DUMMYFUNCTION("""COMPUTED_VALUE"""),FALSE)</f>
        <v>0</v>
      </c>
      <c r="E192" s="107" t="str">
        <f>IFERROR(__xludf.DUMMYFUNCTION("""COMPUTED_VALUE"""),"MOLINA")</f>
        <v>MOLINA</v>
      </c>
      <c r="F192" s="107" t="str">
        <f>IFERROR(__xludf.DUMMYFUNCTION("""COMPUTED_VALUE"""),"ADRIAN")</f>
        <v>ADRIAN</v>
      </c>
    </row>
    <row r="193">
      <c r="A193" s="131">
        <f>IFERROR(__xludf.DUMMYFUNCTION("""COMPUTED_VALUE"""),192.0)</f>
        <v>192</v>
      </c>
      <c r="B193" s="131"/>
      <c r="C193" s="131">
        <f>IFERROR(__xludf.DUMMYFUNCTION("""COMPUTED_VALUE"""),167.0)</f>
        <v>167</v>
      </c>
      <c r="D193" s="131" t="b">
        <f>IFERROR(__xludf.DUMMYFUNCTION("""COMPUTED_VALUE"""),FALSE)</f>
        <v>0</v>
      </c>
      <c r="E193" s="107" t="str">
        <f>IFERROR(__xludf.DUMMYFUNCTION("""COMPUTED_VALUE"""),"MONTECER")</f>
        <v>MONTECER</v>
      </c>
      <c r="F193" s="107" t="str">
        <f>IFERROR(__xludf.DUMMYFUNCTION("""COMPUTED_VALUE"""),"RYAN")</f>
        <v>RYAN</v>
      </c>
    </row>
    <row r="194">
      <c r="A194" s="131">
        <f>IFERROR(__xludf.DUMMYFUNCTION("""COMPUTED_VALUE"""),193.0)</f>
        <v>193</v>
      </c>
      <c r="B194" s="131"/>
      <c r="C194" s="131">
        <f>IFERROR(__xludf.DUMMYFUNCTION("""COMPUTED_VALUE"""),167.0)</f>
        <v>167</v>
      </c>
      <c r="D194" s="131" t="b">
        <f>IFERROR(__xludf.DUMMYFUNCTION("""COMPUTED_VALUE"""),FALSE)</f>
        <v>0</v>
      </c>
      <c r="E194" s="107" t="str">
        <f>IFERROR(__xludf.DUMMYFUNCTION("""COMPUTED_VALUE"""),"MOSQUITO")</f>
        <v>MOSQUITO</v>
      </c>
      <c r="F194" s="107" t="str">
        <f>IFERROR(__xludf.DUMMYFUNCTION("""COMPUTED_VALUE"""),"JOHN MARK")</f>
        <v>JOHN MARK</v>
      </c>
    </row>
    <row r="195">
      <c r="A195" s="131">
        <f>IFERROR(__xludf.DUMMYFUNCTION("""COMPUTED_VALUE"""),194.0)</f>
        <v>194</v>
      </c>
      <c r="B195" s="131"/>
      <c r="C195" s="131">
        <f>IFERROR(__xludf.DUMMYFUNCTION("""COMPUTED_VALUE"""),167.0)</f>
        <v>167</v>
      </c>
      <c r="D195" s="131" t="b">
        <f>IFERROR(__xludf.DUMMYFUNCTION("""COMPUTED_VALUE"""),FALSE)</f>
        <v>0</v>
      </c>
      <c r="E195" s="107" t="str">
        <f>IFERROR(__xludf.DUMMYFUNCTION("""COMPUTED_VALUE"""),"PASCUAL")</f>
        <v>PASCUAL</v>
      </c>
      <c r="F195" s="107" t="str">
        <f>IFERROR(__xludf.DUMMYFUNCTION("""COMPUTED_VALUE"""),"KIOSKE")</f>
        <v>KIOSKE</v>
      </c>
    </row>
    <row r="196">
      <c r="A196" s="131">
        <f>IFERROR(__xludf.DUMMYFUNCTION("""COMPUTED_VALUE"""),195.0)</f>
        <v>195</v>
      </c>
      <c r="B196" s="131"/>
      <c r="C196" s="131">
        <f>IFERROR(__xludf.DUMMYFUNCTION("""COMPUTED_VALUE"""),167.0)</f>
        <v>167</v>
      </c>
      <c r="D196" s="131" t="b">
        <f>IFERROR(__xludf.DUMMYFUNCTION("""COMPUTED_VALUE"""),FALSE)</f>
        <v>0</v>
      </c>
      <c r="E196" s="107" t="str">
        <f>IFERROR(__xludf.DUMMYFUNCTION("""COMPUTED_VALUE"""),"PERALTA")</f>
        <v>PERALTA</v>
      </c>
      <c r="F196" s="107" t="str">
        <f>IFERROR(__xludf.DUMMYFUNCTION("""COMPUTED_VALUE"""),"MARION")</f>
        <v>MARION</v>
      </c>
    </row>
    <row r="197">
      <c r="A197" s="131">
        <f>IFERROR(__xludf.DUMMYFUNCTION("""COMPUTED_VALUE"""),196.0)</f>
        <v>196</v>
      </c>
      <c r="B197" s="131"/>
      <c r="C197" s="131">
        <f>IFERROR(__xludf.DUMMYFUNCTION("""COMPUTED_VALUE"""),167.0)</f>
        <v>167</v>
      </c>
      <c r="D197" s="131" t="b">
        <f>IFERROR(__xludf.DUMMYFUNCTION("""COMPUTED_VALUE"""),FALSE)</f>
        <v>0</v>
      </c>
      <c r="E197" s="107" t="str">
        <f>IFERROR(__xludf.DUMMYFUNCTION("""COMPUTED_VALUE"""),"RANOLA")</f>
        <v>RANOLA</v>
      </c>
      <c r="F197" s="107" t="str">
        <f>IFERROR(__xludf.DUMMYFUNCTION("""COMPUTED_VALUE"""),"JOHN GABRIELLE P.")</f>
        <v>JOHN GABRIELLE P.</v>
      </c>
    </row>
    <row r="198">
      <c r="A198" s="131">
        <f>IFERROR(__xludf.DUMMYFUNCTION("""COMPUTED_VALUE"""),197.0)</f>
        <v>197</v>
      </c>
      <c r="B198" s="131"/>
      <c r="C198" s="131">
        <f>IFERROR(__xludf.DUMMYFUNCTION("""COMPUTED_VALUE"""),167.0)</f>
        <v>167</v>
      </c>
      <c r="D198" s="131" t="b">
        <f>IFERROR(__xludf.DUMMYFUNCTION("""COMPUTED_VALUE"""),FALSE)</f>
        <v>0</v>
      </c>
      <c r="E198" s="107" t="str">
        <f>IFERROR(__xludf.DUMMYFUNCTION("""COMPUTED_VALUE"""),"REMOPALOS")</f>
        <v>REMOPALOS</v>
      </c>
      <c r="F198" s="107" t="str">
        <f>IFERROR(__xludf.DUMMYFUNCTION("""COMPUTED_VALUE"""),"ZION")</f>
        <v>ZION</v>
      </c>
    </row>
    <row r="199">
      <c r="A199" s="131">
        <f>IFERROR(__xludf.DUMMYFUNCTION("""COMPUTED_VALUE"""),198.0)</f>
        <v>198</v>
      </c>
      <c r="B199" s="131"/>
      <c r="C199" s="131">
        <f>IFERROR(__xludf.DUMMYFUNCTION("""COMPUTED_VALUE"""),167.0)</f>
        <v>167</v>
      </c>
      <c r="D199" s="131" t="b">
        <f>IFERROR(__xludf.DUMMYFUNCTION("""COMPUTED_VALUE"""),FALSE)</f>
        <v>0</v>
      </c>
      <c r="E199" s="107" t="str">
        <f>IFERROR(__xludf.DUMMYFUNCTION("""COMPUTED_VALUE"""),"ROSAL")</f>
        <v>ROSAL</v>
      </c>
      <c r="F199" s="107" t="str">
        <f>IFERROR(__xludf.DUMMYFUNCTION("""COMPUTED_VALUE"""),"CYRUS JOSEPH")</f>
        <v>CYRUS JOSEPH</v>
      </c>
    </row>
    <row r="200">
      <c r="A200" s="131">
        <f>IFERROR(__xludf.DUMMYFUNCTION("""COMPUTED_VALUE"""),199.0)</f>
        <v>199</v>
      </c>
      <c r="B200" s="131"/>
      <c r="C200" s="131">
        <f>IFERROR(__xludf.DUMMYFUNCTION("""COMPUTED_VALUE"""),167.0)</f>
        <v>167</v>
      </c>
      <c r="D200" s="131" t="b">
        <f>IFERROR(__xludf.DUMMYFUNCTION("""COMPUTED_VALUE"""),FALSE)</f>
        <v>0</v>
      </c>
      <c r="E200" s="107" t="str">
        <f>IFERROR(__xludf.DUMMYFUNCTION("""COMPUTED_VALUE"""),"SAMONTANES")</f>
        <v>SAMONTANES</v>
      </c>
      <c r="F200" s="107" t="str">
        <f>IFERROR(__xludf.DUMMYFUNCTION("""COMPUTED_VALUE"""),"DAVID")</f>
        <v>DAVID</v>
      </c>
    </row>
    <row r="201">
      <c r="A201" s="131">
        <f>IFERROR(__xludf.DUMMYFUNCTION("""COMPUTED_VALUE"""),200.0)</f>
        <v>200</v>
      </c>
      <c r="B201" s="131"/>
      <c r="C201" s="131">
        <f>IFERROR(__xludf.DUMMYFUNCTION("""COMPUTED_VALUE"""),167.0)</f>
        <v>167</v>
      </c>
      <c r="D201" s="131" t="b">
        <f>IFERROR(__xludf.DUMMYFUNCTION("""COMPUTED_VALUE"""),FALSE)</f>
        <v>0</v>
      </c>
      <c r="E201" s="107" t="str">
        <f>IFERROR(__xludf.DUMMYFUNCTION("""COMPUTED_VALUE"""),"SISON")</f>
        <v>SISON</v>
      </c>
      <c r="F201" s="107" t="str">
        <f>IFERROR(__xludf.DUMMYFUNCTION("""COMPUTED_VALUE"""),"RAVEN JAZZ")</f>
        <v>RAVEN JAZZ</v>
      </c>
    </row>
    <row r="202">
      <c r="A202" s="131">
        <f>IFERROR(__xludf.DUMMYFUNCTION("""COMPUTED_VALUE"""),201.0)</f>
        <v>201</v>
      </c>
      <c r="B202" s="131"/>
      <c r="C202" s="131">
        <f>IFERROR(__xludf.DUMMYFUNCTION("""COMPUTED_VALUE"""),167.0)</f>
        <v>167</v>
      </c>
      <c r="D202" s="131" t="b">
        <f>IFERROR(__xludf.DUMMYFUNCTION("""COMPUTED_VALUE"""),FALSE)</f>
        <v>0</v>
      </c>
      <c r="E202" s="107" t="str">
        <f>IFERROR(__xludf.DUMMYFUNCTION("""COMPUTED_VALUE"""),"SOMERA")</f>
        <v>SOMERA</v>
      </c>
      <c r="F202" s="107" t="str">
        <f>IFERROR(__xludf.DUMMYFUNCTION("""COMPUTED_VALUE"""),"MICHAEL")</f>
        <v>MICHAEL</v>
      </c>
    </row>
    <row r="203">
      <c r="A203" s="131">
        <f>IFERROR(__xludf.DUMMYFUNCTION("""COMPUTED_VALUE"""),202.0)</f>
        <v>202</v>
      </c>
      <c r="B203" s="131"/>
      <c r="C203" s="131">
        <f>IFERROR(__xludf.DUMMYFUNCTION("""COMPUTED_VALUE"""),167.0)</f>
        <v>167</v>
      </c>
      <c r="D203" s="131" t="b">
        <f>IFERROR(__xludf.DUMMYFUNCTION("""COMPUTED_VALUE"""),FALSE)</f>
        <v>0</v>
      </c>
      <c r="E203" s="107" t="str">
        <f>IFERROR(__xludf.DUMMYFUNCTION("""COMPUTED_VALUE"""),"TAMIDLES")</f>
        <v>TAMIDLES</v>
      </c>
      <c r="F203" s="107" t="str">
        <f>IFERROR(__xludf.DUMMYFUNCTION("""COMPUTED_VALUE"""),"KARL")</f>
        <v>KARL</v>
      </c>
    </row>
    <row r="204">
      <c r="A204" s="131">
        <f>IFERROR(__xludf.DUMMYFUNCTION("""COMPUTED_VALUE"""),203.0)</f>
        <v>203</v>
      </c>
      <c r="B204" s="131"/>
      <c r="C204" s="131">
        <f>IFERROR(__xludf.DUMMYFUNCTION("""COMPUTED_VALUE"""),167.0)</f>
        <v>167</v>
      </c>
      <c r="D204" s="131" t="b">
        <f>IFERROR(__xludf.DUMMYFUNCTION("""COMPUTED_VALUE"""),FALSE)</f>
        <v>0</v>
      </c>
      <c r="E204" s="107" t="str">
        <f>IFERROR(__xludf.DUMMYFUNCTION("""COMPUTED_VALUE"""),"TAN")</f>
        <v>TAN</v>
      </c>
      <c r="F204" s="107" t="str">
        <f>IFERROR(__xludf.DUMMYFUNCTION("""COMPUTED_VALUE"""),"RAMON")</f>
        <v>RAMON</v>
      </c>
    </row>
    <row r="205">
      <c r="A205" s="131">
        <f>IFERROR(__xludf.DUMMYFUNCTION("""COMPUTED_VALUE"""),204.0)</f>
        <v>204</v>
      </c>
      <c r="B205" s="131"/>
      <c r="C205" s="131">
        <f>IFERROR(__xludf.DUMMYFUNCTION("""COMPUTED_VALUE"""),167.0)</f>
        <v>167</v>
      </c>
      <c r="D205" s="131" t="b">
        <f>IFERROR(__xludf.DUMMYFUNCTION("""COMPUTED_VALUE"""),FALSE)</f>
        <v>0</v>
      </c>
      <c r="E205" s="116" t="str">
        <f>IFERROR(__xludf.DUMMYFUNCTION("""COMPUTED_VALUE"""),"TOLEDO")</f>
        <v>TOLEDO</v>
      </c>
      <c r="F205" s="115" t="str">
        <f>IFERROR(__xludf.DUMMYFUNCTION("""COMPUTED_VALUE"""),"ASZHER")</f>
        <v>ASZHER</v>
      </c>
    </row>
    <row r="206">
      <c r="A206" s="131">
        <f>IFERROR(__xludf.DUMMYFUNCTION("""COMPUTED_VALUE"""),205.0)</f>
        <v>205</v>
      </c>
      <c r="B206" s="131"/>
      <c r="C206" s="131">
        <f>IFERROR(__xludf.DUMMYFUNCTION("""COMPUTED_VALUE"""),167.0)</f>
        <v>167</v>
      </c>
      <c r="D206" s="131" t="b">
        <f>IFERROR(__xludf.DUMMYFUNCTION("""COMPUTED_VALUE"""),FALSE)</f>
        <v>0</v>
      </c>
      <c r="E206" s="115" t="str">
        <f>IFERROR(__xludf.DUMMYFUNCTION("""COMPUTED_VALUE"""),"TAMIDLES")</f>
        <v>TAMIDLES</v>
      </c>
      <c r="F206" s="107" t="str">
        <f>IFERROR(__xludf.DUMMYFUNCTION("""COMPUTED_VALUE"""),"ZHAIRON")</f>
        <v>ZHAIRON</v>
      </c>
    </row>
    <row r="207">
      <c r="A207" s="131">
        <f>IFERROR(__xludf.DUMMYFUNCTION("""COMPUTED_VALUE"""),206.0)</f>
        <v>206</v>
      </c>
      <c r="B207" s="131"/>
      <c r="C207" s="131">
        <f>IFERROR(__xludf.DUMMYFUNCTION("""COMPUTED_VALUE"""),167.0)</f>
        <v>167</v>
      </c>
      <c r="D207" s="131" t="b">
        <f>IFERROR(__xludf.DUMMYFUNCTION("""COMPUTED_VALUE"""),FALSE)</f>
        <v>0</v>
      </c>
      <c r="E207" s="107" t="str">
        <f>IFERROR(__xludf.DUMMYFUNCTION("""COMPUTED_VALUE"""),"VERTUDAZO")</f>
        <v>VERTUDAZO</v>
      </c>
      <c r="F207" s="107" t="str">
        <f>IFERROR(__xludf.DUMMYFUNCTION("""COMPUTED_VALUE"""),"KENNETH")</f>
        <v>KENNETH</v>
      </c>
    </row>
    <row r="208">
      <c r="A208" s="131">
        <f>IFERROR(__xludf.DUMMYFUNCTION("""COMPUTED_VALUE"""),207.0)</f>
        <v>207</v>
      </c>
      <c r="B208" s="131"/>
      <c r="C208" s="131">
        <f>IFERROR(__xludf.DUMMYFUNCTION("""COMPUTED_VALUE"""),167.0)</f>
        <v>167</v>
      </c>
      <c r="D208" s="131" t="b">
        <f>IFERROR(__xludf.DUMMYFUNCTION("""COMPUTED_VALUE"""),FALSE)</f>
        <v>0</v>
      </c>
      <c r="E208" s="107" t="str">
        <f>IFERROR(__xludf.DUMMYFUNCTION("""COMPUTED_VALUE"""),"VILLARUEL")</f>
        <v>VILLARUEL</v>
      </c>
      <c r="F208" s="107" t="str">
        <f>IFERROR(__xludf.DUMMYFUNCTION("""COMPUTED_VALUE"""),"KIAN")</f>
        <v>KIAN</v>
      </c>
    </row>
    <row r="209">
      <c r="A209" s="131">
        <f>IFERROR(__xludf.DUMMYFUNCTION("""COMPUTED_VALUE"""),208.0)</f>
        <v>208</v>
      </c>
      <c r="B209" s="131"/>
      <c r="C209" s="131">
        <f>IFERROR(__xludf.DUMMYFUNCTION("""COMPUTED_VALUE"""),167.0)</f>
        <v>167</v>
      </c>
      <c r="D209" s="131" t="b">
        <f>IFERROR(__xludf.DUMMYFUNCTION("""COMPUTED_VALUE"""),FALSE)</f>
        <v>0</v>
      </c>
      <c r="E209" s="107" t="str">
        <f>IFERROR(__xludf.DUMMYFUNCTION("""COMPUTED_VALUE"""),"VILLARUEL")</f>
        <v>VILLARUEL</v>
      </c>
      <c r="F209" s="107" t="str">
        <f>IFERROR(__xludf.DUMMYFUNCTION("""COMPUTED_VALUE"""),"KYLE")</f>
        <v>KYLE</v>
      </c>
    </row>
    <row r="210">
      <c r="A210" s="131">
        <f>IFERROR(__xludf.DUMMYFUNCTION("""COMPUTED_VALUE"""),209.0)</f>
        <v>209</v>
      </c>
      <c r="B210" s="131"/>
      <c r="C210" s="131">
        <f>IFERROR(__xludf.DUMMYFUNCTION("""COMPUTED_VALUE"""),167.0)</f>
        <v>167</v>
      </c>
      <c r="D210" s="131" t="b">
        <f>IFERROR(__xludf.DUMMYFUNCTION("""COMPUTED_VALUE"""),FALSE)</f>
        <v>0</v>
      </c>
      <c r="E210" s="117" t="str">
        <f>IFERROR(__xludf.DUMMYFUNCTION("""COMPUTED_VALUE"""),"PADLAN")</f>
        <v>PADLAN</v>
      </c>
      <c r="F210" s="107" t="str">
        <f>IFERROR(__xludf.DUMMYFUNCTION("""COMPUTED_VALUE"""),"STEPHEN")</f>
        <v>STEPHEN</v>
      </c>
    </row>
    <row r="211">
      <c r="A211" s="131">
        <f>IFERROR(__xludf.DUMMYFUNCTION("""COMPUTED_VALUE"""),210.0)</f>
        <v>210</v>
      </c>
      <c r="B211" s="131"/>
      <c r="C211" s="131">
        <f>IFERROR(__xludf.DUMMYFUNCTION("""COMPUTED_VALUE"""),167.0)</f>
        <v>167</v>
      </c>
      <c r="D211" s="131" t="b">
        <f>IFERROR(__xludf.DUMMYFUNCTION("""COMPUTED_VALUE"""),FALSE)</f>
        <v>0</v>
      </c>
      <c r="E211" s="118"/>
      <c r="F211" s="107" t="str">
        <f>IFERROR(__xludf.DUMMYFUNCTION("""COMPUTED_VALUE"""),"SIMON")</f>
        <v>SIMON</v>
      </c>
    </row>
    <row r="212">
      <c r="A212" s="131">
        <f>IFERROR(__xludf.DUMMYFUNCTION("""COMPUTED_VALUE"""),211.0)</f>
        <v>211</v>
      </c>
      <c r="B212" s="131"/>
      <c r="C212" s="131">
        <f>IFERROR(__xludf.DUMMYFUNCTION("""COMPUTED_VALUE"""),167.0)</f>
        <v>167</v>
      </c>
      <c r="D212" s="131" t="b">
        <f>IFERROR(__xludf.DUMMYFUNCTION("""COMPUTED_VALUE"""),FALSE)</f>
        <v>0</v>
      </c>
      <c r="E212" s="118"/>
      <c r="F212" s="107" t="str">
        <f>IFERROR(__xludf.DUMMYFUNCTION("""COMPUTED_VALUE"""),"NICO")</f>
        <v>NICO</v>
      </c>
    </row>
    <row r="213">
      <c r="A213" s="131">
        <f>IFERROR(__xludf.DUMMYFUNCTION("""COMPUTED_VALUE"""),212.0)</f>
        <v>212</v>
      </c>
      <c r="B213" s="131"/>
      <c r="C213" s="131">
        <f>IFERROR(__xludf.DUMMYFUNCTION("""COMPUTED_VALUE"""),167.0)</f>
        <v>167</v>
      </c>
      <c r="D213" s="131" t="b">
        <f>IFERROR(__xludf.DUMMYFUNCTION("""COMPUTED_VALUE"""),FALSE)</f>
        <v>0</v>
      </c>
      <c r="E213" s="118"/>
      <c r="F213" s="107" t="str">
        <f>IFERROR(__xludf.DUMMYFUNCTION("""COMPUTED_VALUE"""),"JERVISH")</f>
        <v>JERVISH</v>
      </c>
    </row>
    <row r="214">
      <c r="A214" s="131">
        <f>IFERROR(__xludf.DUMMYFUNCTION("""COMPUTED_VALUE"""),213.0)</f>
        <v>213</v>
      </c>
      <c r="B214" s="131"/>
      <c r="C214" s="131">
        <f>IFERROR(__xludf.DUMMYFUNCTION("""COMPUTED_VALUE"""),23.0)</f>
        <v>23</v>
      </c>
      <c r="D214" s="131" t="b">
        <f>IFERROR(__xludf.DUMMYFUNCTION("""COMPUTED_VALUE"""),TRUE)</f>
        <v>1</v>
      </c>
      <c r="E214" s="119" t="str">
        <f>IFERROR(__xludf.DUMMYFUNCTION("""COMPUTED_VALUE"""),"UDAUNDO")</f>
        <v>UDAUNDO</v>
      </c>
      <c r="F214" s="119" t="str">
        <f>IFERROR(__xludf.DUMMYFUNCTION("""COMPUTED_VALUE"""),"RINOA MAE")</f>
        <v>RINOA MAE</v>
      </c>
    </row>
    <row r="215">
      <c r="A215" s="131">
        <f>IFERROR(__xludf.DUMMYFUNCTION("""COMPUTED_VALUE"""),214.0)</f>
        <v>214</v>
      </c>
      <c r="B215" s="131"/>
      <c r="C215" s="131">
        <f>IFERROR(__xludf.DUMMYFUNCTION("""COMPUTED_VALUE"""),23.0)</f>
        <v>23</v>
      </c>
      <c r="D215" s="131" t="b">
        <f>IFERROR(__xludf.DUMMYFUNCTION("""COMPUTED_VALUE"""),FALSE)</f>
        <v>0</v>
      </c>
      <c r="E215" s="107" t="str">
        <f>IFERROR(__xludf.DUMMYFUNCTION("""COMPUTED_VALUE"""),"CASERO")</f>
        <v>CASERO</v>
      </c>
      <c r="F215" s="107" t="str">
        <f>IFERROR(__xludf.DUMMYFUNCTION("""COMPUTED_VALUE"""),"AALIYAH")</f>
        <v>AALIYAH</v>
      </c>
    </row>
    <row r="216">
      <c r="A216" s="131">
        <f>IFERROR(__xludf.DUMMYFUNCTION("""COMPUTED_VALUE"""),215.0)</f>
        <v>215</v>
      </c>
      <c r="B216" s="131"/>
      <c r="C216" s="131">
        <f>IFERROR(__xludf.DUMMYFUNCTION("""COMPUTED_VALUE"""),23.0)</f>
        <v>23</v>
      </c>
      <c r="D216" s="131" t="b">
        <f>IFERROR(__xludf.DUMMYFUNCTION("""COMPUTED_VALUE"""),FALSE)</f>
        <v>0</v>
      </c>
      <c r="E216" s="107" t="str">
        <f>IFERROR(__xludf.DUMMYFUNCTION("""COMPUTED_VALUE"""),"CELASES")</f>
        <v>CELASES</v>
      </c>
      <c r="F216" s="107" t="str">
        <f>IFERROR(__xludf.DUMMYFUNCTION("""COMPUTED_VALUE"""),"SOFIA")</f>
        <v>SOFIA</v>
      </c>
    </row>
    <row r="217">
      <c r="A217" s="131">
        <f>IFERROR(__xludf.DUMMYFUNCTION("""COMPUTED_VALUE"""),216.0)</f>
        <v>216</v>
      </c>
      <c r="B217" s="131"/>
      <c r="C217" s="131">
        <f>IFERROR(__xludf.DUMMYFUNCTION("""COMPUTED_VALUE"""),23.0)</f>
        <v>23</v>
      </c>
      <c r="D217" s="131" t="b">
        <f>IFERROR(__xludf.DUMMYFUNCTION("""COMPUTED_VALUE"""),FALSE)</f>
        <v>0</v>
      </c>
      <c r="E217" s="107" t="str">
        <f>IFERROR(__xludf.DUMMYFUNCTION("""COMPUTED_VALUE"""),"LACONSAY")</f>
        <v>LACONSAY</v>
      </c>
      <c r="F217" s="107" t="str">
        <f>IFERROR(__xludf.DUMMYFUNCTION("""COMPUTED_VALUE"""),"MAIYA")</f>
        <v>MAIYA</v>
      </c>
    </row>
    <row r="218">
      <c r="A218" s="131">
        <f>IFERROR(__xludf.DUMMYFUNCTION("""COMPUTED_VALUE"""),217.0)</f>
        <v>217</v>
      </c>
      <c r="B218" s="131"/>
      <c r="C218" s="131">
        <f>IFERROR(__xludf.DUMMYFUNCTION("""COMPUTED_VALUE"""),23.0)</f>
        <v>23</v>
      </c>
      <c r="D218" s="131" t="b">
        <f>IFERROR(__xludf.DUMMYFUNCTION("""COMPUTED_VALUE"""),FALSE)</f>
        <v>0</v>
      </c>
      <c r="E218" s="107" t="str">
        <f>IFERROR(__xludf.DUMMYFUNCTION("""COMPUTED_VALUE"""),"MADLANGAWA")</f>
        <v>MADLANGAWA</v>
      </c>
      <c r="F218" s="107" t="str">
        <f>IFERROR(__xludf.DUMMYFUNCTION("""COMPUTED_VALUE"""),"INGRID")</f>
        <v>INGRID</v>
      </c>
    </row>
    <row r="219">
      <c r="A219" s="131">
        <f>IFERROR(__xludf.DUMMYFUNCTION("""COMPUTED_VALUE"""),218.0)</f>
        <v>218</v>
      </c>
      <c r="B219" s="131"/>
      <c r="C219" s="131">
        <f>IFERROR(__xludf.DUMMYFUNCTION("""COMPUTED_VALUE"""),23.0)</f>
        <v>23</v>
      </c>
      <c r="D219" s="131" t="b">
        <f>IFERROR(__xludf.DUMMYFUNCTION("""COMPUTED_VALUE"""),FALSE)</f>
        <v>0</v>
      </c>
      <c r="E219" s="107" t="str">
        <f>IFERROR(__xludf.DUMMYFUNCTION("""COMPUTED_VALUE"""),"MALAGOTNOT")</f>
        <v>MALAGOTNOT</v>
      </c>
      <c r="F219" s="107" t="str">
        <f>IFERROR(__xludf.DUMMYFUNCTION("""COMPUTED_VALUE"""),"PHOEBE")</f>
        <v>PHOEBE</v>
      </c>
    </row>
    <row r="220">
      <c r="A220" s="131">
        <f>IFERROR(__xludf.DUMMYFUNCTION("""COMPUTED_VALUE"""),219.0)</f>
        <v>219</v>
      </c>
      <c r="B220" s="131"/>
      <c r="C220" s="131">
        <f>IFERROR(__xludf.DUMMYFUNCTION("""COMPUTED_VALUE"""),23.0)</f>
        <v>23</v>
      </c>
      <c r="D220" s="131" t="b">
        <f>IFERROR(__xludf.DUMMYFUNCTION("""COMPUTED_VALUE"""),FALSE)</f>
        <v>0</v>
      </c>
      <c r="E220" s="107" t="str">
        <f>IFERROR(__xludf.DUMMYFUNCTION("""COMPUTED_VALUE"""),"MALOLOY-ON")</f>
        <v>MALOLOY-ON</v>
      </c>
      <c r="F220" s="107" t="str">
        <f>IFERROR(__xludf.DUMMYFUNCTION("""COMPUTED_VALUE"""),"EUNICE")</f>
        <v>EUNICE</v>
      </c>
    </row>
    <row r="221">
      <c r="A221" s="131">
        <f>IFERROR(__xludf.DUMMYFUNCTION("""COMPUTED_VALUE"""),220.0)</f>
        <v>220</v>
      </c>
      <c r="B221" s="131"/>
      <c r="C221" s="131">
        <f>IFERROR(__xludf.DUMMYFUNCTION("""COMPUTED_VALUE"""),23.0)</f>
        <v>23</v>
      </c>
      <c r="D221" s="131" t="b">
        <f>IFERROR(__xludf.DUMMYFUNCTION("""COMPUTED_VALUE"""),FALSE)</f>
        <v>0</v>
      </c>
      <c r="E221" s="107" t="str">
        <f>IFERROR(__xludf.DUMMYFUNCTION("""COMPUTED_VALUE"""),"OBASAN")</f>
        <v>OBASAN</v>
      </c>
      <c r="F221" s="107" t="str">
        <f>IFERROR(__xludf.DUMMYFUNCTION("""COMPUTED_VALUE"""),"AUDREY")</f>
        <v>AUDREY</v>
      </c>
    </row>
    <row r="222">
      <c r="A222" s="131">
        <f>IFERROR(__xludf.DUMMYFUNCTION("""COMPUTED_VALUE"""),221.0)</f>
        <v>221</v>
      </c>
      <c r="B222" s="131"/>
      <c r="C222" s="131">
        <f>IFERROR(__xludf.DUMMYFUNCTION("""COMPUTED_VALUE"""),23.0)</f>
        <v>23</v>
      </c>
      <c r="D222" s="131" t="b">
        <f>IFERROR(__xludf.DUMMYFUNCTION("""COMPUTED_VALUE"""),FALSE)</f>
        <v>0</v>
      </c>
      <c r="E222" s="107" t="str">
        <f>IFERROR(__xludf.DUMMYFUNCTION("""COMPUTED_VALUE"""),"OBASAN")</f>
        <v>OBASAN</v>
      </c>
      <c r="F222" s="107" t="str">
        <f>IFERROR(__xludf.DUMMYFUNCTION("""COMPUTED_VALUE"""),"ACEZZY")</f>
        <v>ACEZZY</v>
      </c>
    </row>
    <row r="223">
      <c r="A223" s="131">
        <f>IFERROR(__xludf.DUMMYFUNCTION("""COMPUTED_VALUE"""),222.0)</f>
        <v>222</v>
      </c>
      <c r="B223" s="131"/>
      <c r="C223" s="131">
        <f>IFERROR(__xludf.DUMMYFUNCTION("""COMPUTED_VALUE"""),23.0)</f>
        <v>23</v>
      </c>
      <c r="D223" s="131" t="b">
        <f>IFERROR(__xludf.DUMMYFUNCTION("""COMPUTED_VALUE"""),FALSE)</f>
        <v>0</v>
      </c>
      <c r="E223" s="107" t="str">
        <f>IFERROR(__xludf.DUMMYFUNCTION("""COMPUTED_VALUE"""),"OBASAN")</f>
        <v>OBASAN</v>
      </c>
      <c r="F223" s="107" t="str">
        <f>IFERROR(__xludf.DUMMYFUNCTION("""COMPUTED_VALUE"""),"AYESHA")</f>
        <v>AYESHA</v>
      </c>
    </row>
    <row r="224">
      <c r="A224" s="131">
        <f>IFERROR(__xludf.DUMMYFUNCTION("""COMPUTED_VALUE"""),223.0)</f>
        <v>223</v>
      </c>
      <c r="B224" s="131"/>
      <c r="C224" s="131">
        <f>IFERROR(__xludf.DUMMYFUNCTION("""COMPUTED_VALUE"""),23.0)</f>
        <v>23</v>
      </c>
      <c r="D224" s="131" t="b">
        <f>IFERROR(__xludf.DUMMYFUNCTION("""COMPUTED_VALUE"""),FALSE)</f>
        <v>0</v>
      </c>
      <c r="E224" s="107" t="str">
        <f>IFERROR(__xludf.DUMMYFUNCTION("""COMPUTED_VALUE"""),"PACSON")</f>
        <v>PACSON</v>
      </c>
      <c r="F224" s="107" t="str">
        <f>IFERROR(__xludf.DUMMYFUNCTION("""COMPUTED_VALUE"""),"KAYTE")</f>
        <v>KAYTE</v>
      </c>
    </row>
    <row r="225">
      <c r="A225" s="131">
        <f>IFERROR(__xludf.DUMMYFUNCTION("""COMPUTED_VALUE"""),224.0)</f>
        <v>224</v>
      </c>
      <c r="B225" s="131"/>
      <c r="C225" s="131">
        <f>IFERROR(__xludf.DUMMYFUNCTION("""COMPUTED_VALUE"""),23.0)</f>
        <v>23</v>
      </c>
      <c r="D225" s="131" t="b">
        <f>IFERROR(__xludf.DUMMYFUNCTION("""COMPUTED_VALUE"""),FALSE)</f>
        <v>0</v>
      </c>
      <c r="E225" s="107" t="str">
        <f>IFERROR(__xludf.DUMMYFUNCTION("""COMPUTED_VALUE"""),"PACSON")</f>
        <v>PACSON</v>
      </c>
      <c r="F225" s="107" t="str">
        <f>IFERROR(__xludf.DUMMYFUNCTION("""COMPUTED_VALUE"""),"MICAELLA")</f>
        <v>MICAELLA</v>
      </c>
    </row>
    <row r="226">
      <c r="A226" s="131">
        <f>IFERROR(__xludf.DUMMYFUNCTION("""COMPUTED_VALUE"""),225.0)</f>
        <v>225</v>
      </c>
      <c r="B226" s="131"/>
      <c r="C226" s="131">
        <f>IFERROR(__xludf.DUMMYFUNCTION("""COMPUTED_VALUE"""),23.0)</f>
        <v>23</v>
      </c>
      <c r="D226" s="131" t="b">
        <f>IFERROR(__xludf.DUMMYFUNCTION("""COMPUTED_VALUE"""),FALSE)</f>
        <v>0</v>
      </c>
      <c r="E226" s="107" t="str">
        <f>IFERROR(__xludf.DUMMYFUNCTION("""COMPUTED_VALUE"""),"RETAMAR")</f>
        <v>RETAMAR</v>
      </c>
      <c r="F226" s="107" t="str">
        <f>IFERROR(__xludf.DUMMYFUNCTION("""COMPUTED_VALUE"""),"JASMINE")</f>
        <v>JASMINE</v>
      </c>
    </row>
    <row r="227">
      <c r="A227" s="131">
        <f>IFERROR(__xludf.DUMMYFUNCTION("""COMPUTED_VALUE"""),226.0)</f>
        <v>226</v>
      </c>
      <c r="B227" s="131"/>
      <c r="C227" s="131">
        <f>IFERROR(__xludf.DUMMYFUNCTION("""COMPUTED_VALUE"""),23.0)</f>
        <v>23</v>
      </c>
      <c r="D227" s="131" t="b">
        <f>IFERROR(__xludf.DUMMYFUNCTION("""COMPUTED_VALUE"""),FALSE)</f>
        <v>0</v>
      </c>
      <c r="E227" s="107" t="str">
        <f>IFERROR(__xludf.DUMMYFUNCTION("""COMPUTED_VALUE"""),"ROGACION")</f>
        <v>ROGACION</v>
      </c>
      <c r="F227" s="107" t="str">
        <f>IFERROR(__xludf.DUMMYFUNCTION("""COMPUTED_VALUE"""),"LYKA")</f>
        <v>LYKA</v>
      </c>
    </row>
    <row r="228">
      <c r="A228" s="131">
        <f>IFERROR(__xludf.DUMMYFUNCTION("""COMPUTED_VALUE"""),227.0)</f>
        <v>227</v>
      </c>
      <c r="B228" s="131"/>
      <c r="C228" s="131">
        <f>IFERROR(__xludf.DUMMYFUNCTION("""COMPUTED_VALUE"""),23.0)</f>
        <v>23</v>
      </c>
      <c r="D228" s="131" t="b">
        <f>IFERROR(__xludf.DUMMYFUNCTION("""COMPUTED_VALUE"""),FALSE)</f>
        <v>0</v>
      </c>
      <c r="E228" s="107" t="str">
        <f>IFERROR(__xludf.DUMMYFUNCTION("""COMPUTED_VALUE"""),"TINGSON")</f>
        <v>TINGSON</v>
      </c>
      <c r="F228" s="107" t="str">
        <f>IFERROR(__xludf.DUMMYFUNCTION("""COMPUTED_VALUE"""),"JANELLE")</f>
        <v>JANELLE</v>
      </c>
    </row>
    <row r="229">
      <c r="A229" s="131">
        <f>IFERROR(__xludf.DUMMYFUNCTION("""COMPUTED_VALUE"""),228.0)</f>
        <v>228</v>
      </c>
      <c r="B229" s="131"/>
      <c r="C229" s="131">
        <f>IFERROR(__xludf.DUMMYFUNCTION("""COMPUTED_VALUE"""),23.0)</f>
        <v>23</v>
      </c>
      <c r="D229" s="131" t="b">
        <f>IFERROR(__xludf.DUMMYFUNCTION("""COMPUTED_VALUE"""),FALSE)</f>
        <v>0</v>
      </c>
      <c r="E229" s="107" t="str">
        <f>IFERROR(__xludf.DUMMYFUNCTION("""COMPUTED_VALUE"""),"TOLEDO")</f>
        <v>TOLEDO</v>
      </c>
      <c r="F229" s="115" t="str">
        <f>IFERROR(__xludf.DUMMYFUNCTION("""COMPUTED_VALUE"""),"AKIZSAH")</f>
        <v>AKIZSAH</v>
      </c>
    </row>
    <row r="230">
      <c r="A230" s="131">
        <f>IFERROR(__xludf.DUMMYFUNCTION("""COMPUTED_VALUE"""),229.0)</f>
        <v>229</v>
      </c>
      <c r="B230" s="131"/>
      <c r="C230" s="131">
        <f>IFERROR(__xludf.DUMMYFUNCTION("""COMPUTED_VALUE"""),23.0)</f>
        <v>23</v>
      </c>
      <c r="D230" s="131" t="b">
        <f>IFERROR(__xludf.DUMMYFUNCTION("""COMPUTED_VALUE"""),FALSE)</f>
        <v>0</v>
      </c>
      <c r="E230" s="107" t="str">
        <f>IFERROR(__xludf.DUMMYFUNCTION("""COMPUTED_VALUE"""),"UDAUNDO")</f>
        <v>UDAUNDO</v>
      </c>
      <c r="F230" s="107" t="str">
        <f>IFERROR(__xludf.DUMMYFUNCTION("""COMPUTED_VALUE"""),"ELLA")</f>
        <v>ELLA</v>
      </c>
    </row>
    <row r="231">
      <c r="A231" s="131">
        <f>IFERROR(__xludf.DUMMYFUNCTION("""COMPUTED_VALUE"""),230.0)</f>
        <v>230</v>
      </c>
      <c r="B231" s="131"/>
      <c r="C231" s="131">
        <f>IFERROR(__xludf.DUMMYFUNCTION("""COMPUTED_VALUE"""),1.0)</f>
        <v>1</v>
      </c>
      <c r="D231" s="131" t="b">
        <f>IFERROR(__xludf.DUMMYFUNCTION("""COMPUTED_VALUE"""),FALSE)</f>
        <v>0</v>
      </c>
      <c r="E231" s="131" t="str">
        <f>IFERROR(__xludf.DUMMYFUNCTION("""COMPUTED_VALUE"""),"ROMUALDO")</f>
        <v>ROMUALDO</v>
      </c>
      <c r="F231" s="131" t="str">
        <f>IFERROR(__xludf.DUMMYFUNCTION("""COMPUTED_VALUE"""),"AC")</f>
        <v>AC</v>
      </c>
    </row>
    <row r="232">
      <c r="A232" s="131">
        <f>IFERROR(__xludf.DUMMYFUNCTION("""COMPUTED_VALUE"""),231.0)</f>
        <v>231</v>
      </c>
      <c r="B232" s="131"/>
      <c r="C232" s="131">
        <f>IFERROR(__xludf.DUMMYFUNCTION("""COMPUTED_VALUE"""),1.0)</f>
        <v>1</v>
      </c>
      <c r="D232" s="131" t="b">
        <f>IFERROR(__xludf.DUMMYFUNCTION("""COMPUTED_VALUE"""),FALSE)</f>
        <v>0</v>
      </c>
      <c r="E232" s="131" t="str">
        <f>IFERROR(__xludf.DUMMYFUNCTION("""COMPUTED_VALUE"""),"SEBASTIAN")</f>
        <v>SEBASTIAN</v>
      </c>
      <c r="F232" s="131" t="str">
        <f>IFERROR(__xludf.DUMMYFUNCTION("""COMPUTED_VALUE"""),"NEHEMIAH")</f>
        <v>NEHEMIAH</v>
      </c>
    </row>
    <row r="233">
      <c r="A233" s="131">
        <f>IFERROR(__xludf.DUMMYFUNCTION("""COMPUTED_VALUE"""),232.0)</f>
        <v>232</v>
      </c>
      <c r="B233" s="131"/>
      <c r="C233" s="131">
        <f>IFERROR(__xludf.DUMMYFUNCTION("""COMPUTED_VALUE"""),1.0)</f>
        <v>1</v>
      </c>
      <c r="D233" s="131" t="b">
        <f>IFERROR(__xludf.DUMMYFUNCTION("""COMPUTED_VALUE"""),FALSE)</f>
        <v>0</v>
      </c>
      <c r="E233" s="131" t="str">
        <f>IFERROR(__xludf.DUMMYFUNCTION("""COMPUTED_VALUE"""),"GINONGALA")</f>
        <v>GINONGALA</v>
      </c>
      <c r="F233" s="131" t="str">
        <f>IFERROR(__xludf.DUMMYFUNCTION("""COMPUTED_VALUE"""),"HANNAH MAE")</f>
        <v>HANNAH MAE</v>
      </c>
    </row>
    <row r="234">
      <c r="A234" s="131">
        <f>IFERROR(__xludf.DUMMYFUNCTION("""COMPUTED_VALUE"""),233.0)</f>
        <v>233</v>
      </c>
      <c r="B234" s="131"/>
      <c r="C234" s="131">
        <f>IFERROR(__xludf.DUMMYFUNCTION("""COMPUTED_VALUE"""),76.0)</f>
        <v>76</v>
      </c>
      <c r="D234" s="131" t="b">
        <f>IFERROR(__xludf.DUMMYFUNCTION("""COMPUTED_VALUE"""),FALSE)</f>
        <v>0</v>
      </c>
      <c r="E234" s="131" t="str">
        <f>IFERROR(__xludf.DUMMYFUNCTION("""COMPUTED_VALUE"""),"NIONES")</f>
        <v>NIONES</v>
      </c>
      <c r="F234" s="131" t="str">
        <f>IFERROR(__xludf.DUMMYFUNCTION("""COMPUTED_VALUE"""),"LOUIS")</f>
        <v>LOUIS</v>
      </c>
    </row>
    <row r="235">
      <c r="A235" s="131">
        <f>IFERROR(__xludf.DUMMYFUNCTION("""COMPUTED_VALUE"""),234.0)</f>
        <v>234</v>
      </c>
      <c r="B235" s="131"/>
      <c r="C235" s="131">
        <f>IFERROR(__xludf.DUMMYFUNCTION("""COMPUTED_VALUE"""),76.0)</f>
        <v>76</v>
      </c>
      <c r="D235" s="131" t="b">
        <f>IFERROR(__xludf.DUMMYFUNCTION("""COMPUTED_VALUE"""),FALSE)</f>
        <v>0</v>
      </c>
      <c r="E235" s="131" t="str">
        <f>IFERROR(__xludf.DUMMYFUNCTION("""COMPUTED_VALUE"""),"ACA")</f>
        <v>ACA</v>
      </c>
      <c r="F235" s="131" t="str">
        <f>IFERROR(__xludf.DUMMYFUNCTION("""COMPUTED_VALUE"""),"ELIJAH")</f>
        <v>ELIJAH</v>
      </c>
    </row>
    <row r="236">
      <c r="A236" s="131">
        <f>IFERROR(__xludf.DUMMYFUNCTION("""COMPUTED_VALUE"""),235.0)</f>
        <v>235</v>
      </c>
      <c r="B236" s="131"/>
      <c r="C236" s="131">
        <f>IFERROR(__xludf.DUMMYFUNCTION("""COMPUTED_VALUE"""),120.0)</f>
        <v>120</v>
      </c>
      <c r="D236" s="131" t="b">
        <f>IFERROR(__xludf.DUMMYFUNCTION("""COMPUTED_VALUE"""),FALSE)</f>
        <v>0</v>
      </c>
      <c r="E236" s="131" t="str">
        <f>IFERROR(__xludf.DUMMYFUNCTION("""COMPUTED_VALUE"""),"CERBETO")</f>
        <v>CERBETO</v>
      </c>
      <c r="F236" s="131" t="str">
        <f>IFERROR(__xludf.DUMMYFUNCTION("""COMPUTED_VALUE"""),"AIVANNE")</f>
        <v>AIVANNE</v>
      </c>
    </row>
    <row r="237">
      <c r="A237" s="131">
        <f>IFERROR(__xludf.DUMMYFUNCTION("""COMPUTED_VALUE"""),236.0)</f>
        <v>236</v>
      </c>
      <c r="B237" s="131"/>
      <c r="C237" s="131">
        <f>IFERROR(__xludf.DUMMYFUNCTION("""COMPUTED_VALUE"""),120.0)</f>
        <v>120</v>
      </c>
      <c r="D237" s="131" t="b">
        <f>IFERROR(__xludf.DUMMYFUNCTION("""COMPUTED_VALUE"""),FALSE)</f>
        <v>0</v>
      </c>
      <c r="E237" s="131" t="str">
        <f>IFERROR(__xludf.DUMMYFUNCTION("""COMPUTED_VALUE"""),"PARAZO")</f>
        <v>PARAZO</v>
      </c>
      <c r="F237" s="131" t="str">
        <f>IFERROR(__xludf.DUMMYFUNCTION("""COMPUTED_VALUE"""),"CJ")</f>
        <v>CJ</v>
      </c>
    </row>
    <row r="238">
      <c r="A238" s="131">
        <f>IFERROR(__xludf.DUMMYFUNCTION("""COMPUTED_VALUE"""),237.0)</f>
        <v>237</v>
      </c>
      <c r="B238" s="131"/>
      <c r="C238" s="131">
        <f>IFERROR(__xludf.DUMMYFUNCTION("""COMPUTED_VALUE"""),120.0)</f>
        <v>120</v>
      </c>
      <c r="D238" s="131" t="b">
        <f>IFERROR(__xludf.DUMMYFUNCTION("""COMPUTED_VALUE"""),FALSE)</f>
        <v>0</v>
      </c>
      <c r="E238" s="131" t="str">
        <f>IFERROR(__xludf.DUMMYFUNCTION("""COMPUTED_VALUE"""),"AWA-AW")</f>
        <v>AWA-AW</v>
      </c>
      <c r="F238" s="131" t="str">
        <f>IFERROR(__xludf.DUMMYFUNCTION("""COMPUTED_VALUE"""),"CARL")</f>
        <v>CARL</v>
      </c>
    </row>
    <row r="239">
      <c r="A239" s="131">
        <f>IFERROR(__xludf.DUMMYFUNCTION("""COMPUTED_VALUE"""),238.0)</f>
        <v>238</v>
      </c>
      <c r="B239" s="131"/>
      <c r="C239" s="131">
        <f>IFERROR(__xludf.DUMMYFUNCTION("""COMPUTED_VALUE"""),23.0)</f>
        <v>23</v>
      </c>
      <c r="D239" s="131" t="b">
        <f>IFERROR(__xludf.DUMMYFUNCTION("""COMPUTED_VALUE"""),FALSE)</f>
        <v>0</v>
      </c>
      <c r="E239" s="131" t="str">
        <f>IFERROR(__xludf.DUMMYFUNCTION("""COMPUTED_VALUE"""),"ALAYON")</f>
        <v>ALAYON</v>
      </c>
      <c r="F239" s="131" t="str">
        <f>IFERROR(__xludf.DUMMYFUNCTION("""COMPUTED_VALUE"""),"PATRICIA")</f>
        <v>PATRICIA</v>
      </c>
    </row>
    <row r="240">
      <c r="A240" s="131">
        <f>IFERROR(__xludf.DUMMYFUNCTION("""COMPUTED_VALUE"""),239.0)</f>
        <v>239</v>
      </c>
      <c r="B240" s="131"/>
      <c r="C240" s="131">
        <f>IFERROR(__xludf.DUMMYFUNCTION("""COMPUTED_VALUE"""),23.0)</f>
        <v>23</v>
      </c>
      <c r="D240" s="131" t="b">
        <f>IFERROR(__xludf.DUMMYFUNCTION("""COMPUTED_VALUE"""),FALSE)</f>
        <v>0</v>
      </c>
      <c r="E240" s="131" t="str">
        <f>IFERROR(__xludf.DUMMYFUNCTION("""COMPUTED_VALUE"""),"UDAUNDO")</f>
        <v>UDAUNDO</v>
      </c>
      <c r="F240" s="131" t="str">
        <f>IFERROR(__xludf.DUMMYFUNCTION("""COMPUTED_VALUE"""),"MICA ELLA")</f>
        <v>MICA ELLA</v>
      </c>
    </row>
    <row r="241">
      <c r="A241" s="131">
        <f>IFERROR(__xludf.DUMMYFUNCTION("""COMPUTED_VALUE"""),240.0)</f>
        <v>240</v>
      </c>
      <c r="B241" s="131"/>
      <c r="C241" s="131">
        <f>IFERROR(__xludf.DUMMYFUNCTION("""COMPUTED_VALUE"""),23.0)</f>
        <v>23</v>
      </c>
      <c r="D241" s="131" t="b">
        <f>IFERROR(__xludf.DUMMYFUNCTION("""COMPUTED_VALUE"""),FALSE)</f>
        <v>0</v>
      </c>
      <c r="E241" s="131" t="str">
        <f>IFERROR(__xludf.DUMMYFUNCTION("""COMPUTED_VALUE"""),"CALUBIRAN")</f>
        <v>CALUBIRAN</v>
      </c>
      <c r="F241" s="131" t="str">
        <f>IFERROR(__xludf.DUMMYFUNCTION("""COMPUTED_VALUE"""),"JACKIELYN")</f>
        <v>JACKIELYN</v>
      </c>
    </row>
    <row r="242">
      <c r="A242" s="131">
        <f>IFERROR(__xludf.DUMMYFUNCTION("""COMPUTED_VALUE"""),241.0)</f>
        <v>241</v>
      </c>
      <c r="B242" s="131"/>
      <c r="C242" s="131">
        <f>IFERROR(__xludf.DUMMYFUNCTION("""COMPUTED_VALUE"""),23.0)</f>
        <v>23</v>
      </c>
      <c r="D242" s="131" t="b">
        <f>IFERROR(__xludf.DUMMYFUNCTION("""COMPUTED_VALUE"""),FALSE)</f>
        <v>0</v>
      </c>
      <c r="E242" s="131" t="str">
        <f>IFERROR(__xludf.DUMMYFUNCTION("""COMPUTED_VALUE"""),"MATAMIS")</f>
        <v>MATAMIS</v>
      </c>
      <c r="F242" s="131" t="str">
        <f>IFERROR(__xludf.DUMMYFUNCTION("""COMPUTED_VALUE"""),"JEAH G.")</f>
        <v>JEAH G.</v>
      </c>
    </row>
    <row r="243">
      <c r="A243" s="131">
        <f>IFERROR(__xludf.DUMMYFUNCTION("""COMPUTED_VALUE"""),242.0)</f>
        <v>242</v>
      </c>
      <c r="B243" s="131"/>
      <c r="C243" s="131">
        <f>IFERROR(__xludf.DUMMYFUNCTION("""COMPUTED_VALUE"""),23.0)</f>
        <v>23</v>
      </c>
      <c r="D243" s="131" t="b">
        <f>IFERROR(__xludf.DUMMYFUNCTION("""COMPUTED_VALUE"""),FALSE)</f>
        <v>0</v>
      </c>
      <c r="E243" s="131" t="str">
        <f>IFERROR(__xludf.DUMMYFUNCTION("""COMPUTED_VALUE"""),"MATAMIS")</f>
        <v>MATAMIS</v>
      </c>
      <c r="F243" s="131" t="str">
        <f>IFERROR(__xludf.DUMMYFUNCTION("""COMPUTED_VALUE"""),"JANELA")</f>
        <v>JANELA</v>
      </c>
    </row>
    <row r="244">
      <c r="A244" s="131">
        <f>IFERROR(__xludf.DUMMYFUNCTION("""COMPUTED_VALUE"""),243.0)</f>
        <v>243</v>
      </c>
      <c r="B244" s="131"/>
      <c r="C244" s="131">
        <f>IFERROR(__xludf.DUMMYFUNCTION("""COMPUTED_VALUE"""),23.0)</f>
        <v>23</v>
      </c>
      <c r="D244" s="131" t="b">
        <f>IFERROR(__xludf.DUMMYFUNCTION("""COMPUTED_VALUE"""),FALSE)</f>
        <v>0</v>
      </c>
      <c r="E244" s="131" t="str">
        <f>IFERROR(__xludf.DUMMYFUNCTION("""COMPUTED_VALUE"""),"GALANG")</f>
        <v>GALANG</v>
      </c>
      <c r="F244" s="131" t="str">
        <f>IFERROR(__xludf.DUMMYFUNCTION("""COMPUTED_VALUE"""),"MAGGA")</f>
        <v>MAGGA</v>
      </c>
    </row>
    <row r="245">
      <c r="A245" s="131">
        <f>IFERROR(__xludf.DUMMYFUNCTION("""COMPUTED_VALUE"""),244.0)</f>
        <v>244</v>
      </c>
      <c r="B245" s="131"/>
      <c r="C245" s="131">
        <f>IFERROR(__xludf.DUMMYFUNCTION("""COMPUTED_VALUE"""),244.0)</f>
        <v>244</v>
      </c>
      <c r="D245" s="131" t="b">
        <f>IFERROR(__xludf.DUMMYFUNCTION("""COMPUTED_VALUE"""),TRUE)</f>
        <v>1</v>
      </c>
      <c r="E245" s="131" t="str">
        <f>IFERROR(__xludf.DUMMYFUNCTION("""COMPUTED_VALUE"""),"ORQUIA")</f>
        <v>ORQUIA</v>
      </c>
      <c r="F245" s="131" t="str">
        <f>IFERROR(__xludf.DUMMYFUNCTION("""COMPUTED_VALUE"""),"HANNA ")</f>
        <v>HANNA </v>
      </c>
    </row>
    <row r="246">
      <c r="A246" s="131">
        <f>IFERROR(__xludf.DUMMYFUNCTION("""COMPUTED_VALUE"""),245.0)</f>
        <v>245</v>
      </c>
      <c r="B246" s="131"/>
      <c r="C246" s="131">
        <f>IFERROR(__xludf.DUMMYFUNCTION("""COMPUTED_VALUE"""),244.0)</f>
        <v>244</v>
      </c>
      <c r="D246" s="131" t="b">
        <f>IFERROR(__xludf.DUMMYFUNCTION("""COMPUTED_VALUE"""),FALSE)</f>
        <v>0</v>
      </c>
      <c r="E246" s="131" t="str">
        <f>IFERROR(__xludf.DUMMYFUNCTION("""COMPUTED_VALUE"""),"DEL ROSARIO")</f>
        <v>DEL ROSARIO</v>
      </c>
      <c r="F246" s="131" t="str">
        <f>IFERROR(__xludf.DUMMYFUNCTION("""COMPUTED_VALUE"""),"GRACE")</f>
        <v>GRACE</v>
      </c>
    </row>
    <row r="247">
      <c r="A247" s="131">
        <f>IFERROR(__xludf.DUMMYFUNCTION("""COMPUTED_VALUE"""),246.0)</f>
        <v>246</v>
      </c>
      <c r="B247" s="131"/>
      <c r="C247" s="131">
        <f>IFERROR(__xludf.DUMMYFUNCTION("""COMPUTED_VALUE"""),244.0)</f>
        <v>244</v>
      </c>
      <c r="D247" s="131" t="b">
        <f>IFERROR(__xludf.DUMMYFUNCTION("""COMPUTED_VALUE"""),FALSE)</f>
        <v>0</v>
      </c>
      <c r="E247" s="131" t="str">
        <f>IFERROR(__xludf.DUMMYFUNCTION("""COMPUTED_VALUE"""),"CODILLA")</f>
        <v>CODILLA</v>
      </c>
      <c r="F247" s="131" t="str">
        <f>IFERROR(__xludf.DUMMYFUNCTION("""COMPUTED_VALUE"""),"JANNA")</f>
        <v>JANNA</v>
      </c>
    </row>
    <row r="248">
      <c r="A248" s="131">
        <f>IFERROR(__xludf.DUMMYFUNCTION("""COMPUTED_VALUE"""),247.0)</f>
        <v>247</v>
      </c>
      <c r="B248" s="131"/>
      <c r="C248" s="131">
        <f>IFERROR(__xludf.DUMMYFUNCTION("""COMPUTED_VALUE"""),244.0)</f>
        <v>244</v>
      </c>
      <c r="D248" s="131" t="b">
        <f>IFERROR(__xludf.DUMMYFUNCTION("""COMPUTED_VALUE"""),FALSE)</f>
        <v>0</v>
      </c>
      <c r="E248" s="131" t="str">
        <f>IFERROR(__xludf.DUMMYFUNCTION("""COMPUTED_VALUE"""),"WALATH")</f>
        <v>WALATH</v>
      </c>
      <c r="F248" s="131" t="str">
        <f>IFERROR(__xludf.DUMMYFUNCTION("""COMPUTED_VALUE"""),"AILEEN")</f>
        <v>AILEEN</v>
      </c>
    </row>
    <row r="249">
      <c r="A249" s="131">
        <f>IFERROR(__xludf.DUMMYFUNCTION("""COMPUTED_VALUE"""),248.0)</f>
        <v>248</v>
      </c>
      <c r="B249" s="131"/>
      <c r="C249" s="131">
        <f>IFERROR(__xludf.DUMMYFUNCTION("""COMPUTED_VALUE"""),244.0)</f>
        <v>244</v>
      </c>
      <c r="D249" s="131" t="b">
        <f>IFERROR(__xludf.DUMMYFUNCTION("""COMPUTED_VALUE"""),FALSE)</f>
        <v>0</v>
      </c>
      <c r="E249" s="131" t="str">
        <f>IFERROR(__xludf.DUMMYFUNCTION("""COMPUTED_VALUE"""),"FULLON")</f>
        <v>FULLON</v>
      </c>
      <c r="F249" s="131" t="str">
        <f>IFERROR(__xludf.DUMMYFUNCTION("""COMPUTED_VALUE"""),"SARAH")</f>
        <v>SARAH</v>
      </c>
    </row>
    <row r="250">
      <c r="A250" s="131">
        <f>IFERROR(__xludf.DUMMYFUNCTION("""COMPUTED_VALUE"""),249.0)</f>
        <v>249</v>
      </c>
      <c r="B250" s="131"/>
      <c r="C250" s="131">
        <f>IFERROR(__xludf.DUMMYFUNCTION("""COMPUTED_VALUE"""),244.0)</f>
        <v>244</v>
      </c>
      <c r="D250" s="131" t="b">
        <f>IFERROR(__xludf.DUMMYFUNCTION("""COMPUTED_VALUE"""),FALSE)</f>
        <v>0</v>
      </c>
      <c r="E250" s="131" t="str">
        <f>IFERROR(__xludf.DUMMYFUNCTION("""COMPUTED_VALUE"""),"MONTERDE")</f>
        <v>MONTERDE</v>
      </c>
      <c r="F250" s="131" t="str">
        <f>IFERROR(__xludf.DUMMYFUNCTION("""COMPUTED_VALUE"""),"BELLE")</f>
        <v>BELLE</v>
      </c>
    </row>
    <row r="251">
      <c r="A251" s="86">
        <f>IFERROR(__xludf.DUMMYFUNCTION("""COMPUTED_VALUE"""),250.0)</f>
        <v>250</v>
      </c>
      <c r="B251" s="87"/>
      <c r="C251" s="131">
        <f>IFERROR(__xludf.DUMMYFUNCTION("""COMPUTED_VALUE"""),167.0)</f>
        <v>167</v>
      </c>
      <c r="D251" s="131"/>
      <c r="E251" s="131" t="str">
        <f>IFERROR(__xludf.DUMMYFUNCTION("""COMPUTED_VALUE"""),"RAUSO")</f>
        <v>RAUSO</v>
      </c>
      <c r="F251" s="131" t="str">
        <f>IFERROR(__xludf.DUMMYFUNCTION("""COMPUTED_VALUE"""),"STEVE")</f>
        <v>STEVE</v>
      </c>
      <c r="G251" s="133"/>
      <c r="H251" s="133"/>
      <c r="I251" s="133"/>
      <c r="J251" s="133"/>
      <c r="K251" s="133"/>
      <c r="L251" s="133"/>
      <c r="M251" s="133"/>
      <c r="N251" s="133"/>
      <c r="O251" s="133"/>
      <c r="P251" s="133"/>
      <c r="Q251" s="89"/>
      <c r="R251" s="89"/>
      <c r="S251" s="89"/>
      <c r="T251" s="89"/>
      <c r="U251" s="89"/>
      <c r="V251" s="89"/>
      <c r="W251" s="89"/>
    </row>
    <row r="252">
      <c r="A252" s="131">
        <f>IFERROR(__xludf.DUMMYFUNCTION("""COMPUTED_VALUE"""),251.0)</f>
        <v>251</v>
      </c>
      <c r="B252" s="131"/>
      <c r="C252" s="131">
        <f>IFERROR(__xludf.DUMMYFUNCTION("""COMPUTED_VALUE"""),167.0)</f>
        <v>167</v>
      </c>
      <c r="D252" s="131" t="b">
        <f>IFERROR(__xludf.DUMMYFUNCTION("""COMPUTED_VALUE"""),FALSE)</f>
        <v>0</v>
      </c>
      <c r="E252" s="131" t="str">
        <f>IFERROR(__xludf.DUMMYFUNCTION("""COMPUTED_VALUE"""),"LIBRES")</f>
        <v>LIBRES</v>
      </c>
      <c r="F252" s="131" t="str">
        <f>IFERROR(__xludf.DUMMYFUNCTION("""COMPUTED_VALUE"""),"GABRIEL")</f>
        <v>GABRIEL</v>
      </c>
      <c r="G252" s="93"/>
      <c r="H252" s="93"/>
      <c r="I252" s="93"/>
      <c r="J252" s="93"/>
      <c r="K252" s="93"/>
      <c r="L252" s="93"/>
      <c r="M252" s="93"/>
      <c r="N252" s="93"/>
      <c r="O252" s="93"/>
      <c r="P252" s="93"/>
    </row>
    <row r="253">
      <c r="A253" s="131">
        <f>IFERROR(__xludf.DUMMYFUNCTION("""COMPUTED_VALUE"""),252.0)</f>
        <v>252</v>
      </c>
      <c r="B253" s="131"/>
      <c r="C253" s="131">
        <f>IFERROR(__xludf.DUMMYFUNCTION("""COMPUTED_VALUE"""),167.0)</f>
        <v>167</v>
      </c>
      <c r="D253" s="131" t="b">
        <f>IFERROR(__xludf.DUMMYFUNCTION("""COMPUTED_VALUE"""),FALSE)</f>
        <v>0</v>
      </c>
      <c r="E253" s="94" t="str">
        <f>IFERROR(__xludf.DUMMYFUNCTION("""COMPUTED_VALUE"""),"PARONGAN")</f>
        <v>PARONGAN</v>
      </c>
      <c r="F253" s="94" t="str">
        <f>IFERROR(__xludf.DUMMYFUNCTION("""COMPUTED_VALUE"""),"KIAN")</f>
        <v>KIAN</v>
      </c>
    </row>
    <row r="254">
      <c r="A254" s="131">
        <f>IFERROR(__xludf.DUMMYFUNCTION("""COMPUTED_VALUE"""),253.0)</f>
        <v>253</v>
      </c>
      <c r="B254" s="131"/>
      <c r="C254" s="131">
        <f>IFERROR(__xludf.DUMMYFUNCTION("""COMPUTED_VALUE"""),167.0)</f>
        <v>167</v>
      </c>
      <c r="D254" s="131" t="b">
        <f>IFERROR(__xludf.DUMMYFUNCTION("""COMPUTED_VALUE"""),FALSE)</f>
        <v>0</v>
      </c>
      <c r="E254" s="95" t="str">
        <f>IFERROR(__xludf.DUMMYFUNCTION("""COMPUTED_VALUE"""),"RACCA")</f>
        <v>RACCA</v>
      </c>
      <c r="F254" s="95" t="str">
        <f>IFERROR(__xludf.DUMMYFUNCTION("""COMPUTED_VALUE"""),"GRANT EL")</f>
        <v>GRANT EL</v>
      </c>
    </row>
    <row r="255">
      <c r="A255" s="131">
        <f>IFERROR(__xludf.DUMMYFUNCTION("""COMPUTED_VALUE"""),254.0)</f>
        <v>254</v>
      </c>
      <c r="B255" s="131"/>
      <c r="C255" s="131">
        <f>IFERROR(__xludf.DUMMYFUNCTION("""COMPUTED_VALUE"""),23.0)</f>
        <v>23</v>
      </c>
      <c r="D255" s="131" t="b">
        <f>IFERROR(__xludf.DUMMYFUNCTION("""COMPUTED_VALUE"""),FALSE)</f>
        <v>0</v>
      </c>
      <c r="E255" s="95" t="str">
        <f>IFERROR(__xludf.DUMMYFUNCTION("""COMPUTED_VALUE"""),"MATAMIS")</f>
        <v>MATAMIS</v>
      </c>
      <c r="F255" s="95" t="str">
        <f>IFERROR(__xludf.DUMMYFUNCTION("""COMPUTED_VALUE"""),"SEYVEL")</f>
        <v>SEYVEL</v>
      </c>
    </row>
    <row r="256">
      <c r="A256" s="131">
        <f>IFERROR(__xludf.DUMMYFUNCTION("""COMPUTED_VALUE"""),257.0)</f>
        <v>257</v>
      </c>
      <c r="B256" s="131"/>
      <c r="C256" s="131">
        <f>IFERROR(__xludf.DUMMYFUNCTION("""COMPUTED_VALUE"""),23.0)</f>
        <v>23</v>
      </c>
      <c r="D256" s="131" t="b">
        <f>IFERROR(__xludf.DUMMYFUNCTION("""COMPUTED_VALUE"""),FALSE)</f>
        <v>0</v>
      </c>
      <c r="E256" s="95" t="str">
        <f>IFERROR(__xludf.DUMMYFUNCTION("""COMPUTED_VALUE"""),"PARCAREY")</f>
        <v>PARCAREY</v>
      </c>
      <c r="F256" s="95" t="str">
        <f>IFERROR(__xludf.DUMMYFUNCTION("""COMPUTED_VALUE"""),"MARZETTI")</f>
        <v>MARZETTI</v>
      </c>
    </row>
    <row r="257">
      <c r="A257" s="131">
        <f>IFERROR(__xludf.DUMMYFUNCTION("""COMPUTED_VALUE"""),256.0)</f>
        <v>256</v>
      </c>
      <c r="B257" s="131"/>
      <c r="C257" s="131">
        <f>IFERROR(__xludf.DUMMYFUNCTION("""COMPUTED_VALUE"""),23.0)</f>
        <v>23</v>
      </c>
      <c r="D257" s="131" t="b">
        <f>IFERROR(__xludf.DUMMYFUNCTION("""COMPUTED_VALUE"""),FALSE)</f>
        <v>0</v>
      </c>
      <c r="E257" s="95" t="str">
        <f>IFERROR(__xludf.DUMMYFUNCTION("""COMPUTED_VALUE"""),"AGSALUD")</f>
        <v>AGSALUD</v>
      </c>
      <c r="F257" s="95" t="str">
        <f>IFERROR(__xludf.DUMMYFUNCTION("""COMPUTED_VALUE"""),"ROSE MARIE")</f>
        <v>ROSE MARIE</v>
      </c>
    </row>
    <row r="258">
      <c r="A258" s="131">
        <f>IFERROR(__xludf.DUMMYFUNCTION("""COMPUTED_VALUE"""),259.0)</f>
        <v>259</v>
      </c>
      <c r="B258" s="131"/>
      <c r="C258" s="131">
        <f>IFERROR(__xludf.DUMMYFUNCTION("""COMPUTED_VALUE"""),167.0)</f>
        <v>167</v>
      </c>
      <c r="D258" s="131"/>
      <c r="E258" s="96" t="str">
        <f>IFERROR(__xludf.DUMMYFUNCTION("""COMPUTED_VALUE"""),"Gelicame")</f>
        <v>Gelicame</v>
      </c>
      <c r="F258" s="96" t="str">
        <f>IFERROR(__xludf.DUMMYFUNCTION("""COMPUTED_VALUE"""),"Aljun")</f>
        <v>Aljun</v>
      </c>
    </row>
    <row r="259">
      <c r="A259" s="131">
        <f>IFERROR(__xludf.DUMMYFUNCTION("""COMPUTED_VALUE"""),260.0)</f>
        <v>260</v>
      </c>
      <c r="B259" s="131"/>
      <c r="C259" s="131">
        <f>IFERROR(__xludf.DUMMYFUNCTION("""COMPUTED_VALUE"""),167.0)</f>
        <v>167</v>
      </c>
      <c r="D259" s="131"/>
      <c r="E259" s="95" t="str">
        <f>IFERROR(__xludf.DUMMYFUNCTION("""COMPUTED_VALUE"""),"Valera")</f>
        <v>Valera</v>
      </c>
      <c r="F259" s="95" t="str">
        <f>IFERROR(__xludf.DUMMYFUNCTION("""COMPUTED_VALUE"""),"Edward Luis")</f>
        <v>Edward Luis</v>
      </c>
    </row>
    <row r="260">
      <c r="A260" s="131">
        <f>IFERROR(__xludf.DUMMYFUNCTION("""COMPUTED_VALUE"""),261.0)</f>
        <v>261</v>
      </c>
      <c r="B260" s="131"/>
      <c r="C260" s="131">
        <f>IFERROR(__xludf.DUMMYFUNCTION("""COMPUTED_VALUE"""),23.0)</f>
        <v>23</v>
      </c>
      <c r="D260" s="131"/>
      <c r="E260" s="95" t="str">
        <f>IFERROR(__xludf.DUMMYFUNCTION("""COMPUTED_VALUE"""),"CERBETO")</f>
        <v>CERBETO</v>
      </c>
      <c r="F260" s="95" t="str">
        <f>IFERROR(__xludf.DUMMYFUNCTION("""COMPUTED_VALUE"""),"AIFHA")</f>
        <v>AIFHA</v>
      </c>
    </row>
    <row r="261">
      <c r="A261" s="131">
        <f>IFERROR(__xludf.DUMMYFUNCTION("""COMPUTED_VALUE"""),262.0)</f>
        <v>262</v>
      </c>
      <c r="B261" s="131"/>
      <c r="C261" s="131">
        <f>IFERROR(__xludf.DUMMYFUNCTION("""COMPUTED_VALUE"""),23.0)</f>
        <v>23</v>
      </c>
      <c r="D261" s="131"/>
      <c r="E261" s="95" t="str">
        <f>IFERROR(__xludf.DUMMYFUNCTION("""COMPUTED_VALUE"""),"PARCAREY")</f>
        <v>PARCAREY</v>
      </c>
      <c r="F261" s="95" t="str">
        <f>IFERROR(__xludf.DUMMYFUNCTION("""COMPUTED_VALUE"""),"MARZETTI")</f>
        <v>MARZETTI</v>
      </c>
    </row>
    <row r="262">
      <c r="A262" s="131">
        <f>IFERROR(__xludf.DUMMYFUNCTION("""COMPUTED_VALUE"""),263.0)</f>
        <v>263</v>
      </c>
      <c r="B262" s="131"/>
      <c r="C262" s="131">
        <f>IFERROR(__xludf.DUMMYFUNCTION("""COMPUTED_VALUE"""),1.0)</f>
        <v>1</v>
      </c>
      <c r="D262" s="131"/>
      <c r="E262" s="96" t="str">
        <f>IFERROR(__xludf.DUMMYFUNCTION("""COMPUTED_VALUE"""),"MABAO")</f>
        <v>MABAO</v>
      </c>
      <c r="F262" s="96" t="str">
        <f>IFERROR(__xludf.DUMMYFUNCTION("""COMPUTED_VALUE"""),"ROSELYN")</f>
        <v>ROSELYN</v>
      </c>
    </row>
    <row r="263">
      <c r="A263" s="131">
        <f>IFERROR(__xludf.DUMMYFUNCTION("""COMPUTED_VALUE"""),264.0)</f>
        <v>264</v>
      </c>
      <c r="B263" s="131"/>
      <c r="C263" s="131">
        <f>IFERROR(__xludf.DUMMYFUNCTION("""COMPUTED_VALUE"""),167.0)</f>
        <v>167</v>
      </c>
      <c r="D263" s="131"/>
      <c r="E263" s="96" t="str">
        <f>IFERROR(__xludf.DUMMYFUNCTION("""COMPUTED_VALUE"""),"VALERA")</f>
        <v>VALERA</v>
      </c>
      <c r="F263" s="96" t="str">
        <f>IFERROR(__xludf.DUMMYFUNCTION("""COMPUTED_VALUE"""),"ELY")</f>
        <v>ELY</v>
      </c>
    </row>
    <row r="264">
      <c r="A264" s="131">
        <f>IFERROR(__xludf.DUMMYFUNCTION("""COMPUTED_VALUE"""),265.0)</f>
        <v>265</v>
      </c>
      <c r="B264" s="131"/>
      <c r="C264" s="131">
        <f>IFERROR(__xludf.DUMMYFUNCTION("""COMPUTED_VALUE"""),167.0)</f>
        <v>167</v>
      </c>
      <c r="D264" s="131"/>
      <c r="E264" s="96" t="str">
        <f>IFERROR(__xludf.DUMMYFUNCTION("""COMPUTED_VALUE"""),"RAUSO")</f>
        <v>RAUSO</v>
      </c>
      <c r="F264" s="96" t="str">
        <f>IFERROR(__xludf.DUMMYFUNCTION("""COMPUTED_VALUE"""),"GABRIEL")</f>
        <v>GABRIEL</v>
      </c>
    </row>
    <row r="265">
      <c r="A265" s="131"/>
      <c r="B265" s="131"/>
      <c r="C265" s="131"/>
      <c r="D265" s="131"/>
      <c r="E265" s="96"/>
      <c r="F265" s="96"/>
    </row>
    <row r="266">
      <c r="A266" s="131">
        <f>IFERROR(__xludf.DUMMYFUNCTION("""COMPUTED_VALUE"""),1230.0)</f>
        <v>1230</v>
      </c>
      <c r="B266" s="131"/>
      <c r="C266" s="131">
        <f>IFERROR(__xludf.DUMMYFUNCTION("""COMPUTED_VALUE"""),1230.0)</f>
        <v>1230</v>
      </c>
      <c r="D266" s="131" t="b">
        <f>IFERROR(__xludf.DUMMYFUNCTION("""COMPUTED_VALUE"""),TRUE)</f>
        <v>1</v>
      </c>
      <c r="E266" s="96" t="str">
        <f>IFERROR(__xludf.DUMMYFUNCTION("""COMPUTED_VALUE"""),"CALUALHATIAN")</f>
        <v>CALUALHATIAN</v>
      </c>
      <c r="F266" s="96" t="str">
        <f>IFERROR(__xludf.DUMMYFUNCTION("""COMPUTED_VALUE"""),"DANTE")</f>
        <v>DANTE</v>
      </c>
    </row>
    <row r="267">
      <c r="A267" s="131">
        <f>IFERROR(__xludf.DUMMYFUNCTION("""COMPUTED_VALUE"""),1231.0)</f>
        <v>1231</v>
      </c>
      <c r="B267" s="131"/>
      <c r="C267" s="131">
        <f>IFERROR(__xludf.DUMMYFUNCTION("""COMPUTED_VALUE"""),1230.0)</f>
        <v>1230</v>
      </c>
      <c r="D267" s="131"/>
      <c r="E267" s="97" t="str">
        <f>IFERROR(__xludf.DUMMYFUNCTION("""COMPUTED_VALUE"""),"A.")</f>
        <v>A.</v>
      </c>
      <c r="F267" s="97" t="str">
        <f>IFERROR(__xludf.DUMMYFUNCTION("""COMPUTED_VALUE"""),"BONG")</f>
        <v>BONG</v>
      </c>
    </row>
    <row r="268">
      <c r="A268" s="131">
        <f>IFERROR(__xludf.DUMMYFUNCTION("""COMPUTED_VALUE"""),1232.0)</f>
        <v>1232</v>
      </c>
      <c r="B268" s="131"/>
      <c r="C268" s="131">
        <f>IFERROR(__xludf.DUMMYFUNCTION("""COMPUTED_VALUE"""),1230.0)</f>
        <v>1230</v>
      </c>
      <c r="D268" s="131"/>
      <c r="E268" s="96" t="str">
        <f>IFERROR(__xludf.DUMMYFUNCTION("""COMPUTED_VALUE"""),"SALAC")</f>
        <v>SALAC</v>
      </c>
      <c r="F268" s="96" t="str">
        <f>IFERROR(__xludf.DUMMYFUNCTION("""COMPUTED_VALUE"""),"ROMEO")</f>
        <v>ROMEO</v>
      </c>
    </row>
    <row r="269">
      <c r="A269" s="131">
        <f>IFERROR(__xludf.DUMMYFUNCTION("""COMPUTED_VALUE"""),1233.0)</f>
        <v>1233</v>
      </c>
      <c r="B269" s="131"/>
      <c r="C269" s="131">
        <f>IFERROR(__xludf.DUMMYFUNCTION("""COMPUTED_VALUE"""),1230.0)</f>
        <v>1230</v>
      </c>
      <c r="D269" s="131"/>
      <c r="E269" s="96" t="str">
        <f>IFERROR(__xludf.DUMMYFUNCTION("""COMPUTED_VALUE"""),"GREGORIO")</f>
        <v>GREGORIO</v>
      </c>
      <c r="F269" s="96" t="str">
        <f>IFERROR(__xludf.DUMMYFUNCTION("""COMPUTED_VALUE"""),"MARLOU")</f>
        <v>MARLOU</v>
      </c>
    </row>
    <row r="270">
      <c r="A270" s="131">
        <f>IFERROR(__xludf.DUMMYFUNCTION("""COMPUTED_VALUE"""),1234.0)</f>
        <v>1234</v>
      </c>
      <c r="B270" s="131"/>
      <c r="C270" s="131">
        <f>IFERROR(__xludf.DUMMYFUNCTION("""COMPUTED_VALUE"""),1230.0)</f>
        <v>1230</v>
      </c>
      <c r="D270" s="131"/>
      <c r="E270" s="96" t="str">
        <f>IFERROR(__xludf.DUMMYFUNCTION("""COMPUTED_VALUE"""),"SOMERA")</f>
        <v>SOMERA</v>
      </c>
      <c r="F270" s="96" t="str">
        <f>IFERROR(__xludf.DUMMYFUNCTION("""COMPUTED_VALUE"""),"JAY")</f>
        <v>JAY</v>
      </c>
    </row>
    <row r="271">
      <c r="A271" s="131">
        <f>IFERROR(__xludf.DUMMYFUNCTION("""COMPUTED_VALUE"""),1235.0)</f>
        <v>1235</v>
      </c>
      <c r="B271" s="131"/>
      <c r="C271" s="131">
        <f>IFERROR(__xludf.DUMMYFUNCTION("""COMPUTED_VALUE"""),1230.0)</f>
        <v>1230</v>
      </c>
      <c r="D271" s="131"/>
      <c r="E271" s="96" t="str">
        <f>IFERROR(__xludf.DUMMYFUNCTION("""COMPUTED_VALUE"""),"MALIWAT")</f>
        <v>MALIWAT</v>
      </c>
      <c r="F271" s="96" t="str">
        <f>IFERROR(__xludf.DUMMYFUNCTION("""COMPUTED_VALUE"""),"LEO")</f>
        <v>LEO</v>
      </c>
    </row>
    <row r="272">
      <c r="A272" s="131"/>
      <c r="B272" s="131"/>
      <c r="C272" s="131"/>
      <c r="D272" s="131"/>
      <c r="E272" s="96"/>
      <c r="F272" s="96"/>
    </row>
    <row r="273">
      <c r="A273" s="131">
        <f>IFERROR(__xludf.DUMMYFUNCTION("""COMPUTED_VALUE"""),1236.0)</f>
        <v>1236</v>
      </c>
      <c r="B273" s="131"/>
      <c r="C273" s="131">
        <f>IFERROR(__xludf.DUMMYFUNCTION("""COMPUTED_VALUE"""),1236.0)</f>
        <v>1236</v>
      </c>
      <c r="D273" s="131" t="b">
        <f>IFERROR(__xludf.DUMMYFUNCTION("""COMPUTED_VALUE"""),TRUE)</f>
        <v>1</v>
      </c>
      <c r="E273" s="96" t="str">
        <f>IFERROR(__xludf.DUMMYFUNCTION("""COMPUTED_VALUE"""),"RETAMAR")</f>
        <v>RETAMAR</v>
      </c>
      <c r="F273" s="96" t="str">
        <f>IFERROR(__xludf.DUMMYFUNCTION("""COMPUTED_VALUE"""),"ELENA")</f>
        <v>ELENA</v>
      </c>
    </row>
    <row r="274">
      <c r="A274" s="131">
        <f>IFERROR(__xludf.DUMMYFUNCTION("""COMPUTED_VALUE"""),1237.0)</f>
        <v>1237</v>
      </c>
      <c r="B274" s="131"/>
      <c r="C274" s="131">
        <f>IFERROR(__xludf.DUMMYFUNCTION("""COMPUTED_VALUE"""),1236.0)</f>
        <v>1236</v>
      </c>
      <c r="D274" s="131"/>
      <c r="E274" s="98" t="str">
        <f>IFERROR(__xludf.DUMMYFUNCTION("""COMPUTED_VALUE"""),"VILLA")</f>
        <v>VILLA</v>
      </c>
      <c r="F274" s="96" t="str">
        <f>IFERROR(__xludf.DUMMYFUNCTION("""COMPUTED_VALUE"""),"WENG NIONES")</f>
        <v>WENG NIONES</v>
      </c>
    </row>
    <row r="275">
      <c r="A275" s="131">
        <f>IFERROR(__xludf.DUMMYFUNCTION("""COMPUTED_VALUE"""),1238.0)</f>
        <v>1238</v>
      </c>
      <c r="B275" s="131"/>
      <c r="C275" s="131">
        <f>IFERROR(__xludf.DUMMYFUNCTION("""COMPUTED_VALUE"""),1236.0)</f>
        <v>1236</v>
      </c>
      <c r="D275" s="131"/>
      <c r="E275" s="99" t="str">
        <f>IFERROR(__xludf.DUMMYFUNCTION("""COMPUTED_VALUE"""),"V")</f>
        <v>V</v>
      </c>
      <c r="F275" s="99" t="str">
        <f>IFERROR(__xludf.DUMMYFUNCTION("""COMPUTED_VALUE"""),"ROSE")</f>
        <v>ROSE</v>
      </c>
    </row>
    <row r="276">
      <c r="A276" s="131">
        <f>IFERROR(__xludf.DUMMYFUNCTION("""COMPUTED_VALUE"""),1239.0)</f>
        <v>1239</v>
      </c>
      <c r="B276" s="131"/>
      <c r="C276" s="131">
        <f>IFERROR(__xludf.DUMMYFUNCTION("""COMPUTED_VALUE"""),1236.0)</f>
        <v>1236</v>
      </c>
      <c r="D276" s="131"/>
      <c r="E276" s="100" t="str">
        <f>IFERROR(__xludf.DUMMYFUNCTION("""COMPUTED_VALUE"""),"DATO")</f>
        <v>DATO</v>
      </c>
      <c r="F276" s="100" t="str">
        <f>IFERROR(__xludf.DUMMYFUNCTION("""COMPUTED_VALUE"""),"EVELYN")</f>
        <v>EVELYN</v>
      </c>
    </row>
    <row r="277">
      <c r="A277" s="131">
        <f>IFERROR(__xludf.DUMMYFUNCTION("""COMPUTED_VALUE"""),1240.0)</f>
        <v>1240</v>
      </c>
      <c r="B277" s="131"/>
      <c r="C277" s="131">
        <f>IFERROR(__xludf.DUMMYFUNCTION("""COMPUTED_VALUE"""),1236.0)</f>
        <v>1236</v>
      </c>
      <c r="D277" s="131"/>
      <c r="E277" s="100"/>
      <c r="F277" s="100" t="str">
        <f>IFERROR(__xludf.DUMMYFUNCTION("""COMPUTED_VALUE"""),"ELIZABETH")</f>
        <v>ELIZABETH</v>
      </c>
    </row>
    <row r="278">
      <c r="A278" s="131">
        <f>IFERROR(__xludf.DUMMYFUNCTION("""COMPUTED_VALUE"""),1241.0)</f>
        <v>1241</v>
      </c>
      <c r="B278" s="131"/>
      <c r="C278" s="131">
        <f>IFERROR(__xludf.DUMMYFUNCTION("""COMPUTED_VALUE"""),1236.0)</f>
        <v>1236</v>
      </c>
      <c r="D278" s="131"/>
      <c r="E278" s="100"/>
      <c r="F278" s="100" t="str">
        <f>IFERROR(__xludf.DUMMYFUNCTION("""COMPUTED_VALUE"""),"WINNIE")</f>
        <v>WINNIE</v>
      </c>
    </row>
    <row r="279">
      <c r="A279" s="131">
        <f>IFERROR(__xludf.DUMMYFUNCTION("""COMPUTED_VALUE"""),1242.0)</f>
        <v>1242</v>
      </c>
      <c r="B279" s="131"/>
      <c r="C279" s="131">
        <f>IFERROR(__xludf.DUMMYFUNCTION("""COMPUTED_VALUE"""),1236.0)</f>
        <v>1236</v>
      </c>
      <c r="D279" s="131"/>
      <c r="E279" s="100"/>
      <c r="F279" s="100" t="str">
        <f>IFERROR(__xludf.DUMMYFUNCTION("""COMPUTED_VALUE"""),"MALOU")</f>
        <v>MALOU</v>
      </c>
    </row>
    <row r="280">
      <c r="A280" s="131">
        <f>IFERROR(__xludf.DUMMYFUNCTION("""COMPUTED_VALUE"""),1243.0)</f>
        <v>1243</v>
      </c>
      <c r="B280" s="131"/>
      <c r="C280" s="131">
        <f>IFERROR(__xludf.DUMMYFUNCTION("""COMPUTED_VALUE"""),1236.0)</f>
        <v>1236</v>
      </c>
      <c r="D280" s="131"/>
      <c r="E280" s="100" t="str">
        <f>IFERROR(__xludf.DUMMYFUNCTION("""COMPUTED_VALUE"""),"TOLEDO")</f>
        <v>TOLEDO</v>
      </c>
      <c r="F280" s="100" t="str">
        <f>IFERROR(__xludf.DUMMYFUNCTION("""COMPUTED_VALUE"""),"MAYE")</f>
        <v>MAYE</v>
      </c>
    </row>
    <row r="281">
      <c r="A281" s="131">
        <f>IFERROR(__xludf.DUMMYFUNCTION("""COMPUTED_VALUE"""),1244.0)</f>
        <v>1244</v>
      </c>
      <c r="B281" s="131"/>
      <c r="C281" s="131">
        <f>IFERROR(__xludf.DUMMYFUNCTION("""COMPUTED_VALUE"""),1236.0)</f>
        <v>1236</v>
      </c>
      <c r="D281" s="131"/>
      <c r="E281" s="100" t="str">
        <f>IFERROR(__xludf.DUMMYFUNCTION("""COMPUTED_VALUE"""),"LIM")</f>
        <v>LIM</v>
      </c>
      <c r="F281" s="100" t="str">
        <f>IFERROR(__xludf.DUMMYFUNCTION("""COMPUTED_VALUE"""),"GRACE")</f>
        <v>GRACE</v>
      </c>
    </row>
    <row r="282">
      <c r="A282" s="131">
        <f>IFERROR(__xludf.DUMMYFUNCTION("""COMPUTED_VALUE"""),1245.0)</f>
        <v>1245</v>
      </c>
      <c r="B282" s="131"/>
      <c r="C282" s="131">
        <f>IFERROR(__xludf.DUMMYFUNCTION("""COMPUTED_VALUE"""),1236.0)</f>
        <v>1236</v>
      </c>
      <c r="D282" s="131"/>
      <c r="E282" s="100" t="str">
        <f>IFERROR(__xludf.DUMMYFUNCTION("""COMPUTED_VALUE"""),"CALUALHATIAN")</f>
        <v>CALUALHATIAN</v>
      </c>
      <c r="F282" s="100" t="str">
        <f>IFERROR(__xludf.DUMMYFUNCTION("""COMPUTED_VALUE"""),"ADELAIDA")</f>
        <v>ADELAIDA</v>
      </c>
    </row>
    <row r="283">
      <c r="A283" s="131">
        <f>IFERROR(__xludf.DUMMYFUNCTION("""COMPUTED_VALUE"""),1246.0)</f>
        <v>1246</v>
      </c>
      <c r="B283" s="131"/>
      <c r="C283" s="131">
        <f>IFERROR(__xludf.DUMMYFUNCTION("""COMPUTED_VALUE"""),1236.0)</f>
        <v>1236</v>
      </c>
      <c r="D283" s="131"/>
      <c r="E283" s="101" t="str">
        <f>IFERROR(__xludf.DUMMYFUNCTION("""COMPUTED_VALUE"""),"CALUALHATIAN")</f>
        <v>CALUALHATIAN</v>
      </c>
      <c r="F283" s="101" t="str">
        <f>IFERROR(__xludf.DUMMYFUNCTION("""COMPUTED_VALUE"""),"DAHNA")</f>
        <v>DAHNA</v>
      </c>
    </row>
    <row r="284">
      <c r="A284" s="131">
        <f>IFERROR(__xludf.DUMMYFUNCTION("""COMPUTED_VALUE"""),1247.0)</f>
        <v>1247</v>
      </c>
      <c r="B284" s="131"/>
      <c r="C284" s="131">
        <f>IFERROR(__xludf.DUMMYFUNCTION("""COMPUTED_VALUE"""),1236.0)</f>
        <v>1236</v>
      </c>
      <c r="D284" s="131"/>
      <c r="E284" s="100" t="str">
        <f>IFERROR(__xludf.DUMMYFUNCTION("""COMPUTED_VALUE"""),"SEXON")</f>
        <v>SEXON</v>
      </c>
      <c r="F284" s="100" t="str">
        <f>IFERROR(__xludf.DUMMYFUNCTION("""COMPUTED_VALUE"""),"MARILYN")</f>
        <v>MARILYN</v>
      </c>
    </row>
    <row r="285">
      <c r="A285" s="131">
        <f>IFERROR(__xludf.DUMMYFUNCTION("""COMPUTED_VALUE"""),1248.0)</f>
        <v>1248</v>
      </c>
      <c r="B285" s="131"/>
      <c r="C285" s="131">
        <f>IFERROR(__xludf.DUMMYFUNCTION("""COMPUTED_VALUE"""),1236.0)</f>
        <v>1236</v>
      </c>
      <c r="D285" s="131"/>
      <c r="E285" s="100" t="str">
        <f>IFERROR(__xludf.DUMMYFUNCTION("""COMPUTED_VALUE"""),"CALUALHATIAN")</f>
        <v>CALUALHATIAN</v>
      </c>
      <c r="F285" s="100" t="str">
        <f>IFERROR(__xludf.DUMMYFUNCTION("""COMPUTED_VALUE"""),"DANIKKA")</f>
        <v>DANIKKA</v>
      </c>
    </row>
    <row r="286">
      <c r="A286" s="131">
        <f>IFERROR(__xludf.DUMMYFUNCTION("""COMPUTED_VALUE"""),1249.0)</f>
        <v>1249</v>
      </c>
      <c r="B286" s="131"/>
      <c r="C286" s="131">
        <f>IFERROR(__xludf.DUMMYFUNCTION("""COMPUTED_VALUE"""),1236.0)</f>
        <v>1236</v>
      </c>
      <c r="D286" s="131"/>
      <c r="E286" s="102" t="str">
        <f>IFERROR(__xludf.DUMMYFUNCTION("""COMPUTED_VALUE"""),"CODILLA")</f>
        <v>CODILLA</v>
      </c>
      <c r="F286" s="102" t="str">
        <f>IFERROR(__xludf.DUMMYFUNCTION("""COMPUTED_VALUE"""),"CORY")</f>
        <v>CORY</v>
      </c>
    </row>
    <row r="287">
      <c r="A287" s="131">
        <f>IFERROR(__xludf.DUMMYFUNCTION("""COMPUTED_VALUE"""),1250.0)</f>
        <v>1250</v>
      </c>
      <c r="B287" s="131"/>
      <c r="C287" s="131">
        <f>IFERROR(__xludf.DUMMYFUNCTION("""COMPUTED_VALUE"""),1236.0)</f>
        <v>1236</v>
      </c>
      <c r="D287" s="131"/>
      <c r="E287" s="103" t="str">
        <f>IFERROR(__xludf.DUMMYFUNCTION("""COMPUTED_VALUE"""),"LANGITAN")</f>
        <v>LANGITAN</v>
      </c>
      <c r="F287" s="103" t="str">
        <f>IFERROR(__xludf.DUMMYFUNCTION("""COMPUTED_VALUE"""),"SARAH")</f>
        <v>SARAH</v>
      </c>
    </row>
    <row r="288">
      <c r="A288" s="131">
        <f>IFERROR(__xludf.DUMMYFUNCTION("""COMPUTED_VALUE"""),1251.0)</f>
        <v>1251</v>
      </c>
      <c r="B288" s="131"/>
      <c r="C288" s="131">
        <f>IFERROR(__xludf.DUMMYFUNCTION("""COMPUTED_VALUE"""),1236.0)</f>
        <v>1236</v>
      </c>
      <c r="D288" s="131"/>
      <c r="E288" s="103" t="str">
        <f>IFERROR(__xludf.DUMMYFUNCTION("""COMPUTED_VALUE"""),"LACONSAY")</f>
        <v>LACONSAY</v>
      </c>
      <c r="F288" s="103" t="str">
        <f>IFERROR(__xludf.DUMMYFUNCTION("""COMPUTED_VALUE"""),"MA. LOURDES")</f>
        <v>MA. LOURDES</v>
      </c>
    </row>
    <row r="289">
      <c r="A289" s="131">
        <f>IFERROR(__xludf.DUMMYFUNCTION("""COMPUTED_VALUE"""),1252.0)</f>
        <v>1252</v>
      </c>
      <c r="B289" s="131"/>
      <c r="C289" s="131">
        <f>IFERROR(__xludf.DUMMYFUNCTION("""COMPUTED_VALUE"""),1236.0)</f>
        <v>1236</v>
      </c>
      <c r="D289" s="131"/>
      <c r="E289" s="102" t="str">
        <f>IFERROR(__xludf.DUMMYFUNCTION("""COMPUTED_VALUE"""),"LACONSAY")</f>
        <v>LACONSAY</v>
      </c>
      <c r="F289" s="103" t="str">
        <f>IFERROR(__xludf.DUMMYFUNCTION("""COMPUTED_VALUE"""),"MA. ELENA")</f>
        <v>MA. ELENA</v>
      </c>
    </row>
    <row r="290">
      <c r="A290" s="131">
        <f>IFERROR(__xludf.DUMMYFUNCTION("""COMPUTED_VALUE"""),1253.0)</f>
        <v>1253</v>
      </c>
      <c r="B290" s="131"/>
      <c r="C290" s="131">
        <f>IFERROR(__xludf.DUMMYFUNCTION("""COMPUTED_VALUE"""),1236.0)</f>
        <v>1236</v>
      </c>
      <c r="D290" s="131"/>
      <c r="E290" s="103" t="str">
        <f>IFERROR(__xludf.DUMMYFUNCTION("""COMPUTED_VALUE"""),"MENOSO")</f>
        <v>MENOSO</v>
      </c>
      <c r="F290" s="103" t="str">
        <f>IFERROR(__xludf.DUMMYFUNCTION("""COMPUTED_VALUE"""),"DANICA")</f>
        <v>DANICA</v>
      </c>
    </row>
    <row r="291">
      <c r="A291" s="131">
        <f>IFERROR(__xludf.DUMMYFUNCTION("""COMPUTED_VALUE"""),1254.0)</f>
        <v>1254</v>
      </c>
      <c r="B291" s="131"/>
      <c r="C291" s="131">
        <f>IFERROR(__xludf.DUMMYFUNCTION("""COMPUTED_VALUE"""),1236.0)</f>
        <v>1236</v>
      </c>
      <c r="D291" s="131"/>
      <c r="E291" s="103"/>
      <c r="F291" s="103" t="str">
        <f>IFERROR(__xludf.DUMMYFUNCTION("""COMPUTED_VALUE"""),"AGNES")</f>
        <v>AGNES</v>
      </c>
    </row>
    <row r="292">
      <c r="A292" s="131"/>
      <c r="B292" s="131"/>
      <c r="C292" s="131"/>
      <c r="D292" s="131"/>
      <c r="E292" s="103"/>
      <c r="F292" s="103"/>
    </row>
    <row r="293">
      <c r="A293" s="131">
        <f>IFERROR(__xludf.DUMMYFUNCTION("""COMPUTED_VALUE"""),1255.0)</f>
        <v>1255</v>
      </c>
      <c r="B293" s="131"/>
      <c r="C293" s="131">
        <f>IFERROR(__xludf.DUMMYFUNCTION("""COMPUTED_VALUE"""),1255.0)</f>
        <v>1255</v>
      </c>
      <c r="D293" s="131" t="b">
        <f>IFERROR(__xludf.DUMMYFUNCTION("""COMPUTED_VALUE"""),TRUE)</f>
        <v>1</v>
      </c>
      <c r="E293" s="103" t="str">
        <f>IFERROR(__xludf.DUMMYFUNCTION("""COMPUTED_VALUE"""),"VERTODAZO")</f>
        <v>VERTODAZO</v>
      </c>
      <c r="F293" s="103" t="str">
        <f>IFERROR(__xludf.DUMMYFUNCTION("""COMPUTED_VALUE"""),"MONETH")</f>
        <v>MONETH</v>
      </c>
      <c r="G293" s="90"/>
      <c r="H293" s="90"/>
    </row>
    <row r="294">
      <c r="A294" s="131">
        <f>IFERROR(__xludf.DUMMYFUNCTION("""COMPUTED_VALUE"""),1256.0)</f>
        <v>1256</v>
      </c>
      <c r="B294" s="131"/>
      <c r="C294" s="131">
        <f>IFERROR(__xludf.DUMMYFUNCTION("""COMPUTED_VALUE"""),1255.0)</f>
        <v>1255</v>
      </c>
      <c r="D294" s="131"/>
      <c r="E294" s="103" t="str">
        <f>IFERROR(__xludf.DUMMYFUNCTION("""COMPUTED_VALUE"""),"SOMERA")</f>
        <v>SOMERA</v>
      </c>
      <c r="F294" s="103" t="str">
        <f>IFERROR(__xludf.DUMMYFUNCTION("""COMPUTED_VALUE"""),"CHA")</f>
        <v>CHA</v>
      </c>
    </row>
    <row r="295">
      <c r="A295" s="131">
        <f>IFERROR(__xludf.DUMMYFUNCTION("""COMPUTED_VALUE"""),1257.0)</f>
        <v>1257</v>
      </c>
      <c r="B295" s="131"/>
      <c r="C295" s="131">
        <f>IFERROR(__xludf.DUMMYFUNCTION("""COMPUTED_VALUE"""),1255.0)</f>
        <v>1255</v>
      </c>
      <c r="D295" s="131"/>
      <c r="E295" s="103" t="str">
        <f>IFERROR(__xludf.DUMMYFUNCTION("""COMPUTED_VALUE"""),"MAGDUAY")</f>
        <v>MAGDUAY</v>
      </c>
      <c r="F295" s="103" t="str">
        <f>IFERROR(__xludf.DUMMYFUNCTION("""COMPUTED_VALUE"""),"HEIDEE")</f>
        <v>HEIDEE</v>
      </c>
    </row>
    <row r="296">
      <c r="A296" s="131">
        <f>IFERROR(__xludf.DUMMYFUNCTION("""COMPUTED_VALUE"""),1258.0)</f>
        <v>1258</v>
      </c>
      <c r="B296" s="131"/>
      <c r="C296" s="131">
        <f>IFERROR(__xludf.DUMMYFUNCTION("""COMPUTED_VALUE"""),1255.0)</f>
        <v>1255</v>
      </c>
      <c r="D296" s="131"/>
      <c r="E296" s="103" t="str">
        <f>IFERROR(__xludf.DUMMYFUNCTION("""COMPUTED_VALUE"""),"TANDUL")</f>
        <v>TANDUL</v>
      </c>
      <c r="F296" s="103" t="str">
        <f>IFERROR(__xludf.DUMMYFUNCTION("""COMPUTED_VALUE"""),"RAQUEL")</f>
        <v>RAQUEL</v>
      </c>
    </row>
    <row r="297">
      <c r="A297" s="131">
        <f>IFERROR(__xludf.DUMMYFUNCTION("""COMPUTED_VALUE"""),1259.0)</f>
        <v>1259</v>
      </c>
      <c r="B297" s="131"/>
      <c r="C297" s="131">
        <f>IFERROR(__xludf.DUMMYFUNCTION("""COMPUTED_VALUE"""),1255.0)</f>
        <v>1255</v>
      </c>
      <c r="D297" s="131"/>
      <c r="E297" s="103" t="str">
        <f>IFERROR(__xludf.DUMMYFUNCTION("""COMPUTED_VALUE"""),"ARTICULO")</f>
        <v>ARTICULO</v>
      </c>
      <c r="F297" s="103" t="str">
        <f>IFERROR(__xludf.DUMMYFUNCTION("""COMPUTED_VALUE"""),"LEILA M.")</f>
        <v>LEILA M.</v>
      </c>
    </row>
    <row r="298">
      <c r="A298" s="131">
        <f>IFERROR(__xludf.DUMMYFUNCTION("""COMPUTED_VALUE"""),1260.0)</f>
        <v>1260</v>
      </c>
      <c r="B298" s="131"/>
      <c r="C298" s="131">
        <f>IFERROR(__xludf.DUMMYFUNCTION("""COMPUTED_VALUE"""),1255.0)</f>
        <v>1255</v>
      </c>
      <c r="D298" s="131"/>
      <c r="E298" s="103" t="str">
        <f>IFERROR(__xludf.DUMMYFUNCTION("""COMPUTED_VALUE"""),"BALDONADO")</f>
        <v>BALDONADO</v>
      </c>
      <c r="F298" s="103" t="str">
        <f>IFERROR(__xludf.DUMMYFUNCTION("""COMPUTED_VALUE"""),"JULIETA")</f>
        <v>JULIETA</v>
      </c>
    </row>
    <row r="299">
      <c r="A299" s="131">
        <f>IFERROR(__xludf.DUMMYFUNCTION("""COMPUTED_VALUE"""),1261.0)</f>
        <v>1261</v>
      </c>
      <c r="B299" s="131"/>
      <c r="C299" s="131">
        <f>IFERROR(__xludf.DUMMYFUNCTION("""COMPUTED_VALUE"""),1255.0)</f>
        <v>1255</v>
      </c>
      <c r="D299" s="131"/>
      <c r="E299" s="103" t="str">
        <f>IFERROR(__xludf.DUMMYFUNCTION("""COMPUTED_VALUE"""),"CARLOS")</f>
        <v>CARLOS</v>
      </c>
      <c r="F299" s="103" t="str">
        <f>IFERROR(__xludf.DUMMYFUNCTION("""COMPUTED_VALUE"""),"ANTONETTE M.")</f>
        <v>ANTONETTE M.</v>
      </c>
    </row>
    <row r="300">
      <c r="A300" s="131">
        <f>IFERROR(__xludf.DUMMYFUNCTION("""COMPUTED_VALUE"""),1262.0)</f>
        <v>1262</v>
      </c>
      <c r="B300" s="131"/>
      <c r="C300" s="131">
        <f>IFERROR(__xludf.DUMMYFUNCTION("""COMPUTED_VALUE"""),1255.0)</f>
        <v>1255</v>
      </c>
      <c r="D300" s="131"/>
      <c r="E300" s="103" t="str">
        <f>IFERROR(__xludf.DUMMYFUNCTION("""COMPUTED_VALUE"""),"INCARNATION")</f>
        <v>INCARNATION</v>
      </c>
      <c r="F300" s="103" t="str">
        <f>IFERROR(__xludf.DUMMYFUNCTION("""COMPUTED_VALUE"""),"LUCILA")</f>
        <v>LUCILA</v>
      </c>
    </row>
    <row r="301">
      <c r="A301" s="131">
        <f>IFERROR(__xludf.DUMMYFUNCTION("""COMPUTED_VALUE"""),1263.0)</f>
        <v>1263</v>
      </c>
      <c r="B301" s="131"/>
      <c r="C301" s="131">
        <f>IFERROR(__xludf.DUMMYFUNCTION("""COMPUTED_VALUE"""),1255.0)</f>
        <v>1255</v>
      </c>
      <c r="D301" s="131"/>
      <c r="E301" s="103" t="str">
        <f>IFERROR(__xludf.DUMMYFUNCTION("""COMPUTED_VALUE"""),"MAGAT")</f>
        <v>MAGAT</v>
      </c>
      <c r="F301" s="103" t="str">
        <f>IFERROR(__xludf.DUMMYFUNCTION("""COMPUTED_VALUE"""),"SYLVIA")</f>
        <v>SYLVIA</v>
      </c>
    </row>
    <row r="302">
      <c r="A302" s="131">
        <f>IFERROR(__xludf.DUMMYFUNCTION("""COMPUTED_VALUE"""),1264.0)</f>
        <v>1264</v>
      </c>
      <c r="B302" s="131"/>
      <c r="C302" s="131">
        <f>IFERROR(__xludf.DUMMYFUNCTION("""COMPUTED_VALUE"""),1255.0)</f>
        <v>1255</v>
      </c>
      <c r="D302" s="131"/>
      <c r="E302" s="103" t="str">
        <f>IFERROR(__xludf.DUMMYFUNCTION("""COMPUTED_VALUE"""),"MAGAT")</f>
        <v>MAGAT</v>
      </c>
      <c r="F302" s="103" t="str">
        <f>IFERROR(__xludf.DUMMYFUNCTION("""COMPUTED_VALUE"""),"JOSEPHINA")</f>
        <v>JOSEPHINA</v>
      </c>
    </row>
    <row r="303">
      <c r="A303" s="131">
        <f>IFERROR(__xludf.DUMMYFUNCTION("""COMPUTED_VALUE"""),1265.0)</f>
        <v>1265</v>
      </c>
      <c r="B303" s="131"/>
      <c r="C303" s="131">
        <f>IFERROR(__xludf.DUMMYFUNCTION("""COMPUTED_VALUE"""),1255.0)</f>
        <v>1255</v>
      </c>
      <c r="D303" s="131"/>
      <c r="E303" s="103" t="str">
        <f>IFERROR(__xludf.DUMMYFUNCTION("""COMPUTED_VALUE"""),"VILLARTA")</f>
        <v>VILLARTA</v>
      </c>
      <c r="F303" s="103" t="str">
        <f>IFERROR(__xludf.DUMMYFUNCTION("""COMPUTED_VALUE"""),"JESSICA")</f>
        <v>JESSICA</v>
      </c>
    </row>
    <row r="304">
      <c r="A304" s="131">
        <f>IFERROR(__xludf.DUMMYFUNCTION("""COMPUTED_VALUE"""),1266.0)</f>
        <v>1266</v>
      </c>
      <c r="B304" s="131"/>
      <c r="C304" s="131">
        <f>IFERROR(__xludf.DUMMYFUNCTION("""COMPUTED_VALUE"""),1255.0)</f>
        <v>1255</v>
      </c>
      <c r="D304" s="131"/>
      <c r="E304" s="99" t="str">
        <f>IFERROR(__xludf.DUMMYFUNCTION("""COMPUTED_VALUE"""),"MORAL")</f>
        <v>MORAL</v>
      </c>
      <c r="F304" s="99" t="str">
        <f>IFERROR(__xludf.DUMMYFUNCTION("""COMPUTED_VALUE"""),"LUCHELLE")</f>
        <v>LUCHELLE</v>
      </c>
    </row>
    <row r="305">
      <c r="A305" s="131">
        <f>IFERROR(__xludf.DUMMYFUNCTION("""COMPUTED_VALUE"""),1267.0)</f>
        <v>1267</v>
      </c>
      <c r="B305" s="131"/>
      <c r="C305" s="131">
        <f>IFERROR(__xludf.DUMMYFUNCTION("""COMPUTED_VALUE"""),1255.0)</f>
        <v>1255</v>
      </c>
      <c r="D305" s="131"/>
      <c r="E305" s="100" t="str">
        <f>IFERROR(__xludf.DUMMYFUNCTION("""COMPUTED_VALUE"""),"BRUSOLA")</f>
        <v>BRUSOLA</v>
      </c>
      <c r="F305" s="100" t="str">
        <f>IFERROR(__xludf.DUMMYFUNCTION("""COMPUTED_VALUE"""),"MERLY")</f>
        <v>MERLY</v>
      </c>
    </row>
    <row r="306">
      <c r="A306" s="131">
        <f>IFERROR(__xludf.DUMMYFUNCTION("""COMPUTED_VALUE"""),1268.0)</f>
        <v>1268</v>
      </c>
      <c r="B306" s="131"/>
      <c r="C306" s="131">
        <f>IFERROR(__xludf.DUMMYFUNCTION("""COMPUTED_VALUE"""),1255.0)</f>
        <v>1255</v>
      </c>
      <c r="D306" s="131"/>
      <c r="E306" s="100" t="str">
        <f>IFERROR(__xludf.DUMMYFUNCTION("""COMPUTED_VALUE"""),"TARINAY")</f>
        <v>TARINAY</v>
      </c>
      <c r="F306" s="100" t="str">
        <f>IFERROR(__xludf.DUMMYFUNCTION("""COMPUTED_VALUE"""),"MARILYN")</f>
        <v>MARILYN</v>
      </c>
    </row>
    <row r="307">
      <c r="A307" s="131">
        <f>IFERROR(__xludf.DUMMYFUNCTION("""COMPUTED_VALUE"""),1269.0)</f>
        <v>1269</v>
      </c>
      <c r="B307" s="131"/>
      <c r="C307" s="131">
        <f>IFERROR(__xludf.DUMMYFUNCTION("""COMPUTED_VALUE"""),1255.0)</f>
        <v>1255</v>
      </c>
      <c r="D307" s="131"/>
      <c r="E307" s="100" t="str">
        <f>IFERROR(__xludf.DUMMYFUNCTION("""COMPUTED_VALUE"""),"VARGAS")</f>
        <v>VARGAS</v>
      </c>
      <c r="F307" s="100" t="str">
        <f>IFERROR(__xludf.DUMMYFUNCTION("""COMPUTED_VALUE"""),"VILMA")</f>
        <v>VILMA</v>
      </c>
    </row>
    <row r="308">
      <c r="A308" s="131">
        <f>IFERROR(__xludf.DUMMYFUNCTION("""COMPUTED_VALUE"""),1270.0)</f>
        <v>1270</v>
      </c>
      <c r="B308" s="131"/>
      <c r="C308" s="131">
        <f>IFERROR(__xludf.DUMMYFUNCTION("""COMPUTED_VALUE"""),1255.0)</f>
        <v>1255</v>
      </c>
      <c r="D308" s="131"/>
      <c r="E308" s="100" t="str">
        <f>IFERROR(__xludf.DUMMYFUNCTION("""COMPUTED_VALUE"""),"GAPAS")</f>
        <v>GAPAS</v>
      </c>
      <c r="F308" s="100" t="str">
        <f>IFERROR(__xludf.DUMMYFUNCTION("""COMPUTED_VALUE"""),"EDITH")</f>
        <v>EDITH</v>
      </c>
    </row>
    <row r="309">
      <c r="A309" s="131">
        <f>IFERROR(__xludf.DUMMYFUNCTION("""COMPUTED_VALUE"""),1271.0)</f>
        <v>1271</v>
      </c>
      <c r="B309" s="131"/>
      <c r="C309" s="131">
        <f>IFERROR(__xludf.DUMMYFUNCTION("""COMPUTED_VALUE"""),1255.0)</f>
        <v>1255</v>
      </c>
      <c r="D309" s="131"/>
      <c r="E309" s="100" t="str">
        <f>IFERROR(__xludf.DUMMYFUNCTION("""COMPUTED_VALUE"""),"PACHECO")</f>
        <v>PACHECO</v>
      </c>
      <c r="F309" s="100" t="str">
        <f>IFERROR(__xludf.DUMMYFUNCTION("""COMPUTED_VALUE"""),"CAROLINE")</f>
        <v>CAROLINE</v>
      </c>
    </row>
    <row r="310">
      <c r="A310" s="131">
        <f>IFERROR(__xludf.DUMMYFUNCTION("""COMPUTED_VALUE"""),1272.0)</f>
        <v>1272</v>
      </c>
      <c r="B310" s="131"/>
      <c r="C310" s="131">
        <f>IFERROR(__xludf.DUMMYFUNCTION("""COMPUTED_VALUE"""),1255.0)</f>
        <v>1255</v>
      </c>
      <c r="D310" s="131"/>
      <c r="E310" s="100" t="str">
        <f>IFERROR(__xludf.DUMMYFUNCTION("""COMPUTED_VALUE"""),"BACOSA")</f>
        <v>BACOSA</v>
      </c>
      <c r="F310" s="100" t="str">
        <f>IFERROR(__xludf.DUMMYFUNCTION("""COMPUTED_VALUE"""),"MAIDA")</f>
        <v>MAIDA</v>
      </c>
    </row>
    <row r="311">
      <c r="A311" s="131">
        <f>IFERROR(__xludf.DUMMYFUNCTION("""COMPUTED_VALUE"""),1273.0)</f>
        <v>1273</v>
      </c>
      <c r="B311" s="131"/>
      <c r="C311" s="131">
        <f>IFERROR(__xludf.DUMMYFUNCTION("""COMPUTED_VALUE"""),1255.0)</f>
        <v>1255</v>
      </c>
      <c r="D311" s="131"/>
      <c r="E311" s="100" t="str">
        <f>IFERROR(__xludf.DUMMYFUNCTION("""COMPUTED_VALUE"""),"LIM")</f>
        <v>LIM</v>
      </c>
      <c r="F311" s="100" t="str">
        <f>IFERROR(__xludf.DUMMYFUNCTION("""COMPUTED_VALUE"""),"LANIE")</f>
        <v>LANIE</v>
      </c>
    </row>
    <row r="312">
      <c r="A312" s="131">
        <f>IFERROR(__xludf.DUMMYFUNCTION("""COMPUTED_VALUE"""),1274.0)</f>
        <v>1274</v>
      </c>
      <c r="B312" s="131"/>
      <c r="C312" s="131">
        <f>IFERROR(__xludf.DUMMYFUNCTION("""COMPUTED_VALUE"""),1255.0)</f>
        <v>1255</v>
      </c>
      <c r="D312" s="131"/>
      <c r="E312" s="100" t="str">
        <f>IFERROR(__xludf.DUMMYFUNCTION("""COMPUTED_VALUE"""),"DELA VEGA")</f>
        <v>DELA VEGA</v>
      </c>
      <c r="F312" s="100" t="str">
        <f>IFERROR(__xludf.DUMMYFUNCTION("""COMPUTED_VALUE"""),"MAVIC")</f>
        <v>MAVIC</v>
      </c>
    </row>
    <row r="313">
      <c r="A313" s="131">
        <f>IFERROR(__xludf.DUMMYFUNCTION("""COMPUTED_VALUE"""),1275.0)</f>
        <v>1275</v>
      </c>
      <c r="B313" s="131"/>
      <c r="C313" s="131">
        <f>IFERROR(__xludf.DUMMYFUNCTION("""COMPUTED_VALUE"""),1255.0)</f>
        <v>1255</v>
      </c>
      <c r="D313" s="131"/>
      <c r="E313" s="100"/>
      <c r="F313" s="100" t="str">
        <f>IFERROR(__xludf.DUMMYFUNCTION("""COMPUTED_VALUE"""),"MILA M.")</f>
        <v>MILA M.</v>
      </c>
    </row>
    <row r="314">
      <c r="A314" s="131">
        <f>IFERROR(__xludf.DUMMYFUNCTION("""COMPUTED_VALUE"""),1276.0)</f>
        <v>1276</v>
      </c>
      <c r="B314" s="131"/>
      <c r="C314" s="131">
        <f>IFERROR(__xludf.DUMMYFUNCTION("""COMPUTED_VALUE"""),1230.0)</f>
        <v>1230</v>
      </c>
      <c r="D314" s="131"/>
      <c r="E314" s="100" t="str">
        <f>IFERROR(__xludf.DUMMYFUNCTION("""COMPUTED_VALUE"""),"TANDUL")</f>
        <v>TANDUL</v>
      </c>
      <c r="F314" s="100" t="str">
        <f>IFERROR(__xludf.DUMMYFUNCTION("""COMPUTED_VALUE"""),"ED")</f>
        <v>ED</v>
      </c>
    </row>
    <row r="315">
      <c r="A315" s="131">
        <f>IFERROR(__xludf.DUMMYFUNCTION("""COMPUTED_VALUE"""),1277.0)</f>
        <v>1277</v>
      </c>
      <c r="B315" s="131"/>
      <c r="C315" s="131">
        <f>IFERROR(__xludf.DUMMYFUNCTION("""COMPUTED_VALUE"""),1230.0)</f>
        <v>1230</v>
      </c>
      <c r="D315" s="131"/>
      <c r="E315" s="99" t="str">
        <f>IFERROR(__xludf.DUMMYFUNCTION("""COMPUTED_VALUE"""),"VILLA")</f>
        <v>VILLA</v>
      </c>
      <c r="F315" s="99" t="str">
        <f>IFERROR(__xludf.DUMMYFUNCTION("""COMPUTED_VALUE"""),"EDWARD")</f>
        <v>EDWARD</v>
      </c>
    </row>
    <row r="316">
      <c r="A316" s="131">
        <f>IFERROR(__xludf.DUMMYFUNCTION("""COMPUTED_VALUE"""),1278.0)</f>
        <v>1278</v>
      </c>
      <c r="B316" s="131"/>
      <c r="C316" s="131">
        <f>IFERROR(__xludf.DUMMYFUNCTION("""COMPUTED_VALUE"""),1230.0)</f>
        <v>1230</v>
      </c>
      <c r="D316" s="131"/>
      <c r="E316" s="100" t="str">
        <f>IFERROR(__xludf.DUMMYFUNCTION("""COMPUTED_VALUE"""),"RETAMAR")</f>
        <v>RETAMAR</v>
      </c>
      <c r="F316" s="100" t="str">
        <f>IFERROR(__xludf.DUMMYFUNCTION("""COMPUTED_VALUE"""),"GLEN")</f>
        <v>GLEN</v>
      </c>
    </row>
    <row r="317">
      <c r="A317" s="131">
        <f>IFERROR(__xludf.DUMMYFUNCTION("""COMPUTED_VALUE"""),1279.0)</f>
        <v>1279</v>
      </c>
      <c r="B317" s="131"/>
      <c r="C317" s="131">
        <f>IFERROR(__xludf.DUMMYFUNCTION("""COMPUTED_VALUE"""),1230.0)</f>
        <v>1230</v>
      </c>
      <c r="D317" s="131"/>
      <c r="E317" s="100" t="str">
        <f>IFERROR(__xludf.DUMMYFUNCTION("""COMPUTED_VALUE"""),"PASAYLON")</f>
        <v>PASAYLON</v>
      </c>
      <c r="F317" s="100" t="str">
        <f>IFERROR(__xludf.DUMMYFUNCTION("""COMPUTED_VALUE"""),"RAYMOND")</f>
        <v>RAYMOND</v>
      </c>
    </row>
    <row r="318">
      <c r="A318" s="131">
        <f>IFERROR(__xludf.DUMMYFUNCTION("""COMPUTED_VALUE"""),1280.0)</f>
        <v>1280</v>
      </c>
      <c r="B318" s="131"/>
      <c r="C318" s="131">
        <f>IFERROR(__xludf.DUMMYFUNCTION("""COMPUTED_VALUE"""),1230.0)</f>
        <v>1230</v>
      </c>
      <c r="D318" s="131"/>
      <c r="E318" s="100" t="str">
        <f>IFERROR(__xludf.DUMMYFUNCTION("""COMPUTED_VALUE"""),"CODILLA")</f>
        <v>CODILLA</v>
      </c>
      <c r="F318" s="100" t="str">
        <f>IFERROR(__xludf.DUMMYFUNCTION("""COMPUTED_VALUE"""),"JONNEL")</f>
        <v>JONNEL</v>
      </c>
    </row>
    <row r="319">
      <c r="A319" s="131">
        <f>IFERROR(__xludf.DUMMYFUNCTION("""COMPUTED_VALUE"""),1281.0)</f>
        <v>1281</v>
      </c>
      <c r="B319" s="131"/>
      <c r="C319" s="131">
        <f>IFERROR(__xludf.DUMMYFUNCTION("""COMPUTED_VALUE"""),1230.0)</f>
        <v>1230</v>
      </c>
      <c r="D319" s="131"/>
      <c r="E319" s="100" t="str">
        <f>IFERROR(__xludf.DUMMYFUNCTION("""COMPUTED_VALUE"""),"AZUL")</f>
        <v>AZUL</v>
      </c>
      <c r="F319" s="100" t="str">
        <f>IFERROR(__xludf.DUMMYFUNCTION("""COMPUTED_VALUE"""),"BENIE")</f>
        <v>BENIE</v>
      </c>
    </row>
    <row r="320">
      <c r="A320" s="131">
        <f>IFERROR(__xludf.DUMMYFUNCTION("""COMPUTED_VALUE"""),1282.0)</f>
        <v>1282</v>
      </c>
      <c r="B320" s="131"/>
      <c r="C320" s="131">
        <f>IFERROR(__xludf.DUMMYFUNCTION("""COMPUTED_VALUE"""),1230.0)</f>
        <v>1230</v>
      </c>
      <c r="D320" s="131"/>
      <c r="E320" s="100" t="str">
        <f>IFERROR(__xludf.DUMMYFUNCTION("""COMPUTED_VALUE"""),"E.")</f>
        <v>E.</v>
      </c>
      <c r="F320" s="100" t="str">
        <f>IFERROR(__xludf.DUMMYFUNCTION("""COMPUTED_VALUE"""),"MANNY")</f>
        <v>MANNY</v>
      </c>
    </row>
    <row r="321">
      <c r="A321" s="131"/>
      <c r="B321" s="131"/>
      <c r="C321" s="131"/>
      <c r="D321" s="131"/>
      <c r="E321" s="100"/>
      <c r="F321" s="100"/>
    </row>
    <row r="322">
      <c r="A322" s="131">
        <f>IFERROR(__xludf.DUMMYFUNCTION("""COMPUTED_VALUE"""),1283.0)</f>
        <v>1283</v>
      </c>
      <c r="B322" s="131"/>
      <c r="C322" s="131">
        <f>IFERROR(__xludf.DUMMYFUNCTION("""COMPUTED_VALUE"""),1283.0)</f>
        <v>1283</v>
      </c>
      <c r="D322" s="131" t="b">
        <f>IFERROR(__xludf.DUMMYFUNCTION("""COMPUTED_VALUE"""),TRUE)</f>
        <v>1</v>
      </c>
      <c r="E322" s="101" t="str">
        <f>IFERROR(__xludf.DUMMYFUNCTION("""COMPUTED_VALUE"""),"LIM")</f>
        <v>LIM</v>
      </c>
      <c r="F322" s="101" t="str">
        <f>IFERROR(__xludf.DUMMYFUNCTION("""COMPUTED_VALUE"""),"MARLINA")</f>
        <v>MARLINA</v>
      </c>
    </row>
    <row r="323">
      <c r="A323" s="131"/>
      <c r="B323" s="131"/>
      <c r="C323" s="131"/>
      <c r="D323" s="131"/>
      <c r="E323" s="101"/>
      <c r="F323" s="101"/>
    </row>
    <row r="324">
      <c r="A324" s="131"/>
      <c r="B324" s="131"/>
      <c r="C324" s="131"/>
      <c r="D324" s="131"/>
      <c r="E324" s="101"/>
      <c r="F324" s="101"/>
    </row>
    <row r="325">
      <c r="A325" s="131"/>
      <c r="B325" s="131"/>
      <c r="C325" s="131"/>
      <c r="D325" s="131"/>
      <c r="E325" s="101"/>
      <c r="F325" s="101"/>
    </row>
    <row r="326">
      <c r="A326" s="131"/>
      <c r="B326" s="131"/>
      <c r="C326" s="131"/>
      <c r="D326" s="131"/>
      <c r="E326" s="101"/>
      <c r="F326" s="101"/>
    </row>
    <row r="327">
      <c r="A327" s="131"/>
      <c r="B327" s="131"/>
      <c r="C327" s="131"/>
      <c r="D327" s="131"/>
      <c r="E327" s="105"/>
      <c r="F327" s="105"/>
    </row>
    <row r="328">
      <c r="A328" s="131"/>
      <c r="B328" s="131"/>
      <c r="C328" s="131"/>
      <c r="D328" s="131"/>
      <c r="E328" s="106"/>
      <c r="F328" s="106"/>
    </row>
    <row r="329">
      <c r="A329" s="131"/>
      <c r="B329" s="131"/>
      <c r="C329" s="131"/>
      <c r="D329" s="131"/>
      <c r="E329" s="107"/>
      <c r="F329" s="107"/>
    </row>
    <row r="330">
      <c r="A330" s="131"/>
      <c r="B330" s="131"/>
      <c r="C330" s="131"/>
      <c r="D330" s="131"/>
      <c r="E330" s="107"/>
      <c r="F330" s="107"/>
    </row>
    <row r="331">
      <c r="A331" s="131"/>
      <c r="B331" s="131"/>
      <c r="C331" s="131"/>
      <c r="D331" s="131"/>
      <c r="E331" s="108"/>
      <c r="F331" s="108"/>
    </row>
    <row r="332">
      <c r="A332" s="131"/>
      <c r="B332" s="131"/>
      <c r="C332" s="131"/>
      <c r="D332" s="131"/>
      <c r="E332" s="107"/>
      <c r="F332" s="107"/>
    </row>
    <row r="333">
      <c r="A333" s="131"/>
      <c r="B333" s="131"/>
      <c r="C333" s="131"/>
      <c r="D333" s="131"/>
      <c r="E333" s="106"/>
      <c r="F333" s="106"/>
    </row>
    <row r="334">
      <c r="A334" s="131"/>
      <c r="B334" s="131"/>
      <c r="C334" s="131"/>
      <c r="D334" s="131"/>
      <c r="E334" s="107"/>
      <c r="F334" s="107"/>
    </row>
    <row r="335">
      <c r="A335" s="131"/>
      <c r="B335" s="131"/>
      <c r="C335" s="131"/>
      <c r="D335" s="131"/>
      <c r="E335" s="107"/>
      <c r="F335" s="107"/>
    </row>
    <row r="336">
      <c r="A336" s="131"/>
      <c r="B336" s="131"/>
      <c r="C336" s="131"/>
      <c r="D336" s="131"/>
      <c r="E336" s="107"/>
      <c r="F336" s="107"/>
    </row>
    <row r="337">
      <c r="A337" s="131"/>
      <c r="B337" s="131"/>
      <c r="C337" s="131"/>
      <c r="D337" s="131"/>
      <c r="E337" s="107"/>
      <c r="F337" s="107"/>
    </row>
    <row r="338">
      <c r="A338" s="131"/>
      <c r="B338" s="131"/>
      <c r="C338" s="131"/>
      <c r="D338" s="131"/>
      <c r="E338" s="106"/>
      <c r="F338" s="106"/>
    </row>
    <row r="339">
      <c r="A339" s="131"/>
      <c r="B339" s="131"/>
      <c r="C339" s="131"/>
      <c r="D339" s="131"/>
      <c r="E339" s="107"/>
      <c r="F339" s="107"/>
    </row>
    <row r="340">
      <c r="A340" s="131"/>
      <c r="B340" s="131"/>
      <c r="C340" s="131"/>
      <c r="D340" s="131"/>
      <c r="E340" s="109"/>
      <c r="F340" s="109"/>
    </row>
    <row r="341">
      <c r="A341" s="131"/>
      <c r="B341" s="131"/>
      <c r="C341" s="131"/>
      <c r="D341" s="131"/>
      <c r="E341" s="110"/>
      <c r="F341" s="110"/>
    </row>
    <row r="342">
      <c r="A342" s="131"/>
      <c r="B342" s="131"/>
      <c r="C342" s="131"/>
      <c r="D342" s="131"/>
      <c r="E342" s="110"/>
      <c r="F342" s="110"/>
    </row>
    <row r="343">
      <c r="A343" s="131"/>
      <c r="B343" s="131"/>
      <c r="C343" s="131"/>
      <c r="D343" s="131"/>
      <c r="E343" s="111"/>
      <c r="F343" s="111"/>
    </row>
    <row r="344">
      <c r="A344" s="131"/>
      <c r="B344" s="131"/>
      <c r="C344" s="131"/>
      <c r="D344" s="131"/>
      <c r="E344" s="112"/>
      <c r="F344" s="112"/>
    </row>
    <row r="345">
      <c r="A345" s="131"/>
      <c r="B345" s="131"/>
      <c r="C345" s="131"/>
      <c r="D345" s="131"/>
      <c r="E345" s="112"/>
      <c r="F345" s="112"/>
    </row>
    <row r="346">
      <c r="A346" s="131"/>
      <c r="B346" s="131"/>
      <c r="C346" s="131"/>
      <c r="D346" s="131"/>
      <c r="E346" s="112"/>
      <c r="F346" s="112"/>
    </row>
    <row r="347">
      <c r="A347" s="131"/>
      <c r="B347" s="131"/>
      <c r="C347" s="131"/>
      <c r="D347" s="131"/>
      <c r="E347" s="112"/>
      <c r="F347" s="112"/>
    </row>
    <row r="348">
      <c r="A348" s="131"/>
      <c r="B348" s="131"/>
      <c r="C348" s="131"/>
      <c r="D348" s="131"/>
      <c r="E348" s="113"/>
      <c r="F348" s="110"/>
    </row>
    <row r="349">
      <c r="A349" s="131"/>
      <c r="B349" s="131"/>
      <c r="C349" s="131"/>
      <c r="D349" s="131"/>
      <c r="E349" s="114"/>
      <c r="F349" s="114"/>
    </row>
    <row r="350">
      <c r="A350" s="131"/>
      <c r="B350" s="131"/>
      <c r="C350" s="131"/>
      <c r="D350" s="131"/>
      <c r="E350" s="114"/>
      <c r="F350" s="114"/>
    </row>
    <row r="351">
      <c r="A351" s="131"/>
      <c r="B351" s="131"/>
      <c r="C351" s="131"/>
      <c r="D351" s="131"/>
      <c r="E351" s="114"/>
      <c r="F351" s="114"/>
    </row>
    <row r="352">
      <c r="A352" s="131"/>
      <c r="B352" s="131"/>
      <c r="C352" s="131"/>
      <c r="D352" s="131"/>
      <c r="E352" s="114"/>
      <c r="F352" s="114"/>
    </row>
    <row r="353">
      <c r="A353" s="131"/>
      <c r="B353" s="131"/>
      <c r="C353" s="131"/>
      <c r="D353" s="131"/>
      <c r="E353" s="114"/>
      <c r="F353" s="114"/>
    </row>
    <row r="354">
      <c r="A354" s="131"/>
      <c r="B354" s="131"/>
      <c r="C354" s="131"/>
      <c r="D354" s="131"/>
      <c r="E354" s="114"/>
      <c r="F354" s="114"/>
    </row>
    <row r="355">
      <c r="A355" s="131"/>
      <c r="B355" s="131"/>
      <c r="C355" s="131"/>
      <c r="D355" s="131"/>
      <c r="E355" s="114"/>
      <c r="F355" s="114"/>
    </row>
    <row r="356">
      <c r="A356" s="131"/>
      <c r="B356" s="131"/>
      <c r="C356" s="131"/>
      <c r="D356" s="131"/>
      <c r="E356" s="114"/>
      <c r="F356" s="114"/>
    </row>
    <row r="357">
      <c r="A357" s="131"/>
      <c r="B357" s="131"/>
      <c r="C357" s="131"/>
      <c r="D357" s="131"/>
      <c r="E357" s="114"/>
      <c r="F357" s="114"/>
    </row>
    <row r="358">
      <c r="A358" s="131"/>
      <c r="B358" s="131"/>
      <c r="C358" s="131"/>
      <c r="D358" s="131"/>
      <c r="E358" s="114"/>
      <c r="F358" s="114"/>
    </row>
    <row r="359">
      <c r="A359" s="131"/>
      <c r="B359" s="131"/>
      <c r="C359" s="131"/>
      <c r="D359" s="131"/>
      <c r="E359" s="114"/>
      <c r="F359" s="114"/>
    </row>
    <row r="360">
      <c r="A360" s="131"/>
      <c r="B360" s="131"/>
      <c r="C360" s="131"/>
      <c r="D360" s="131"/>
      <c r="E360" s="114"/>
      <c r="F360" s="114"/>
    </row>
    <row r="361">
      <c r="A361" s="131"/>
      <c r="B361" s="131"/>
      <c r="C361" s="131"/>
      <c r="D361" s="131"/>
      <c r="E361" s="114"/>
      <c r="F361" s="114"/>
    </row>
    <row r="362">
      <c r="A362" s="131"/>
      <c r="B362" s="131"/>
      <c r="C362" s="131"/>
      <c r="D362" s="131"/>
      <c r="E362" s="114"/>
      <c r="F362" s="114"/>
    </row>
    <row r="363">
      <c r="A363" s="131"/>
      <c r="B363" s="131"/>
      <c r="C363" s="131"/>
      <c r="D363" s="131"/>
      <c r="E363" s="114"/>
      <c r="F363" s="114"/>
    </row>
    <row r="364">
      <c r="A364" s="131"/>
      <c r="B364" s="131"/>
      <c r="C364" s="131"/>
      <c r="D364" s="131"/>
      <c r="E364" s="114"/>
      <c r="F364" s="114"/>
    </row>
    <row r="365">
      <c r="A365" s="131"/>
      <c r="B365" s="131"/>
      <c r="C365" s="131"/>
      <c r="D365" s="131"/>
      <c r="E365" s="114"/>
      <c r="F365" s="114"/>
    </row>
    <row r="366">
      <c r="A366" s="131"/>
      <c r="B366" s="131"/>
      <c r="C366" s="131"/>
      <c r="D366" s="131"/>
      <c r="E366" s="114"/>
      <c r="F366" s="114"/>
    </row>
    <row r="367">
      <c r="A367" s="131"/>
      <c r="B367" s="131"/>
      <c r="C367" s="131"/>
      <c r="D367" s="131"/>
      <c r="E367" s="114"/>
      <c r="F367" s="114"/>
    </row>
    <row r="368">
      <c r="A368" s="131"/>
      <c r="B368" s="131"/>
      <c r="C368" s="131"/>
      <c r="D368" s="131"/>
      <c r="E368" s="114"/>
      <c r="F368" s="114"/>
    </row>
    <row r="369">
      <c r="A369" s="131"/>
      <c r="B369" s="131"/>
      <c r="C369" s="131"/>
      <c r="D369" s="131"/>
      <c r="E369" s="131"/>
      <c r="F369" s="131"/>
    </row>
    <row r="370">
      <c r="A370" s="131"/>
      <c r="B370" s="131"/>
      <c r="C370" s="131"/>
      <c r="D370" s="131"/>
      <c r="E370" s="105"/>
      <c r="F370" s="105"/>
    </row>
    <row r="371">
      <c r="A371" s="131"/>
      <c r="B371" s="131"/>
      <c r="C371" s="131"/>
      <c r="D371" s="131"/>
      <c r="E371" s="115"/>
      <c r="F371" s="107"/>
    </row>
    <row r="372">
      <c r="A372" s="131"/>
      <c r="B372" s="131"/>
      <c r="C372" s="131"/>
      <c r="D372" s="131"/>
      <c r="E372" s="107"/>
      <c r="F372" s="107"/>
    </row>
    <row r="373">
      <c r="A373" s="131"/>
      <c r="B373" s="131"/>
      <c r="C373" s="131"/>
      <c r="D373" s="131"/>
      <c r="E373" s="116"/>
      <c r="F373" s="107"/>
    </row>
    <row r="374">
      <c r="A374" s="131"/>
      <c r="B374" s="131"/>
      <c r="C374" s="131"/>
      <c r="D374" s="131"/>
      <c r="E374" s="107"/>
      <c r="F374" s="107"/>
    </row>
    <row r="375">
      <c r="A375" s="131"/>
      <c r="B375" s="131"/>
      <c r="C375" s="131"/>
      <c r="D375" s="131"/>
      <c r="E375" s="107"/>
      <c r="F375" s="107"/>
    </row>
    <row r="376">
      <c r="A376" s="131"/>
      <c r="B376" s="131"/>
      <c r="C376" s="131"/>
      <c r="D376" s="131"/>
      <c r="E376" s="107"/>
      <c r="F376" s="107"/>
    </row>
    <row r="377">
      <c r="A377" s="131"/>
      <c r="B377" s="131"/>
      <c r="C377" s="131"/>
      <c r="D377" s="131"/>
      <c r="E377" s="107"/>
      <c r="F377" s="107"/>
    </row>
    <row r="378">
      <c r="A378" s="131"/>
      <c r="B378" s="131"/>
      <c r="C378" s="131"/>
      <c r="D378" s="131"/>
      <c r="E378" s="107"/>
      <c r="F378" s="107"/>
    </row>
    <row r="379">
      <c r="A379" s="131"/>
      <c r="B379" s="131"/>
      <c r="C379" s="131"/>
      <c r="D379" s="131"/>
      <c r="E379" s="107"/>
      <c r="F379" s="107"/>
    </row>
    <row r="380">
      <c r="A380" s="131"/>
      <c r="B380" s="131"/>
      <c r="C380" s="131"/>
      <c r="D380" s="131"/>
      <c r="E380" s="107"/>
      <c r="F380" s="107"/>
    </row>
    <row r="381">
      <c r="A381" s="131"/>
      <c r="B381" s="131"/>
      <c r="C381" s="131"/>
      <c r="D381" s="131"/>
      <c r="E381" s="107"/>
      <c r="F381" s="107"/>
    </row>
    <row r="382">
      <c r="A382" s="131"/>
      <c r="B382" s="131"/>
      <c r="C382" s="131"/>
      <c r="D382" s="131"/>
      <c r="E382" s="107"/>
      <c r="F382" s="107"/>
    </row>
    <row r="383">
      <c r="A383" s="131"/>
      <c r="B383" s="131"/>
      <c r="C383" s="131"/>
      <c r="D383" s="131"/>
      <c r="E383" s="107"/>
      <c r="F383" s="107"/>
    </row>
    <row r="384">
      <c r="A384" s="131"/>
      <c r="B384" s="131"/>
      <c r="C384" s="131"/>
      <c r="D384" s="131"/>
      <c r="E384" s="107"/>
      <c r="F384" s="107"/>
    </row>
    <row r="385">
      <c r="A385" s="131"/>
      <c r="B385" s="131"/>
      <c r="C385" s="131"/>
      <c r="D385" s="131"/>
      <c r="E385" s="107"/>
      <c r="F385" s="107"/>
    </row>
    <row r="386">
      <c r="A386" s="131"/>
      <c r="B386" s="131"/>
      <c r="C386" s="131"/>
      <c r="D386" s="131"/>
      <c r="E386" s="107"/>
      <c r="F386" s="107"/>
    </row>
    <row r="387">
      <c r="A387" s="131"/>
      <c r="B387" s="131"/>
      <c r="C387" s="131"/>
      <c r="D387" s="131"/>
      <c r="E387" s="107"/>
      <c r="F387" s="107"/>
    </row>
    <row r="388">
      <c r="A388" s="131"/>
      <c r="B388" s="131"/>
      <c r="C388" s="131"/>
      <c r="D388" s="131"/>
      <c r="E388" s="98"/>
      <c r="F388" s="107"/>
    </row>
    <row r="389">
      <c r="A389" s="131"/>
      <c r="B389" s="131"/>
      <c r="C389" s="131"/>
      <c r="D389" s="131"/>
      <c r="E389" s="131"/>
      <c r="F389" s="131"/>
    </row>
    <row r="390">
      <c r="A390" s="131"/>
      <c r="B390" s="131"/>
      <c r="C390" s="131"/>
      <c r="D390" s="131"/>
      <c r="E390" s="105"/>
      <c r="F390" s="105"/>
    </row>
    <row r="391">
      <c r="A391" s="131"/>
      <c r="B391" s="131"/>
      <c r="C391" s="131"/>
      <c r="D391" s="131"/>
      <c r="E391" s="109"/>
      <c r="F391" s="109"/>
    </row>
    <row r="392">
      <c r="A392" s="131"/>
      <c r="B392" s="131"/>
      <c r="C392" s="131"/>
      <c r="D392" s="131"/>
      <c r="E392" s="109"/>
      <c r="F392" s="109"/>
    </row>
    <row r="393">
      <c r="A393" s="131"/>
      <c r="B393" s="131"/>
      <c r="C393" s="131"/>
      <c r="D393" s="131"/>
      <c r="E393" s="109"/>
      <c r="F393" s="109"/>
    </row>
    <row r="394">
      <c r="A394" s="131"/>
      <c r="B394" s="131"/>
      <c r="C394" s="131"/>
      <c r="D394" s="131"/>
      <c r="E394" s="109"/>
      <c r="F394" s="109"/>
    </row>
    <row r="395">
      <c r="A395" s="131"/>
      <c r="B395" s="131"/>
      <c r="C395" s="131"/>
      <c r="D395" s="131"/>
      <c r="E395" s="109"/>
      <c r="F395" s="109"/>
    </row>
    <row r="396">
      <c r="A396" s="131"/>
      <c r="B396" s="131"/>
      <c r="C396" s="131"/>
      <c r="D396" s="131"/>
      <c r="E396" s="109"/>
      <c r="F396" s="109"/>
    </row>
    <row r="397">
      <c r="A397" s="131"/>
      <c r="B397" s="131"/>
      <c r="C397" s="131"/>
      <c r="D397" s="131"/>
      <c r="E397" s="109"/>
      <c r="F397" s="109"/>
    </row>
    <row r="398">
      <c r="A398" s="131"/>
      <c r="B398" s="131"/>
      <c r="C398" s="131"/>
      <c r="D398" s="131"/>
      <c r="E398" s="109"/>
      <c r="F398" s="109"/>
    </row>
    <row r="399">
      <c r="A399" s="131"/>
      <c r="B399" s="131"/>
      <c r="C399" s="131"/>
      <c r="D399" s="131"/>
      <c r="E399" s="109"/>
      <c r="F399" s="109"/>
    </row>
    <row r="400">
      <c r="A400" s="131"/>
      <c r="B400" s="131"/>
      <c r="C400" s="131"/>
      <c r="D400" s="131"/>
      <c r="E400" s="109"/>
      <c r="F400" s="109"/>
    </row>
    <row r="401">
      <c r="A401" s="131"/>
      <c r="B401" s="131"/>
      <c r="C401" s="131"/>
      <c r="D401" s="131"/>
      <c r="E401" s="109"/>
      <c r="F401" s="109"/>
    </row>
    <row r="402">
      <c r="A402" s="131"/>
      <c r="B402" s="131"/>
      <c r="C402" s="131"/>
      <c r="D402" s="131"/>
      <c r="E402" s="109"/>
      <c r="F402" s="109"/>
    </row>
    <row r="403">
      <c r="A403" s="131"/>
      <c r="B403" s="131"/>
      <c r="C403" s="131"/>
      <c r="D403" s="131"/>
      <c r="E403" s="109"/>
      <c r="F403" s="109"/>
    </row>
    <row r="404">
      <c r="A404" s="131"/>
      <c r="B404" s="131"/>
      <c r="C404" s="131"/>
      <c r="D404" s="131"/>
      <c r="E404" s="109"/>
      <c r="F404" s="109"/>
    </row>
    <row r="405">
      <c r="A405" s="131"/>
      <c r="B405" s="131"/>
      <c r="C405" s="131"/>
      <c r="D405" s="131"/>
      <c r="E405" s="109"/>
      <c r="F405" s="109"/>
    </row>
    <row r="406">
      <c r="A406" s="131"/>
      <c r="B406" s="131"/>
      <c r="C406" s="131"/>
      <c r="D406" s="131"/>
      <c r="E406" s="109"/>
      <c r="F406" s="109"/>
    </row>
    <row r="407">
      <c r="A407" s="131"/>
      <c r="B407" s="131"/>
      <c r="C407" s="131"/>
      <c r="D407" s="131"/>
      <c r="E407" s="109"/>
      <c r="F407" s="109"/>
    </row>
    <row r="408">
      <c r="A408" s="131"/>
      <c r="B408" s="131"/>
      <c r="C408" s="131"/>
      <c r="D408" s="131"/>
      <c r="E408" s="109"/>
      <c r="F408" s="109"/>
    </row>
    <row r="409">
      <c r="A409" s="131"/>
      <c r="B409" s="131"/>
      <c r="C409" s="131"/>
      <c r="D409" s="131"/>
      <c r="E409" s="109"/>
      <c r="F409" s="109"/>
    </row>
    <row r="410">
      <c r="A410" s="131"/>
      <c r="B410" s="131"/>
      <c r="C410" s="131"/>
      <c r="D410" s="131"/>
      <c r="E410" s="109"/>
      <c r="F410" s="109"/>
    </row>
    <row r="411">
      <c r="A411" s="131"/>
      <c r="B411" s="131"/>
      <c r="C411" s="131"/>
      <c r="D411" s="131"/>
      <c r="E411" s="109"/>
      <c r="F411" s="109"/>
    </row>
    <row r="412">
      <c r="A412" s="131"/>
      <c r="B412" s="131"/>
      <c r="C412" s="131"/>
      <c r="D412" s="131"/>
      <c r="E412" s="109"/>
      <c r="F412" s="109"/>
    </row>
    <row r="413">
      <c r="A413" s="131"/>
      <c r="B413" s="131"/>
      <c r="C413" s="131"/>
      <c r="D413" s="131"/>
      <c r="E413" s="109"/>
      <c r="F413" s="109"/>
    </row>
    <row r="414">
      <c r="A414" s="131"/>
      <c r="B414" s="131"/>
      <c r="C414" s="131"/>
      <c r="D414" s="131"/>
      <c r="E414" s="109"/>
      <c r="F414" s="109"/>
    </row>
    <row r="415">
      <c r="A415" s="131"/>
      <c r="B415" s="131"/>
      <c r="C415" s="131"/>
      <c r="D415" s="131"/>
      <c r="E415" s="109"/>
      <c r="F415" s="109"/>
    </row>
    <row r="416">
      <c r="A416" s="131"/>
      <c r="B416" s="131"/>
      <c r="C416" s="131"/>
      <c r="D416" s="131"/>
      <c r="E416" s="131"/>
      <c r="F416" s="131"/>
    </row>
    <row r="417">
      <c r="A417" s="131"/>
      <c r="B417" s="131"/>
      <c r="C417" s="131"/>
      <c r="D417" s="131"/>
      <c r="E417" s="105"/>
      <c r="F417" s="105"/>
    </row>
    <row r="418">
      <c r="A418" s="131"/>
      <c r="B418" s="131"/>
      <c r="C418" s="131"/>
      <c r="D418" s="131"/>
      <c r="E418" s="107"/>
      <c r="F418" s="107"/>
    </row>
    <row r="419">
      <c r="A419" s="131"/>
      <c r="B419" s="131"/>
      <c r="C419" s="131"/>
      <c r="D419" s="131"/>
      <c r="E419" s="107"/>
      <c r="F419" s="107"/>
    </row>
    <row r="420">
      <c r="A420" s="131"/>
      <c r="B420" s="131"/>
      <c r="C420" s="131"/>
      <c r="D420" s="131"/>
      <c r="E420" s="107"/>
      <c r="F420" s="107"/>
    </row>
    <row r="421">
      <c r="A421" s="131"/>
      <c r="B421" s="131"/>
      <c r="C421" s="131"/>
      <c r="D421" s="131"/>
      <c r="E421" s="107"/>
      <c r="F421" s="107"/>
    </row>
    <row r="422">
      <c r="A422" s="131"/>
      <c r="B422" s="131"/>
      <c r="C422" s="131"/>
      <c r="D422" s="131"/>
      <c r="E422" s="107"/>
      <c r="F422" s="107"/>
    </row>
    <row r="423">
      <c r="A423" s="131"/>
      <c r="B423" s="131"/>
      <c r="C423" s="131"/>
      <c r="D423" s="131"/>
      <c r="E423" s="107"/>
      <c r="F423" s="107"/>
    </row>
    <row r="424">
      <c r="A424" s="131"/>
      <c r="B424" s="131"/>
      <c r="C424" s="131"/>
      <c r="D424" s="131"/>
      <c r="E424" s="107"/>
      <c r="F424" s="107"/>
    </row>
    <row r="425">
      <c r="A425" s="131"/>
      <c r="B425" s="131"/>
      <c r="C425" s="131"/>
      <c r="D425" s="131"/>
      <c r="E425" s="107"/>
      <c r="F425" s="107"/>
    </row>
    <row r="426">
      <c r="A426" s="131"/>
      <c r="B426" s="131"/>
      <c r="C426" s="131"/>
      <c r="D426" s="131"/>
      <c r="E426" s="107"/>
      <c r="F426" s="107"/>
    </row>
    <row r="427">
      <c r="A427" s="131"/>
      <c r="B427" s="131"/>
      <c r="C427" s="131"/>
      <c r="D427" s="131"/>
      <c r="E427" s="107"/>
      <c r="F427" s="107"/>
    </row>
    <row r="428">
      <c r="A428" s="131"/>
      <c r="B428" s="131"/>
      <c r="C428" s="131"/>
      <c r="D428" s="131"/>
      <c r="E428" s="107"/>
      <c r="F428" s="107"/>
    </row>
    <row r="429">
      <c r="A429" s="131"/>
      <c r="B429" s="131"/>
      <c r="C429" s="131"/>
      <c r="D429" s="131"/>
      <c r="E429" s="107"/>
      <c r="F429" s="107"/>
    </row>
    <row r="430">
      <c r="A430" s="131"/>
      <c r="B430" s="131"/>
      <c r="C430" s="131"/>
      <c r="D430" s="131"/>
      <c r="E430" s="107"/>
      <c r="F430" s="107"/>
    </row>
    <row r="431">
      <c r="A431" s="131"/>
      <c r="B431" s="131"/>
      <c r="C431" s="131"/>
      <c r="D431" s="131"/>
      <c r="E431" s="107"/>
      <c r="F431" s="107"/>
    </row>
    <row r="432">
      <c r="A432" s="131"/>
      <c r="B432" s="131"/>
      <c r="C432" s="131"/>
      <c r="D432" s="131"/>
      <c r="E432" s="107"/>
      <c r="F432" s="107"/>
    </row>
    <row r="433">
      <c r="A433" s="131"/>
      <c r="B433" s="131"/>
      <c r="C433" s="131"/>
      <c r="D433" s="131"/>
      <c r="E433" s="107"/>
      <c r="F433" s="107"/>
    </row>
    <row r="434">
      <c r="A434" s="131"/>
      <c r="B434" s="131"/>
      <c r="C434" s="131"/>
      <c r="D434" s="131"/>
      <c r="E434" s="107"/>
      <c r="F434" s="107"/>
    </row>
    <row r="435">
      <c r="A435" s="131"/>
      <c r="B435" s="131"/>
      <c r="C435" s="131"/>
      <c r="D435" s="131"/>
      <c r="E435" s="107"/>
      <c r="F435" s="107"/>
    </row>
    <row r="436">
      <c r="A436" s="131"/>
      <c r="B436" s="131"/>
      <c r="C436" s="131"/>
      <c r="D436" s="131"/>
      <c r="E436" s="107"/>
      <c r="F436" s="107"/>
    </row>
    <row r="437">
      <c r="A437" s="131"/>
      <c r="B437" s="131"/>
      <c r="C437" s="131"/>
      <c r="D437" s="131"/>
      <c r="E437" s="107"/>
      <c r="F437" s="107"/>
    </row>
    <row r="438">
      <c r="A438" s="131"/>
      <c r="B438" s="131"/>
      <c r="C438" s="131"/>
      <c r="D438" s="131"/>
      <c r="E438" s="107"/>
      <c r="F438" s="107"/>
    </row>
    <row r="439">
      <c r="A439" s="131"/>
      <c r="B439" s="131"/>
      <c r="C439" s="131"/>
      <c r="D439" s="131"/>
      <c r="E439" s="107"/>
      <c r="F439" s="107"/>
    </row>
    <row r="440">
      <c r="A440" s="131"/>
      <c r="B440" s="131"/>
      <c r="C440" s="131"/>
      <c r="D440" s="131"/>
      <c r="E440" s="107"/>
      <c r="F440" s="107"/>
    </row>
    <row r="441">
      <c r="A441" s="131"/>
      <c r="B441" s="131"/>
      <c r="C441" s="131"/>
      <c r="D441" s="131"/>
      <c r="E441" s="107"/>
      <c r="F441" s="107"/>
    </row>
    <row r="442">
      <c r="A442" s="131"/>
      <c r="B442" s="131"/>
      <c r="C442" s="131"/>
      <c r="D442" s="131"/>
      <c r="E442" s="107"/>
      <c r="F442" s="107"/>
    </row>
    <row r="443">
      <c r="A443" s="131"/>
      <c r="B443" s="131"/>
      <c r="C443" s="131"/>
      <c r="D443" s="131"/>
      <c r="E443" s="107"/>
      <c r="F443" s="107"/>
    </row>
    <row r="444">
      <c r="A444" s="131"/>
      <c r="B444" s="131"/>
      <c r="C444" s="131"/>
      <c r="D444" s="131"/>
      <c r="E444" s="107"/>
      <c r="F444" s="107"/>
    </row>
    <row r="445">
      <c r="A445" s="131"/>
      <c r="B445" s="131"/>
      <c r="C445" s="131"/>
      <c r="D445" s="131"/>
      <c r="E445" s="107"/>
      <c r="F445" s="107"/>
    </row>
    <row r="446">
      <c r="A446" s="131"/>
      <c r="B446" s="131"/>
      <c r="C446" s="131"/>
      <c r="D446" s="131"/>
      <c r="E446" s="107"/>
      <c r="F446" s="107"/>
    </row>
    <row r="447">
      <c r="A447" s="131"/>
      <c r="B447" s="131"/>
      <c r="C447" s="131"/>
      <c r="D447" s="131"/>
      <c r="E447" s="107"/>
      <c r="F447" s="107"/>
    </row>
    <row r="448">
      <c r="A448" s="131"/>
      <c r="B448" s="131"/>
      <c r="C448" s="131"/>
      <c r="D448" s="131"/>
      <c r="E448" s="107"/>
      <c r="F448" s="107"/>
    </row>
    <row r="449">
      <c r="A449" s="131"/>
      <c r="B449" s="131"/>
      <c r="C449" s="131"/>
      <c r="D449" s="131"/>
      <c r="E449" s="107"/>
      <c r="F449" s="107"/>
    </row>
    <row r="450">
      <c r="A450" s="131"/>
      <c r="B450" s="131"/>
      <c r="C450" s="131"/>
      <c r="D450" s="131"/>
      <c r="E450" s="107"/>
      <c r="F450" s="107"/>
    </row>
    <row r="451">
      <c r="A451" s="131"/>
      <c r="B451" s="131"/>
      <c r="C451" s="131"/>
      <c r="D451" s="131"/>
      <c r="E451" s="107"/>
      <c r="F451" s="107"/>
    </row>
    <row r="452">
      <c r="A452" s="131"/>
      <c r="B452" s="131"/>
      <c r="C452" s="131"/>
      <c r="D452" s="131"/>
      <c r="E452" s="107"/>
      <c r="F452" s="107"/>
    </row>
    <row r="453">
      <c r="A453" s="131"/>
      <c r="B453" s="131"/>
      <c r="C453" s="131"/>
      <c r="D453" s="131"/>
      <c r="E453" s="107"/>
      <c r="F453" s="107"/>
    </row>
    <row r="454">
      <c r="A454" s="131"/>
      <c r="B454" s="131"/>
      <c r="C454" s="131"/>
      <c r="D454" s="131"/>
      <c r="E454" s="116"/>
      <c r="F454" s="107"/>
    </row>
    <row r="455">
      <c r="A455" s="131"/>
      <c r="B455" s="131"/>
      <c r="C455" s="131"/>
      <c r="D455" s="131"/>
      <c r="E455" s="107"/>
      <c r="F455" s="107"/>
    </row>
    <row r="456">
      <c r="A456" s="131"/>
      <c r="B456" s="131"/>
      <c r="C456" s="131"/>
      <c r="D456" s="131"/>
      <c r="E456" s="107"/>
      <c r="F456" s="107"/>
    </row>
    <row r="457">
      <c r="A457" s="131"/>
      <c r="B457" s="131"/>
      <c r="C457" s="131"/>
      <c r="D457" s="131"/>
      <c r="E457" s="107"/>
      <c r="F457" s="107"/>
    </row>
    <row r="458">
      <c r="A458" s="131"/>
      <c r="B458" s="131"/>
      <c r="C458" s="131"/>
      <c r="D458" s="131"/>
      <c r="E458" s="107"/>
      <c r="F458" s="107"/>
    </row>
    <row r="459">
      <c r="A459" s="131"/>
      <c r="B459" s="131"/>
      <c r="C459" s="131"/>
      <c r="D459" s="131"/>
      <c r="E459" s="118"/>
      <c r="F459" s="107"/>
    </row>
    <row r="460">
      <c r="A460" s="131"/>
      <c r="B460" s="131"/>
      <c r="C460" s="131"/>
      <c r="D460" s="131"/>
      <c r="E460" s="118"/>
      <c r="F460" s="107"/>
    </row>
    <row r="461">
      <c r="A461" s="131"/>
      <c r="B461" s="131"/>
      <c r="C461" s="131"/>
      <c r="D461" s="131"/>
      <c r="E461" s="118"/>
      <c r="F461" s="107"/>
    </row>
    <row r="462">
      <c r="A462" s="131"/>
      <c r="B462" s="131"/>
      <c r="C462" s="131"/>
      <c r="D462" s="131"/>
      <c r="E462" s="118"/>
      <c r="F462" s="107"/>
    </row>
    <row r="463">
      <c r="A463" s="131"/>
      <c r="B463" s="131"/>
      <c r="C463" s="131"/>
      <c r="D463" s="131"/>
      <c r="E463" s="119"/>
      <c r="F463" s="119"/>
    </row>
    <row r="464">
      <c r="A464" s="131"/>
      <c r="B464" s="131"/>
      <c r="C464" s="131"/>
      <c r="D464" s="131"/>
      <c r="E464" s="107"/>
      <c r="F464" s="107"/>
    </row>
    <row r="465">
      <c r="A465" s="131"/>
      <c r="B465" s="131"/>
      <c r="C465" s="131"/>
      <c r="D465" s="131"/>
      <c r="E465" s="107"/>
      <c r="F465" s="107"/>
    </row>
    <row r="466">
      <c r="A466" s="131"/>
      <c r="B466" s="131"/>
      <c r="C466" s="131"/>
      <c r="D466" s="131"/>
      <c r="E466" s="107"/>
      <c r="F466" s="107"/>
    </row>
    <row r="467">
      <c r="A467" s="131"/>
      <c r="B467" s="131"/>
      <c r="C467" s="131"/>
      <c r="D467" s="131"/>
      <c r="E467" s="107"/>
      <c r="F467" s="107"/>
    </row>
    <row r="468">
      <c r="A468" s="131"/>
      <c r="B468" s="131"/>
      <c r="C468" s="131"/>
      <c r="D468" s="131"/>
      <c r="E468" s="107"/>
      <c r="F468" s="107"/>
    </row>
    <row r="469">
      <c r="A469" s="131"/>
      <c r="B469" s="131"/>
      <c r="C469" s="131"/>
      <c r="D469" s="131"/>
      <c r="E469" s="107"/>
      <c r="F469" s="107"/>
    </row>
    <row r="470">
      <c r="A470" s="131"/>
      <c r="B470" s="131"/>
      <c r="C470" s="131"/>
      <c r="D470" s="131"/>
      <c r="E470" s="107"/>
      <c r="F470" s="107"/>
    </row>
    <row r="471">
      <c r="A471" s="131"/>
      <c r="B471" s="131"/>
      <c r="C471" s="131"/>
      <c r="D471" s="131"/>
      <c r="E471" s="107"/>
      <c r="F471" s="107"/>
    </row>
    <row r="472">
      <c r="A472" s="131"/>
      <c r="B472" s="131"/>
      <c r="C472" s="131"/>
      <c r="D472" s="131"/>
      <c r="E472" s="107"/>
      <c r="F472" s="107"/>
    </row>
    <row r="473">
      <c r="A473" s="131"/>
      <c r="B473" s="131"/>
      <c r="C473" s="131"/>
      <c r="D473" s="131"/>
      <c r="E473" s="107"/>
      <c r="F473" s="107"/>
    </row>
    <row r="474">
      <c r="A474" s="131"/>
      <c r="B474" s="131"/>
      <c r="C474" s="131"/>
      <c r="D474" s="131"/>
      <c r="E474" s="107"/>
      <c r="F474" s="107"/>
    </row>
    <row r="475">
      <c r="A475" s="131"/>
      <c r="B475" s="131"/>
      <c r="C475" s="131"/>
      <c r="D475" s="131"/>
      <c r="E475" s="107"/>
      <c r="F475" s="107"/>
    </row>
    <row r="476">
      <c r="A476" s="131"/>
      <c r="B476" s="131"/>
      <c r="C476" s="131"/>
      <c r="D476" s="131"/>
      <c r="E476" s="107"/>
      <c r="F476" s="107"/>
    </row>
    <row r="477">
      <c r="A477" s="131"/>
      <c r="B477" s="131"/>
      <c r="C477" s="131"/>
      <c r="D477" s="131"/>
      <c r="E477" s="107"/>
      <c r="F477" s="107"/>
    </row>
    <row r="478">
      <c r="A478" s="131"/>
      <c r="B478" s="131"/>
      <c r="C478" s="131"/>
      <c r="D478" s="131"/>
      <c r="E478" s="107"/>
      <c r="F478" s="115"/>
    </row>
    <row r="479">
      <c r="A479" s="131"/>
      <c r="B479" s="131"/>
      <c r="C479" s="131"/>
      <c r="D479" s="131"/>
      <c r="E479" s="107"/>
      <c r="F479" s="107"/>
    </row>
    <row r="480">
      <c r="A480" s="131"/>
      <c r="B480" s="131"/>
      <c r="C480" s="131"/>
      <c r="D480" s="131"/>
      <c r="E480" s="131"/>
      <c r="F480" s="131"/>
    </row>
    <row r="481">
      <c r="A481" s="131"/>
      <c r="B481" s="131"/>
      <c r="C481" s="131"/>
      <c r="D481" s="131"/>
      <c r="E481" s="131"/>
      <c r="F481" s="131"/>
    </row>
    <row r="482">
      <c r="A482" s="131"/>
      <c r="B482" s="131"/>
      <c r="C482" s="131"/>
      <c r="D482" s="131"/>
      <c r="E482" s="131"/>
      <c r="F482" s="131"/>
    </row>
    <row r="483">
      <c r="A483" s="131"/>
      <c r="B483" s="131"/>
      <c r="C483" s="131"/>
      <c r="D483" s="131"/>
      <c r="E483" s="131"/>
      <c r="F483" s="131"/>
    </row>
    <row r="484">
      <c r="A484" s="131"/>
      <c r="B484" s="131"/>
      <c r="C484" s="131"/>
      <c r="D484" s="131"/>
      <c r="E484" s="131"/>
      <c r="F484" s="131"/>
    </row>
    <row r="485">
      <c r="A485" s="131"/>
      <c r="B485" s="131"/>
      <c r="C485" s="131"/>
      <c r="D485" s="131"/>
      <c r="E485" s="131"/>
      <c r="F485" s="131"/>
    </row>
    <row r="486">
      <c r="A486" s="131"/>
      <c r="B486" s="131"/>
      <c r="C486" s="131"/>
      <c r="D486" s="131"/>
      <c r="E486" s="131"/>
      <c r="F486" s="131"/>
    </row>
    <row r="487">
      <c r="A487" s="131"/>
      <c r="B487" s="131"/>
      <c r="C487" s="131"/>
      <c r="D487" s="131"/>
      <c r="E487" s="131"/>
      <c r="F487" s="131"/>
    </row>
    <row r="488">
      <c r="A488" s="131"/>
      <c r="B488" s="131"/>
      <c r="C488" s="131"/>
      <c r="D488" s="131"/>
      <c r="E488" s="131"/>
      <c r="F488" s="131"/>
    </row>
    <row r="489">
      <c r="A489" s="131"/>
      <c r="B489" s="131"/>
      <c r="C489" s="131"/>
      <c r="D489" s="131"/>
      <c r="E489" s="131"/>
      <c r="F489" s="131"/>
    </row>
    <row r="490">
      <c r="A490" s="131"/>
      <c r="B490" s="131"/>
      <c r="C490" s="131"/>
      <c r="D490" s="131"/>
      <c r="E490" s="131"/>
      <c r="F490" s="131"/>
    </row>
    <row r="491">
      <c r="A491" s="131"/>
      <c r="B491" s="131"/>
      <c r="C491" s="131"/>
      <c r="D491" s="131"/>
      <c r="E491" s="131"/>
      <c r="F491" s="131"/>
    </row>
    <row r="492">
      <c r="A492" s="131"/>
      <c r="B492" s="131"/>
      <c r="C492" s="131"/>
      <c r="D492" s="131"/>
      <c r="E492" s="131"/>
      <c r="F492" s="131"/>
    </row>
    <row r="493">
      <c r="A493" s="131"/>
      <c r="B493" s="131"/>
      <c r="C493" s="131"/>
      <c r="D493" s="131"/>
      <c r="E493" s="131"/>
      <c r="F493" s="131"/>
    </row>
    <row r="494">
      <c r="A494" s="131"/>
      <c r="B494" s="131"/>
      <c r="C494" s="131"/>
      <c r="D494" s="131"/>
      <c r="E494" s="131"/>
      <c r="F494" s="131"/>
    </row>
    <row r="495">
      <c r="A495" s="131"/>
      <c r="B495" s="131"/>
      <c r="C495" s="131"/>
      <c r="D495" s="131"/>
      <c r="E495" s="131"/>
      <c r="F495" s="131"/>
    </row>
    <row r="496">
      <c r="A496" s="131"/>
      <c r="B496" s="131"/>
      <c r="C496" s="131"/>
      <c r="D496" s="131"/>
      <c r="E496" s="131"/>
      <c r="F496" s="131"/>
    </row>
    <row r="497">
      <c r="A497" s="131"/>
      <c r="B497" s="131"/>
      <c r="C497" s="131"/>
      <c r="D497" s="131"/>
      <c r="E497" s="131"/>
      <c r="F497" s="131"/>
    </row>
    <row r="498">
      <c r="A498" s="131"/>
      <c r="B498" s="131"/>
      <c r="C498" s="131"/>
      <c r="D498" s="131"/>
      <c r="E498" s="131"/>
      <c r="F498" s="131"/>
    </row>
    <row r="499">
      <c r="A499" s="131"/>
      <c r="B499" s="131"/>
      <c r="C499" s="131"/>
      <c r="D499" s="131"/>
      <c r="E499" s="131"/>
      <c r="F499" s="131"/>
    </row>
    <row r="500">
      <c r="A500" s="86"/>
      <c r="B500" s="87"/>
      <c r="C500" s="131"/>
      <c r="D500" s="131"/>
      <c r="E500" s="131"/>
      <c r="F500" s="131"/>
      <c r="G500" s="88"/>
      <c r="L500" s="88"/>
      <c r="Q500" s="89"/>
    </row>
    <row r="501">
      <c r="A501" s="131"/>
      <c r="B501" s="131"/>
      <c r="C501" s="131"/>
      <c r="D501" s="131"/>
      <c r="E501" s="131"/>
      <c r="F501" s="131"/>
      <c r="G501" s="91"/>
      <c r="H501" s="92"/>
      <c r="I501" s="92"/>
      <c r="J501" s="93"/>
      <c r="K501" s="93"/>
      <c r="L501" s="93"/>
      <c r="M501" s="93"/>
      <c r="N501" s="93"/>
      <c r="O501" s="93"/>
      <c r="P501" s="93"/>
      <c r="Q501" s="90"/>
      <c r="R501" s="90"/>
      <c r="S501" s="90"/>
      <c r="T501" s="90"/>
      <c r="U501" s="90"/>
      <c r="V501" s="90"/>
      <c r="W501" s="90"/>
    </row>
    <row r="502">
      <c r="A502" s="131"/>
      <c r="B502" s="131"/>
      <c r="C502" s="131"/>
      <c r="D502" s="131"/>
      <c r="E502" s="94"/>
      <c r="F502" s="94"/>
    </row>
    <row r="503">
      <c r="A503" s="131"/>
      <c r="B503" s="131"/>
      <c r="C503" s="131"/>
      <c r="D503" s="131"/>
      <c r="E503" s="95"/>
      <c r="F503" s="96"/>
    </row>
    <row r="504">
      <c r="A504" s="131"/>
      <c r="B504" s="131"/>
      <c r="C504" s="131"/>
      <c r="D504" s="131"/>
      <c r="E504" s="95"/>
      <c r="F504" s="96"/>
    </row>
    <row r="505">
      <c r="A505" s="131"/>
      <c r="B505" s="131"/>
      <c r="C505" s="131"/>
      <c r="D505" s="131"/>
      <c r="E505" s="96"/>
      <c r="F505" s="96"/>
    </row>
    <row r="506">
      <c r="A506" s="131"/>
      <c r="B506" s="131"/>
      <c r="C506" s="131"/>
      <c r="D506" s="131"/>
      <c r="E506" s="96"/>
      <c r="F506" s="96"/>
    </row>
    <row r="507">
      <c r="A507" s="131"/>
      <c r="B507" s="131"/>
      <c r="C507" s="131"/>
      <c r="D507" s="131"/>
      <c r="E507" s="96"/>
      <c r="F507" s="96"/>
    </row>
    <row r="508">
      <c r="A508" s="131"/>
      <c r="B508" s="131"/>
      <c r="C508" s="131"/>
      <c r="D508" s="131"/>
      <c r="E508" s="96"/>
      <c r="F508" s="96"/>
    </row>
    <row r="509">
      <c r="A509" s="131"/>
      <c r="B509" s="131"/>
      <c r="C509" s="131"/>
      <c r="D509" s="131"/>
      <c r="E509" s="96"/>
      <c r="F509" s="96"/>
    </row>
    <row r="510">
      <c r="A510" s="131"/>
      <c r="B510" s="131"/>
      <c r="C510" s="131"/>
      <c r="D510" s="131"/>
      <c r="E510" s="96"/>
      <c r="F510" s="96"/>
    </row>
    <row r="511">
      <c r="A511" s="131"/>
      <c r="B511" s="131"/>
      <c r="C511" s="131"/>
      <c r="D511" s="131"/>
      <c r="E511" s="96"/>
      <c r="F511" s="96"/>
    </row>
    <row r="512">
      <c r="A512" s="131"/>
      <c r="B512" s="131"/>
      <c r="C512" s="131"/>
      <c r="D512" s="131"/>
      <c r="E512" s="96"/>
      <c r="F512" s="96"/>
    </row>
    <row r="513">
      <c r="A513" s="131"/>
      <c r="B513" s="131"/>
      <c r="C513" s="131"/>
      <c r="D513" s="131"/>
      <c r="E513" s="96"/>
      <c r="F513" s="96"/>
    </row>
    <row r="514">
      <c r="A514" s="131"/>
      <c r="B514" s="131"/>
      <c r="C514" s="131"/>
      <c r="D514" s="131"/>
      <c r="E514" s="96"/>
      <c r="F514" s="96"/>
    </row>
    <row r="515">
      <c r="A515" s="131"/>
      <c r="B515" s="131"/>
      <c r="C515" s="131"/>
      <c r="D515" s="131"/>
      <c r="E515" s="96"/>
      <c r="F515" s="96"/>
    </row>
    <row r="516">
      <c r="A516" s="131"/>
      <c r="B516" s="131"/>
      <c r="C516" s="131"/>
      <c r="D516" s="131"/>
      <c r="E516" s="97"/>
      <c r="F516" s="97"/>
    </row>
    <row r="517">
      <c r="A517" s="131"/>
      <c r="B517" s="131"/>
      <c r="C517" s="131"/>
      <c r="D517" s="131"/>
      <c r="E517" s="96"/>
      <c r="F517" s="96"/>
    </row>
    <row r="518">
      <c r="A518" s="131"/>
      <c r="B518" s="131"/>
      <c r="C518" s="131"/>
      <c r="D518" s="131"/>
      <c r="E518" s="96"/>
      <c r="F518" s="96"/>
    </row>
    <row r="519">
      <c r="A519" s="131"/>
      <c r="B519" s="131"/>
      <c r="C519" s="131"/>
      <c r="D519" s="131"/>
      <c r="E519" s="96"/>
      <c r="F519" s="96"/>
    </row>
    <row r="520">
      <c r="A520" s="131"/>
      <c r="B520" s="131"/>
      <c r="C520" s="131"/>
      <c r="D520" s="131"/>
      <c r="E520" s="96"/>
      <c r="F520" s="96"/>
    </row>
    <row r="521">
      <c r="A521" s="131"/>
      <c r="B521" s="131"/>
      <c r="C521" s="131"/>
      <c r="D521" s="131"/>
      <c r="E521" s="96"/>
      <c r="F521" s="96"/>
    </row>
    <row r="522">
      <c r="A522" s="131"/>
      <c r="B522" s="131"/>
      <c r="C522" s="131"/>
      <c r="D522" s="131"/>
      <c r="E522" s="96"/>
      <c r="F522" s="96"/>
    </row>
    <row r="523">
      <c r="A523" s="131"/>
      <c r="B523" s="131"/>
      <c r="C523" s="131"/>
      <c r="D523" s="131"/>
      <c r="E523" s="98"/>
      <c r="F523" s="96"/>
    </row>
    <row r="524">
      <c r="A524" s="131"/>
      <c r="B524" s="131"/>
      <c r="C524" s="131"/>
      <c r="D524" s="131"/>
      <c r="E524" s="99"/>
      <c r="F524" s="99"/>
    </row>
    <row r="525">
      <c r="A525" s="131"/>
      <c r="B525" s="131"/>
      <c r="C525" s="131"/>
      <c r="D525" s="131"/>
      <c r="E525" s="100"/>
      <c r="F525" s="100"/>
    </row>
    <row r="526">
      <c r="A526" s="131"/>
      <c r="B526" s="131"/>
      <c r="C526" s="131"/>
      <c r="D526" s="131"/>
      <c r="E526" s="100"/>
      <c r="F526" s="100"/>
    </row>
    <row r="527">
      <c r="A527" s="131"/>
      <c r="B527" s="131"/>
      <c r="C527" s="131"/>
      <c r="D527" s="131"/>
      <c r="E527" s="100"/>
      <c r="F527" s="100"/>
    </row>
    <row r="528">
      <c r="A528" s="131"/>
      <c r="B528" s="131"/>
      <c r="C528" s="131"/>
      <c r="D528" s="131"/>
      <c r="E528" s="100"/>
      <c r="F528" s="100"/>
    </row>
    <row r="529">
      <c r="A529" s="131"/>
      <c r="B529" s="131"/>
      <c r="C529" s="131"/>
      <c r="D529" s="131"/>
      <c r="E529" s="100"/>
      <c r="F529" s="100"/>
    </row>
    <row r="530">
      <c r="A530" s="131"/>
      <c r="B530" s="131"/>
      <c r="C530" s="131"/>
      <c r="D530" s="131"/>
      <c r="E530" s="100"/>
      <c r="F530" s="100"/>
    </row>
    <row r="531">
      <c r="A531" s="131"/>
      <c r="B531" s="131"/>
      <c r="C531" s="131"/>
      <c r="D531" s="131"/>
      <c r="E531" s="100"/>
      <c r="F531" s="100"/>
    </row>
    <row r="532">
      <c r="A532" s="131"/>
      <c r="B532" s="131"/>
      <c r="C532" s="131"/>
      <c r="D532" s="131"/>
      <c r="E532" s="101"/>
      <c r="F532" s="101"/>
    </row>
    <row r="533">
      <c r="A533" s="131"/>
      <c r="B533" s="131"/>
      <c r="C533" s="131"/>
      <c r="D533" s="131"/>
      <c r="E533" s="100"/>
      <c r="F533" s="100"/>
    </row>
    <row r="534">
      <c r="A534" s="131"/>
      <c r="B534" s="131"/>
      <c r="C534" s="131"/>
      <c r="D534" s="131"/>
      <c r="E534" s="100"/>
      <c r="F534" s="100"/>
    </row>
    <row r="535">
      <c r="A535" s="131"/>
      <c r="B535" s="131"/>
      <c r="C535" s="131"/>
      <c r="D535" s="131"/>
      <c r="E535" s="102"/>
      <c r="F535" s="102"/>
    </row>
    <row r="536">
      <c r="A536" s="131"/>
      <c r="B536" s="131"/>
      <c r="C536" s="131"/>
      <c r="D536" s="131"/>
      <c r="E536" s="103"/>
      <c r="F536" s="103"/>
    </row>
    <row r="537">
      <c r="A537" s="131"/>
      <c r="B537" s="131"/>
      <c r="C537" s="131"/>
      <c r="D537" s="131"/>
      <c r="E537" s="103"/>
      <c r="F537" s="103"/>
    </row>
    <row r="538">
      <c r="A538" s="131"/>
      <c r="B538" s="131"/>
      <c r="C538" s="131"/>
      <c r="D538" s="131"/>
      <c r="E538" s="102"/>
      <c r="F538" s="103"/>
    </row>
    <row r="539">
      <c r="A539" s="131"/>
      <c r="B539" s="131"/>
      <c r="C539" s="131"/>
      <c r="D539" s="131"/>
      <c r="E539" s="103"/>
      <c r="F539" s="103"/>
    </row>
    <row r="540">
      <c r="A540" s="131"/>
      <c r="B540" s="131"/>
      <c r="C540" s="131"/>
      <c r="D540" s="131"/>
      <c r="E540" s="103"/>
      <c r="F540" s="103"/>
    </row>
    <row r="541">
      <c r="A541" s="131"/>
      <c r="B541" s="131"/>
      <c r="C541" s="131"/>
      <c r="D541" s="131"/>
      <c r="E541" s="103"/>
      <c r="F541" s="103"/>
    </row>
    <row r="542">
      <c r="A542" s="131"/>
      <c r="B542" s="131"/>
      <c r="C542" s="131"/>
      <c r="D542" s="131"/>
      <c r="E542" s="103"/>
      <c r="F542" s="103"/>
    </row>
    <row r="543">
      <c r="A543" s="131"/>
      <c r="B543" s="131"/>
      <c r="C543" s="131"/>
      <c r="D543" s="131"/>
      <c r="E543" s="103"/>
      <c r="F543" s="103"/>
    </row>
    <row r="544">
      <c r="A544" s="131"/>
      <c r="B544" s="131"/>
      <c r="C544" s="131"/>
      <c r="D544" s="131"/>
      <c r="E544" s="103"/>
      <c r="F544" s="103"/>
    </row>
    <row r="545">
      <c r="A545" s="131"/>
      <c r="B545" s="131"/>
      <c r="C545" s="131"/>
      <c r="D545" s="131"/>
      <c r="E545" s="103"/>
      <c r="F545" s="103"/>
    </row>
    <row r="546">
      <c r="A546" s="131"/>
      <c r="B546" s="131"/>
      <c r="C546" s="131"/>
      <c r="D546" s="131"/>
      <c r="E546" s="103"/>
      <c r="F546" s="103"/>
    </row>
    <row r="547">
      <c r="A547" s="131"/>
      <c r="B547" s="131"/>
      <c r="C547" s="131"/>
      <c r="D547" s="131"/>
      <c r="E547" s="103"/>
      <c r="F547" s="103"/>
    </row>
    <row r="548">
      <c r="A548" s="131"/>
      <c r="B548" s="131"/>
      <c r="C548" s="131"/>
      <c r="D548" s="131"/>
      <c r="E548" s="103"/>
      <c r="F548" s="103"/>
    </row>
    <row r="549">
      <c r="A549" s="131"/>
      <c r="B549" s="131"/>
      <c r="C549" s="131"/>
      <c r="D549" s="131"/>
      <c r="E549" s="103"/>
      <c r="F549" s="103"/>
    </row>
    <row r="550">
      <c r="A550" s="131"/>
      <c r="B550" s="131"/>
      <c r="C550" s="131"/>
      <c r="D550" s="131"/>
      <c r="E550" s="103"/>
      <c r="F550" s="103"/>
    </row>
    <row r="551">
      <c r="A551" s="131"/>
      <c r="B551" s="131"/>
      <c r="C551" s="131"/>
      <c r="D551" s="131"/>
      <c r="E551" s="103"/>
      <c r="F551" s="103"/>
    </row>
    <row r="552">
      <c r="A552" s="131"/>
      <c r="B552" s="131"/>
      <c r="C552" s="131"/>
      <c r="D552" s="131"/>
      <c r="E552" s="103"/>
      <c r="F552" s="103"/>
    </row>
    <row r="553">
      <c r="A553" s="131"/>
      <c r="B553" s="131"/>
      <c r="C553" s="131"/>
      <c r="D553" s="131"/>
      <c r="E553" s="99"/>
      <c r="F553" s="99"/>
    </row>
    <row r="554">
      <c r="A554" s="131"/>
      <c r="B554" s="131"/>
      <c r="C554" s="131"/>
      <c r="D554" s="131"/>
      <c r="E554" s="100"/>
      <c r="F554" s="100"/>
    </row>
    <row r="555">
      <c r="A555" s="131"/>
      <c r="B555" s="131"/>
      <c r="C555" s="131"/>
      <c r="D555" s="131"/>
      <c r="E555" s="100"/>
      <c r="F555" s="100"/>
    </row>
    <row r="556">
      <c r="A556" s="131"/>
      <c r="B556" s="131"/>
      <c r="C556" s="131"/>
      <c r="D556" s="131"/>
      <c r="E556" s="100"/>
      <c r="F556" s="100"/>
    </row>
    <row r="557">
      <c r="A557" s="131"/>
      <c r="B557" s="131"/>
      <c r="C557" s="131"/>
      <c r="D557" s="131"/>
      <c r="E557" s="100"/>
      <c r="F557" s="100"/>
    </row>
    <row r="558">
      <c r="A558" s="131"/>
      <c r="B558" s="131"/>
      <c r="C558" s="131"/>
      <c r="D558" s="131"/>
      <c r="E558" s="100"/>
      <c r="F558" s="100"/>
    </row>
    <row r="559">
      <c r="A559" s="131"/>
      <c r="B559" s="131"/>
      <c r="C559" s="131"/>
      <c r="D559" s="131"/>
      <c r="E559" s="100"/>
      <c r="F559" s="100"/>
    </row>
    <row r="560">
      <c r="A560" s="131"/>
      <c r="B560" s="131"/>
      <c r="C560" s="131"/>
      <c r="D560" s="131"/>
      <c r="E560" s="100"/>
      <c r="F560" s="100"/>
    </row>
    <row r="561">
      <c r="A561" s="131"/>
      <c r="B561" s="131"/>
      <c r="C561" s="131"/>
      <c r="D561" s="131"/>
      <c r="E561" s="100"/>
      <c r="F561" s="100"/>
    </row>
    <row r="562">
      <c r="A562" s="131"/>
      <c r="B562" s="131"/>
      <c r="C562" s="131"/>
      <c r="D562" s="131"/>
      <c r="E562" s="100"/>
      <c r="F562" s="100"/>
    </row>
    <row r="563">
      <c r="A563" s="131"/>
      <c r="B563" s="131"/>
      <c r="C563" s="131"/>
      <c r="D563" s="131"/>
      <c r="E563" s="100"/>
      <c r="F563" s="100"/>
    </row>
    <row r="564">
      <c r="A564" s="131"/>
      <c r="B564" s="131"/>
      <c r="C564" s="131"/>
      <c r="D564" s="131"/>
      <c r="E564" s="99"/>
      <c r="F564" s="99"/>
    </row>
    <row r="565">
      <c r="A565" s="131"/>
      <c r="B565" s="131"/>
      <c r="C565" s="131"/>
      <c r="D565" s="131"/>
      <c r="E565" s="100"/>
      <c r="F565" s="100"/>
    </row>
    <row r="566">
      <c r="A566" s="131"/>
      <c r="B566" s="131"/>
      <c r="C566" s="131"/>
      <c r="D566" s="131"/>
      <c r="E566" s="100"/>
      <c r="F566" s="100"/>
    </row>
    <row r="567">
      <c r="A567" s="131"/>
      <c r="B567" s="131"/>
      <c r="C567" s="131"/>
      <c r="D567" s="131"/>
      <c r="E567" s="100"/>
      <c r="F567" s="100"/>
    </row>
    <row r="568">
      <c r="A568" s="131"/>
      <c r="B568" s="131"/>
      <c r="C568" s="131"/>
      <c r="D568" s="131"/>
      <c r="E568" s="100"/>
      <c r="F568" s="100"/>
    </row>
    <row r="569">
      <c r="A569" s="131"/>
      <c r="B569" s="131"/>
      <c r="C569" s="131"/>
      <c r="D569" s="131"/>
      <c r="E569" s="100"/>
      <c r="F569" s="100"/>
    </row>
    <row r="570">
      <c r="A570" s="131"/>
      <c r="B570" s="131"/>
      <c r="C570" s="131"/>
      <c r="D570" s="131"/>
      <c r="E570" s="100"/>
      <c r="F570" s="100"/>
    </row>
    <row r="571">
      <c r="A571" s="131"/>
      <c r="B571" s="131"/>
      <c r="C571" s="131"/>
      <c r="D571" s="131"/>
      <c r="E571" s="101"/>
      <c r="F571" s="101"/>
    </row>
    <row r="572">
      <c r="A572" s="131"/>
      <c r="B572" s="131"/>
      <c r="C572" s="131"/>
      <c r="D572" s="131"/>
      <c r="E572" s="101"/>
      <c r="F572" s="101"/>
    </row>
    <row r="573">
      <c r="A573" s="131"/>
      <c r="B573" s="131"/>
      <c r="C573" s="131"/>
      <c r="D573" s="131"/>
      <c r="E573" s="101"/>
      <c r="F573" s="101"/>
    </row>
    <row r="574">
      <c r="A574" s="131"/>
      <c r="B574" s="131"/>
      <c r="C574" s="131"/>
      <c r="D574" s="131"/>
      <c r="E574" s="101"/>
      <c r="F574" s="101"/>
    </row>
    <row r="575">
      <c r="A575" s="131"/>
      <c r="B575" s="131"/>
      <c r="C575" s="131"/>
      <c r="D575" s="131"/>
      <c r="E575" s="101"/>
      <c r="F575" s="101"/>
    </row>
    <row r="576">
      <c r="A576" s="131"/>
      <c r="B576" s="131"/>
      <c r="C576" s="131"/>
      <c r="D576" s="131"/>
      <c r="E576" s="101"/>
      <c r="F576" s="101"/>
    </row>
    <row r="577">
      <c r="A577" s="131"/>
      <c r="B577" s="131"/>
      <c r="C577" s="131"/>
      <c r="D577" s="131"/>
      <c r="E577" s="105"/>
      <c r="F577" s="105"/>
    </row>
    <row r="578">
      <c r="A578" s="131"/>
      <c r="B578" s="131"/>
      <c r="C578" s="131"/>
      <c r="D578" s="131"/>
      <c r="E578" s="106"/>
      <c r="F578" s="106"/>
    </row>
    <row r="579">
      <c r="A579" s="131"/>
      <c r="B579" s="131"/>
      <c r="C579" s="131"/>
      <c r="D579" s="131"/>
      <c r="E579" s="107"/>
      <c r="F579" s="107"/>
    </row>
    <row r="580">
      <c r="A580" s="131"/>
      <c r="B580" s="131"/>
      <c r="C580" s="131"/>
      <c r="D580" s="131"/>
      <c r="E580" s="107"/>
      <c r="F580" s="107"/>
    </row>
    <row r="581">
      <c r="A581" s="131"/>
      <c r="B581" s="131"/>
      <c r="C581" s="131"/>
      <c r="D581" s="131"/>
      <c r="E581" s="108"/>
      <c r="F581" s="108"/>
    </row>
    <row r="582">
      <c r="A582" s="131"/>
      <c r="B582" s="131"/>
      <c r="C582" s="131"/>
      <c r="D582" s="131"/>
      <c r="E582" s="107"/>
      <c r="F582" s="107"/>
    </row>
    <row r="583">
      <c r="A583" s="131"/>
      <c r="B583" s="131"/>
      <c r="C583" s="131"/>
      <c r="D583" s="131"/>
      <c r="E583" s="106"/>
      <c r="F583" s="106"/>
    </row>
    <row r="584">
      <c r="A584" s="131"/>
      <c r="B584" s="131"/>
      <c r="C584" s="131"/>
      <c r="D584" s="131"/>
      <c r="E584" s="107"/>
      <c r="F584" s="107"/>
    </row>
    <row r="585">
      <c r="A585" s="131"/>
      <c r="B585" s="131"/>
      <c r="C585" s="131"/>
      <c r="D585" s="131"/>
      <c r="E585" s="107"/>
      <c r="F585" s="107"/>
    </row>
    <row r="586">
      <c r="A586" s="131"/>
      <c r="B586" s="131"/>
      <c r="C586" s="131"/>
      <c r="D586" s="131"/>
      <c r="E586" s="107"/>
      <c r="F586" s="107"/>
    </row>
    <row r="587">
      <c r="A587" s="131"/>
      <c r="B587" s="131"/>
      <c r="C587" s="131"/>
      <c r="D587" s="131"/>
      <c r="E587" s="107"/>
      <c r="F587" s="107"/>
    </row>
    <row r="588">
      <c r="A588" s="131"/>
      <c r="B588" s="131"/>
      <c r="C588" s="131"/>
      <c r="D588" s="131"/>
      <c r="E588" s="106"/>
      <c r="F588" s="106"/>
    </row>
    <row r="589">
      <c r="A589" s="131"/>
      <c r="B589" s="131"/>
      <c r="C589" s="131"/>
      <c r="D589" s="131"/>
      <c r="E589" s="107"/>
      <c r="F589" s="107"/>
    </row>
    <row r="590">
      <c r="A590" s="131"/>
      <c r="B590" s="131"/>
      <c r="C590" s="131"/>
      <c r="D590" s="131"/>
      <c r="E590" s="109"/>
      <c r="F590" s="109"/>
    </row>
    <row r="591">
      <c r="A591" s="131"/>
      <c r="B591" s="131"/>
      <c r="C591" s="131"/>
      <c r="D591" s="131"/>
      <c r="E591" s="110"/>
      <c r="F591" s="110"/>
    </row>
    <row r="592">
      <c r="A592" s="131"/>
      <c r="B592" s="131"/>
      <c r="C592" s="131"/>
      <c r="D592" s="131"/>
      <c r="E592" s="110"/>
      <c r="F592" s="110"/>
    </row>
    <row r="593">
      <c r="A593" s="131"/>
      <c r="B593" s="131"/>
      <c r="C593" s="131"/>
      <c r="D593" s="131"/>
      <c r="E593" s="111"/>
      <c r="F593" s="111"/>
    </row>
    <row r="594">
      <c r="A594" s="131"/>
      <c r="B594" s="131"/>
      <c r="C594" s="131"/>
      <c r="D594" s="131"/>
      <c r="E594" s="112"/>
      <c r="F594" s="112"/>
    </row>
    <row r="595">
      <c r="A595" s="131"/>
      <c r="B595" s="131"/>
      <c r="C595" s="131"/>
      <c r="D595" s="131"/>
      <c r="E595" s="112"/>
      <c r="F595" s="112"/>
    </row>
    <row r="596">
      <c r="A596" s="131"/>
      <c r="B596" s="131"/>
      <c r="C596" s="131"/>
      <c r="D596" s="131"/>
      <c r="E596" s="112"/>
      <c r="F596" s="112"/>
    </row>
    <row r="597">
      <c r="A597" s="131"/>
      <c r="B597" s="131"/>
      <c r="C597" s="131"/>
      <c r="D597" s="131"/>
      <c r="E597" s="112"/>
      <c r="F597" s="112"/>
    </row>
    <row r="598">
      <c r="A598" s="131"/>
      <c r="B598" s="131"/>
      <c r="C598" s="131"/>
      <c r="D598" s="131"/>
      <c r="E598" s="113"/>
      <c r="F598" s="110"/>
    </row>
    <row r="599">
      <c r="A599" s="131"/>
      <c r="B599" s="131"/>
      <c r="C599" s="131"/>
      <c r="D599" s="131"/>
      <c r="E599" s="114"/>
      <c r="F599" s="114"/>
    </row>
    <row r="600">
      <c r="A600" s="131"/>
      <c r="B600" s="131"/>
      <c r="C600" s="131"/>
      <c r="D600" s="131"/>
      <c r="E600" s="114"/>
      <c r="F600" s="114"/>
    </row>
    <row r="601">
      <c r="A601" s="131"/>
      <c r="B601" s="131"/>
      <c r="C601" s="131"/>
      <c r="D601" s="131"/>
      <c r="E601" s="114"/>
      <c r="F601" s="114"/>
    </row>
    <row r="602">
      <c r="A602" s="131"/>
      <c r="B602" s="131"/>
      <c r="C602" s="131"/>
      <c r="D602" s="131"/>
      <c r="E602" s="114"/>
      <c r="F602" s="114"/>
    </row>
    <row r="603">
      <c r="A603" s="131"/>
      <c r="B603" s="131"/>
      <c r="C603" s="131"/>
      <c r="D603" s="131"/>
      <c r="E603" s="114"/>
      <c r="F603" s="114"/>
    </row>
    <row r="604">
      <c r="A604" s="131"/>
      <c r="B604" s="131"/>
      <c r="C604" s="131"/>
      <c r="D604" s="131"/>
      <c r="E604" s="114"/>
      <c r="F604" s="114"/>
    </row>
    <row r="605">
      <c r="A605" s="131"/>
      <c r="B605" s="131"/>
      <c r="C605" s="131"/>
      <c r="D605" s="131"/>
      <c r="E605" s="114"/>
      <c r="F605" s="114"/>
    </row>
    <row r="606">
      <c r="A606" s="131"/>
      <c r="B606" s="131"/>
      <c r="C606" s="131"/>
      <c r="D606" s="131"/>
      <c r="E606" s="114"/>
      <c r="F606" s="114"/>
    </row>
    <row r="607">
      <c r="A607" s="131"/>
      <c r="B607" s="131"/>
      <c r="C607" s="131"/>
      <c r="D607" s="131"/>
      <c r="E607" s="114"/>
      <c r="F607" s="114"/>
    </row>
    <row r="608">
      <c r="A608" s="131"/>
      <c r="B608" s="131"/>
      <c r="C608" s="131"/>
      <c r="D608" s="131"/>
      <c r="E608" s="114"/>
      <c r="F608" s="114"/>
    </row>
    <row r="609">
      <c r="A609" s="131"/>
      <c r="B609" s="131"/>
      <c r="C609" s="131"/>
      <c r="D609" s="131"/>
      <c r="E609" s="114"/>
      <c r="F609" s="114"/>
    </row>
    <row r="610">
      <c r="A610" s="131"/>
      <c r="B610" s="131"/>
      <c r="C610" s="131"/>
      <c r="D610" s="131"/>
      <c r="E610" s="114"/>
      <c r="F610" s="114"/>
    </row>
    <row r="611">
      <c r="A611" s="131"/>
      <c r="B611" s="131"/>
      <c r="C611" s="131"/>
      <c r="D611" s="131"/>
      <c r="E611" s="114"/>
      <c r="F611" s="114"/>
    </row>
    <row r="612">
      <c r="A612" s="131"/>
      <c r="B612" s="131"/>
      <c r="C612" s="131"/>
      <c r="D612" s="131"/>
      <c r="E612" s="114"/>
      <c r="F612" s="114"/>
    </row>
    <row r="613">
      <c r="A613" s="131"/>
      <c r="B613" s="131"/>
      <c r="C613" s="131"/>
      <c r="D613" s="131"/>
      <c r="E613" s="114"/>
      <c r="F613" s="114"/>
    </row>
    <row r="614">
      <c r="A614" s="131"/>
      <c r="B614" s="131"/>
      <c r="C614" s="131"/>
      <c r="D614" s="131"/>
      <c r="E614" s="114"/>
      <c r="F614" s="114"/>
    </row>
    <row r="615">
      <c r="A615" s="131"/>
      <c r="B615" s="131"/>
      <c r="C615" s="131"/>
      <c r="D615" s="131"/>
      <c r="E615" s="114"/>
      <c r="F615" s="114"/>
    </row>
    <row r="616">
      <c r="A616" s="131"/>
      <c r="B616" s="131"/>
      <c r="C616" s="131"/>
      <c r="D616" s="131"/>
      <c r="E616" s="114"/>
      <c r="F616" s="114"/>
    </row>
    <row r="617">
      <c r="A617" s="131"/>
      <c r="B617" s="131"/>
      <c r="C617" s="131"/>
      <c r="D617" s="131"/>
      <c r="E617" s="114"/>
      <c r="F617" s="114"/>
    </row>
    <row r="618">
      <c r="A618" s="131"/>
      <c r="B618" s="131"/>
      <c r="C618" s="131"/>
      <c r="D618" s="131"/>
      <c r="E618" s="114"/>
      <c r="F618" s="114"/>
    </row>
    <row r="619">
      <c r="A619" s="131"/>
      <c r="B619" s="131"/>
      <c r="C619" s="131"/>
      <c r="D619" s="131"/>
      <c r="E619" s="131"/>
      <c r="F619" s="131"/>
    </row>
    <row r="620">
      <c r="A620" s="131"/>
      <c r="B620" s="131"/>
      <c r="C620" s="131"/>
      <c r="D620" s="131"/>
      <c r="E620" s="105"/>
      <c r="F620" s="105"/>
    </row>
    <row r="621">
      <c r="A621" s="131"/>
      <c r="B621" s="131"/>
      <c r="C621" s="131"/>
      <c r="D621" s="131"/>
      <c r="E621" s="115"/>
      <c r="F621" s="107"/>
    </row>
    <row r="622">
      <c r="A622" s="131"/>
      <c r="B622" s="131"/>
      <c r="C622" s="131"/>
      <c r="D622" s="131"/>
      <c r="E622" s="107"/>
      <c r="F622" s="107"/>
    </row>
    <row r="623">
      <c r="A623" s="131"/>
      <c r="B623" s="131"/>
      <c r="C623" s="131"/>
      <c r="D623" s="131"/>
      <c r="E623" s="116"/>
      <c r="F623" s="107"/>
    </row>
    <row r="624">
      <c r="A624" s="131"/>
      <c r="B624" s="131"/>
      <c r="C624" s="131"/>
      <c r="D624" s="131"/>
      <c r="E624" s="107"/>
      <c r="F624" s="107"/>
    </row>
    <row r="625">
      <c r="A625" s="131"/>
      <c r="B625" s="131"/>
      <c r="C625" s="131"/>
      <c r="D625" s="131"/>
      <c r="E625" s="107"/>
      <c r="F625" s="107"/>
    </row>
    <row r="626">
      <c r="A626" s="131"/>
      <c r="B626" s="131"/>
      <c r="C626" s="131"/>
      <c r="D626" s="131"/>
      <c r="E626" s="107"/>
      <c r="F626" s="107"/>
    </row>
    <row r="627">
      <c r="A627" s="131"/>
      <c r="B627" s="131"/>
      <c r="C627" s="131"/>
      <c r="D627" s="131"/>
      <c r="E627" s="107"/>
      <c r="F627" s="107"/>
    </row>
    <row r="628">
      <c r="A628" s="131"/>
      <c r="B628" s="131"/>
      <c r="C628" s="131"/>
      <c r="D628" s="131"/>
      <c r="E628" s="107"/>
      <c r="F628" s="107"/>
    </row>
    <row r="629">
      <c r="A629" s="131"/>
      <c r="B629" s="131"/>
      <c r="C629" s="131"/>
      <c r="D629" s="131"/>
      <c r="E629" s="107"/>
      <c r="F629" s="107"/>
    </row>
    <row r="630">
      <c r="A630" s="131"/>
      <c r="B630" s="131"/>
      <c r="C630" s="131"/>
      <c r="D630" s="131"/>
      <c r="E630" s="107"/>
      <c r="F630" s="107"/>
    </row>
    <row r="631">
      <c r="A631" s="131"/>
      <c r="B631" s="131"/>
      <c r="C631" s="131"/>
      <c r="D631" s="131"/>
      <c r="E631" s="107"/>
      <c r="F631" s="107"/>
    </row>
    <row r="632">
      <c r="A632" s="131"/>
      <c r="B632" s="131"/>
      <c r="C632" s="131"/>
      <c r="D632" s="131"/>
      <c r="E632" s="107"/>
      <c r="F632" s="107"/>
    </row>
    <row r="633">
      <c r="A633" s="131"/>
      <c r="B633" s="131"/>
      <c r="C633" s="131"/>
      <c r="D633" s="131"/>
      <c r="E633" s="107"/>
      <c r="F633" s="107"/>
    </row>
    <row r="634">
      <c r="A634" s="131"/>
      <c r="B634" s="131"/>
      <c r="C634" s="131"/>
      <c r="D634" s="131"/>
      <c r="E634" s="107"/>
      <c r="F634" s="107"/>
    </row>
    <row r="635">
      <c r="A635" s="131"/>
      <c r="B635" s="131"/>
      <c r="C635" s="131"/>
      <c r="D635" s="131"/>
      <c r="E635" s="107"/>
      <c r="F635" s="107"/>
    </row>
    <row r="636">
      <c r="A636" s="131"/>
      <c r="B636" s="131"/>
      <c r="C636" s="131"/>
      <c r="D636" s="131"/>
      <c r="E636" s="107"/>
      <c r="F636" s="107"/>
    </row>
    <row r="637">
      <c r="A637" s="131"/>
      <c r="B637" s="131"/>
      <c r="C637" s="131"/>
      <c r="D637" s="131"/>
      <c r="E637" s="107"/>
      <c r="F637" s="107"/>
    </row>
    <row r="638">
      <c r="A638" s="131"/>
      <c r="B638" s="131"/>
      <c r="C638" s="131"/>
      <c r="D638" s="131"/>
      <c r="E638" s="98"/>
      <c r="F638" s="107"/>
    </row>
    <row r="639">
      <c r="A639" s="131"/>
      <c r="B639" s="131"/>
      <c r="C639" s="131"/>
      <c r="D639" s="131"/>
      <c r="E639" s="131"/>
      <c r="F639" s="131"/>
    </row>
    <row r="640">
      <c r="A640" s="131"/>
      <c r="B640" s="131"/>
      <c r="C640" s="131"/>
      <c r="D640" s="131"/>
      <c r="E640" s="105"/>
      <c r="F640" s="105"/>
    </row>
    <row r="641">
      <c r="A641" s="131"/>
      <c r="B641" s="131"/>
      <c r="C641" s="131"/>
      <c r="D641" s="131"/>
      <c r="E641" s="109"/>
      <c r="F641" s="109"/>
    </row>
    <row r="642">
      <c r="A642" s="131"/>
      <c r="B642" s="131"/>
      <c r="C642" s="131"/>
      <c r="D642" s="131"/>
      <c r="E642" s="109"/>
      <c r="F642" s="109"/>
    </row>
    <row r="643">
      <c r="A643" s="131"/>
      <c r="B643" s="131"/>
      <c r="C643" s="131"/>
      <c r="D643" s="131"/>
      <c r="E643" s="109"/>
      <c r="F643" s="109"/>
    </row>
    <row r="644">
      <c r="A644" s="131"/>
      <c r="B644" s="131"/>
      <c r="C644" s="131"/>
      <c r="D644" s="131"/>
      <c r="E644" s="109"/>
      <c r="F644" s="109"/>
    </row>
    <row r="645">
      <c r="A645" s="131"/>
      <c r="B645" s="131"/>
      <c r="C645" s="131"/>
      <c r="D645" s="131"/>
      <c r="E645" s="109"/>
      <c r="F645" s="109"/>
    </row>
    <row r="646">
      <c r="A646" s="131"/>
      <c r="B646" s="131"/>
      <c r="C646" s="131"/>
      <c r="D646" s="131"/>
      <c r="E646" s="109"/>
      <c r="F646" s="109"/>
    </row>
    <row r="647">
      <c r="A647" s="131"/>
      <c r="B647" s="131"/>
      <c r="C647" s="131"/>
      <c r="D647" s="131"/>
      <c r="E647" s="109"/>
      <c r="F647" s="109"/>
    </row>
    <row r="648">
      <c r="A648" s="131"/>
      <c r="B648" s="131"/>
      <c r="C648" s="131"/>
      <c r="D648" s="131"/>
      <c r="E648" s="109"/>
      <c r="F648" s="109"/>
    </row>
    <row r="649">
      <c r="A649" s="131"/>
      <c r="B649" s="131"/>
      <c r="C649" s="131"/>
      <c r="D649" s="131"/>
      <c r="E649" s="109"/>
      <c r="F649" s="109"/>
    </row>
    <row r="650">
      <c r="A650" s="131"/>
      <c r="B650" s="131"/>
      <c r="C650" s="131"/>
      <c r="D650" s="131"/>
      <c r="E650" s="109"/>
      <c r="F650" s="109"/>
    </row>
    <row r="651">
      <c r="A651" s="131"/>
      <c r="B651" s="131"/>
      <c r="C651" s="131"/>
      <c r="D651" s="131"/>
      <c r="E651" s="109"/>
      <c r="F651" s="109"/>
    </row>
    <row r="652">
      <c r="A652" s="131"/>
      <c r="B652" s="131"/>
      <c r="C652" s="131"/>
      <c r="D652" s="131"/>
      <c r="E652" s="109"/>
      <c r="F652" s="109"/>
    </row>
    <row r="653">
      <c r="A653" s="131"/>
      <c r="B653" s="131"/>
      <c r="C653" s="131"/>
      <c r="D653" s="131"/>
      <c r="E653" s="109"/>
      <c r="F653" s="109"/>
    </row>
    <row r="654">
      <c r="A654" s="131"/>
      <c r="B654" s="131"/>
      <c r="C654" s="131"/>
      <c r="D654" s="131"/>
      <c r="E654" s="109"/>
      <c r="F654" s="109"/>
    </row>
    <row r="655">
      <c r="A655" s="131"/>
      <c r="B655" s="131"/>
      <c r="C655" s="131"/>
      <c r="D655" s="131"/>
      <c r="E655" s="109"/>
      <c r="F655" s="109"/>
    </row>
    <row r="656">
      <c r="A656" s="131"/>
      <c r="B656" s="131"/>
      <c r="C656" s="131"/>
      <c r="D656" s="131"/>
      <c r="E656" s="109"/>
      <c r="F656" s="109"/>
    </row>
    <row r="657">
      <c r="A657" s="131"/>
      <c r="B657" s="131"/>
      <c r="C657" s="131"/>
      <c r="D657" s="131"/>
      <c r="E657" s="109"/>
      <c r="F657" s="109"/>
    </row>
    <row r="658">
      <c r="A658" s="131"/>
      <c r="B658" s="131"/>
      <c r="C658" s="131"/>
      <c r="D658" s="131"/>
      <c r="E658" s="109"/>
      <c r="F658" s="109"/>
    </row>
    <row r="659">
      <c r="A659" s="131"/>
      <c r="B659" s="131"/>
      <c r="C659" s="131"/>
      <c r="D659" s="131"/>
      <c r="E659" s="109"/>
      <c r="F659" s="109"/>
    </row>
    <row r="660">
      <c r="A660" s="131"/>
      <c r="B660" s="131"/>
      <c r="C660" s="131"/>
      <c r="D660" s="131"/>
      <c r="E660" s="109"/>
      <c r="F660" s="109"/>
    </row>
    <row r="661">
      <c r="A661" s="131"/>
      <c r="B661" s="131"/>
      <c r="C661" s="131"/>
      <c r="D661" s="131"/>
      <c r="E661" s="109"/>
      <c r="F661" s="109"/>
    </row>
    <row r="662">
      <c r="A662" s="131"/>
      <c r="B662" s="131"/>
      <c r="C662" s="131"/>
      <c r="D662" s="131"/>
      <c r="E662" s="109"/>
      <c r="F662" s="109"/>
    </row>
    <row r="663">
      <c r="A663" s="131"/>
      <c r="B663" s="131"/>
      <c r="C663" s="131"/>
      <c r="D663" s="131"/>
      <c r="E663" s="109"/>
      <c r="F663" s="109"/>
    </row>
    <row r="664">
      <c r="A664" s="131"/>
      <c r="B664" s="131"/>
      <c r="C664" s="131"/>
      <c r="D664" s="131"/>
      <c r="E664" s="109"/>
      <c r="F664" s="109"/>
    </row>
    <row r="665">
      <c r="A665" s="131"/>
      <c r="B665" s="131"/>
      <c r="C665" s="131"/>
      <c r="D665" s="131"/>
      <c r="E665" s="109"/>
      <c r="F665" s="109"/>
    </row>
    <row r="666">
      <c r="A666" s="131"/>
      <c r="B666" s="131"/>
      <c r="C666" s="131"/>
      <c r="D666" s="131"/>
      <c r="E666" s="131"/>
      <c r="F666" s="131"/>
    </row>
    <row r="667">
      <c r="A667" s="131"/>
      <c r="B667" s="131"/>
      <c r="C667" s="131"/>
      <c r="D667" s="131"/>
      <c r="E667" s="105"/>
      <c r="F667" s="105"/>
    </row>
    <row r="668">
      <c r="A668" s="131"/>
      <c r="B668" s="131"/>
      <c r="C668" s="131"/>
      <c r="D668" s="131"/>
      <c r="E668" s="107"/>
      <c r="F668" s="107"/>
    </row>
    <row r="669">
      <c r="A669" s="131"/>
      <c r="B669" s="131"/>
      <c r="C669" s="131"/>
      <c r="D669" s="131"/>
      <c r="E669" s="107"/>
      <c r="F669" s="107"/>
    </row>
    <row r="670">
      <c r="A670" s="131"/>
      <c r="B670" s="131"/>
      <c r="C670" s="131"/>
      <c r="D670" s="131"/>
      <c r="E670" s="107"/>
      <c r="F670" s="107"/>
    </row>
    <row r="671">
      <c r="A671" s="131"/>
      <c r="B671" s="131"/>
      <c r="C671" s="131"/>
      <c r="D671" s="131"/>
      <c r="E671" s="107"/>
      <c r="F671" s="107"/>
    </row>
    <row r="672">
      <c r="A672" s="131"/>
      <c r="B672" s="131"/>
      <c r="C672" s="131"/>
      <c r="D672" s="131"/>
      <c r="E672" s="107"/>
      <c r="F672" s="107"/>
    </row>
    <row r="673">
      <c r="A673" s="131"/>
      <c r="B673" s="131"/>
      <c r="C673" s="131"/>
      <c r="D673" s="131"/>
      <c r="E673" s="107"/>
      <c r="F673" s="107"/>
    </row>
    <row r="674">
      <c r="A674" s="131"/>
      <c r="B674" s="131"/>
      <c r="C674" s="131"/>
      <c r="D674" s="131"/>
      <c r="E674" s="107"/>
      <c r="F674" s="107"/>
    </row>
    <row r="675">
      <c r="A675" s="131"/>
      <c r="B675" s="131"/>
      <c r="C675" s="131"/>
      <c r="D675" s="131"/>
      <c r="E675" s="107"/>
      <c r="F675" s="107"/>
    </row>
    <row r="676">
      <c r="A676" s="131"/>
      <c r="B676" s="131"/>
      <c r="C676" s="131"/>
      <c r="D676" s="131"/>
      <c r="E676" s="107"/>
      <c r="F676" s="107"/>
    </row>
    <row r="677">
      <c r="A677" s="131"/>
      <c r="B677" s="131"/>
      <c r="C677" s="131"/>
      <c r="D677" s="131"/>
      <c r="E677" s="107"/>
      <c r="F677" s="107"/>
    </row>
    <row r="678">
      <c r="A678" s="131"/>
      <c r="B678" s="131"/>
      <c r="C678" s="131"/>
      <c r="D678" s="131"/>
      <c r="E678" s="107"/>
      <c r="F678" s="107"/>
    </row>
    <row r="679">
      <c r="A679" s="131"/>
      <c r="B679" s="131"/>
      <c r="C679" s="131"/>
      <c r="D679" s="131"/>
      <c r="E679" s="107"/>
      <c r="F679" s="107"/>
    </row>
    <row r="680">
      <c r="A680" s="131"/>
      <c r="B680" s="131"/>
      <c r="C680" s="131"/>
      <c r="D680" s="131"/>
      <c r="E680" s="107"/>
      <c r="F680" s="107"/>
    </row>
    <row r="681">
      <c r="A681" s="131"/>
      <c r="B681" s="131"/>
      <c r="C681" s="131"/>
      <c r="D681" s="131"/>
      <c r="E681" s="107"/>
      <c r="F681" s="107"/>
    </row>
    <row r="682">
      <c r="A682" s="131"/>
      <c r="B682" s="131"/>
      <c r="C682" s="131"/>
      <c r="D682" s="131"/>
      <c r="E682" s="107"/>
      <c r="F682" s="107"/>
    </row>
    <row r="683">
      <c r="A683" s="131"/>
      <c r="B683" s="131"/>
      <c r="C683" s="131"/>
      <c r="D683" s="131"/>
      <c r="E683" s="107"/>
      <c r="F683" s="107"/>
    </row>
    <row r="684">
      <c r="A684" s="131"/>
      <c r="B684" s="131"/>
      <c r="C684" s="131"/>
      <c r="D684" s="131"/>
      <c r="E684" s="107"/>
      <c r="F684" s="107"/>
    </row>
    <row r="685">
      <c r="A685" s="131"/>
      <c r="B685" s="131"/>
      <c r="C685" s="131"/>
      <c r="D685" s="131"/>
      <c r="E685" s="107"/>
      <c r="F685" s="107"/>
    </row>
    <row r="686">
      <c r="A686" s="131"/>
      <c r="B686" s="131"/>
      <c r="C686" s="131"/>
      <c r="D686" s="131"/>
      <c r="E686" s="107"/>
      <c r="F686" s="107"/>
    </row>
    <row r="687">
      <c r="A687" s="131"/>
      <c r="B687" s="131"/>
      <c r="C687" s="131"/>
      <c r="D687" s="131"/>
      <c r="E687" s="107"/>
      <c r="F687" s="107"/>
    </row>
    <row r="688">
      <c r="A688" s="131"/>
      <c r="B688" s="131"/>
      <c r="C688" s="131"/>
      <c r="D688" s="131"/>
      <c r="E688" s="107"/>
      <c r="F688" s="107"/>
    </row>
    <row r="689">
      <c r="A689" s="131"/>
      <c r="B689" s="131"/>
      <c r="C689" s="131"/>
      <c r="D689" s="131"/>
      <c r="E689" s="107"/>
      <c r="F689" s="107"/>
    </row>
    <row r="690">
      <c r="A690" s="131"/>
      <c r="B690" s="131"/>
      <c r="C690" s="131"/>
      <c r="D690" s="131"/>
      <c r="E690" s="107"/>
      <c r="F690" s="107"/>
    </row>
    <row r="691">
      <c r="A691" s="131"/>
      <c r="B691" s="131"/>
      <c r="C691" s="131"/>
      <c r="D691" s="131"/>
      <c r="E691" s="107"/>
      <c r="F691" s="107"/>
    </row>
    <row r="692">
      <c r="A692" s="131"/>
      <c r="B692" s="131"/>
      <c r="C692" s="131"/>
      <c r="D692" s="131"/>
      <c r="E692" s="107"/>
      <c r="F692" s="107"/>
    </row>
    <row r="693">
      <c r="A693" s="131"/>
      <c r="B693" s="131"/>
      <c r="C693" s="131"/>
      <c r="D693" s="131"/>
      <c r="E693" s="107"/>
      <c r="F693" s="107"/>
    </row>
    <row r="694">
      <c r="A694" s="131"/>
      <c r="B694" s="131"/>
      <c r="C694" s="131"/>
      <c r="D694" s="131"/>
      <c r="E694" s="107"/>
      <c r="F694" s="107"/>
    </row>
    <row r="695">
      <c r="A695" s="131"/>
      <c r="B695" s="131"/>
      <c r="C695" s="131"/>
      <c r="D695" s="131"/>
      <c r="E695" s="107"/>
      <c r="F695" s="107"/>
    </row>
    <row r="696">
      <c r="A696" s="131"/>
      <c r="B696" s="131"/>
      <c r="C696" s="131"/>
      <c r="D696" s="131"/>
      <c r="E696" s="107"/>
      <c r="F696" s="107"/>
    </row>
    <row r="697">
      <c r="A697" s="131"/>
      <c r="B697" s="131"/>
      <c r="C697" s="131"/>
      <c r="D697" s="131"/>
      <c r="E697" s="107"/>
      <c r="F697" s="107"/>
    </row>
    <row r="698">
      <c r="A698" s="131"/>
      <c r="B698" s="131"/>
      <c r="C698" s="131"/>
      <c r="D698" s="131"/>
      <c r="E698" s="107"/>
      <c r="F698" s="107"/>
    </row>
    <row r="699">
      <c r="A699" s="131"/>
      <c r="B699" s="131"/>
      <c r="C699" s="131"/>
      <c r="D699" s="131"/>
      <c r="E699" s="107"/>
      <c r="F699" s="107"/>
    </row>
    <row r="700">
      <c r="A700" s="131"/>
      <c r="B700" s="131"/>
      <c r="C700" s="131"/>
      <c r="D700" s="131"/>
      <c r="E700" s="107"/>
      <c r="F700" s="107"/>
    </row>
    <row r="701">
      <c r="A701" s="131"/>
      <c r="B701" s="131"/>
      <c r="C701" s="131"/>
      <c r="D701" s="131"/>
      <c r="E701" s="107"/>
      <c r="F701" s="107"/>
    </row>
    <row r="702">
      <c r="A702" s="131"/>
      <c r="B702" s="131"/>
      <c r="C702" s="131"/>
      <c r="D702" s="131"/>
      <c r="E702" s="107"/>
      <c r="F702" s="107"/>
    </row>
    <row r="703">
      <c r="A703" s="131"/>
      <c r="B703" s="131"/>
      <c r="C703" s="131"/>
      <c r="D703" s="131"/>
      <c r="E703" s="107"/>
      <c r="F703" s="107"/>
    </row>
    <row r="704">
      <c r="A704" s="131"/>
      <c r="B704" s="131"/>
      <c r="C704" s="131"/>
      <c r="D704" s="131"/>
      <c r="E704" s="116"/>
      <c r="F704" s="107"/>
    </row>
    <row r="705">
      <c r="A705" s="131"/>
      <c r="B705" s="131"/>
      <c r="C705" s="131"/>
      <c r="D705" s="131"/>
      <c r="E705" s="107"/>
      <c r="F705" s="107"/>
    </row>
    <row r="706">
      <c r="A706" s="131"/>
      <c r="B706" s="131"/>
      <c r="C706" s="131"/>
      <c r="D706" s="131"/>
      <c r="E706" s="107"/>
      <c r="F706" s="107"/>
    </row>
    <row r="707">
      <c r="A707" s="131"/>
      <c r="B707" s="131"/>
      <c r="C707" s="131"/>
      <c r="D707" s="131"/>
      <c r="E707" s="107"/>
      <c r="F707" s="107"/>
    </row>
    <row r="708">
      <c r="A708" s="131"/>
      <c r="B708" s="131"/>
      <c r="C708" s="131"/>
      <c r="D708" s="131"/>
      <c r="E708" s="107"/>
      <c r="F708" s="107"/>
    </row>
    <row r="709">
      <c r="A709" s="131"/>
      <c r="B709" s="131"/>
      <c r="C709" s="131"/>
      <c r="D709" s="131"/>
      <c r="E709" s="118"/>
      <c r="F709" s="107"/>
    </row>
    <row r="710">
      <c r="A710" s="131"/>
      <c r="B710" s="131"/>
      <c r="C710" s="131"/>
      <c r="D710" s="131"/>
      <c r="E710" s="118"/>
      <c r="F710" s="107"/>
    </row>
    <row r="711">
      <c r="A711" s="131"/>
      <c r="B711" s="131"/>
      <c r="C711" s="131"/>
      <c r="D711" s="131"/>
      <c r="E711" s="118"/>
      <c r="F711" s="107"/>
    </row>
    <row r="712">
      <c r="A712" s="131"/>
      <c r="B712" s="131"/>
      <c r="C712" s="131"/>
      <c r="D712" s="131"/>
      <c r="E712" s="118"/>
      <c r="F712" s="107"/>
    </row>
    <row r="713">
      <c r="A713" s="131"/>
      <c r="B713" s="131"/>
      <c r="C713" s="131"/>
      <c r="D713" s="131"/>
      <c r="E713" s="119"/>
      <c r="F713" s="119"/>
    </row>
    <row r="714">
      <c r="A714" s="131"/>
      <c r="B714" s="131"/>
      <c r="C714" s="131"/>
      <c r="D714" s="131"/>
      <c r="E714" s="107"/>
      <c r="F714" s="107"/>
    </row>
    <row r="715">
      <c r="A715" s="131"/>
      <c r="B715" s="131"/>
      <c r="C715" s="131"/>
      <c r="D715" s="131"/>
      <c r="E715" s="107"/>
      <c r="F715" s="107"/>
    </row>
    <row r="716">
      <c r="A716" s="131"/>
      <c r="B716" s="131"/>
      <c r="C716" s="131"/>
      <c r="D716" s="131"/>
      <c r="E716" s="107"/>
      <c r="F716" s="107"/>
    </row>
    <row r="717">
      <c r="A717" s="131"/>
      <c r="B717" s="131"/>
      <c r="C717" s="131"/>
      <c r="D717" s="131"/>
      <c r="E717" s="107"/>
      <c r="F717" s="107"/>
    </row>
    <row r="718">
      <c r="A718" s="131"/>
      <c r="B718" s="131"/>
      <c r="C718" s="131"/>
      <c r="D718" s="131"/>
      <c r="E718" s="107"/>
      <c r="F718" s="107"/>
    </row>
    <row r="719">
      <c r="A719" s="131"/>
      <c r="B719" s="131"/>
      <c r="C719" s="131"/>
      <c r="D719" s="131"/>
      <c r="E719" s="107"/>
      <c r="F719" s="107"/>
    </row>
    <row r="720">
      <c r="A720" s="131"/>
      <c r="B720" s="131"/>
      <c r="C720" s="131"/>
      <c r="D720" s="131"/>
      <c r="E720" s="107"/>
      <c r="F720" s="107"/>
    </row>
    <row r="721">
      <c r="A721" s="131"/>
      <c r="B721" s="131"/>
      <c r="C721" s="131"/>
      <c r="D721" s="131"/>
      <c r="E721" s="107"/>
      <c r="F721" s="107"/>
    </row>
    <row r="722">
      <c r="A722" s="131"/>
      <c r="B722" s="131"/>
      <c r="C722" s="131"/>
      <c r="D722" s="131"/>
      <c r="E722" s="107"/>
      <c r="F722" s="107"/>
    </row>
    <row r="723">
      <c r="A723" s="131"/>
      <c r="B723" s="131"/>
      <c r="C723" s="131"/>
      <c r="D723" s="131"/>
      <c r="E723" s="107"/>
      <c r="F723" s="107"/>
    </row>
    <row r="724">
      <c r="A724" s="131"/>
      <c r="B724" s="131"/>
      <c r="C724" s="131"/>
      <c r="D724" s="131"/>
      <c r="E724" s="107"/>
      <c r="F724" s="107"/>
    </row>
    <row r="725">
      <c r="A725" s="131"/>
      <c r="B725" s="131"/>
      <c r="C725" s="131"/>
      <c r="D725" s="131"/>
      <c r="E725" s="107"/>
      <c r="F725" s="107"/>
    </row>
    <row r="726">
      <c r="A726" s="131"/>
      <c r="B726" s="131"/>
      <c r="C726" s="131"/>
      <c r="D726" s="131"/>
      <c r="E726" s="107"/>
      <c r="F726" s="107"/>
    </row>
    <row r="727">
      <c r="A727" s="131"/>
      <c r="B727" s="131"/>
      <c r="C727" s="131"/>
      <c r="D727" s="131"/>
      <c r="E727" s="107"/>
      <c r="F727" s="107"/>
    </row>
    <row r="728">
      <c r="A728" s="131"/>
      <c r="B728" s="131"/>
      <c r="C728" s="131"/>
      <c r="D728" s="131"/>
      <c r="E728" s="107"/>
      <c r="F728" s="115"/>
    </row>
    <row r="729">
      <c r="A729" s="131"/>
      <c r="B729" s="131"/>
      <c r="C729" s="131"/>
      <c r="D729" s="131"/>
      <c r="E729" s="107"/>
      <c r="F729" s="107"/>
    </row>
    <row r="730">
      <c r="A730" s="131"/>
      <c r="B730" s="131"/>
      <c r="C730" s="131"/>
      <c r="D730" s="131"/>
      <c r="E730" s="131"/>
      <c r="F730" s="131"/>
    </row>
    <row r="731">
      <c r="A731" s="131"/>
      <c r="B731" s="131"/>
      <c r="C731" s="131"/>
      <c r="D731" s="131"/>
      <c r="E731" s="131"/>
      <c r="F731" s="131"/>
    </row>
    <row r="732">
      <c r="A732" s="131"/>
      <c r="B732" s="131"/>
      <c r="C732" s="131"/>
      <c r="D732" s="131"/>
      <c r="E732" s="131"/>
      <c r="F732" s="131"/>
    </row>
    <row r="733">
      <c r="A733" s="131"/>
      <c r="B733" s="131"/>
      <c r="C733" s="131"/>
      <c r="D733" s="131"/>
      <c r="E733" s="131"/>
      <c r="F733" s="131"/>
    </row>
    <row r="734">
      <c r="A734" s="131"/>
      <c r="B734" s="131"/>
      <c r="C734" s="131"/>
      <c r="D734" s="131"/>
      <c r="E734" s="131"/>
      <c r="F734" s="131"/>
    </row>
    <row r="735">
      <c r="A735" s="131"/>
      <c r="B735" s="131"/>
      <c r="C735" s="131"/>
      <c r="D735" s="131"/>
      <c r="E735" s="131"/>
      <c r="F735" s="131"/>
    </row>
    <row r="736">
      <c r="A736" s="131"/>
      <c r="B736" s="131"/>
      <c r="C736" s="131"/>
      <c r="D736" s="131"/>
      <c r="E736" s="131"/>
      <c r="F736" s="131"/>
    </row>
    <row r="737">
      <c r="A737" s="131"/>
      <c r="B737" s="131"/>
      <c r="C737" s="131"/>
      <c r="D737" s="131"/>
      <c r="E737" s="131"/>
      <c r="F737" s="131"/>
    </row>
    <row r="738">
      <c r="A738" s="131"/>
      <c r="B738" s="131"/>
      <c r="C738" s="131"/>
      <c r="D738" s="131"/>
      <c r="E738" s="131"/>
      <c r="F738" s="131"/>
    </row>
    <row r="739">
      <c r="A739" s="131"/>
      <c r="B739" s="131"/>
      <c r="C739" s="131"/>
      <c r="D739" s="131"/>
      <c r="E739" s="131"/>
      <c r="F739" s="131"/>
    </row>
    <row r="740">
      <c r="A740" s="131"/>
      <c r="B740" s="131"/>
      <c r="C740" s="131"/>
      <c r="D740" s="131"/>
      <c r="E740" s="131"/>
      <c r="F740" s="131"/>
    </row>
    <row r="741">
      <c r="A741" s="131"/>
      <c r="B741" s="131"/>
      <c r="C741" s="131"/>
      <c r="D741" s="131"/>
      <c r="E741" s="131"/>
      <c r="F741" s="131"/>
    </row>
    <row r="742">
      <c r="A742" s="131"/>
      <c r="B742" s="131"/>
      <c r="C742" s="131"/>
      <c r="D742" s="131"/>
      <c r="E742" s="131"/>
      <c r="F742" s="131"/>
    </row>
    <row r="743">
      <c r="A743" s="131"/>
      <c r="B743" s="131"/>
      <c r="C743" s="131"/>
      <c r="D743" s="131"/>
      <c r="E743" s="131"/>
      <c r="F743" s="131"/>
    </row>
    <row r="744">
      <c r="A744" s="131"/>
      <c r="B744" s="131"/>
      <c r="C744" s="131"/>
      <c r="D744" s="131"/>
      <c r="E744" s="131"/>
      <c r="F744" s="131"/>
    </row>
    <row r="745">
      <c r="A745" s="131"/>
      <c r="B745" s="131"/>
      <c r="C745" s="131"/>
      <c r="D745" s="131"/>
      <c r="E745" s="131"/>
      <c r="F745" s="131"/>
    </row>
    <row r="746">
      <c r="A746" s="131"/>
      <c r="B746" s="131"/>
      <c r="C746" s="131"/>
      <c r="D746" s="131"/>
      <c r="E746" s="131"/>
      <c r="F746" s="131"/>
    </row>
    <row r="747">
      <c r="A747" s="131"/>
      <c r="B747" s="131"/>
      <c r="C747" s="131"/>
      <c r="D747" s="131"/>
      <c r="E747" s="131"/>
      <c r="F747" s="131"/>
    </row>
    <row r="748">
      <c r="A748" s="131"/>
      <c r="B748" s="131"/>
      <c r="C748" s="131"/>
      <c r="D748" s="131"/>
      <c r="E748" s="131"/>
      <c r="F748" s="131"/>
    </row>
    <row r="749">
      <c r="A749" s="131"/>
      <c r="B749" s="131"/>
      <c r="C749" s="131"/>
      <c r="D749" s="131"/>
      <c r="E749" s="131"/>
      <c r="F749" s="131"/>
    </row>
    <row r="750">
      <c r="A750" s="131"/>
      <c r="B750" s="131"/>
      <c r="C750" s="131"/>
      <c r="D750" s="131"/>
      <c r="E750" s="110"/>
      <c r="F750" s="110"/>
    </row>
    <row r="751">
      <c r="A751" s="131"/>
      <c r="B751" s="131"/>
      <c r="C751" s="131"/>
      <c r="D751" s="131"/>
      <c r="E751" s="111"/>
      <c r="F751" s="111"/>
    </row>
    <row r="752">
      <c r="A752" s="86"/>
      <c r="B752" s="87"/>
      <c r="C752" s="131"/>
      <c r="D752" s="131"/>
      <c r="E752" s="131"/>
      <c r="F752" s="131"/>
      <c r="G752" s="88"/>
      <c r="L752" s="88"/>
      <c r="Q752" s="89"/>
    </row>
    <row r="753">
      <c r="A753" s="131"/>
      <c r="B753" s="131"/>
      <c r="C753" s="131"/>
      <c r="D753" s="131"/>
      <c r="E753" s="131"/>
      <c r="F753" s="131"/>
      <c r="G753" s="91"/>
      <c r="H753" s="92"/>
      <c r="I753" s="92"/>
      <c r="J753" s="93"/>
      <c r="K753" s="93"/>
      <c r="L753" s="93"/>
      <c r="M753" s="93"/>
      <c r="N753" s="93"/>
      <c r="O753" s="93"/>
      <c r="P753" s="93"/>
      <c r="Q753" s="90"/>
      <c r="R753" s="90"/>
      <c r="S753" s="90"/>
      <c r="T753" s="90"/>
      <c r="U753" s="90"/>
      <c r="V753" s="90"/>
      <c r="W753" s="90"/>
    </row>
    <row r="754">
      <c r="A754" s="131"/>
      <c r="B754" s="131"/>
      <c r="C754" s="131"/>
      <c r="D754" s="131"/>
      <c r="E754" s="94"/>
      <c r="F754" s="94"/>
    </row>
    <row r="755">
      <c r="A755" s="131"/>
      <c r="B755" s="131"/>
      <c r="C755" s="131"/>
      <c r="D755" s="131"/>
      <c r="E755" s="95"/>
      <c r="F755" s="96"/>
    </row>
    <row r="756">
      <c r="A756" s="131"/>
      <c r="B756" s="131"/>
      <c r="C756" s="131"/>
      <c r="D756" s="131"/>
      <c r="E756" s="95"/>
      <c r="F756" s="96"/>
    </row>
    <row r="757">
      <c r="A757" s="131"/>
      <c r="B757" s="131"/>
      <c r="C757" s="131"/>
      <c r="D757" s="131"/>
      <c r="E757" s="96"/>
      <c r="F757" s="96"/>
    </row>
    <row r="758">
      <c r="A758" s="131"/>
      <c r="B758" s="131"/>
      <c r="C758" s="131"/>
      <c r="D758" s="131"/>
      <c r="E758" s="96"/>
      <c r="F758" s="96"/>
    </row>
    <row r="759">
      <c r="A759" s="131"/>
      <c r="B759" s="131"/>
      <c r="C759" s="131"/>
      <c r="D759" s="131"/>
      <c r="E759" s="96"/>
      <c r="F759" s="96"/>
    </row>
    <row r="760">
      <c r="A760" s="131"/>
      <c r="B760" s="131"/>
      <c r="C760" s="131"/>
      <c r="D760" s="131"/>
      <c r="E760" s="96"/>
      <c r="F760" s="96"/>
    </row>
    <row r="761">
      <c r="A761" s="131"/>
      <c r="B761" s="131"/>
      <c r="C761" s="131"/>
      <c r="D761" s="131"/>
      <c r="E761" s="96"/>
      <c r="F761" s="96"/>
    </row>
    <row r="762">
      <c r="A762" s="131"/>
      <c r="B762" s="131"/>
      <c r="C762" s="131"/>
      <c r="D762" s="131"/>
      <c r="E762" s="96"/>
      <c r="F762" s="96"/>
    </row>
    <row r="763">
      <c r="A763" s="131"/>
      <c r="B763" s="131"/>
      <c r="C763" s="131"/>
      <c r="D763" s="131"/>
      <c r="E763" s="96"/>
      <c r="F763" s="96"/>
    </row>
    <row r="764">
      <c r="A764" s="131"/>
      <c r="B764" s="131"/>
      <c r="C764" s="131"/>
      <c r="D764" s="131"/>
      <c r="E764" s="96"/>
      <c r="F764" s="96"/>
    </row>
    <row r="765">
      <c r="A765" s="131"/>
      <c r="B765" s="131"/>
      <c r="C765" s="131"/>
      <c r="D765" s="131"/>
      <c r="E765" s="96"/>
      <c r="F765" s="96"/>
    </row>
    <row r="766">
      <c r="A766" s="131"/>
      <c r="B766" s="131"/>
      <c r="C766" s="131"/>
      <c r="D766" s="131"/>
      <c r="E766" s="96"/>
      <c r="F766" s="96"/>
    </row>
    <row r="767">
      <c r="A767" s="131"/>
      <c r="B767" s="131"/>
      <c r="C767" s="131"/>
      <c r="D767" s="131"/>
      <c r="E767" s="96"/>
      <c r="F767" s="96"/>
    </row>
    <row r="768">
      <c r="A768" s="131"/>
      <c r="B768" s="131"/>
      <c r="C768" s="131"/>
      <c r="D768" s="131"/>
      <c r="E768" s="97"/>
      <c r="F768" s="97"/>
    </row>
    <row r="769">
      <c r="A769" s="131"/>
      <c r="B769" s="131"/>
      <c r="C769" s="131"/>
      <c r="D769" s="131"/>
      <c r="E769" s="96"/>
      <c r="F769" s="96"/>
    </row>
    <row r="770">
      <c r="A770" s="131"/>
      <c r="B770" s="131"/>
      <c r="C770" s="131"/>
      <c r="D770" s="131"/>
      <c r="E770" s="96"/>
      <c r="F770" s="96"/>
    </row>
    <row r="771">
      <c r="A771" s="131"/>
      <c r="B771" s="131"/>
      <c r="C771" s="131"/>
      <c r="D771" s="131"/>
      <c r="E771" s="96"/>
      <c r="F771" s="96"/>
    </row>
    <row r="772">
      <c r="A772" s="131"/>
      <c r="B772" s="131"/>
      <c r="C772" s="131"/>
      <c r="D772" s="131"/>
      <c r="E772" s="96"/>
      <c r="F772" s="96"/>
    </row>
    <row r="773">
      <c r="A773" s="131"/>
      <c r="B773" s="131"/>
      <c r="C773" s="131"/>
      <c r="D773" s="131"/>
      <c r="E773" s="96"/>
      <c r="F773" s="96"/>
    </row>
    <row r="774">
      <c r="A774" s="131"/>
      <c r="B774" s="131"/>
      <c r="C774" s="131"/>
      <c r="D774" s="131"/>
      <c r="E774" s="96"/>
      <c r="F774" s="96"/>
    </row>
    <row r="775">
      <c r="A775" s="131"/>
      <c r="B775" s="131"/>
      <c r="C775" s="131"/>
      <c r="D775" s="131"/>
      <c r="E775" s="98"/>
      <c r="F775" s="96"/>
    </row>
    <row r="776">
      <c r="A776" s="131"/>
      <c r="B776" s="131"/>
      <c r="C776" s="131"/>
      <c r="D776" s="131"/>
      <c r="E776" s="99"/>
      <c r="F776" s="99"/>
    </row>
    <row r="777">
      <c r="A777" s="131"/>
      <c r="B777" s="131"/>
      <c r="C777" s="131"/>
      <c r="D777" s="131"/>
      <c r="E777" s="100"/>
      <c r="F777" s="100"/>
    </row>
    <row r="778">
      <c r="A778" s="131"/>
      <c r="B778" s="131"/>
      <c r="C778" s="131"/>
      <c r="D778" s="131"/>
      <c r="E778" s="100"/>
      <c r="F778" s="100"/>
    </row>
    <row r="779">
      <c r="A779" s="131"/>
      <c r="B779" s="131"/>
      <c r="C779" s="131"/>
      <c r="D779" s="131"/>
      <c r="E779" s="100"/>
      <c r="F779" s="100"/>
    </row>
    <row r="780">
      <c r="A780" s="131"/>
      <c r="B780" s="131"/>
      <c r="C780" s="131"/>
      <c r="D780" s="131"/>
      <c r="E780" s="100"/>
      <c r="F780" s="100"/>
    </row>
    <row r="781">
      <c r="A781" s="131"/>
      <c r="B781" s="131"/>
      <c r="C781" s="131"/>
      <c r="D781" s="131"/>
      <c r="E781" s="100"/>
      <c r="F781" s="100"/>
    </row>
    <row r="782">
      <c r="A782" s="131"/>
      <c r="B782" s="131"/>
      <c r="C782" s="131"/>
      <c r="D782" s="131"/>
      <c r="E782" s="100"/>
      <c r="F782" s="100"/>
    </row>
    <row r="783">
      <c r="A783" s="131"/>
      <c r="B783" s="131"/>
      <c r="C783" s="131"/>
      <c r="D783" s="131"/>
      <c r="E783" s="100"/>
      <c r="F783" s="100"/>
    </row>
    <row r="784">
      <c r="A784" s="131"/>
      <c r="B784" s="131"/>
      <c r="C784" s="131"/>
      <c r="D784" s="131"/>
      <c r="E784" s="101"/>
      <c r="F784" s="101"/>
    </row>
    <row r="785">
      <c r="A785" s="131"/>
      <c r="B785" s="131"/>
      <c r="C785" s="131"/>
      <c r="D785" s="131"/>
      <c r="E785" s="100"/>
      <c r="F785" s="100"/>
    </row>
    <row r="786">
      <c r="A786" s="131"/>
      <c r="B786" s="131"/>
      <c r="C786" s="131"/>
      <c r="D786" s="131"/>
      <c r="E786" s="100"/>
      <c r="F786" s="100"/>
    </row>
    <row r="787">
      <c r="A787" s="131"/>
      <c r="B787" s="131"/>
      <c r="C787" s="131"/>
      <c r="D787" s="131"/>
      <c r="E787" s="102"/>
      <c r="F787" s="102"/>
    </row>
    <row r="788">
      <c r="A788" s="131"/>
      <c r="B788" s="131"/>
      <c r="C788" s="131"/>
      <c r="D788" s="131"/>
      <c r="E788" s="103"/>
      <c r="F788" s="103"/>
    </row>
    <row r="789">
      <c r="A789" s="131"/>
      <c r="B789" s="131"/>
      <c r="C789" s="131"/>
      <c r="D789" s="131"/>
      <c r="E789" s="103"/>
      <c r="F789" s="103"/>
    </row>
    <row r="790">
      <c r="A790" s="131"/>
      <c r="B790" s="131"/>
      <c r="C790" s="131"/>
      <c r="D790" s="131"/>
      <c r="E790" s="102"/>
      <c r="F790" s="103"/>
    </row>
    <row r="791">
      <c r="A791" s="131"/>
      <c r="B791" s="131"/>
      <c r="C791" s="131"/>
      <c r="D791" s="131"/>
      <c r="E791" s="103"/>
      <c r="F791" s="103"/>
    </row>
    <row r="792">
      <c r="A792" s="131"/>
      <c r="B792" s="131"/>
      <c r="C792" s="131"/>
      <c r="D792" s="131"/>
      <c r="E792" s="103"/>
      <c r="F792" s="103"/>
    </row>
    <row r="793">
      <c r="A793" s="131"/>
      <c r="B793" s="131"/>
      <c r="C793" s="131"/>
      <c r="D793" s="131"/>
      <c r="E793" s="103"/>
      <c r="F793" s="103"/>
    </row>
    <row r="794">
      <c r="A794" s="131"/>
      <c r="B794" s="131"/>
      <c r="C794" s="131"/>
      <c r="D794" s="131"/>
      <c r="E794" s="103"/>
      <c r="F794" s="103"/>
    </row>
    <row r="795">
      <c r="A795" s="131"/>
      <c r="B795" s="131"/>
      <c r="C795" s="131"/>
      <c r="D795" s="131"/>
      <c r="E795" s="103"/>
      <c r="F795" s="103"/>
    </row>
    <row r="796">
      <c r="A796" s="131"/>
      <c r="B796" s="131"/>
      <c r="C796" s="131"/>
      <c r="D796" s="131"/>
      <c r="E796" s="103"/>
      <c r="F796" s="103"/>
    </row>
    <row r="797">
      <c r="A797" s="131"/>
      <c r="B797" s="131"/>
      <c r="C797" s="131"/>
      <c r="D797" s="131"/>
      <c r="E797" s="103"/>
      <c r="F797" s="103"/>
    </row>
    <row r="798">
      <c r="A798" s="131"/>
      <c r="B798" s="131"/>
      <c r="C798" s="131"/>
      <c r="D798" s="131"/>
      <c r="E798" s="103"/>
      <c r="F798" s="103"/>
    </row>
    <row r="799">
      <c r="A799" s="131"/>
      <c r="B799" s="131"/>
      <c r="C799" s="131"/>
      <c r="D799" s="131"/>
      <c r="E799" s="103"/>
      <c r="F799" s="103"/>
    </row>
    <row r="800">
      <c r="A800" s="131"/>
      <c r="B800" s="131"/>
      <c r="C800" s="131"/>
      <c r="D800" s="131"/>
      <c r="E800" s="103"/>
      <c r="F800" s="103"/>
    </row>
    <row r="801">
      <c r="A801" s="131"/>
      <c r="B801" s="131"/>
      <c r="C801" s="131"/>
      <c r="D801" s="131"/>
      <c r="E801" s="103"/>
      <c r="F801" s="103"/>
    </row>
    <row r="802">
      <c r="A802" s="131"/>
      <c r="B802" s="131"/>
      <c r="C802" s="131"/>
      <c r="D802" s="131"/>
      <c r="E802" s="103"/>
      <c r="F802" s="103"/>
    </row>
    <row r="803">
      <c r="A803" s="131"/>
      <c r="B803" s="131"/>
      <c r="C803" s="131"/>
      <c r="D803" s="131"/>
      <c r="E803" s="103"/>
      <c r="F803" s="103"/>
    </row>
    <row r="804">
      <c r="A804" s="131"/>
      <c r="B804" s="131"/>
      <c r="C804" s="131"/>
      <c r="D804" s="131"/>
      <c r="E804" s="103"/>
      <c r="F804" s="103"/>
    </row>
    <row r="805">
      <c r="A805" s="131"/>
      <c r="B805" s="131"/>
      <c r="C805" s="131"/>
      <c r="D805" s="131"/>
      <c r="E805" s="99"/>
      <c r="F805" s="99"/>
    </row>
    <row r="806">
      <c r="A806" s="131"/>
      <c r="B806" s="131"/>
      <c r="C806" s="131"/>
      <c r="D806" s="131"/>
      <c r="E806" s="100"/>
      <c r="F806" s="100"/>
    </row>
    <row r="807">
      <c r="A807" s="131"/>
      <c r="B807" s="131"/>
      <c r="C807" s="131"/>
      <c r="D807" s="131"/>
      <c r="E807" s="100"/>
      <c r="F807" s="100"/>
    </row>
    <row r="808">
      <c r="A808" s="131"/>
      <c r="B808" s="131"/>
      <c r="C808" s="131"/>
      <c r="D808" s="131"/>
      <c r="E808" s="100"/>
      <c r="F808" s="100"/>
    </row>
    <row r="809">
      <c r="A809" s="131"/>
      <c r="B809" s="131"/>
      <c r="C809" s="131"/>
      <c r="D809" s="131"/>
      <c r="E809" s="100"/>
      <c r="F809" s="100"/>
    </row>
    <row r="810">
      <c r="A810" s="131"/>
      <c r="B810" s="131"/>
      <c r="C810" s="131"/>
      <c r="D810" s="131"/>
      <c r="E810" s="100"/>
      <c r="F810" s="100"/>
    </row>
    <row r="811">
      <c r="A811" s="131"/>
      <c r="B811" s="131"/>
      <c r="C811" s="131"/>
      <c r="D811" s="131"/>
      <c r="E811" s="100"/>
      <c r="F811" s="100"/>
    </row>
    <row r="812">
      <c r="A812" s="131"/>
      <c r="B812" s="131"/>
      <c r="C812" s="131"/>
      <c r="D812" s="131"/>
      <c r="E812" s="100"/>
      <c r="F812" s="100"/>
    </row>
    <row r="813">
      <c r="A813" s="131"/>
      <c r="B813" s="131"/>
      <c r="C813" s="131"/>
      <c r="D813" s="131"/>
      <c r="E813" s="100"/>
      <c r="F813" s="100"/>
    </row>
    <row r="814">
      <c r="A814" s="131"/>
      <c r="B814" s="131"/>
      <c r="C814" s="131"/>
      <c r="D814" s="131"/>
      <c r="E814" s="100"/>
      <c r="F814" s="100"/>
    </row>
    <row r="815">
      <c r="A815" s="131"/>
      <c r="B815" s="131"/>
      <c r="C815" s="131"/>
      <c r="D815" s="131"/>
      <c r="E815" s="100"/>
      <c r="F815" s="100"/>
    </row>
    <row r="816">
      <c r="A816" s="131"/>
      <c r="B816" s="131"/>
      <c r="C816" s="131"/>
      <c r="D816" s="131"/>
      <c r="E816" s="99"/>
      <c r="F816" s="99"/>
    </row>
    <row r="817">
      <c r="A817" s="131"/>
      <c r="B817" s="131"/>
      <c r="C817" s="131"/>
      <c r="D817" s="131"/>
      <c r="E817" s="100"/>
      <c r="F817" s="100"/>
    </row>
    <row r="818">
      <c r="A818" s="131"/>
      <c r="B818" s="131"/>
      <c r="C818" s="131"/>
      <c r="D818" s="131"/>
      <c r="E818" s="100"/>
      <c r="F818" s="100"/>
    </row>
    <row r="819">
      <c r="A819" s="131"/>
      <c r="B819" s="131"/>
      <c r="C819" s="131"/>
      <c r="D819" s="131"/>
      <c r="E819" s="100"/>
      <c r="F819" s="100"/>
    </row>
    <row r="820">
      <c r="A820" s="131"/>
      <c r="B820" s="131"/>
      <c r="C820" s="131"/>
      <c r="D820" s="131"/>
      <c r="E820" s="100"/>
      <c r="F820" s="100"/>
    </row>
    <row r="821">
      <c r="A821" s="131"/>
      <c r="B821" s="131"/>
      <c r="C821" s="131"/>
      <c r="D821" s="131"/>
      <c r="E821" s="100"/>
      <c r="F821" s="100"/>
    </row>
    <row r="822">
      <c r="A822" s="131"/>
      <c r="B822" s="131"/>
      <c r="C822" s="131"/>
      <c r="D822" s="131"/>
      <c r="E822" s="100"/>
      <c r="F822" s="100"/>
    </row>
    <row r="823">
      <c r="A823" s="131"/>
      <c r="B823" s="131"/>
      <c r="C823" s="131"/>
      <c r="D823" s="131"/>
      <c r="E823" s="101"/>
      <c r="F823" s="101"/>
    </row>
    <row r="824">
      <c r="A824" s="131"/>
      <c r="B824" s="131"/>
      <c r="C824" s="131"/>
      <c r="D824" s="131"/>
      <c r="E824" s="101"/>
      <c r="F824" s="101"/>
    </row>
    <row r="825">
      <c r="A825" s="131"/>
      <c r="B825" s="131"/>
      <c r="C825" s="131"/>
      <c r="D825" s="131"/>
      <c r="E825" s="101"/>
      <c r="F825" s="101"/>
    </row>
    <row r="826">
      <c r="A826" s="131"/>
      <c r="B826" s="131"/>
      <c r="C826" s="131"/>
      <c r="D826" s="131"/>
      <c r="E826" s="101"/>
      <c r="F826" s="101"/>
    </row>
    <row r="827">
      <c r="A827" s="131"/>
      <c r="B827" s="131"/>
      <c r="C827" s="131"/>
      <c r="D827" s="131"/>
      <c r="E827" s="101"/>
      <c r="F827" s="101"/>
    </row>
    <row r="828">
      <c r="A828" s="131"/>
      <c r="B828" s="131"/>
      <c r="C828" s="131"/>
      <c r="D828" s="131"/>
      <c r="E828" s="101"/>
      <c r="F828" s="101"/>
    </row>
    <row r="829">
      <c r="A829" s="131"/>
      <c r="B829" s="131"/>
      <c r="C829" s="131"/>
      <c r="D829" s="131"/>
      <c r="E829" s="105"/>
      <c r="F829" s="105"/>
    </row>
    <row r="830">
      <c r="A830" s="131"/>
      <c r="B830" s="131"/>
      <c r="C830" s="131"/>
      <c r="D830" s="131"/>
      <c r="E830" s="106"/>
      <c r="F830" s="106"/>
    </row>
    <row r="831">
      <c r="A831" s="131"/>
      <c r="B831" s="131"/>
      <c r="C831" s="131"/>
      <c r="D831" s="131"/>
      <c r="E831" s="107"/>
      <c r="F831" s="107"/>
    </row>
    <row r="832">
      <c r="A832" s="131"/>
      <c r="B832" s="131"/>
      <c r="C832" s="131"/>
      <c r="D832" s="131"/>
      <c r="E832" s="107"/>
      <c r="F832" s="107"/>
    </row>
    <row r="833">
      <c r="A833" s="131"/>
      <c r="B833" s="131"/>
      <c r="C833" s="131"/>
      <c r="D833" s="131"/>
      <c r="E833" s="108"/>
      <c r="F833" s="108"/>
    </row>
    <row r="834">
      <c r="A834" s="131"/>
      <c r="B834" s="131"/>
      <c r="C834" s="131"/>
      <c r="D834" s="131"/>
      <c r="E834" s="107"/>
      <c r="F834" s="107"/>
    </row>
    <row r="835">
      <c r="A835" s="131"/>
      <c r="B835" s="131"/>
      <c r="C835" s="131"/>
      <c r="D835" s="131"/>
      <c r="E835" s="106"/>
      <c r="F835" s="106"/>
    </row>
    <row r="836">
      <c r="A836" s="131"/>
      <c r="B836" s="131"/>
      <c r="C836" s="131"/>
      <c r="D836" s="131"/>
      <c r="E836" s="107"/>
      <c r="F836" s="107"/>
    </row>
    <row r="837">
      <c r="A837" s="131"/>
      <c r="B837" s="131"/>
      <c r="C837" s="131"/>
      <c r="D837" s="131"/>
      <c r="E837" s="107"/>
      <c r="F837" s="107"/>
    </row>
    <row r="838">
      <c r="A838" s="131"/>
      <c r="B838" s="131"/>
      <c r="C838" s="131"/>
      <c r="D838" s="131"/>
      <c r="E838" s="107"/>
      <c r="F838" s="107"/>
    </row>
    <row r="839">
      <c r="A839" s="131"/>
      <c r="B839" s="131"/>
      <c r="C839" s="131"/>
      <c r="D839" s="131"/>
      <c r="E839" s="107"/>
      <c r="F839" s="107"/>
    </row>
    <row r="840">
      <c r="A840" s="131"/>
      <c r="B840" s="131"/>
      <c r="C840" s="131"/>
      <c r="D840" s="131"/>
      <c r="E840" s="106"/>
      <c r="F840" s="106"/>
    </row>
    <row r="841">
      <c r="A841" s="131"/>
      <c r="B841" s="131"/>
      <c r="C841" s="131"/>
      <c r="D841" s="131"/>
      <c r="E841" s="107"/>
      <c r="F841" s="107"/>
    </row>
    <row r="842">
      <c r="A842" s="131"/>
      <c r="B842" s="131"/>
      <c r="C842" s="131"/>
      <c r="D842" s="131"/>
      <c r="E842" s="109"/>
      <c r="F842" s="109"/>
    </row>
    <row r="843">
      <c r="A843" s="131"/>
      <c r="B843" s="131"/>
      <c r="C843" s="131"/>
      <c r="D843" s="131"/>
      <c r="E843" s="110"/>
      <c r="F843" s="110"/>
    </row>
    <row r="844">
      <c r="A844" s="131"/>
      <c r="B844" s="131"/>
      <c r="C844" s="131"/>
      <c r="D844" s="131"/>
      <c r="E844" s="110"/>
      <c r="F844" s="110"/>
    </row>
    <row r="845">
      <c r="A845" s="131"/>
      <c r="B845" s="131"/>
      <c r="C845" s="131"/>
      <c r="D845" s="131"/>
      <c r="E845" s="111"/>
      <c r="F845" s="111"/>
    </row>
    <row r="846">
      <c r="A846" s="86"/>
      <c r="B846" s="87"/>
      <c r="C846" s="131"/>
      <c r="D846" s="131"/>
      <c r="E846" s="131"/>
      <c r="F846" s="131"/>
      <c r="G846" s="121"/>
      <c r="H846" s="13"/>
      <c r="I846" s="13"/>
      <c r="J846" s="13"/>
      <c r="K846" s="14"/>
      <c r="L846" s="121"/>
      <c r="M846" s="13"/>
      <c r="N846" s="13"/>
      <c r="O846" s="13"/>
      <c r="P846" s="14"/>
      <c r="Q846" s="122"/>
      <c r="R846" s="13"/>
      <c r="S846" s="13"/>
      <c r="T846" s="13"/>
      <c r="U846" s="13"/>
      <c r="V846" s="13"/>
      <c r="W846" s="14"/>
    </row>
    <row r="847">
      <c r="A847" s="131"/>
      <c r="B847" s="131"/>
      <c r="C847" s="131"/>
      <c r="D847" s="131"/>
      <c r="E847" s="131"/>
      <c r="F847" s="131"/>
      <c r="G847" s="123"/>
      <c r="H847" s="124"/>
      <c r="I847" s="124"/>
      <c r="J847" s="125"/>
      <c r="K847" s="125"/>
      <c r="L847" s="126"/>
      <c r="M847" s="125"/>
      <c r="N847" s="125"/>
      <c r="O847" s="125"/>
      <c r="P847" s="127"/>
      <c r="Q847" s="128"/>
      <c r="R847" s="129"/>
      <c r="S847" s="129"/>
      <c r="T847" s="129"/>
      <c r="U847" s="129"/>
      <c r="V847" s="129"/>
      <c r="W847" s="130"/>
    </row>
    <row r="848">
      <c r="A848" s="131"/>
      <c r="B848" s="131"/>
      <c r="C848" s="131"/>
      <c r="D848" s="131"/>
      <c r="E848" s="94"/>
      <c r="F848" s="94"/>
    </row>
    <row r="849">
      <c r="A849" s="131"/>
      <c r="B849" s="131"/>
      <c r="C849" s="131"/>
      <c r="D849" s="131"/>
      <c r="E849" s="95"/>
      <c r="F849" s="96"/>
    </row>
    <row r="850">
      <c r="A850" s="131"/>
      <c r="B850" s="131"/>
      <c r="C850" s="131"/>
      <c r="D850" s="131"/>
      <c r="E850" s="95"/>
      <c r="F850" s="96"/>
    </row>
    <row r="851">
      <c r="A851" s="131"/>
      <c r="B851" s="131"/>
      <c r="C851" s="131"/>
      <c r="D851" s="131"/>
      <c r="E851" s="96"/>
      <c r="F851" s="96"/>
    </row>
    <row r="852">
      <c r="A852" s="131"/>
      <c r="B852" s="131"/>
      <c r="C852" s="131"/>
      <c r="D852" s="131"/>
      <c r="E852" s="96"/>
      <c r="F852" s="96"/>
    </row>
    <row r="853">
      <c r="A853" s="131"/>
      <c r="B853" s="131"/>
      <c r="C853" s="131"/>
      <c r="D853" s="131"/>
      <c r="E853" s="96"/>
      <c r="F853" s="96"/>
    </row>
    <row r="854">
      <c r="A854" s="131"/>
      <c r="B854" s="131"/>
      <c r="C854" s="131"/>
      <c r="D854" s="131"/>
      <c r="E854" s="96"/>
      <c r="F854" s="96"/>
    </row>
    <row r="855">
      <c r="A855" s="131"/>
      <c r="B855" s="131"/>
      <c r="C855" s="131"/>
      <c r="D855" s="131"/>
      <c r="E855" s="96"/>
      <c r="F855" s="96"/>
    </row>
    <row r="856">
      <c r="A856" s="131"/>
      <c r="B856" s="131"/>
      <c r="C856" s="131"/>
      <c r="D856" s="131"/>
      <c r="E856" s="96"/>
      <c r="F856" s="96"/>
    </row>
    <row r="857">
      <c r="A857" s="131"/>
      <c r="B857" s="131"/>
      <c r="C857" s="131"/>
      <c r="D857" s="131"/>
      <c r="E857" s="96"/>
      <c r="F857" s="96"/>
    </row>
    <row r="858">
      <c r="A858" s="131"/>
      <c r="B858" s="131"/>
      <c r="C858" s="131"/>
      <c r="D858" s="131"/>
      <c r="E858" s="96"/>
      <c r="F858" s="96"/>
    </row>
    <row r="859">
      <c r="A859" s="131"/>
      <c r="B859" s="131"/>
      <c r="C859" s="131"/>
      <c r="D859" s="131"/>
      <c r="E859" s="96"/>
      <c r="F859" s="96"/>
    </row>
    <row r="860">
      <c r="A860" s="131"/>
      <c r="B860" s="131"/>
      <c r="C860" s="131"/>
      <c r="D860" s="131"/>
      <c r="E860" s="96"/>
      <c r="F860" s="96"/>
    </row>
    <row r="861">
      <c r="A861" s="131"/>
      <c r="B861" s="131"/>
      <c r="C861" s="131"/>
      <c r="D861" s="131"/>
      <c r="E861" s="96"/>
      <c r="F861" s="96"/>
    </row>
    <row r="862">
      <c r="A862" s="131"/>
      <c r="B862" s="131"/>
      <c r="C862" s="131"/>
      <c r="D862" s="131"/>
      <c r="E862" s="97"/>
      <c r="F862" s="97"/>
    </row>
    <row r="863">
      <c r="A863" s="131"/>
      <c r="B863" s="131"/>
      <c r="C863" s="131"/>
      <c r="D863" s="131"/>
      <c r="E863" s="96"/>
      <c r="F863" s="96"/>
    </row>
    <row r="864">
      <c r="A864" s="131"/>
      <c r="B864" s="131"/>
      <c r="C864" s="131"/>
      <c r="D864" s="131"/>
      <c r="E864" s="96"/>
      <c r="F864" s="96"/>
    </row>
    <row r="865">
      <c r="A865" s="131"/>
      <c r="B865" s="131"/>
      <c r="C865" s="131"/>
      <c r="D865" s="131"/>
      <c r="E865" s="96"/>
      <c r="F865" s="96"/>
    </row>
    <row r="866">
      <c r="A866" s="131"/>
      <c r="B866" s="131"/>
      <c r="C866" s="131"/>
      <c r="D866" s="131"/>
      <c r="E866" s="96"/>
      <c r="F866" s="96"/>
    </row>
    <row r="867">
      <c r="A867" s="131"/>
      <c r="B867" s="131"/>
      <c r="C867" s="131"/>
      <c r="D867" s="131"/>
      <c r="E867" s="96"/>
      <c r="F867" s="96"/>
    </row>
    <row r="868">
      <c r="A868" s="131"/>
      <c r="B868" s="131"/>
      <c r="C868" s="131"/>
      <c r="D868" s="131"/>
      <c r="E868" s="96"/>
      <c r="F868" s="96"/>
    </row>
    <row r="869">
      <c r="A869" s="131"/>
      <c r="B869" s="131"/>
      <c r="C869" s="131"/>
      <c r="D869" s="131"/>
      <c r="E869" s="98"/>
      <c r="F869" s="96"/>
    </row>
    <row r="870">
      <c r="A870" s="131"/>
      <c r="B870" s="131"/>
      <c r="C870" s="131"/>
      <c r="D870" s="131"/>
      <c r="E870" s="99"/>
      <c r="F870" s="99"/>
    </row>
    <row r="871">
      <c r="A871" s="131"/>
      <c r="B871" s="131"/>
      <c r="C871" s="131"/>
      <c r="D871" s="131"/>
      <c r="E871" s="100"/>
      <c r="F871" s="100"/>
    </row>
    <row r="872">
      <c r="A872" s="131"/>
      <c r="B872" s="131"/>
      <c r="C872" s="131"/>
      <c r="D872" s="131"/>
      <c r="E872" s="100"/>
      <c r="F872" s="100"/>
    </row>
    <row r="873">
      <c r="A873" s="131"/>
      <c r="B873" s="131"/>
      <c r="C873" s="131"/>
      <c r="D873" s="131"/>
      <c r="E873" s="100"/>
      <c r="F873" s="100"/>
    </row>
    <row r="874">
      <c r="A874" s="131"/>
      <c r="B874" s="131"/>
      <c r="C874" s="131"/>
      <c r="D874" s="131"/>
      <c r="E874" s="100"/>
      <c r="F874" s="100"/>
    </row>
    <row r="875">
      <c r="A875" s="131"/>
      <c r="B875" s="131"/>
      <c r="C875" s="131"/>
      <c r="D875" s="131"/>
      <c r="E875" s="100"/>
      <c r="F875" s="100"/>
    </row>
    <row r="876">
      <c r="A876" s="131"/>
      <c r="B876" s="131"/>
      <c r="C876" s="131"/>
      <c r="D876" s="131"/>
      <c r="E876" s="100"/>
      <c r="F876" s="100"/>
    </row>
    <row r="877">
      <c r="A877" s="131"/>
      <c r="B877" s="131"/>
      <c r="C877" s="131"/>
      <c r="D877" s="131"/>
      <c r="E877" s="100"/>
      <c r="F877" s="100"/>
    </row>
    <row r="878">
      <c r="A878" s="131"/>
      <c r="B878" s="131"/>
      <c r="C878" s="131"/>
      <c r="D878" s="131"/>
      <c r="E878" s="101"/>
      <c r="F878" s="101"/>
    </row>
    <row r="879">
      <c r="A879" s="131"/>
      <c r="B879" s="131"/>
      <c r="C879" s="131"/>
      <c r="D879" s="131"/>
      <c r="E879" s="100"/>
      <c r="F879" s="100"/>
    </row>
    <row r="880">
      <c r="A880" s="131"/>
      <c r="B880" s="131"/>
      <c r="C880" s="131"/>
      <c r="D880" s="131"/>
      <c r="E880" s="100"/>
      <c r="F880" s="100"/>
    </row>
    <row r="881">
      <c r="A881" s="131"/>
      <c r="B881" s="131"/>
      <c r="C881" s="131"/>
      <c r="D881" s="131"/>
      <c r="E881" s="102"/>
      <c r="F881" s="102"/>
    </row>
    <row r="882">
      <c r="A882" s="131"/>
      <c r="B882" s="131"/>
      <c r="C882" s="131"/>
      <c r="D882" s="131"/>
      <c r="E882" s="103"/>
      <c r="F882" s="103"/>
    </row>
    <row r="883">
      <c r="A883" s="131"/>
      <c r="B883" s="131"/>
      <c r="C883" s="131"/>
      <c r="D883" s="131"/>
      <c r="E883" s="103"/>
      <c r="F883" s="103"/>
    </row>
    <row r="884">
      <c r="A884" s="131"/>
      <c r="B884" s="131"/>
      <c r="C884" s="131"/>
      <c r="D884" s="131"/>
      <c r="E884" s="102"/>
      <c r="F884" s="103"/>
    </row>
    <row r="885">
      <c r="A885" s="131"/>
      <c r="B885" s="131"/>
      <c r="C885" s="131"/>
      <c r="D885" s="131"/>
      <c r="E885" s="103"/>
      <c r="F885" s="103"/>
    </row>
    <row r="886">
      <c r="A886" s="131"/>
      <c r="B886" s="131"/>
      <c r="C886" s="131"/>
      <c r="D886" s="131"/>
      <c r="E886" s="103"/>
      <c r="F886" s="103"/>
    </row>
    <row r="887">
      <c r="A887" s="131"/>
      <c r="B887" s="131"/>
      <c r="C887" s="131"/>
      <c r="D887" s="131"/>
      <c r="E887" s="103"/>
      <c r="F887" s="103"/>
    </row>
    <row r="888">
      <c r="A888" s="131"/>
      <c r="B888" s="131"/>
      <c r="C888" s="131"/>
      <c r="D888" s="131"/>
      <c r="E888" s="103"/>
      <c r="F888" s="103"/>
    </row>
    <row r="889">
      <c r="A889" s="131"/>
      <c r="B889" s="131"/>
      <c r="C889" s="131"/>
      <c r="D889" s="131"/>
      <c r="E889" s="103"/>
      <c r="F889" s="103"/>
    </row>
    <row r="890">
      <c r="A890" s="131"/>
      <c r="B890" s="131"/>
      <c r="C890" s="131"/>
      <c r="D890" s="131"/>
      <c r="E890" s="103"/>
      <c r="F890" s="103"/>
    </row>
    <row r="891">
      <c r="A891" s="131"/>
      <c r="B891" s="131"/>
      <c r="C891" s="131"/>
      <c r="D891" s="131"/>
      <c r="E891" s="103"/>
      <c r="F891" s="103"/>
    </row>
    <row r="892">
      <c r="A892" s="131"/>
      <c r="B892" s="131"/>
      <c r="C892" s="131"/>
      <c r="D892" s="131"/>
      <c r="E892" s="103"/>
      <c r="F892" s="103"/>
    </row>
    <row r="893">
      <c r="A893" s="131"/>
      <c r="B893" s="131"/>
      <c r="C893" s="131"/>
      <c r="D893" s="131"/>
      <c r="E893" s="103"/>
      <c r="F893" s="103"/>
    </row>
    <row r="894">
      <c r="A894" s="131"/>
      <c r="B894" s="131"/>
      <c r="C894" s="131"/>
      <c r="D894" s="131"/>
      <c r="E894" s="103"/>
      <c r="F894" s="103"/>
    </row>
    <row r="895">
      <c r="A895" s="131"/>
      <c r="B895" s="131"/>
      <c r="C895" s="131"/>
      <c r="D895" s="131"/>
      <c r="E895" s="103"/>
      <c r="F895" s="103"/>
    </row>
    <row r="896">
      <c r="A896" s="131"/>
      <c r="B896" s="131"/>
      <c r="C896" s="131"/>
      <c r="D896" s="131"/>
      <c r="E896" s="103"/>
      <c r="F896" s="103"/>
    </row>
    <row r="897">
      <c r="A897" s="131"/>
      <c r="B897" s="131"/>
      <c r="C897" s="131"/>
      <c r="D897" s="131"/>
      <c r="E897" s="103"/>
      <c r="F897" s="103"/>
    </row>
    <row r="898">
      <c r="A898" s="131"/>
      <c r="B898" s="131"/>
      <c r="C898" s="131"/>
      <c r="D898" s="131"/>
      <c r="E898" s="103"/>
      <c r="F898" s="103"/>
    </row>
    <row r="899">
      <c r="A899" s="131"/>
      <c r="B899" s="131"/>
      <c r="C899" s="131"/>
      <c r="D899" s="131"/>
      <c r="E899" s="99"/>
      <c r="F899" s="99"/>
    </row>
    <row r="900">
      <c r="A900" s="131"/>
      <c r="B900" s="131"/>
      <c r="C900" s="131"/>
      <c r="D900" s="131"/>
      <c r="E900" s="100"/>
      <c r="F900" s="100"/>
    </row>
    <row r="901">
      <c r="A901" s="131"/>
      <c r="B901" s="131"/>
      <c r="C901" s="131"/>
      <c r="D901" s="131"/>
      <c r="E901" s="100"/>
      <c r="F901" s="100"/>
    </row>
    <row r="902">
      <c r="A902" s="131"/>
      <c r="B902" s="131"/>
      <c r="C902" s="131"/>
      <c r="D902" s="131"/>
      <c r="E902" s="100"/>
      <c r="F902" s="100"/>
    </row>
    <row r="903">
      <c r="A903" s="131"/>
      <c r="B903" s="131"/>
      <c r="C903" s="131"/>
      <c r="D903" s="131"/>
      <c r="E903" s="100"/>
      <c r="F903" s="100"/>
    </row>
    <row r="904">
      <c r="A904" s="131"/>
      <c r="B904" s="131"/>
      <c r="C904" s="131"/>
      <c r="D904" s="131"/>
      <c r="E904" s="100"/>
      <c r="F904" s="100"/>
    </row>
    <row r="905">
      <c r="A905" s="131"/>
      <c r="B905" s="131"/>
      <c r="C905" s="131"/>
      <c r="D905" s="131"/>
      <c r="E905" s="100"/>
      <c r="F905" s="100"/>
    </row>
    <row r="906">
      <c r="A906" s="131"/>
      <c r="B906" s="131"/>
      <c r="C906" s="131"/>
      <c r="D906" s="131"/>
      <c r="E906" s="100"/>
      <c r="F906" s="100"/>
    </row>
    <row r="907">
      <c r="A907" s="131"/>
      <c r="B907" s="131"/>
      <c r="C907" s="131"/>
      <c r="D907" s="131"/>
      <c r="E907" s="100"/>
      <c r="F907" s="100"/>
    </row>
    <row r="908">
      <c r="A908" s="131"/>
      <c r="B908" s="131"/>
      <c r="C908" s="131"/>
      <c r="D908" s="131"/>
      <c r="E908" s="100"/>
      <c r="F908" s="100"/>
    </row>
    <row r="909">
      <c r="A909" s="131"/>
      <c r="B909" s="131"/>
      <c r="C909" s="131"/>
      <c r="D909" s="131"/>
      <c r="E909" s="100"/>
      <c r="F909" s="100"/>
    </row>
    <row r="910">
      <c r="A910" s="131"/>
      <c r="B910" s="131"/>
      <c r="C910" s="131"/>
      <c r="D910" s="131"/>
      <c r="E910" s="99"/>
      <c r="F910" s="99"/>
    </row>
    <row r="911">
      <c r="A911" s="131"/>
      <c r="B911" s="131"/>
      <c r="C911" s="131"/>
      <c r="D911" s="131"/>
      <c r="E911" s="100"/>
      <c r="F911" s="100"/>
    </row>
    <row r="912">
      <c r="A912" s="131"/>
      <c r="B912" s="131"/>
      <c r="C912" s="131"/>
      <c r="D912" s="131"/>
      <c r="E912" s="100"/>
      <c r="F912" s="100"/>
    </row>
    <row r="913">
      <c r="A913" s="131"/>
      <c r="B913" s="131"/>
      <c r="C913" s="131"/>
      <c r="D913" s="131"/>
      <c r="E913" s="100"/>
      <c r="F913" s="100"/>
    </row>
    <row r="914">
      <c r="A914" s="131"/>
      <c r="B914" s="131"/>
      <c r="C914" s="131"/>
      <c r="D914" s="131"/>
      <c r="E914" s="100"/>
      <c r="F914" s="100"/>
    </row>
    <row r="915">
      <c r="A915" s="131"/>
      <c r="B915" s="131"/>
      <c r="C915" s="131"/>
      <c r="D915" s="131"/>
      <c r="E915" s="100"/>
      <c r="F915" s="100"/>
    </row>
    <row r="916">
      <c r="A916" s="131"/>
      <c r="B916" s="131"/>
      <c r="C916" s="131"/>
      <c r="D916" s="131"/>
      <c r="E916" s="100"/>
      <c r="F916" s="100"/>
    </row>
    <row r="917">
      <c r="A917" s="131"/>
      <c r="B917" s="131"/>
      <c r="C917" s="131"/>
      <c r="D917" s="131"/>
      <c r="E917" s="101"/>
      <c r="F917" s="101"/>
    </row>
    <row r="918">
      <c r="A918" s="131"/>
      <c r="B918" s="131"/>
      <c r="C918" s="131"/>
      <c r="D918" s="131"/>
      <c r="E918" s="101"/>
      <c r="F918" s="101"/>
    </row>
    <row r="919">
      <c r="A919" s="131"/>
      <c r="B919" s="131"/>
      <c r="C919" s="131"/>
      <c r="D919" s="131"/>
      <c r="E919" s="101"/>
      <c r="F919" s="101"/>
    </row>
    <row r="920">
      <c r="A920" s="131"/>
      <c r="B920" s="131"/>
      <c r="C920" s="131"/>
      <c r="D920" s="131"/>
      <c r="E920" s="101"/>
      <c r="F920" s="101"/>
    </row>
    <row r="921">
      <c r="A921" s="131"/>
      <c r="B921" s="131"/>
      <c r="C921" s="131"/>
      <c r="D921" s="131"/>
      <c r="E921" s="101"/>
      <c r="F921" s="101"/>
    </row>
    <row r="922">
      <c r="A922" s="131"/>
      <c r="B922" s="131"/>
      <c r="C922" s="131"/>
      <c r="D922" s="131"/>
      <c r="E922" s="101"/>
      <c r="F922" s="101"/>
    </row>
    <row r="923">
      <c r="A923" s="131"/>
      <c r="B923" s="131"/>
      <c r="C923" s="131"/>
      <c r="D923" s="131"/>
      <c r="E923" s="105"/>
      <c r="F923" s="105"/>
    </row>
    <row r="924">
      <c r="A924" s="131"/>
      <c r="B924" s="131"/>
      <c r="C924" s="131"/>
      <c r="D924" s="131"/>
      <c r="E924" s="106"/>
      <c r="F924" s="106"/>
    </row>
    <row r="925">
      <c r="A925" s="131"/>
      <c r="B925" s="131"/>
      <c r="C925" s="131"/>
      <c r="D925" s="131"/>
      <c r="E925" s="107"/>
      <c r="F925" s="107"/>
    </row>
    <row r="926">
      <c r="A926" s="131"/>
      <c r="B926" s="131"/>
      <c r="C926" s="131"/>
      <c r="D926" s="131"/>
      <c r="E926" s="107"/>
      <c r="F926" s="107"/>
    </row>
    <row r="927">
      <c r="A927" s="131"/>
      <c r="B927" s="131"/>
      <c r="C927" s="131"/>
      <c r="D927" s="131"/>
      <c r="E927" s="108"/>
      <c r="F927" s="108"/>
    </row>
    <row r="928">
      <c r="A928" s="131"/>
      <c r="B928" s="131"/>
      <c r="C928" s="131"/>
      <c r="D928" s="131"/>
      <c r="E928" s="107"/>
      <c r="F928" s="107"/>
    </row>
    <row r="929">
      <c r="A929" s="131"/>
      <c r="B929" s="131"/>
      <c r="C929" s="131"/>
      <c r="D929" s="131"/>
      <c r="E929" s="106"/>
      <c r="F929" s="106"/>
    </row>
    <row r="930">
      <c r="A930" s="131"/>
      <c r="B930" s="131"/>
      <c r="C930" s="131"/>
      <c r="D930" s="131"/>
      <c r="E930" s="107"/>
      <c r="F930" s="107"/>
    </row>
    <row r="931">
      <c r="A931" s="131"/>
      <c r="B931" s="131"/>
      <c r="C931" s="131"/>
      <c r="D931" s="131"/>
      <c r="E931" s="107"/>
      <c r="F931" s="107"/>
    </row>
    <row r="932">
      <c r="A932" s="131"/>
      <c r="B932" s="131"/>
      <c r="C932" s="131"/>
      <c r="D932" s="131"/>
      <c r="E932" s="107"/>
      <c r="F932" s="107"/>
    </row>
    <row r="933">
      <c r="A933" s="131"/>
      <c r="B933" s="131"/>
      <c r="C933" s="131"/>
      <c r="D933" s="131"/>
      <c r="E933" s="107"/>
      <c r="F933" s="107"/>
    </row>
    <row r="934">
      <c r="A934" s="131"/>
      <c r="B934" s="131"/>
      <c r="C934" s="131"/>
      <c r="D934" s="131"/>
      <c r="E934" s="106"/>
      <c r="F934" s="106"/>
    </row>
    <row r="935">
      <c r="A935" s="131"/>
      <c r="B935" s="131"/>
      <c r="C935" s="131"/>
      <c r="D935" s="131"/>
      <c r="E935" s="107"/>
      <c r="F935" s="107"/>
    </row>
    <row r="936">
      <c r="A936" s="131"/>
      <c r="B936" s="131"/>
      <c r="C936" s="131"/>
      <c r="D936" s="131"/>
      <c r="E936" s="109"/>
      <c r="F936" s="109"/>
    </row>
    <row r="937">
      <c r="A937" s="131"/>
      <c r="B937" s="131"/>
      <c r="C937" s="131"/>
      <c r="D937" s="131"/>
      <c r="E937" s="110"/>
      <c r="F937" s="110"/>
    </row>
    <row r="938">
      <c r="A938" s="131"/>
      <c r="B938" s="131"/>
      <c r="C938" s="131"/>
      <c r="D938" s="131"/>
      <c r="E938" s="110"/>
      <c r="F938" s="110"/>
    </row>
    <row r="939">
      <c r="A939" s="131"/>
      <c r="B939" s="131"/>
      <c r="C939" s="131"/>
      <c r="D939" s="131"/>
      <c r="E939" s="111"/>
      <c r="F939" s="111"/>
    </row>
    <row r="940">
      <c r="A940" s="131"/>
      <c r="B940" s="131"/>
      <c r="C940" s="131"/>
      <c r="D940" s="131"/>
      <c r="E940" s="131"/>
      <c r="F940" s="131"/>
    </row>
    <row r="941">
      <c r="A941" s="131"/>
      <c r="B941" s="131"/>
      <c r="C941" s="131"/>
      <c r="D941" s="131"/>
      <c r="E941" s="131"/>
      <c r="F941" s="131"/>
    </row>
    <row r="942">
      <c r="A942" s="131"/>
      <c r="B942" s="131"/>
      <c r="C942" s="131"/>
      <c r="D942" s="131"/>
      <c r="E942" s="131"/>
      <c r="F942" s="131"/>
    </row>
    <row r="943">
      <c r="A943" s="131"/>
      <c r="B943" s="131"/>
      <c r="C943" s="131"/>
      <c r="D943" s="131"/>
      <c r="E943" s="131"/>
      <c r="F943" s="131"/>
    </row>
    <row r="944">
      <c r="A944" s="131"/>
      <c r="B944" s="131"/>
      <c r="C944" s="131"/>
      <c r="D944" s="131"/>
      <c r="E944" s="131"/>
      <c r="F944" s="131"/>
    </row>
    <row r="945">
      <c r="A945" s="131"/>
      <c r="B945" s="131"/>
      <c r="C945" s="131"/>
      <c r="D945" s="131"/>
      <c r="E945" s="131"/>
      <c r="F945" s="131"/>
    </row>
    <row r="946">
      <c r="A946" s="131"/>
      <c r="B946" s="131"/>
      <c r="C946" s="131"/>
      <c r="D946" s="131"/>
      <c r="E946" s="131"/>
      <c r="F946" s="131"/>
    </row>
    <row r="947">
      <c r="A947" s="131"/>
      <c r="B947" s="131"/>
      <c r="C947" s="131"/>
      <c r="D947" s="131"/>
      <c r="E947" s="131"/>
      <c r="F947" s="131"/>
    </row>
    <row r="948">
      <c r="A948" s="131"/>
      <c r="B948" s="131"/>
      <c r="C948" s="131"/>
      <c r="D948" s="131"/>
      <c r="E948" s="131"/>
      <c r="F948" s="131"/>
    </row>
    <row r="949">
      <c r="A949" s="131"/>
      <c r="B949" s="131"/>
      <c r="C949" s="131"/>
      <c r="D949" s="131"/>
      <c r="E949" s="131"/>
      <c r="F949" s="131"/>
    </row>
    <row r="950">
      <c r="A950" s="131"/>
      <c r="B950" s="131"/>
      <c r="C950" s="131"/>
      <c r="D950" s="131"/>
      <c r="E950" s="131"/>
      <c r="F950" s="131"/>
    </row>
    <row r="951">
      <c r="A951" s="131"/>
      <c r="B951" s="131"/>
      <c r="C951" s="131"/>
      <c r="D951" s="131"/>
      <c r="E951" s="131"/>
      <c r="F951" s="131"/>
    </row>
    <row r="952">
      <c r="A952" s="131"/>
      <c r="B952" s="131"/>
      <c r="C952" s="131"/>
      <c r="D952" s="131"/>
      <c r="E952" s="131"/>
      <c r="F952" s="131"/>
    </row>
    <row r="953">
      <c r="A953" s="131"/>
      <c r="B953" s="131"/>
      <c r="C953" s="131"/>
      <c r="D953" s="131"/>
      <c r="E953" s="131"/>
      <c r="F953" s="131"/>
    </row>
    <row r="954">
      <c r="A954" s="131"/>
      <c r="B954" s="131"/>
      <c r="C954" s="131"/>
      <c r="D954" s="131"/>
      <c r="E954" s="131"/>
      <c r="F954" s="131"/>
    </row>
    <row r="955">
      <c r="A955" s="131"/>
      <c r="B955" s="131"/>
      <c r="C955" s="131"/>
      <c r="D955" s="131"/>
      <c r="E955" s="131"/>
      <c r="F955" s="131"/>
    </row>
    <row r="956">
      <c r="A956" s="131"/>
      <c r="B956" s="131"/>
      <c r="C956" s="131"/>
      <c r="D956" s="131"/>
      <c r="E956" s="131"/>
      <c r="F956" s="131"/>
    </row>
    <row r="957">
      <c r="A957" s="131"/>
      <c r="B957" s="131"/>
      <c r="C957" s="131"/>
      <c r="D957" s="131"/>
      <c r="E957" s="131"/>
      <c r="F957" s="131"/>
    </row>
    <row r="958">
      <c r="A958" s="131"/>
      <c r="B958" s="131"/>
      <c r="C958" s="131"/>
      <c r="D958" s="131"/>
      <c r="E958" s="131"/>
      <c r="F958" s="131"/>
    </row>
    <row r="959">
      <c r="A959" s="131"/>
      <c r="B959" s="131"/>
      <c r="C959" s="131"/>
      <c r="D959" s="131"/>
      <c r="E959" s="131"/>
      <c r="F959" s="131"/>
    </row>
    <row r="960">
      <c r="A960" s="131"/>
      <c r="B960" s="131"/>
      <c r="C960" s="131"/>
      <c r="D960" s="131"/>
      <c r="E960" s="131"/>
      <c r="F960" s="131"/>
    </row>
    <row r="961">
      <c r="A961" s="131"/>
      <c r="B961" s="131"/>
      <c r="C961" s="131"/>
      <c r="D961" s="131"/>
      <c r="E961" s="131"/>
      <c r="F961" s="131"/>
    </row>
    <row r="962">
      <c r="A962" s="131"/>
      <c r="B962" s="131"/>
      <c r="C962" s="131"/>
      <c r="D962" s="131"/>
      <c r="E962" s="131"/>
      <c r="F962" s="131"/>
    </row>
    <row r="963">
      <c r="A963" s="131"/>
      <c r="B963" s="131"/>
      <c r="C963" s="131"/>
      <c r="D963" s="131"/>
      <c r="E963" s="131"/>
      <c r="F963" s="131"/>
    </row>
    <row r="964">
      <c r="A964" s="131"/>
      <c r="B964" s="131"/>
      <c r="C964" s="131"/>
      <c r="D964" s="131"/>
      <c r="E964" s="131"/>
      <c r="F964" s="131"/>
    </row>
    <row r="965">
      <c r="A965" s="131"/>
      <c r="B965" s="131"/>
      <c r="C965" s="131"/>
      <c r="D965" s="131"/>
      <c r="E965" s="131"/>
      <c r="F965" s="131"/>
    </row>
    <row r="966">
      <c r="A966" s="131"/>
      <c r="B966" s="131"/>
      <c r="C966" s="131"/>
      <c r="D966" s="131"/>
      <c r="E966" s="131"/>
      <c r="F966" s="131"/>
    </row>
    <row r="967">
      <c r="A967" s="131"/>
      <c r="B967" s="131"/>
      <c r="C967" s="131"/>
      <c r="D967" s="131"/>
      <c r="E967" s="131"/>
      <c r="F967" s="131"/>
    </row>
    <row r="968">
      <c r="A968" s="131"/>
      <c r="B968" s="131"/>
      <c r="C968" s="131"/>
      <c r="D968" s="131"/>
      <c r="E968" s="131"/>
      <c r="F968" s="131"/>
    </row>
    <row r="969">
      <c r="A969" s="131"/>
      <c r="B969" s="131"/>
      <c r="C969" s="131"/>
      <c r="D969" s="131"/>
      <c r="E969" s="131"/>
      <c r="F969" s="131"/>
    </row>
    <row r="970">
      <c r="A970" s="131"/>
      <c r="B970" s="131"/>
      <c r="C970" s="131"/>
      <c r="D970" s="131"/>
      <c r="E970" s="131"/>
      <c r="F970" s="131"/>
    </row>
    <row r="971">
      <c r="A971" s="131"/>
      <c r="B971" s="131"/>
      <c r="C971" s="131"/>
      <c r="D971" s="131"/>
      <c r="E971" s="131"/>
      <c r="F971" s="131"/>
    </row>
    <row r="972">
      <c r="A972" s="131"/>
      <c r="B972" s="131"/>
      <c r="C972" s="131"/>
      <c r="D972" s="131"/>
      <c r="E972" s="131"/>
      <c r="F972" s="131"/>
    </row>
    <row r="973">
      <c r="A973" s="131"/>
      <c r="B973" s="131"/>
      <c r="C973" s="131"/>
      <c r="D973" s="131"/>
      <c r="E973" s="131"/>
      <c r="F973" s="131"/>
    </row>
    <row r="974">
      <c r="A974" s="131"/>
      <c r="B974" s="131"/>
      <c r="C974" s="131"/>
      <c r="D974" s="131"/>
      <c r="E974" s="131"/>
      <c r="F974" s="131"/>
    </row>
    <row r="975">
      <c r="A975" s="131"/>
      <c r="B975" s="131"/>
      <c r="C975" s="131"/>
      <c r="D975" s="131"/>
      <c r="E975" s="131"/>
      <c r="F975" s="131"/>
    </row>
    <row r="976">
      <c r="A976" s="131"/>
      <c r="B976" s="131"/>
      <c r="C976" s="131"/>
      <c r="D976" s="131"/>
      <c r="E976" s="131"/>
      <c r="F976" s="131"/>
    </row>
    <row r="977">
      <c r="A977" s="131"/>
      <c r="B977" s="131"/>
      <c r="C977" s="131"/>
      <c r="D977" s="131"/>
      <c r="E977" s="131"/>
      <c r="F977" s="131"/>
    </row>
    <row r="978">
      <c r="A978" s="131"/>
      <c r="B978" s="131"/>
      <c r="C978" s="131"/>
      <c r="D978" s="131"/>
      <c r="E978" s="131"/>
      <c r="F978" s="131"/>
    </row>
    <row r="979">
      <c r="A979" s="131"/>
      <c r="B979" s="131"/>
      <c r="C979" s="131"/>
      <c r="D979" s="131"/>
      <c r="E979" s="131"/>
      <c r="F979" s="131"/>
    </row>
    <row r="980">
      <c r="A980" s="131"/>
      <c r="B980" s="131"/>
      <c r="C980" s="131"/>
      <c r="D980" s="131"/>
      <c r="E980" s="131"/>
      <c r="F980" s="131"/>
    </row>
    <row r="981">
      <c r="A981" s="131"/>
      <c r="B981" s="131"/>
      <c r="C981" s="131"/>
      <c r="D981" s="131"/>
      <c r="E981" s="131"/>
      <c r="F981" s="131"/>
    </row>
    <row r="982">
      <c r="A982" s="131"/>
      <c r="B982" s="131"/>
      <c r="C982" s="131"/>
      <c r="D982" s="131"/>
      <c r="E982" s="131"/>
      <c r="F982" s="131"/>
    </row>
    <row r="983">
      <c r="A983" s="131"/>
      <c r="B983" s="131"/>
      <c r="C983" s="131"/>
      <c r="D983" s="131"/>
      <c r="E983" s="131"/>
      <c r="F983" s="131"/>
    </row>
    <row r="984">
      <c r="A984" s="131"/>
      <c r="B984" s="131"/>
      <c r="C984" s="131"/>
      <c r="D984" s="131"/>
      <c r="E984" s="131"/>
      <c r="F984" s="131"/>
    </row>
    <row r="985">
      <c r="A985" s="131"/>
      <c r="B985" s="131"/>
      <c r="C985" s="131"/>
      <c r="D985" s="131"/>
      <c r="E985" s="131"/>
      <c r="F985" s="131"/>
    </row>
    <row r="986">
      <c r="A986" s="131"/>
      <c r="B986" s="131"/>
      <c r="C986" s="131"/>
      <c r="D986" s="131"/>
      <c r="E986" s="131"/>
      <c r="F986" s="131"/>
    </row>
    <row r="987">
      <c r="A987" s="131"/>
      <c r="B987" s="131"/>
      <c r="C987" s="131"/>
      <c r="D987" s="131"/>
      <c r="E987" s="131"/>
      <c r="F987" s="131"/>
    </row>
    <row r="988">
      <c r="A988" s="131"/>
      <c r="B988" s="131"/>
      <c r="C988" s="131"/>
      <c r="D988" s="131"/>
      <c r="E988" s="131"/>
      <c r="F988" s="131"/>
    </row>
    <row r="989">
      <c r="A989" s="131"/>
      <c r="B989" s="131"/>
      <c r="C989" s="131"/>
      <c r="D989" s="131"/>
      <c r="E989" s="131"/>
      <c r="F989" s="131"/>
    </row>
    <row r="990">
      <c r="A990" s="131"/>
      <c r="B990" s="131"/>
      <c r="C990" s="131"/>
      <c r="D990" s="131"/>
      <c r="E990" s="131"/>
      <c r="F990" s="131"/>
    </row>
    <row r="991">
      <c r="A991" s="131"/>
      <c r="B991" s="131"/>
      <c r="C991" s="131"/>
      <c r="D991" s="131"/>
      <c r="E991" s="131"/>
      <c r="F991" s="131"/>
    </row>
    <row r="992">
      <c r="A992" s="131"/>
      <c r="B992" s="131"/>
      <c r="C992" s="131"/>
      <c r="D992" s="131"/>
      <c r="E992" s="131"/>
      <c r="F992" s="131"/>
    </row>
    <row r="993">
      <c r="A993" s="131"/>
      <c r="B993" s="131"/>
      <c r="C993" s="131"/>
      <c r="D993" s="131"/>
      <c r="E993" s="131"/>
      <c r="F993" s="131"/>
    </row>
    <row r="994">
      <c r="A994" s="131"/>
      <c r="B994" s="131"/>
      <c r="C994" s="131"/>
      <c r="D994" s="131"/>
      <c r="E994" s="131"/>
      <c r="F994" s="131"/>
    </row>
  </sheetData>
  <mergeCells count="12">
    <mergeCell ref="L752:P752"/>
    <mergeCell ref="Q752:W752"/>
    <mergeCell ref="G846:K846"/>
    <mergeCell ref="L846:P846"/>
    <mergeCell ref="Q846:W846"/>
    <mergeCell ref="G1:K1"/>
    <mergeCell ref="L1:P1"/>
    <mergeCell ref="Q1:W1"/>
    <mergeCell ref="G500:K500"/>
    <mergeCell ref="L500:P500"/>
    <mergeCell ref="Q500:W500"/>
    <mergeCell ref="G752:K752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6.71"/>
    <col customWidth="1" min="2" max="2" width="15.57"/>
    <col customWidth="1" min="6" max="6" width="23.43"/>
  </cols>
  <sheetData>
    <row r="1">
      <c r="A1" s="1" t="s">
        <v>0</v>
      </c>
      <c r="E1" s="1"/>
      <c r="F1" s="1"/>
    </row>
    <row r="2">
      <c r="A2" s="1"/>
      <c r="B2" s="1"/>
      <c r="C2" s="1"/>
      <c r="D2" s="1"/>
      <c r="E2" s="1"/>
      <c r="F2" s="1"/>
    </row>
    <row r="4">
      <c r="A4" s="134" t="s">
        <v>576</v>
      </c>
      <c r="F4" s="135" t="s">
        <v>577</v>
      </c>
      <c r="G4" s="13"/>
      <c r="H4" s="136" t="s">
        <v>578</v>
      </c>
      <c r="I4" s="137"/>
    </row>
    <row r="5">
      <c r="A5" s="134" t="s">
        <v>579</v>
      </c>
      <c r="F5" s="138" t="s">
        <v>580</v>
      </c>
      <c r="I5" s="139"/>
    </row>
    <row r="6">
      <c r="F6" s="140"/>
      <c r="I6" s="139"/>
    </row>
    <row r="7">
      <c r="A7" s="141" t="s">
        <v>581</v>
      </c>
      <c r="B7" s="142" t="s">
        <v>582</v>
      </c>
      <c r="C7" s="143" t="s">
        <v>583</v>
      </c>
      <c r="D7" s="143" t="s">
        <v>20</v>
      </c>
      <c r="F7" s="144"/>
      <c r="G7" s="145" t="s">
        <v>582</v>
      </c>
      <c r="H7" s="146" t="s">
        <v>583</v>
      </c>
      <c r="I7" s="147" t="s">
        <v>20</v>
      </c>
    </row>
    <row r="8">
      <c r="A8" s="148" t="s">
        <v>584</v>
      </c>
      <c r="B8" s="149"/>
      <c r="C8" s="149"/>
      <c r="D8" s="139"/>
      <c r="F8" s="150" t="s">
        <v>585</v>
      </c>
      <c r="G8" s="151"/>
      <c r="H8" s="151"/>
      <c r="I8" s="152"/>
    </row>
    <row r="9">
      <c r="A9" s="153" t="s">
        <v>586</v>
      </c>
      <c r="B9" s="149"/>
      <c r="C9" s="149"/>
      <c r="D9" s="139"/>
      <c r="F9" s="153"/>
      <c r="G9" s="149"/>
      <c r="H9" s="149"/>
      <c r="I9" s="139"/>
    </row>
    <row r="10">
      <c r="A10" s="154" t="s">
        <v>587</v>
      </c>
      <c r="B10" s="149"/>
      <c r="C10" s="149"/>
      <c r="D10" s="139"/>
      <c r="F10" s="155" t="s">
        <v>588</v>
      </c>
      <c r="G10" s="156"/>
      <c r="H10" s="156"/>
      <c r="I10" s="137"/>
    </row>
    <row r="11">
      <c r="A11" s="154" t="s">
        <v>589</v>
      </c>
      <c r="B11" s="149"/>
      <c r="C11" s="149"/>
      <c r="D11" s="139"/>
      <c r="F11" s="154" t="s">
        <v>590</v>
      </c>
      <c r="G11" s="149"/>
      <c r="H11" s="149"/>
      <c r="I11" s="139"/>
    </row>
    <row r="12">
      <c r="A12" s="154" t="s">
        <v>591</v>
      </c>
      <c r="B12" s="149"/>
      <c r="C12" s="149"/>
      <c r="D12" s="139"/>
      <c r="F12" s="154" t="s">
        <v>592</v>
      </c>
      <c r="G12" s="149"/>
      <c r="H12" s="149"/>
      <c r="I12" s="139"/>
    </row>
    <row r="13">
      <c r="A13" s="157" t="s">
        <v>593</v>
      </c>
      <c r="B13" s="158"/>
      <c r="C13" s="158"/>
      <c r="D13" s="159"/>
      <c r="F13" s="154" t="s">
        <v>594</v>
      </c>
      <c r="G13" s="149"/>
      <c r="H13" s="149"/>
      <c r="I13" s="139"/>
    </row>
    <row r="14">
      <c r="A14" s="160" t="s">
        <v>595</v>
      </c>
      <c r="B14" s="156"/>
      <c r="C14" s="156"/>
      <c r="D14" s="137"/>
      <c r="F14" s="154" t="s">
        <v>596</v>
      </c>
      <c r="G14" s="149"/>
      <c r="H14" s="149"/>
      <c r="I14" s="139"/>
    </row>
    <row r="15">
      <c r="A15" s="154" t="s">
        <v>587</v>
      </c>
      <c r="B15" s="149"/>
      <c r="C15" s="149"/>
      <c r="D15" s="139"/>
      <c r="F15" s="157" t="s">
        <v>597</v>
      </c>
      <c r="G15" s="158"/>
      <c r="H15" s="158"/>
      <c r="I15" s="159"/>
    </row>
    <row r="16">
      <c r="A16" s="154" t="s">
        <v>589</v>
      </c>
      <c r="B16" s="149"/>
      <c r="C16" s="149"/>
      <c r="D16" s="139"/>
      <c r="F16" s="149"/>
      <c r="G16" s="149"/>
      <c r="H16" s="149"/>
      <c r="I16" s="139"/>
    </row>
    <row r="17">
      <c r="A17" s="154" t="s">
        <v>591</v>
      </c>
      <c r="B17" s="149"/>
      <c r="C17" s="149"/>
      <c r="D17" s="139"/>
      <c r="F17" s="161" t="s">
        <v>598</v>
      </c>
      <c r="G17" s="156"/>
      <c r="H17" s="156"/>
      <c r="I17" s="137"/>
    </row>
    <row r="18">
      <c r="A18" s="157" t="s">
        <v>593</v>
      </c>
      <c r="B18" s="158"/>
      <c r="C18" s="158"/>
      <c r="D18" s="159"/>
      <c r="F18" s="154" t="s">
        <v>599</v>
      </c>
      <c r="G18" s="149"/>
      <c r="H18" s="149"/>
      <c r="I18" s="139"/>
    </row>
    <row r="19">
      <c r="F19" s="154" t="s">
        <v>600</v>
      </c>
      <c r="G19" s="149"/>
      <c r="H19" s="149"/>
      <c r="I19" s="139"/>
    </row>
    <row r="20">
      <c r="A20" s="141" t="s">
        <v>601</v>
      </c>
      <c r="B20" s="142" t="s">
        <v>582</v>
      </c>
      <c r="C20" s="143" t="s">
        <v>583</v>
      </c>
      <c r="D20" s="143" t="s">
        <v>20</v>
      </c>
      <c r="F20" s="157" t="s">
        <v>602</v>
      </c>
      <c r="G20" s="158"/>
      <c r="H20" s="158"/>
      <c r="I20" s="159"/>
    </row>
    <row r="21">
      <c r="A21" s="138" t="s">
        <v>590</v>
      </c>
      <c r="B21" s="149"/>
      <c r="C21" s="149"/>
      <c r="D21" s="139"/>
      <c r="F21" s="149"/>
      <c r="G21" s="149"/>
      <c r="H21" s="149"/>
      <c r="I21" s="139"/>
    </row>
    <row r="22">
      <c r="A22" s="138" t="s">
        <v>592</v>
      </c>
      <c r="B22" s="149"/>
      <c r="C22" s="149"/>
      <c r="D22" s="139"/>
      <c r="F22" s="161" t="s">
        <v>603</v>
      </c>
      <c r="G22" s="156"/>
      <c r="H22" s="156"/>
      <c r="I22" s="137"/>
    </row>
    <row r="23">
      <c r="A23" s="138" t="s">
        <v>594</v>
      </c>
      <c r="B23" s="149"/>
      <c r="C23" s="149"/>
      <c r="D23" s="139"/>
      <c r="F23" s="153" t="s">
        <v>604</v>
      </c>
      <c r="G23" s="149"/>
      <c r="H23" s="149"/>
      <c r="I23" s="139"/>
    </row>
    <row r="24">
      <c r="A24" s="138" t="s">
        <v>596</v>
      </c>
      <c r="B24" s="149"/>
      <c r="C24" s="149"/>
      <c r="D24" s="139"/>
      <c r="F24" s="153" t="s">
        <v>605</v>
      </c>
      <c r="G24" s="149"/>
      <c r="H24" s="149"/>
      <c r="I24" s="139"/>
    </row>
    <row r="25">
      <c r="A25" s="138" t="s">
        <v>606</v>
      </c>
      <c r="B25" s="149"/>
      <c r="C25" s="149"/>
      <c r="D25" s="139"/>
      <c r="F25" s="162" t="s">
        <v>607</v>
      </c>
      <c r="G25" s="158"/>
      <c r="H25" s="158"/>
      <c r="I25" s="159"/>
    </row>
    <row r="26">
      <c r="A26" s="138" t="s">
        <v>608</v>
      </c>
      <c r="B26" s="149"/>
      <c r="C26" s="149"/>
      <c r="D26" s="139"/>
      <c r="F26" s="149"/>
      <c r="G26" s="149"/>
      <c r="H26" s="149"/>
      <c r="I26" s="139"/>
    </row>
    <row r="27">
      <c r="A27" s="128" t="s">
        <v>609</v>
      </c>
      <c r="B27" s="158"/>
      <c r="C27" s="158"/>
      <c r="D27" s="159"/>
      <c r="F27" s="163" t="s">
        <v>610</v>
      </c>
      <c r="G27" s="156"/>
      <c r="H27" s="156"/>
      <c r="I27" s="137"/>
    </row>
    <row r="28">
      <c r="F28" s="157" t="s">
        <v>611</v>
      </c>
      <c r="G28" s="158"/>
      <c r="H28" s="158"/>
      <c r="I28" s="159"/>
    </row>
    <row r="29">
      <c r="A29" s="141" t="s">
        <v>612</v>
      </c>
      <c r="B29" s="142" t="s">
        <v>582</v>
      </c>
      <c r="C29" s="143" t="s">
        <v>583</v>
      </c>
      <c r="D29" s="143" t="s">
        <v>20</v>
      </c>
    </row>
    <row r="30">
      <c r="A30" s="164" t="s">
        <v>613</v>
      </c>
      <c r="B30" s="149"/>
      <c r="C30" s="149"/>
      <c r="D30" s="139"/>
    </row>
    <row r="31">
      <c r="A31" s="165" t="s">
        <v>614</v>
      </c>
      <c r="B31" s="149"/>
      <c r="C31" s="149"/>
      <c r="D31" s="139"/>
    </row>
    <row r="32">
      <c r="A32" s="165" t="s">
        <v>615</v>
      </c>
      <c r="B32" s="149"/>
      <c r="C32" s="149"/>
      <c r="D32" s="139"/>
    </row>
    <row r="33">
      <c r="A33" s="165" t="s">
        <v>616</v>
      </c>
      <c r="B33" s="149"/>
      <c r="C33" s="149"/>
      <c r="D33" s="139"/>
    </row>
    <row r="34">
      <c r="A34" s="165" t="s">
        <v>617</v>
      </c>
      <c r="B34" s="149"/>
      <c r="C34" s="149"/>
      <c r="D34" s="139"/>
    </row>
    <row r="35">
      <c r="A35" s="165" t="s">
        <v>618</v>
      </c>
      <c r="B35" s="149"/>
      <c r="C35" s="149"/>
      <c r="D35" s="139"/>
    </row>
    <row r="36">
      <c r="A36" s="164" t="s">
        <v>619</v>
      </c>
      <c r="B36" s="149"/>
      <c r="C36" s="149"/>
      <c r="D36" s="139"/>
    </row>
    <row r="37">
      <c r="A37" s="165" t="s">
        <v>620</v>
      </c>
      <c r="B37" s="149"/>
      <c r="C37" s="149"/>
      <c r="D37" s="139"/>
    </row>
    <row r="38">
      <c r="A38" s="165" t="s">
        <v>621</v>
      </c>
      <c r="B38" s="149"/>
      <c r="C38" s="149"/>
      <c r="D38" s="139"/>
    </row>
    <row r="39">
      <c r="A39" s="165" t="s">
        <v>622</v>
      </c>
      <c r="B39" s="149"/>
      <c r="C39" s="149"/>
      <c r="D39" s="139"/>
    </row>
    <row r="40">
      <c r="A40" s="165" t="s">
        <v>623</v>
      </c>
      <c r="B40" s="149"/>
      <c r="C40" s="149"/>
      <c r="D40" s="139"/>
    </row>
    <row r="41">
      <c r="A41" s="164" t="s">
        <v>624</v>
      </c>
      <c r="B41" s="149"/>
      <c r="C41" s="149"/>
      <c r="D41" s="139"/>
    </row>
    <row r="42">
      <c r="A42" s="166" t="s">
        <v>625</v>
      </c>
      <c r="B42" s="158"/>
      <c r="C42" s="158"/>
      <c r="D42" s="159"/>
    </row>
    <row r="44">
      <c r="A44" s="141" t="s">
        <v>626</v>
      </c>
      <c r="B44" s="142" t="s">
        <v>582</v>
      </c>
      <c r="C44" s="143" t="s">
        <v>583</v>
      </c>
      <c r="D44" s="143" t="s">
        <v>20</v>
      </c>
    </row>
    <row r="45">
      <c r="A45" s="138" t="s">
        <v>627</v>
      </c>
      <c r="B45" s="149"/>
      <c r="C45" s="149"/>
      <c r="D45" s="139"/>
    </row>
    <row r="46">
      <c r="A46" s="138" t="s">
        <v>628</v>
      </c>
      <c r="B46" s="149"/>
      <c r="C46" s="149"/>
      <c r="D46" s="139"/>
    </row>
    <row r="47">
      <c r="A47" s="167" t="s">
        <v>611</v>
      </c>
      <c r="B47" s="158"/>
      <c r="C47" s="158"/>
      <c r="D47" s="159"/>
    </row>
    <row r="49">
      <c r="A49" s="86" t="s">
        <v>629</v>
      </c>
    </row>
    <row r="52">
      <c r="A52" s="90" t="s">
        <v>630</v>
      </c>
      <c r="C52" s="90" t="s">
        <v>580</v>
      </c>
    </row>
    <row r="54">
      <c r="A54" s="90" t="s">
        <v>631</v>
      </c>
    </row>
  </sheetData>
  <mergeCells count="4">
    <mergeCell ref="A1:D1"/>
    <mergeCell ref="A4:D4"/>
    <mergeCell ref="F4:G4"/>
    <mergeCell ref="A5:D5"/>
  </mergeCells>
  <drawing r:id="rId1"/>
</worksheet>
</file>
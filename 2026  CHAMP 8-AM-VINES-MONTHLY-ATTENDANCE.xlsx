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STERLIST" sheetId="2" r:id="rId6"/>
    <sheet state="visible" name="MEMBER_QUERY" sheetId="3" r:id="rId7"/>
    <sheet state="visible" name="JANUARY" sheetId="4" r:id="rId8"/>
    <sheet state="visible" name="FEBRUARY" sheetId="5" r:id="rId9"/>
    <sheet state="visible" name="MARCH" sheetId="6" r:id="rId10"/>
    <sheet state="visible" name="APRIL" sheetId="7" r:id="rId11"/>
    <sheet state="visible" name="MAY" sheetId="8" r:id="rId12"/>
    <sheet state="visible" name="JUNE" sheetId="9" r:id="rId13"/>
    <sheet state="visible" name="JULY" sheetId="10" r:id="rId14"/>
    <sheet state="visible" name="AUGUST" sheetId="11" r:id="rId15"/>
    <sheet state="visible" name="SEPTEMBER" sheetId="12" r:id="rId16"/>
    <sheet state="visible" name="OCTOBER" sheetId="13" r:id="rId17"/>
    <sheet state="visible" name="NOVEMBER" sheetId="14" r:id="rId18"/>
    <sheet state="visible" name="DECEMBER" sheetId="15" r:id="rId19"/>
    <sheet state="visible" name="Sample PDF" sheetId="16" r:id="rId20"/>
  </sheets>
  <definedNames>
    <definedName hidden="1" localSheetId="1" name="_xlnm._FilterDatabase">MASTERLIST!$H$1:$H$919</definedName>
  </definedNames>
  <calcPr/>
</workbook>
</file>

<file path=xl/sharedStrings.xml><?xml version="1.0" encoding="utf-8"?>
<sst xmlns="http://schemas.openxmlformats.org/spreadsheetml/2006/main" count="2331" uniqueCount="819">
  <si>
    <t>id</t>
  </si>
  <si>
    <t>last_name</t>
  </si>
  <si>
    <t>Month</t>
  </si>
  <si>
    <t>first_name</t>
  </si>
  <si>
    <t>JANUARY</t>
  </si>
  <si>
    <t>JCSGO 8AM  YEARLY ATTENDANCE MONITORING</t>
  </si>
  <si>
    <t>contact</t>
  </si>
  <si>
    <t>bday</t>
  </si>
  <si>
    <t>address</t>
  </si>
  <si>
    <t>SUNDAY ATTENDANCE</t>
  </si>
  <si>
    <t>status</t>
  </si>
  <si>
    <t>celebration</t>
  </si>
  <si>
    <t>category</t>
  </si>
  <si>
    <t>marital_status</t>
  </si>
  <si>
    <t>👉 Open Vine Attendance Form</t>
  </si>
  <si>
    <t>wedding_anniv</t>
  </si>
  <si>
    <t>ministry</t>
  </si>
  <si>
    <t>cg_leader</t>
  </si>
  <si>
    <t>CAREGROUP</t>
  </si>
  <si>
    <t>NEW BELIEVERS</t>
  </si>
  <si>
    <t>cg_id</t>
  </si>
  <si>
    <t>HAYO_EVANGELISM</t>
  </si>
  <si>
    <t>v_id</t>
  </si>
  <si>
    <t>is_vine</t>
  </si>
  <si>
    <t>LIGHT_HOUSE</t>
  </si>
  <si>
    <t>is_reg</t>
  </si>
  <si>
    <t>type</t>
  </si>
  <si>
    <t>FIELD_CG</t>
  </si>
  <si>
    <t>FIELD_CD</t>
  </si>
  <si>
    <t>FOLLOW_UP</t>
  </si>
  <si>
    <t>REACTIVATION</t>
  </si>
  <si>
    <t>CHILDREN_CHURCH</t>
  </si>
  <si>
    <t>SELUDO</t>
  </si>
  <si>
    <t>BARANGAY_OUTREACH</t>
  </si>
  <si>
    <t>MAYLA</t>
  </si>
  <si>
    <t>vine</t>
  </si>
  <si>
    <t>OUTREACH DISCIPLE</t>
  </si>
  <si>
    <t>TIALCO</t>
  </si>
  <si>
    <t>TESS</t>
  </si>
  <si>
    <t>cluster</t>
  </si>
  <si>
    <t>REMARKS</t>
  </si>
  <si>
    <t>TOLENTINO</t>
  </si>
  <si>
    <t>JANET</t>
  </si>
  <si>
    <t>care</t>
  </si>
  <si>
    <t>PRESTADO</t>
  </si>
  <si>
    <t>JOSEA</t>
  </si>
  <si>
    <t>WEEK1</t>
  </si>
  <si>
    <t>OJEDA</t>
  </si>
  <si>
    <t>GEMMA</t>
  </si>
  <si>
    <t>WEEK2</t>
  </si>
  <si>
    <t>WEEK3</t>
  </si>
  <si>
    <t>SANTOS</t>
  </si>
  <si>
    <t>LOTLOT</t>
  </si>
  <si>
    <t>WEEK4</t>
  </si>
  <si>
    <t>WEEK5</t>
  </si>
  <si>
    <t>WEEK_1</t>
  </si>
  <si>
    <t>LETABAN</t>
  </si>
  <si>
    <t>RACHEL</t>
  </si>
  <si>
    <t>WEEK_2</t>
  </si>
  <si>
    <t>WEEK_3</t>
  </si>
  <si>
    <t>WEEK_4</t>
  </si>
  <si>
    <t>WEEK_5</t>
  </si>
  <si>
    <t>MOSTAIRO</t>
  </si>
  <si>
    <t>LOURDES</t>
  </si>
  <si>
    <t>1ST_TIMER</t>
  </si>
  <si>
    <t>2ND_TIMER</t>
  </si>
  <si>
    <t>3RD_TIMER</t>
  </si>
  <si>
    <t>JACKIE</t>
  </si>
  <si>
    <t>4TH_TIMER</t>
  </si>
  <si>
    <t>5TH_TIMER</t>
  </si>
  <si>
    <t>POWER_FILLED</t>
  </si>
  <si>
    <t>WATER_BAPTISM</t>
  </si>
  <si>
    <t>WEEK_EW1</t>
  </si>
  <si>
    <t>PADEL</t>
  </si>
  <si>
    <t>WEEK_EW2</t>
  </si>
  <si>
    <t>ANA</t>
  </si>
  <si>
    <t>WEEK_EW3</t>
  </si>
  <si>
    <t>WEEK_EW4</t>
  </si>
  <si>
    <t>WEEK_EW5</t>
  </si>
  <si>
    <t>WEEK_LH1</t>
  </si>
  <si>
    <t>WEEK_LH2</t>
  </si>
  <si>
    <t>WEEK_LH3</t>
  </si>
  <si>
    <t>WEEK_LH4</t>
  </si>
  <si>
    <t>WEEK_LH5</t>
  </si>
  <si>
    <t>WEEK_FCG1</t>
  </si>
  <si>
    <t>WEEK_FCG2</t>
  </si>
  <si>
    <t>AUGUSTO</t>
  </si>
  <si>
    <t>WEEK_FCG3</t>
  </si>
  <si>
    <t>LEONOR</t>
  </si>
  <si>
    <t>WEEK_FCG4</t>
  </si>
  <si>
    <t>WEEK_FCG5</t>
  </si>
  <si>
    <t>WEEK_FCD1</t>
  </si>
  <si>
    <t>WEEK_FCD2</t>
  </si>
  <si>
    <t>WEEK_FCD3</t>
  </si>
  <si>
    <t>WEEK_FCD4</t>
  </si>
  <si>
    <t>WEEK_FCD5</t>
  </si>
  <si>
    <t>WEEK_FU1</t>
  </si>
  <si>
    <t>CAGALO</t>
  </si>
  <si>
    <t>WEEK_FU2</t>
  </si>
  <si>
    <t>MARLYN</t>
  </si>
  <si>
    <t>WEEK_FU3</t>
  </si>
  <si>
    <t>WEEK_FU4</t>
  </si>
  <si>
    <t>WEEK_FU5</t>
  </si>
  <si>
    <t>WEEK_R1</t>
  </si>
  <si>
    <t>WEEK_R2</t>
  </si>
  <si>
    <t>WEEK_R3</t>
  </si>
  <si>
    <t>WEEK_R4</t>
  </si>
  <si>
    <t>CORTEZ</t>
  </si>
  <si>
    <t>WEEK_R5</t>
  </si>
  <si>
    <t>WEEK_CC1</t>
  </si>
  <si>
    <t>MIRANI</t>
  </si>
  <si>
    <t>WEEK_CC2</t>
  </si>
  <si>
    <t>WEEK_CC3</t>
  </si>
  <si>
    <t>WEEK_CC4</t>
  </si>
  <si>
    <t>WEEK_CC5</t>
  </si>
  <si>
    <t>WEEK_BO1</t>
  </si>
  <si>
    <t>WEEK_BO2</t>
  </si>
  <si>
    <t>WEEK_BO3</t>
  </si>
  <si>
    <t>ACOB</t>
  </si>
  <si>
    <t>WEEK_BO4</t>
  </si>
  <si>
    <t>BENJIE</t>
  </si>
  <si>
    <t>WEEK_BO5</t>
  </si>
  <si>
    <t>WEEK_OD1</t>
  </si>
  <si>
    <t>WEEK_OD2</t>
  </si>
  <si>
    <t>WEEK_OD3</t>
  </si>
  <si>
    <t>WEEK_OD4</t>
  </si>
  <si>
    <t>WEEK_OD5</t>
  </si>
  <si>
    <t>WEEK_RM1</t>
  </si>
  <si>
    <t>WEEK_RM2</t>
  </si>
  <si>
    <t>WEEK_RM3</t>
  </si>
  <si>
    <t>WEEK_RM4</t>
  </si>
  <si>
    <t>WEEK_RM5</t>
  </si>
  <si>
    <t>SALANGA</t>
  </si>
  <si>
    <t>GINA</t>
  </si>
  <si>
    <t>Year</t>
  </si>
  <si>
    <t>BERNAL</t>
  </si>
  <si>
    <t>HELEN</t>
  </si>
  <si>
    <t>ORTEGA</t>
  </si>
  <si>
    <t>MARIA</t>
  </si>
  <si>
    <t>KEY</t>
  </si>
  <si>
    <t>DOMINGO</t>
  </si>
  <si>
    <t>PEARL</t>
  </si>
  <si>
    <t>RUTH</t>
  </si>
  <si>
    <t>NOGUERA</t>
  </si>
  <si>
    <t>JEAN VALERIE</t>
  </si>
  <si>
    <t>BEJAR</t>
  </si>
  <si>
    <t>MARY EMERALD</t>
  </si>
  <si>
    <t>VARGAS</t>
  </si>
  <si>
    <t>ONSITE</t>
  </si>
  <si>
    <t>KATHRIZ ELAINE</t>
  </si>
  <si>
    <t>ACUNA</t>
  </si>
  <si>
    <t>PATRICIA</t>
  </si>
  <si>
    <t>OS</t>
  </si>
  <si>
    <t>MORALES</t>
  </si>
  <si>
    <t>YSAY</t>
  </si>
  <si>
    <t>SOPHIE</t>
  </si>
  <si>
    <t>ONLINE</t>
  </si>
  <si>
    <t>ROME</t>
  </si>
  <si>
    <t>RD</t>
  </si>
  <si>
    <t>SAM</t>
  </si>
  <si>
    <t>VELASCO</t>
  </si>
  <si>
    <t>HAILEY</t>
  </si>
  <si>
    <t>ON</t>
  </si>
  <si>
    <t>COMANDA</t>
  </si>
  <si>
    <t>AMERY</t>
  </si>
  <si>
    <t>SERRANA</t>
  </si>
  <si>
    <t>PAULA</t>
  </si>
  <si>
    <t>STEPH</t>
  </si>
  <si>
    <t>MARCELO</t>
  </si>
  <si>
    <t>HEAD</t>
  </si>
  <si>
    <t>JESSICA</t>
  </si>
  <si>
    <t>ARROYO</t>
  </si>
  <si>
    <t>PRECIOUS</t>
  </si>
  <si>
    <t>LOCATION</t>
  </si>
  <si>
    <t>SANGEL</t>
  </si>
  <si>
    <t>MICA</t>
  </si>
  <si>
    <t>BUENAFLOR</t>
  </si>
  <si>
    <t>GWEN</t>
  </si>
  <si>
    <t>KEZEAH</t>
  </si>
  <si>
    <t>RODRIGUEZA</t>
  </si>
  <si>
    <t>GRACIELA</t>
  </si>
  <si>
    <t>KIM</t>
  </si>
  <si>
    <t>EUSEBIO</t>
  </si>
  <si>
    <t>PASTORA LERMA</t>
  </si>
  <si>
    <t>LEEAn</t>
  </si>
  <si>
    <t>VILLAMOR</t>
  </si>
  <si>
    <t>ALESSIA</t>
  </si>
  <si>
    <t>LAZARO</t>
  </si>
  <si>
    <t>ALYSSA</t>
  </si>
  <si>
    <t>CUBAO CENTRAL</t>
  </si>
  <si>
    <t>GUEVARRA</t>
  </si>
  <si>
    <t>CASSY</t>
  </si>
  <si>
    <t>BILBAO</t>
  </si>
  <si>
    <t>CHLOE</t>
  </si>
  <si>
    <t>PERDIGON</t>
  </si>
  <si>
    <t>HANNAH</t>
  </si>
  <si>
    <t>SHILLOH</t>
  </si>
  <si>
    <t>MONTH</t>
  </si>
  <si>
    <t>DE ASIN</t>
  </si>
  <si>
    <t>ASHLEY YVONNE</t>
  </si>
  <si>
    <t>MONTECASTRO</t>
  </si>
  <si>
    <t>DANIELA</t>
  </si>
  <si>
    <t>DEBORAH</t>
  </si>
  <si>
    <t>SUNDAY CELEBRATION</t>
  </si>
  <si>
    <t>PON</t>
  </si>
  <si>
    <t>RHEA</t>
  </si>
  <si>
    <t>CHEUNG</t>
  </si>
  <si>
    <t>DAPHNE</t>
  </si>
  <si>
    <t>CARBONEL</t>
  </si>
  <si>
    <t>SHANE</t>
  </si>
  <si>
    <t>CAREGROUP ACTIVITY</t>
  </si>
  <si>
    <t>BIAG</t>
  </si>
  <si>
    <t>MA. CHRISTINA</t>
  </si>
  <si>
    <t>ROBY</t>
  </si>
  <si>
    <t>WEEK 1</t>
  </si>
  <si>
    <t>MIKAELA</t>
  </si>
  <si>
    <t>WEEK 2</t>
  </si>
  <si>
    <t>MICHAELA</t>
  </si>
  <si>
    <t>WEEK 3</t>
  </si>
  <si>
    <t>SIANOYA</t>
  </si>
  <si>
    <t>ANGELICA</t>
  </si>
  <si>
    <t>WEEK 4</t>
  </si>
  <si>
    <t>WEEK 5</t>
  </si>
  <si>
    <t>JOVIAN</t>
  </si>
  <si>
    <t>AGGACID</t>
  </si>
  <si>
    <t>GRACE</t>
  </si>
  <si>
    <t>CAROLIPIO</t>
  </si>
  <si>
    <t>DAGUIO GAPAYAO</t>
  </si>
  <si>
    <t>AMY</t>
  </si>
  <si>
    <t>ADARLO</t>
  </si>
  <si>
    <t>JANETTE</t>
  </si>
  <si>
    <t>TOTAL</t>
  </si>
  <si>
    <t>SHIELA</t>
  </si>
  <si>
    <t>ABUS</t>
  </si>
  <si>
    <t>VANESSA</t>
  </si>
  <si>
    <t>BATAG</t>
  </si>
  <si>
    <t>ESTHER</t>
  </si>
  <si>
    <t>FAJARDO</t>
  </si>
  <si>
    <t>REMY</t>
  </si>
  <si>
    <t>SARAH A.</t>
  </si>
  <si>
    <t>JENELYN</t>
  </si>
  <si>
    <t>BUYOC</t>
  </si>
  <si>
    <t>IVY</t>
  </si>
  <si>
    <t>GERONIMO</t>
  </si>
  <si>
    <t>MANILYN</t>
  </si>
  <si>
    <t>SETIAS</t>
  </si>
  <si>
    <t>CHENNY</t>
  </si>
  <si>
    <t>CAPULONG</t>
  </si>
  <si>
    <t>PASCUAL</t>
  </si>
  <si>
    <t>CHARITY R.</t>
  </si>
  <si>
    <t>ANGIE</t>
  </si>
  <si>
    <t>EVANGELISTA</t>
  </si>
  <si>
    <t>ESTHER C.</t>
  </si>
  <si>
    <t>BERNARTE</t>
  </si>
  <si>
    <t>JEAN</t>
  </si>
  <si>
    <t>DIANNE</t>
  </si>
  <si>
    <t>ZENAIDA</t>
  </si>
  <si>
    <t>FIGURACION</t>
  </si>
  <si>
    <t>JOSELIN JOY</t>
  </si>
  <si>
    <t>MAGALING</t>
  </si>
  <si>
    <t>VICKY</t>
  </si>
  <si>
    <t>EVER</t>
  </si>
  <si>
    <t>FAITH LOUISE</t>
  </si>
  <si>
    <t>CRISOSTOMO</t>
  </si>
  <si>
    <t>NICOLE</t>
  </si>
  <si>
    <t>JAYLYN</t>
  </si>
  <si>
    <t>DELA CUADRA</t>
  </si>
  <si>
    <t>JOCELYN</t>
  </si>
  <si>
    <t>ROXAS</t>
  </si>
  <si>
    <t>ANGELU</t>
  </si>
  <si>
    <t>FONTANILLA</t>
  </si>
  <si>
    <t>GAZLE</t>
  </si>
  <si>
    <t>GLORIANA</t>
  </si>
  <si>
    <t>JOAN MAE</t>
  </si>
  <si>
    <t>MICAH</t>
  </si>
  <si>
    <t>SANTILLAN</t>
  </si>
  <si>
    <t>JULIA</t>
  </si>
  <si>
    <t>OBRERO</t>
  </si>
  <si>
    <t>SHERL</t>
  </si>
  <si>
    <t>JLO</t>
  </si>
  <si>
    <t>LINGALONG</t>
  </si>
  <si>
    <t>MANINGDING</t>
  </si>
  <si>
    <t>GERLY</t>
  </si>
  <si>
    <t>JOANNE</t>
  </si>
  <si>
    <t>SALUMBIDES</t>
  </si>
  <si>
    <t>ROCHELLE</t>
  </si>
  <si>
    <t>BITUG</t>
  </si>
  <si>
    <t>JANE</t>
  </si>
  <si>
    <t>MATIAS</t>
  </si>
  <si>
    <t>JENNA MAE</t>
  </si>
  <si>
    <t>MARQUESES</t>
  </si>
  <si>
    <t>CZARINA</t>
  </si>
  <si>
    <t>INGALLA</t>
  </si>
  <si>
    <t>CRISUCHEL</t>
  </si>
  <si>
    <t>LIEZL</t>
  </si>
  <si>
    <t>NARCELLES</t>
  </si>
  <si>
    <t>GIEZL</t>
  </si>
  <si>
    <t>VALENCIA-PANIT</t>
  </si>
  <si>
    <t>RECAD</t>
  </si>
  <si>
    <t>KATHLEEN</t>
  </si>
  <si>
    <t>CAPERLAC</t>
  </si>
  <si>
    <t>ALYSSA QUEEN</t>
  </si>
  <si>
    <t>DE VILLA</t>
  </si>
  <si>
    <t>LIBBY</t>
  </si>
  <si>
    <t>JASMIN</t>
  </si>
  <si>
    <t>CAREN</t>
  </si>
  <si>
    <t>ROSARIO</t>
  </si>
  <si>
    <t>JESSA</t>
  </si>
  <si>
    <t>ALEX</t>
  </si>
  <si>
    <t>SILANGAN</t>
  </si>
  <si>
    <t>CHRISTY</t>
  </si>
  <si>
    <t>CALUPAS</t>
  </si>
  <si>
    <t>LANIE</t>
  </si>
  <si>
    <t>SABIJON</t>
  </si>
  <si>
    <t>MARIANE</t>
  </si>
  <si>
    <t>BRAZA</t>
  </si>
  <si>
    <t>RACHELLE</t>
  </si>
  <si>
    <t>CARAMANCION</t>
  </si>
  <si>
    <t>OLIVIA</t>
  </si>
  <si>
    <t>TOLEDO</t>
  </si>
  <si>
    <t>KHEYE</t>
  </si>
  <si>
    <t>DESPOJO</t>
  </si>
  <si>
    <t>JOZY</t>
  </si>
  <si>
    <t>BROZO</t>
  </si>
  <si>
    <t>EDEL A.</t>
  </si>
  <si>
    <t>SORIANO</t>
  </si>
  <si>
    <t>VILMA</t>
  </si>
  <si>
    <t>MAMPORTE</t>
  </si>
  <si>
    <t>CANDELARIA</t>
  </si>
  <si>
    <t>TUPAL</t>
  </si>
  <si>
    <t>NIDA</t>
  </si>
  <si>
    <t>FEBRUARY</t>
  </si>
  <si>
    <t>HINAL</t>
  </si>
  <si>
    <t>BARICAN</t>
  </si>
  <si>
    <t>LORENZA R.</t>
  </si>
  <si>
    <t>RABINO</t>
  </si>
  <si>
    <t>WILMA S.</t>
  </si>
  <si>
    <t>ALMONARES</t>
  </si>
  <si>
    <t>FHEM S.</t>
  </si>
  <si>
    <t>DE LEON</t>
  </si>
  <si>
    <t>MELCHORA</t>
  </si>
  <si>
    <t>GAMAY</t>
  </si>
  <si>
    <t>ESTELA</t>
  </si>
  <si>
    <t>BUERGO</t>
  </si>
  <si>
    <t>EVALYN</t>
  </si>
  <si>
    <t>WILMA</t>
  </si>
  <si>
    <t>FRANCISCO</t>
  </si>
  <si>
    <t>AIGEN</t>
  </si>
  <si>
    <t>RAMIREZ</t>
  </si>
  <si>
    <t>ROSE</t>
  </si>
  <si>
    <t>LIZA</t>
  </si>
  <si>
    <t>NICOLAS</t>
  </si>
  <si>
    <t>SUSAN</t>
  </si>
  <si>
    <t>CARIGA</t>
  </si>
  <si>
    <t>CIRIACO</t>
  </si>
  <si>
    <t>MILA</t>
  </si>
  <si>
    <t>NOFIEL</t>
  </si>
  <si>
    <t>MARCH</t>
  </si>
  <si>
    <t>RAPALES BACUÑO</t>
  </si>
  <si>
    <t>CARMELITA</t>
  </si>
  <si>
    <t>BRIDGEMAN</t>
  </si>
  <si>
    <t>TUMANONG</t>
  </si>
  <si>
    <t>TERESITA</t>
  </si>
  <si>
    <t>MOJICA</t>
  </si>
  <si>
    <t>ROMYLYN</t>
  </si>
  <si>
    <t>PALOMER</t>
  </si>
  <si>
    <t>MARIVIC</t>
  </si>
  <si>
    <t>MATEO</t>
  </si>
  <si>
    <t>MERCEDES</t>
  </si>
  <si>
    <t>NOBLE</t>
  </si>
  <si>
    <t>ROSEMARIE</t>
  </si>
  <si>
    <t>APRIL</t>
  </si>
  <si>
    <t>BALDAGO</t>
  </si>
  <si>
    <t>ANIELYN</t>
  </si>
  <si>
    <t>REYES</t>
  </si>
  <si>
    <t>REINA ELISA</t>
  </si>
  <si>
    <t>FE</t>
  </si>
  <si>
    <t>FERRER BORRES</t>
  </si>
  <si>
    <t>TRINIDAD</t>
  </si>
  <si>
    <t>SONIA</t>
  </si>
  <si>
    <t>RAFAEL</t>
  </si>
  <si>
    <t>GAUDENCIA</t>
  </si>
  <si>
    <t>COM</t>
  </si>
  <si>
    <t>PASIS</t>
  </si>
  <si>
    <t>TOLOSA</t>
  </si>
  <si>
    <t>MYLENE</t>
  </si>
  <si>
    <t>MAY</t>
  </si>
  <si>
    <t>DELA PENA</t>
  </si>
  <si>
    <t>RAMOS</t>
  </si>
  <si>
    <t>MYRNA</t>
  </si>
  <si>
    <t>CALERICO</t>
  </si>
  <si>
    <t>ROSEMARY</t>
  </si>
  <si>
    <t>SORIAO</t>
  </si>
  <si>
    <t>MARISSA</t>
  </si>
  <si>
    <t>TOBOG</t>
  </si>
  <si>
    <t>JENNIFER</t>
  </si>
  <si>
    <t>BENESUELA</t>
  </si>
  <si>
    <t>GLORIA</t>
  </si>
  <si>
    <t>ORO</t>
  </si>
  <si>
    <t>CASTIDADES</t>
  </si>
  <si>
    <t>MARIFE</t>
  </si>
  <si>
    <t>MENDOZA</t>
  </si>
  <si>
    <t>LALIE</t>
  </si>
  <si>
    <t>AIDA</t>
  </si>
  <si>
    <t>JUNE</t>
  </si>
  <si>
    <t>THELMA</t>
  </si>
  <si>
    <t>CARTALLA</t>
  </si>
  <si>
    <t>AILEEN</t>
  </si>
  <si>
    <t>CORSINO MADAYAG</t>
  </si>
  <si>
    <t>ANTOLINA "BABY"</t>
  </si>
  <si>
    <t>NASATAYA</t>
  </si>
  <si>
    <t>ELVIE</t>
  </si>
  <si>
    <t>LASAM</t>
  </si>
  <si>
    <t>ELSA</t>
  </si>
  <si>
    <t>SABINO</t>
  </si>
  <si>
    <t>LAO</t>
  </si>
  <si>
    <t>JENNY</t>
  </si>
  <si>
    <t>SAAVEDRA</t>
  </si>
  <si>
    <t>MARIA FE</t>
  </si>
  <si>
    <t>TINUMPIT</t>
  </si>
  <si>
    <t>LETTY</t>
  </si>
  <si>
    <t>MAGANA</t>
  </si>
  <si>
    <t>MARILYN</t>
  </si>
  <si>
    <t>JULY</t>
  </si>
  <si>
    <t>CABISAY</t>
  </si>
  <si>
    <t>MAY FLOR</t>
  </si>
  <si>
    <t>BATITIS</t>
  </si>
  <si>
    <t>MARYJANE</t>
  </si>
  <si>
    <t>MOSCAH</t>
  </si>
  <si>
    <t>ABE GAIL LADELYN</t>
  </si>
  <si>
    <t>LUDY</t>
  </si>
  <si>
    <t>DIGUANGCO</t>
  </si>
  <si>
    <t>EMMA</t>
  </si>
  <si>
    <t>QUIAMBAO</t>
  </si>
  <si>
    <t>APOSTOL</t>
  </si>
  <si>
    <t>RONQUILLO</t>
  </si>
  <si>
    <t>HEIDI</t>
  </si>
  <si>
    <t>AUGUST</t>
  </si>
  <si>
    <t>DUQUE</t>
  </si>
  <si>
    <t>FLORDELIZA</t>
  </si>
  <si>
    <t>CANO</t>
  </si>
  <si>
    <t>CEVELIA</t>
  </si>
  <si>
    <t>SAN VICENTE</t>
  </si>
  <si>
    <t>DONAH</t>
  </si>
  <si>
    <t>TUPAS</t>
  </si>
  <si>
    <t>REGINA</t>
  </si>
  <si>
    <t>CALALO</t>
  </si>
  <si>
    <t>MARITES</t>
  </si>
  <si>
    <t>SEPTEMBER</t>
  </si>
  <si>
    <t>MALIG</t>
  </si>
  <si>
    <t>SERRANO</t>
  </si>
  <si>
    <t>MELANIE</t>
  </si>
  <si>
    <t>RAYTANA</t>
  </si>
  <si>
    <t>MAIMAI</t>
  </si>
  <si>
    <t>BEATO</t>
  </si>
  <si>
    <t>LUDIVINA</t>
  </si>
  <si>
    <t>OCTOBER</t>
  </si>
  <si>
    <t>YUTUC</t>
  </si>
  <si>
    <t>ABBY</t>
  </si>
  <si>
    <t>MAGBANUA</t>
  </si>
  <si>
    <t>GAMET</t>
  </si>
  <si>
    <t>BENG</t>
  </si>
  <si>
    <t>CAVENTA</t>
  </si>
  <si>
    <t>CYNTHIA</t>
  </si>
  <si>
    <t>ROBLE</t>
  </si>
  <si>
    <t>DEL</t>
  </si>
  <si>
    <t>NOVEMBER</t>
  </si>
  <si>
    <t>GABRIEL</t>
  </si>
  <si>
    <t>KON</t>
  </si>
  <si>
    <t>RINDON</t>
  </si>
  <si>
    <t>RIEGO</t>
  </si>
  <si>
    <t>LANZUELA</t>
  </si>
  <si>
    <t>JOSEPHINE</t>
  </si>
  <si>
    <t>MERCADO</t>
  </si>
  <si>
    <t>ESTELITA</t>
  </si>
  <si>
    <t>IBALLA</t>
  </si>
  <si>
    <t>ROSADELIA</t>
  </si>
  <si>
    <t>VILLACRUSIS</t>
  </si>
  <si>
    <t>MICHELLE</t>
  </si>
  <si>
    <t>PUZALAN</t>
  </si>
  <si>
    <t>DECEMBER</t>
  </si>
  <si>
    <t>SAMYLAINE</t>
  </si>
  <si>
    <t>LOBRIDO</t>
  </si>
  <si>
    <t>LILY GRACE MATURAN</t>
  </si>
  <si>
    <t>GERVACIO</t>
  </si>
  <si>
    <t>JHOANN</t>
  </si>
  <si>
    <t>BOLANOS</t>
  </si>
  <si>
    <t>EVA</t>
  </si>
  <si>
    <t>VINLUAN FORMENTERA</t>
  </si>
  <si>
    <t>MARVI</t>
  </si>
  <si>
    <t>VINLUAN</t>
  </si>
  <si>
    <t>MARIBEL</t>
  </si>
  <si>
    <t>MALOU</t>
  </si>
  <si>
    <t>CASIN</t>
  </si>
  <si>
    <t>JHO</t>
  </si>
  <si>
    <t>SILVERIO</t>
  </si>
  <si>
    <t>ONIE</t>
  </si>
  <si>
    <t>MAAN</t>
  </si>
  <si>
    <t>SALINAS</t>
  </si>
  <si>
    <t>DAISY</t>
  </si>
  <si>
    <t>ACUÑA</t>
  </si>
  <si>
    <t>LORNA</t>
  </si>
  <si>
    <t>ALAOIG</t>
  </si>
  <si>
    <t>KAREN</t>
  </si>
  <si>
    <t>CUDAL</t>
  </si>
  <si>
    <t>GINALYN</t>
  </si>
  <si>
    <t>CRUZ</t>
  </si>
  <si>
    <t>CHERRYL</t>
  </si>
  <si>
    <t>ABERIN</t>
  </si>
  <si>
    <t>JAPPET</t>
  </si>
  <si>
    <t>AQUINO</t>
  </si>
  <si>
    <t>IRMA</t>
  </si>
  <si>
    <t>ROARING</t>
  </si>
  <si>
    <t>PS. LOY</t>
  </si>
  <si>
    <t>CHRYS</t>
  </si>
  <si>
    <t>PAHILA</t>
  </si>
  <si>
    <t>CECILE</t>
  </si>
  <si>
    <t>MANUEL</t>
  </si>
  <si>
    <t>ANNA</t>
  </si>
  <si>
    <t>1ST TIMER</t>
  </si>
  <si>
    <t>2ND TIMER</t>
  </si>
  <si>
    <t>3RD TIMER</t>
  </si>
  <si>
    <t>4TH TIMER</t>
  </si>
  <si>
    <t>DIVINE</t>
  </si>
  <si>
    <t>5TH TIMER</t>
  </si>
  <si>
    <t>POWER FILLED</t>
  </si>
  <si>
    <t>DRIS</t>
  </si>
  <si>
    <t>WATER BAPTISM</t>
  </si>
  <si>
    <t>AISHA</t>
  </si>
  <si>
    <t>CALLE</t>
  </si>
  <si>
    <t>MARSHA</t>
  </si>
  <si>
    <t>JUANITAS</t>
  </si>
  <si>
    <t>MATA</t>
  </si>
  <si>
    <t>ANGELITA P.</t>
  </si>
  <si>
    <t>ENCARNADO</t>
  </si>
  <si>
    <t>CHONA</t>
  </si>
  <si>
    <t>DE GUZMAN</t>
  </si>
  <si>
    <t>AURELIA</t>
  </si>
  <si>
    <t>PADILLA</t>
  </si>
  <si>
    <t>MELISSA</t>
  </si>
  <si>
    <t>OSIANO</t>
  </si>
  <si>
    <t>DE GUZMAN TORRE</t>
  </si>
  <si>
    <t>DEBBIE</t>
  </si>
  <si>
    <t>MACABENTA</t>
  </si>
  <si>
    <t>JOVY</t>
  </si>
  <si>
    <t>REPUNTE</t>
  </si>
  <si>
    <t>DIONIO</t>
  </si>
  <si>
    <t>MERCY</t>
  </si>
  <si>
    <t>CABRITO</t>
  </si>
  <si>
    <t>MA. THERESA</t>
  </si>
  <si>
    <t>GELZA</t>
  </si>
  <si>
    <t>CRISCEL</t>
  </si>
  <si>
    <t>HANNAH CLOUIE</t>
  </si>
  <si>
    <t>EDUARDO</t>
  </si>
  <si>
    <t>ROSALIE</t>
  </si>
  <si>
    <t>HIDALGO</t>
  </si>
  <si>
    <t>HAZEL</t>
  </si>
  <si>
    <t>TAGARDA</t>
  </si>
  <si>
    <t>ZENITH</t>
  </si>
  <si>
    <t>SEGOVIA</t>
  </si>
  <si>
    <t>JULIET</t>
  </si>
  <si>
    <t>BAQUERIZA</t>
  </si>
  <si>
    <t>FILOMENA</t>
  </si>
  <si>
    <t>LEYRITANA</t>
  </si>
  <si>
    <t>BISPO</t>
  </si>
  <si>
    <t>SONN</t>
  </si>
  <si>
    <t>RIO</t>
  </si>
  <si>
    <t>PASAMONTE</t>
  </si>
  <si>
    <t>NORA</t>
  </si>
  <si>
    <t>M.</t>
  </si>
  <si>
    <t>REBECCA</t>
  </si>
  <si>
    <t>SAGUN</t>
  </si>
  <si>
    <t>ESTER</t>
  </si>
  <si>
    <t>PORTAS</t>
  </si>
  <si>
    <t>LEONILA</t>
  </si>
  <si>
    <t>YOLY</t>
  </si>
  <si>
    <t>VERGIE</t>
  </si>
  <si>
    <t>ALCANTARA</t>
  </si>
  <si>
    <t>AVELINA</t>
  </si>
  <si>
    <t>ERILLA</t>
  </si>
  <si>
    <t>RUFINA</t>
  </si>
  <si>
    <t>SEVILLA</t>
  </si>
  <si>
    <t>PERLA</t>
  </si>
  <si>
    <t>LALAGUNA</t>
  </si>
  <si>
    <t>MARIE</t>
  </si>
  <si>
    <t>BALAN</t>
  </si>
  <si>
    <t>VIOLETA</t>
  </si>
  <si>
    <t>SOLAR</t>
  </si>
  <si>
    <t>AMPARING</t>
  </si>
  <si>
    <t>JESS</t>
  </si>
  <si>
    <t>ROMERO</t>
  </si>
  <si>
    <t>FELIX</t>
  </si>
  <si>
    <t>ESTANISLAO</t>
  </si>
  <si>
    <t>RODERICK</t>
  </si>
  <si>
    <t>CHRISTOPHER</t>
  </si>
  <si>
    <t>RICO</t>
  </si>
  <si>
    <t>ROMEL</t>
  </si>
  <si>
    <t>PAJARITO</t>
  </si>
  <si>
    <t>SANDY</t>
  </si>
  <si>
    <t>BALAIS</t>
  </si>
  <si>
    <t>RODEN</t>
  </si>
  <si>
    <t>BENNY</t>
  </si>
  <si>
    <t>TUMANENG</t>
  </si>
  <si>
    <t>RODRIGO</t>
  </si>
  <si>
    <t>GAPAYAO</t>
  </si>
  <si>
    <t>GIDEON</t>
  </si>
  <si>
    <t>DJ</t>
  </si>
  <si>
    <t>TEDDY</t>
  </si>
  <si>
    <t>TANALEON</t>
  </si>
  <si>
    <t>RAYMUND</t>
  </si>
  <si>
    <t>GIE GIE</t>
  </si>
  <si>
    <t>RJ</t>
  </si>
  <si>
    <t>DIOSDADO</t>
  </si>
  <si>
    <t>MARK</t>
  </si>
  <si>
    <t>DIWA</t>
  </si>
  <si>
    <t>TIMOTHY</t>
  </si>
  <si>
    <t>VINZ</t>
  </si>
  <si>
    <t>AUSTRIA</t>
  </si>
  <si>
    <t>BERNARD</t>
  </si>
  <si>
    <t>UMAYAM</t>
  </si>
  <si>
    <t>GILBERT</t>
  </si>
  <si>
    <t>ALICUMAN</t>
  </si>
  <si>
    <t>JUSTINE</t>
  </si>
  <si>
    <t>ANACAN</t>
  </si>
  <si>
    <t>JONATHAN</t>
  </si>
  <si>
    <t>BACONI</t>
  </si>
  <si>
    <t>JOHN MARK</t>
  </si>
  <si>
    <t>PANIT</t>
  </si>
  <si>
    <t>JEFF</t>
  </si>
  <si>
    <t>NAVAL</t>
  </si>
  <si>
    <t>JERIC</t>
  </si>
  <si>
    <t>POYIE</t>
  </si>
  <si>
    <t>KARL</t>
  </si>
  <si>
    <t>LOPEZ</t>
  </si>
  <si>
    <t>PAUL NATHAN</t>
  </si>
  <si>
    <t>BASTIE</t>
  </si>
  <si>
    <t>EUGENE</t>
  </si>
  <si>
    <t>CHESTER</t>
  </si>
  <si>
    <t>PALERO</t>
  </si>
  <si>
    <t>RANJAY</t>
  </si>
  <si>
    <t>ERROL</t>
  </si>
  <si>
    <t>EINVAR</t>
  </si>
  <si>
    <t>HAROLD</t>
  </si>
  <si>
    <t>JHONAS</t>
  </si>
  <si>
    <t>CABARDO</t>
  </si>
  <si>
    <t>NEIL</t>
  </si>
  <si>
    <t>EJ</t>
  </si>
  <si>
    <t>BAUTISTA</t>
  </si>
  <si>
    <t>CHARLES</t>
  </si>
  <si>
    <t>MERCATO</t>
  </si>
  <si>
    <t>ZAI</t>
  </si>
  <si>
    <t>JJ</t>
  </si>
  <si>
    <t>SEBASTIAN</t>
  </si>
  <si>
    <t>JUSTICE</t>
  </si>
  <si>
    <t>JOSHUA</t>
  </si>
  <si>
    <t>OLIVER</t>
  </si>
  <si>
    <t>NATHAN</t>
  </si>
  <si>
    <t>LEE</t>
  </si>
  <si>
    <t>NAZARENO</t>
  </si>
  <si>
    <t>ZYKE</t>
  </si>
  <si>
    <t>CALEB</t>
  </si>
  <si>
    <t>JOHN DAVID</t>
  </si>
  <si>
    <t>PRINZ</t>
  </si>
  <si>
    <t>OMBAL</t>
  </si>
  <si>
    <t>SEAN</t>
  </si>
  <si>
    <t>MENDEL</t>
  </si>
  <si>
    <t>CYRUZ</t>
  </si>
  <si>
    <t>DAMASCO</t>
  </si>
  <si>
    <t>RICKY</t>
  </si>
  <si>
    <t>KEYSOR</t>
  </si>
  <si>
    <t>DREW</t>
  </si>
  <si>
    <t>PANCHO</t>
  </si>
  <si>
    <t>DANE MARK</t>
  </si>
  <si>
    <t>MARKY</t>
  </si>
  <si>
    <t>JOSH</t>
  </si>
  <si>
    <t>CAGAYAN</t>
  </si>
  <si>
    <t>KENETH</t>
  </si>
  <si>
    <t>VINCENT</t>
  </si>
  <si>
    <t>ZAX</t>
  </si>
  <si>
    <t>JOAQUIN</t>
  </si>
  <si>
    <t>NICOLIE</t>
  </si>
  <si>
    <t>ZACK</t>
  </si>
  <si>
    <t>RV</t>
  </si>
  <si>
    <t>MATT</t>
  </si>
  <si>
    <t>DANIEL</t>
  </si>
  <si>
    <t>CARBO</t>
  </si>
  <si>
    <t>MICHAEL</t>
  </si>
  <si>
    <t>LIEGUE</t>
  </si>
  <si>
    <t>ARCEL</t>
  </si>
  <si>
    <t>ALEGADO</t>
  </si>
  <si>
    <t>GEMUEL</t>
  </si>
  <si>
    <t>BOLIVAR</t>
  </si>
  <si>
    <t>HARRIE</t>
  </si>
  <si>
    <t>DELA CRUZ</t>
  </si>
  <si>
    <t>ESPIDIDO</t>
  </si>
  <si>
    <t>LUIS</t>
  </si>
  <si>
    <t>KALVIN</t>
  </si>
  <si>
    <t>JAGTO</t>
  </si>
  <si>
    <t>LUKE</t>
  </si>
  <si>
    <t>GO</t>
  </si>
  <si>
    <t>EMMAN</t>
  </si>
  <si>
    <t>ADIALES</t>
  </si>
  <si>
    <t>JOHN KING</t>
  </si>
  <si>
    <t>LABIDEZ</t>
  </si>
  <si>
    <t>REGINAL</t>
  </si>
  <si>
    <t>PAJUATRA</t>
  </si>
  <si>
    <t>MJ</t>
  </si>
  <si>
    <t>INCARNADO</t>
  </si>
  <si>
    <t>ALECHOVES</t>
  </si>
  <si>
    <t>BORGONA</t>
  </si>
  <si>
    <t>FRANKIE</t>
  </si>
  <si>
    <t>RENCHIE</t>
  </si>
  <si>
    <t>COLLIN</t>
  </si>
  <si>
    <t>DIGUANCO</t>
  </si>
  <si>
    <t>WILLY</t>
  </si>
  <si>
    <t>TIONGSON</t>
  </si>
  <si>
    <t>NAP</t>
  </si>
  <si>
    <t>ROBERT</t>
  </si>
  <si>
    <t>ROGER</t>
  </si>
  <si>
    <t>ROSS</t>
  </si>
  <si>
    <t>Singapore</t>
  </si>
  <si>
    <t>BRUSELAS</t>
  </si>
  <si>
    <t>kalbo ako</t>
  </si>
  <si>
    <t>RUEL</t>
  </si>
  <si>
    <t>wdwadwad</t>
  </si>
  <si>
    <t>ANDREW</t>
  </si>
  <si>
    <t>JAIME</t>
  </si>
  <si>
    <t>DANTE</t>
  </si>
  <si>
    <t>ANSELMO</t>
  </si>
  <si>
    <t>NOEL</t>
  </si>
  <si>
    <t>BYRON</t>
  </si>
  <si>
    <t>BONG</t>
  </si>
  <si>
    <t>ALVIN</t>
  </si>
  <si>
    <t>RENZ</t>
  </si>
  <si>
    <t>TRISTAN</t>
  </si>
  <si>
    <t>COREA</t>
  </si>
  <si>
    <t>GLEN</t>
  </si>
  <si>
    <t>JULIUS</t>
  </si>
  <si>
    <t>PAOLO</t>
  </si>
  <si>
    <t>CALIBSO</t>
  </si>
  <si>
    <t>ERIC</t>
  </si>
  <si>
    <t>ALLAN</t>
  </si>
  <si>
    <t>FRANCIS</t>
  </si>
  <si>
    <t>ANGELO</t>
  </si>
  <si>
    <t>CORPUZ</t>
  </si>
  <si>
    <t>YVES</t>
  </si>
  <si>
    <t>EDWIN</t>
  </si>
  <si>
    <t>MACCOY</t>
  </si>
  <si>
    <t>NATHANIEL</t>
  </si>
  <si>
    <t>LACONSAY</t>
  </si>
  <si>
    <t>TIM</t>
  </si>
  <si>
    <t>LANZ</t>
  </si>
  <si>
    <t>SALES</t>
  </si>
  <si>
    <t>ARNEl</t>
  </si>
  <si>
    <t>KYLE</t>
  </si>
  <si>
    <t>ERIN</t>
  </si>
  <si>
    <t>PARAGAS</t>
  </si>
  <si>
    <t>JOHN RUPERT</t>
  </si>
  <si>
    <t>MONTESA</t>
  </si>
  <si>
    <t>JONAS</t>
  </si>
  <si>
    <t>Week5</t>
  </si>
  <si>
    <t>Week_5</t>
  </si>
  <si>
    <t>JCSGO 3PM MONTHLY ATTENDANCE MONITORING</t>
  </si>
  <si>
    <t>JESUS CHRIST SAVES GLOBAL OUTREACH</t>
  </si>
  <si>
    <t>VINE WEEKLY REPORT</t>
  </si>
  <si>
    <t>Vine Name:</t>
  </si>
  <si>
    <t>CENTRAL PM</t>
  </si>
  <si>
    <t>Date:</t>
  </si>
  <si>
    <t>I. Church Attendance</t>
  </si>
  <si>
    <t>Onsite/Actual</t>
  </si>
  <si>
    <t>Online</t>
  </si>
  <si>
    <t>2026 Target</t>
  </si>
  <si>
    <t>1. Sunday Attendance</t>
  </si>
  <si>
    <t>Registered Disciples</t>
  </si>
  <si>
    <t>Youth Men</t>
  </si>
  <si>
    <t>2. New Friends</t>
  </si>
  <si>
    <t>Youth Women</t>
  </si>
  <si>
    <t>1st Timers</t>
  </si>
  <si>
    <t>Men</t>
  </si>
  <si>
    <t>2nd Timers</t>
  </si>
  <si>
    <t>Women</t>
  </si>
  <si>
    <t>3rd Timers</t>
  </si>
  <si>
    <t>Sunday Attendance</t>
  </si>
  <si>
    <t>4th Timers</t>
  </si>
  <si>
    <t>5th Timers</t>
  </si>
  <si>
    <t>3. CARE Activity</t>
  </si>
  <si>
    <t>No. of Cluster Servants</t>
  </si>
  <si>
    <t>No. of CARE Leaders</t>
  </si>
  <si>
    <t>II. New Believers</t>
  </si>
  <si>
    <t>No. of CARE Disciples</t>
  </si>
  <si>
    <t>4. Hayo/Evangelism</t>
  </si>
  <si>
    <t>5. Lighthouse of Prayer</t>
  </si>
  <si>
    <t>6. Followup/Reactivation</t>
  </si>
  <si>
    <t>5th Timers/Conversion</t>
  </si>
  <si>
    <t>7. Field Report</t>
  </si>
  <si>
    <t>Power Filled Life</t>
  </si>
  <si>
    <t>Water Baptism</t>
  </si>
  <si>
    <t>Outreach Group</t>
  </si>
  <si>
    <t>Outreach Disciples</t>
  </si>
  <si>
    <t>III. Integration &amp; Mobilization</t>
  </si>
  <si>
    <t>TEMPLE</t>
  </si>
  <si>
    <t>Vine Servant Leaders</t>
  </si>
  <si>
    <t>Cluster Servant Leaders</t>
  </si>
  <si>
    <t>Care Leaders / Group</t>
  </si>
  <si>
    <t>Active Leadership/Groups for the week/month</t>
  </si>
  <si>
    <t>Total Active Disciples for the week/month</t>
  </si>
  <si>
    <t>FIELD</t>
  </si>
  <si>
    <t>Hayo/Evangelism</t>
  </si>
  <si>
    <t>Light House</t>
  </si>
  <si>
    <t>Field Care Group</t>
  </si>
  <si>
    <t>Field Care Disciples</t>
  </si>
  <si>
    <t>Follow-Up</t>
  </si>
  <si>
    <t>Reactivation</t>
  </si>
  <si>
    <t>IV. OTHER MINISTIRES</t>
  </si>
  <si>
    <t>Children's Church</t>
  </si>
  <si>
    <t>Barangay/Field Outreach</t>
  </si>
  <si>
    <t>V. NARRATIVE REPORT</t>
  </si>
  <si>
    <t>Submitted by: _________________________</t>
  </si>
  <si>
    <t>Outreach/Family: 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</si>
</sst>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:mm am/pm"/>
  </numFmts>
  <fonts count="41">
    <font>
      <sz val="11.0"/>
      <color theme="1"/>
      <name val="Calibri"/>
      <scheme val="minor"/>
    </font>
    <font>
      <color theme="1"/>
      <name val="Arial"/>
    </font>
    <font>
      <b/>
      <color theme="1"/>
      <name val="Calibri"/>
      <scheme val="minor"/>
    </font>
    <font>
      <b/>
      <color rgb="FFFF0000"/>
      <name val="Calibri"/>
      <scheme val="minor"/>
    </font>
    <font>
      <b/>
      <sz val="22.0"/>
      <color rgb="FF4A86E8"/>
      <name val="Calibri"/>
      <scheme val="minor"/>
    </font>
    <font>
      <b/>
      <sz val="12.0"/>
      <color theme="1"/>
      <name val="Arial"/>
    </font>
    <font/>
    <font>
      <b/>
      <sz val="8.0"/>
      <color theme="1"/>
      <name val="Arial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u/>
      <color rgb="FF0563C1"/>
    </font>
    <font>
      <sz val="11.0"/>
      <color rgb="FF000000"/>
      <name val="Calibri"/>
    </font>
    <font>
      <sz val="11.0"/>
      <color theme="1"/>
      <name val="Arial"/>
    </font>
    <font>
      <b/>
      <sz val="22.0"/>
      <color rgb="FF595959"/>
      <name val="&quot;Century Gothic&quot;"/>
    </font>
    <font>
      <b/>
      <sz val="22.0"/>
      <color rgb="FF7B7B7B"/>
      <name val="&quot;Century Gothic&quot;"/>
    </font>
    <font>
      <sz val="12.0"/>
      <color rgb="FF000000"/>
      <name val="Arial"/>
    </font>
    <font>
      <sz val="11.0"/>
      <color rgb="FFFF0000"/>
      <name val="Arial"/>
    </font>
    <font>
      <b/>
      <sz val="22.0"/>
      <color rgb="FF1F4E78"/>
      <name val="&quot;Century Gothic&quot;"/>
    </font>
    <font>
      <sz val="11.0"/>
      <color rgb="FF2F75B5"/>
      <name val="&quot;Century Gothic&quot;"/>
    </font>
    <font>
      <sz val="12.0"/>
      <color rgb="FFFFFFFF"/>
      <name val="&quot;Century Gothic&quot;"/>
    </font>
    <font>
      <sz val="11.0"/>
      <color theme="1"/>
      <name val="Calibri"/>
    </font>
    <font>
      <sz val="11.0"/>
      <color rgb="FF000000"/>
      <name val="&quot;Century Gothic&quot;"/>
    </font>
    <font>
      <b/>
      <color rgb="FF595959"/>
      <name val="&quot;Century Gothic&quot;"/>
    </font>
    <font>
      <b/>
      <sz val="12.0"/>
      <color rgb="FF000000"/>
      <name val="Arial"/>
    </font>
    <font>
      <sz val="12.0"/>
      <color theme="1"/>
      <name val="Arial"/>
    </font>
    <font>
      <color theme="1"/>
      <name val="Calibri"/>
    </font>
    <font>
      <sz val="12.0"/>
      <color rgb="FFFF0000"/>
      <name val="Arial"/>
    </font>
    <font>
      <b/>
      <sz val="22.0"/>
      <color theme="5"/>
      <name val="&quot;Century Gothic&quot;"/>
    </font>
    <font>
      <b/>
      <sz val="22.0"/>
      <color rgb="FFFF0000"/>
      <name val="&quot;Century Gothic&quot;"/>
    </font>
    <font>
      <b/>
      <sz val="11.0"/>
      <color rgb="FFFFFFFF"/>
      <name val="&quot;Century Gothic&quot;"/>
    </font>
    <font>
      <sz val="12.0"/>
      <color rgb="FF000000"/>
      <name val="Calibri"/>
    </font>
    <font>
      <b/>
      <sz val="15.0"/>
      <color rgb="FF000000"/>
      <name val="&quot;Century Gothic&quot;"/>
    </font>
    <font>
      <b/>
      <sz val="12.0"/>
      <color rgb="FF595959"/>
      <name val="&quot;Century Gothic&quot;"/>
    </font>
    <font>
      <b/>
      <sz val="12.0"/>
      <color rgb="FFFF0000"/>
      <name val="&quot;Century Gothic&quot;"/>
    </font>
    <font>
      <sz val="12.0"/>
      <color rgb="FF000000"/>
      <name val="&quot;Century Gothic&quot;"/>
    </font>
    <font>
      <sz val="12.0"/>
      <color rgb="FFFF0000"/>
      <name val="&quot;Century Gothic&quot;"/>
    </font>
    <font>
      <b/>
      <sz val="17.0"/>
      <color theme="1"/>
      <name val="Calibri"/>
      <scheme val="minor"/>
    </font>
    <font>
      <i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808080"/>
        <bgColor rgb="FF808080"/>
      </patternFill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  <fill>
      <patternFill patternType="solid">
        <fgColor rgb="FFFFFFFF"/>
        <bgColor rgb="FFFFFFFF"/>
      </patternFill>
    </fill>
    <fill>
      <patternFill patternType="solid">
        <fgColor rgb="FF203764"/>
        <bgColor rgb="FF203764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rgb="FF2F75B5"/>
      </patternFill>
    </fill>
    <fill>
      <patternFill patternType="solid">
        <fgColor rgb="FFD9E1F2"/>
        <bgColor rgb="FFD9E1F2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A6A6A6"/>
      </bottom>
    </border>
    <border>
      <top style="thin">
        <color rgb="FF000000"/>
      </top>
      <bottom style="thin">
        <color rgb="FFA6A6A6"/>
      </bottom>
    </border>
    <border>
      <right style="thin">
        <color rgb="FF000000"/>
      </right>
      <top style="thin">
        <color rgb="FF000000"/>
      </top>
      <bottom style="thin">
        <color rgb="FFA6A6A6"/>
      </bottom>
    </border>
    <border>
      <left style="thin">
        <color rgb="FF000000"/>
      </left>
      <top style="thin">
        <color rgb="FFA6A6A6"/>
      </top>
      <bottom style="thin">
        <color rgb="FF000000"/>
      </bottom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A6A6A6"/>
      </bottom>
    </border>
    <border>
      <right style="thin">
        <color rgb="FF000000"/>
      </right>
      <bottom style="thin">
        <color rgb="FFA6A6A6"/>
      </bottom>
    </border>
    <border>
      <left style="thin">
        <color rgb="FF000000"/>
      </left>
      <top style="thin">
        <color rgb="FFA6A6A6"/>
      </top>
      <bottom style="thin">
        <color rgb="FFA6A6A6"/>
      </bottom>
    </border>
    <border>
      <right style="thin">
        <color rgb="FF000000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11" numFmtId="164" xfId="0" applyAlignment="1" applyFont="1" applyNumberFormat="1">
      <alignment readingOrder="0" vertical="bottom"/>
    </xf>
    <xf borderId="0" fillId="0" fontId="11" numFmtId="0" xfId="0" applyAlignment="1" applyFont="1">
      <alignment readingOrder="0" vertical="bottom"/>
    </xf>
    <xf borderId="1" fillId="0" fontId="5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1" numFmtId="165" xfId="0" applyAlignment="1" applyFont="1" applyNumberForma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5" numFmtId="0" xfId="0" applyFont="1"/>
    <xf borderId="0" fillId="0" fontId="16" numFmtId="0" xfId="0" applyAlignment="1" applyFont="1">
      <alignment readingOrder="0" shrinkToFit="0" wrapText="0"/>
    </xf>
    <xf borderId="4" fillId="0" fontId="7" numFmtId="16" xfId="0" applyAlignment="1" applyBorder="1" applyFont="1" applyNumberFormat="1">
      <alignment horizontal="center" vertical="bottom"/>
    </xf>
    <xf borderId="0" fillId="0" fontId="11" numFmtId="0" xfId="0" applyFont="1"/>
    <xf borderId="0" fillId="0" fontId="17" numFmtId="0" xfId="0" applyAlignment="1" applyFont="1">
      <alignment shrinkToFit="0" wrapText="0"/>
    </xf>
    <xf borderId="5" fillId="0" fontId="7" numFmtId="0" xfId="0" applyAlignment="1" applyBorder="1" applyFont="1">
      <alignment horizontal="center" vertical="bottom"/>
    </xf>
    <xf borderId="0" fillId="0" fontId="17" numFmtId="0" xfId="0" applyAlignment="1" applyFont="1">
      <alignment horizontal="left" shrinkToFit="0" wrapText="0"/>
    </xf>
    <xf borderId="5" fillId="0" fontId="7" numFmtId="0" xfId="0" applyAlignment="1" applyBorder="1" applyFont="1">
      <alignment horizontal="center" readingOrder="0" vertical="bottom"/>
    </xf>
    <xf borderId="0" fillId="0" fontId="18" numFmtId="0" xfId="0" applyAlignment="1" applyFont="1">
      <alignment shrinkToFit="0" vertical="bottom" wrapText="0"/>
    </xf>
    <xf borderId="4" fillId="0" fontId="7" numFmtId="0" xfId="0" applyAlignment="1" applyBorder="1" applyFont="1">
      <alignment horizontal="center" readingOrder="0" vertical="bottom"/>
    </xf>
    <xf borderId="0" fillId="0" fontId="15" numFmtId="0" xfId="0" applyAlignment="1" applyFont="1">
      <alignment horizontal="left"/>
    </xf>
    <xf borderId="6" fillId="0" fontId="7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0" fillId="0" fontId="19" numFmtId="0" xfId="0" applyFont="1"/>
    <xf borderId="0" fillId="0" fontId="19" numFmtId="0" xfId="0" applyAlignment="1" applyFont="1">
      <alignment horizontal="left"/>
    </xf>
    <xf borderId="6" fillId="0" fontId="9" numFmtId="0" xfId="0" applyAlignment="1" applyBorder="1" applyFont="1">
      <alignment readingOrder="0"/>
    </xf>
    <xf borderId="0" fillId="0" fontId="20" numFmtId="0" xfId="0" applyAlignment="1" applyFont="1">
      <alignment shrinkToFit="0" wrapText="0"/>
    </xf>
    <xf borderId="0" fillId="0" fontId="18" numFmtId="0" xfId="0" applyAlignment="1" applyFont="1">
      <alignment readingOrder="0" shrinkToFit="0" vertical="bottom" wrapText="0"/>
    </xf>
    <xf borderId="7" fillId="2" fontId="21" numFmtId="0" xfId="0" applyAlignment="1" applyBorder="1" applyFill="1" applyFont="1">
      <alignment horizontal="center" readingOrder="0"/>
    </xf>
    <xf borderId="8" fillId="0" fontId="6" numFmtId="0" xfId="0" applyBorder="1" applyFont="1"/>
    <xf borderId="9" fillId="0" fontId="6" numFmtId="0" xfId="0" applyBorder="1" applyFont="1"/>
    <xf borderId="1" fillId="3" fontId="22" numFmtId="0" xfId="0" applyAlignment="1" applyBorder="1" applyFill="1" applyFont="1">
      <alignment horizontal="center" readingOrder="0" shrinkToFit="0" wrapText="0"/>
    </xf>
    <xf borderId="0" fillId="0" fontId="9" numFmtId="0" xfId="0" applyFont="1"/>
    <xf borderId="0" fillId="0" fontId="22" numFmtId="0" xfId="0" applyAlignment="1" applyFont="1">
      <alignment horizontal="center" readingOrder="0" shrinkToFit="0" wrapText="0"/>
    </xf>
    <xf borderId="0" fillId="0" fontId="23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10" fillId="0" fontId="24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horizontal="left" readingOrder="0"/>
    </xf>
    <xf borderId="11" fillId="0" fontId="6" numFmtId="0" xfId="0" applyBorder="1" applyFont="1"/>
    <xf borderId="12" fillId="0" fontId="6" numFmtId="0" xfId="0" applyBorder="1" applyFont="1"/>
    <xf borderId="0" fillId="0" fontId="5" numFmtId="0" xfId="0" applyFont="1"/>
    <xf borderId="13" fillId="4" fontId="25" numFmtId="0" xfId="0" applyAlignment="1" applyBorder="1" applyFill="1" applyFont="1">
      <alignment horizontal="center" readingOrder="0" shrinkToFit="0" wrapText="0"/>
    </xf>
    <xf borderId="0" fillId="0" fontId="26" numFmtId="0" xfId="0" applyAlignment="1" applyFont="1">
      <alignment vertical="bottom"/>
    </xf>
    <xf borderId="0" fillId="0" fontId="18" numFmtId="0" xfId="0" applyAlignment="1" applyFont="1">
      <alignment vertical="bottom"/>
    </xf>
    <xf borderId="14" fillId="4" fontId="25" numFmtId="0" xfId="0" applyAlignment="1" applyBorder="1" applyFill="1" applyFont="1">
      <alignment horizontal="center" readingOrder="0" shrinkToFit="0" wrapText="0"/>
    </xf>
    <xf borderId="0" fillId="0" fontId="27" numFmtId="0" xfId="0" applyFont="1"/>
    <xf borderId="0" fillId="0" fontId="25" numFmtId="0" xfId="0" applyAlignment="1" applyFont="1">
      <alignment horizontal="center" readingOrder="0" shrinkToFit="0" wrapText="0"/>
    </xf>
    <xf borderId="0" fillId="0" fontId="18" numFmtId="0" xfId="0" applyFont="1"/>
    <xf borderId="0" fillId="0" fontId="27" numFmtId="0" xfId="0" applyAlignment="1" applyFont="1">
      <alignment horizontal="left"/>
    </xf>
    <xf borderId="0" fillId="0" fontId="18" numFmtId="0" xfId="0" applyAlignment="1" applyFont="1">
      <alignment horizontal="left"/>
    </xf>
    <xf borderId="4" fillId="5" fontId="25" numFmtId="0" xfId="0" applyAlignment="1" applyBorder="1" applyFill="1" applyFont="1">
      <alignment horizontal="center" readingOrder="0" shrinkToFit="0" wrapText="0"/>
    </xf>
    <xf borderId="0" fillId="0" fontId="28" numFmtId="0" xfId="0" applyFont="1"/>
    <xf borderId="5" fillId="0" fontId="6" numFmtId="0" xfId="0" applyBorder="1" applyFont="1"/>
    <xf borderId="6" fillId="5" fontId="25" numFmtId="0" xfId="0" applyAlignment="1" applyBorder="1" applyFill="1" applyFont="1">
      <alignment horizontal="center" readingOrder="0" shrinkToFit="0" wrapText="0"/>
    </xf>
    <xf borderId="0" fillId="0" fontId="5" numFmtId="0" xfId="0" applyAlignment="1" applyFont="1">
      <alignment horizontal="left"/>
    </xf>
    <xf borderId="0" fillId="0" fontId="29" numFmtId="0" xfId="0" applyAlignment="1" applyFont="1">
      <alignment vertical="bottom"/>
    </xf>
    <xf borderId="8" fillId="2" fontId="21" numFmtId="0" xfId="0" applyAlignment="1" applyBorder="1" applyFill="1" applyFont="1">
      <alignment horizontal="center" readingOrder="0"/>
    </xf>
    <xf borderId="0" fillId="0" fontId="9" numFmtId="0" xfId="0" applyFont="1"/>
    <xf borderId="0" fillId="0" fontId="18" numFmtId="0" xfId="0" applyAlignment="1" applyFont="1">
      <alignment readingOrder="0" vertical="bottom"/>
    </xf>
    <xf borderId="0" fillId="6" fontId="18" numFmtId="0" xfId="0" applyAlignment="1" applyFill="1" applyFont="1">
      <alignment vertical="bottom"/>
    </xf>
    <xf borderId="11" fillId="0" fontId="24" numFmtId="0" xfId="0" applyAlignment="1" applyBorder="1" applyFont="1">
      <alignment horizontal="center" readingOrder="0" shrinkToFit="0" wrapText="0"/>
    </xf>
    <xf borderId="1" fillId="6" fontId="30" numFmtId="0" xfId="0" applyAlignment="1" applyBorder="1" applyFill="1" applyFont="1">
      <alignment horizontal="center" readingOrder="0" shrinkToFit="0" vertical="center" wrapText="0"/>
    </xf>
    <xf borderId="1" fillId="0" fontId="31" numFmtId="0" xfId="0" applyAlignment="1" applyBorder="1" applyFont="1">
      <alignment horizontal="center" readingOrder="0" shrinkToFit="0" wrapText="0"/>
    </xf>
    <xf borderId="0" fillId="0" fontId="31" numFmtId="0" xfId="0" applyAlignment="1" applyFont="1">
      <alignment horizontal="center" readingOrder="0" shrinkToFit="0" wrapText="0"/>
    </xf>
    <xf borderId="13" fillId="0" fontId="6" numFmtId="0" xfId="0" applyBorder="1" applyFont="1"/>
    <xf borderId="14" fillId="0" fontId="6" numFmtId="0" xfId="0" applyBorder="1" applyFont="1"/>
    <xf borderId="1" fillId="2" fontId="21" numFmtId="0" xfId="0" applyAlignment="1" applyBorder="1" applyFill="1" applyFont="1">
      <alignment horizontal="center" readingOrder="0" shrinkToFit="0" wrapText="0"/>
    </xf>
    <xf borderId="2" fillId="2" fontId="21" numFmtId="0" xfId="0" applyAlignment="1" applyBorder="1" applyFill="1" applyFont="1">
      <alignment horizontal="center" readingOrder="0" shrinkToFit="0" wrapText="0"/>
    </xf>
    <xf borderId="3" fillId="2" fontId="21" numFmtId="0" xfId="0" applyAlignment="1" applyBorder="1" applyFill="1" applyFont="1">
      <alignment horizontal="center" readingOrder="0" shrinkToFit="0" wrapText="0"/>
    </xf>
    <xf borderId="0" fillId="0" fontId="21" numFmtId="0" xfId="0" applyAlignment="1" applyFont="1">
      <alignment horizontal="center" readingOrder="0" shrinkToFit="0" wrapText="0"/>
    </xf>
    <xf borderId="4" fillId="0" fontId="6" numFmtId="0" xfId="0" applyBorder="1" applyFont="1"/>
    <xf borderId="6" fillId="0" fontId="6" numFmtId="0" xfId="0" applyBorder="1" applyFont="1"/>
    <xf borderId="13" fillId="7" fontId="32" numFmtId="0" xfId="0" applyAlignment="1" applyBorder="1" applyFill="1" applyFont="1">
      <alignment horizontal="center" readingOrder="0" shrinkToFit="0" wrapText="0"/>
    </xf>
    <xf borderId="0" fillId="8" fontId="32" numFmtId="0" xfId="0" applyAlignment="1" applyFill="1" applyFont="1">
      <alignment horizontal="center" readingOrder="0" shrinkToFit="0" wrapText="0"/>
    </xf>
    <xf borderId="14" fillId="9" fontId="32" numFmtId="0" xfId="0" applyAlignment="1" applyBorder="1" applyFill="1" applyFont="1">
      <alignment horizontal="center" readingOrder="0" shrinkToFit="0" wrapText="0"/>
    </xf>
    <xf borderId="14" fillId="10" fontId="32" numFmtId="0" xfId="0" applyAlignment="1" applyBorder="1" applyFill="1" applyFont="1">
      <alignment horizontal="center" readingOrder="0" shrinkToFit="0" wrapText="0"/>
    </xf>
    <xf borderId="0" fillId="7" fontId="32" numFmtId="0" xfId="0" applyAlignment="1" applyFill="1" applyFont="1">
      <alignment horizontal="center" readingOrder="0" shrinkToFit="0" wrapText="0"/>
    </xf>
    <xf borderId="15" fillId="9" fontId="32" numFmtId="0" xfId="0" applyAlignment="1" applyBorder="1" applyFill="1" applyFont="1">
      <alignment horizontal="center" readingOrder="0" shrinkToFit="0" wrapText="0"/>
    </xf>
    <xf borderId="0" fillId="0" fontId="33" numFmtId="0" xfId="0" applyAlignment="1" applyFont="1">
      <alignment readingOrder="0" vertical="bottom"/>
    </xf>
    <xf borderId="0" fillId="0" fontId="32" numFmtId="0" xfId="0" applyAlignment="1" applyFont="1">
      <alignment horizontal="center" readingOrder="0" shrinkToFit="0" wrapText="0"/>
    </xf>
    <xf borderId="0" fillId="0" fontId="33" numFmtId="0" xfId="0" applyAlignment="1" applyFont="1">
      <alignment vertical="bottom"/>
    </xf>
    <xf borderId="1" fillId="0" fontId="34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0" fontId="35" numFmtId="0" xfId="0" applyAlignment="1" applyBorder="1" applyFont="1">
      <alignment horizontal="center"/>
    </xf>
    <xf borderId="2" fillId="0" fontId="35" numFmtId="0" xfId="0" applyAlignment="1" applyBorder="1" applyFont="1">
      <alignment horizontal="center"/>
    </xf>
    <xf borderId="3" fillId="0" fontId="36" numFmtId="0" xfId="0" applyAlignment="1" applyBorder="1" applyFont="1">
      <alignment horizontal="center"/>
    </xf>
    <xf borderId="15" fillId="0" fontId="37" numFmtId="0" xfId="0" applyAlignment="1" applyBorder="1" applyFont="1">
      <alignment horizontal="center"/>
    </xf>
    <xf borderId="14" fillId="0" fontId="38" numFmtId="0" xfId="0" applyAlignment="1" applyBorder="1" applyFont="1">
      <alignment horizontal="center"/>
    </xf>
    <xf borderId="14" fillId="0" fontId="37" numFmtId="0" xfId="0" applyAlignment="1" applyBorder="1" applyFont="1">
      <alignment horizontal="center"/>
    </xf>
    <xf borderId="0" fillId="0" fontId="37" numFmtId="0" xfId="0" applyAlignment="1" applyFont="1">
      <alignment horizontal="center"/>
    </xf>
    <xf borderId="13" fillId="11" fontId="34" numFmtId="0" xfId="0" applyAlignment="1" applyBorder="1" applyFill="1" applyFont="1">
      <alignment horizontal="center" readingOrder="0"/>
    </xf>
    <xf borderId="13" fillId="11" fontId="35" numFmtId="0" xfId="0" applyAlignment="1" applyBorder="1" applyFill="1" applyFont="1">
      <alignment horizontal="center"/>
    </xf>
    <xf borderId="0" fillId="11" fontId="35" numFmtId="0" xfId="0" applyAlignment="1" applyFill="1" applyFont="1">
      <alignment horizontal="center"/>
    </xf>
    <xf borderId="14" fillId="11" fontId="36" numFmtId="0" xfId="0" applyAlignment="1" applyBorder="1" applyFill="1" applyFont="1">
      <alignment horizontal="center"/>
    </xf>
    <xf borderId="15" fillId="11" fontId="37" numFmtId="0" xfId="0" applyAlignment="1" applyBorder="1" applyFill="1" applyFont="1">
      <alignment horizontal="center"/>
    </xf>
    <xf borderId="14" fillId="11" fontId="38" numFmtId="0" xfId="0" applyAlignment="1" applyBorder="1" applyFill="1" applyFont="1">
      <alignment horizontal="center"/>
    </xf>
    <xf borderId="14" fillId="11" fontId="37" numFmtId="0" xfId="0" applyAlignment="1" applyBorder="1" applyFill="1" applyFont="1">
      <alignment horizontal="center"/>
    </xf>
    <xf borderId="16" fillId="0" fontId="34" numFmtId="0" xfId="0" applyAlignment="1" applyBorder="1" applyFont="1">
      <alignment horizontal="center" readingOrder="0"/>
    </xf>
    <xf borderId="17" fillId="0" fontId="6" numFmtId="0" xfId="0" applyBorder="1" applyFont="1"/>
    <xf borderId="13" fillId="0" fontId="35" numFmtId="0" xfId="0" applyAlignment="1" applyBorder="1" applyFont="1">
      <alignment horizontal="center"/>
    </xf>
    <xf borderId="0" fillId="0" fontId="35" numFmtId="0" xfId="0" applyAlignment="1" applyFont="1">
      <alignment horizontal="center"/>
    </xf>
    <xf borderId="14" fillId="0" fontId="36" numFmtId="0" xfId="0" applyAlignment="1" applyBorder="1" applyFont="1">
      <alignment horizontal="center"/>
    </xf>
    <xf borderId="18" fillId="11" fontId="34" numFmtId="0" xfId="0" applyAlignment="1" applyBorder="1" applyFill="1" applyFont="1">
      <alignment horizontal="center" readingOrder="0"/>
    </xf>
    <xf borderId="19" fillId="0" fontId="6" numFmtId="0" xfId="0" applyBorder="1" applyFont="1"/>
    <xf borderId="18" fillId="0" fontId="34" numFmtId="0" xfId="0" applyAlignment="1" applyBorder="1" applyFont="1">
      <alignment horizontal="center" readingOrder="0"/>
    </xf>
    <xf borderId="0" fillId="0" fontId="9" numFmtId="0" xfId="0" applyFont="1"/>
    <xf borderId="10" fillId="11" fontId="34" numFmtId="0" xfId="0" applyAlignment="1" applyBorder="1" applyFill="1" applyFont="1">
      <alignment horizontal="center" readingOrder="0"/>
    </xf>
    <xf borderId="4" fillId="11" fontId="35" numFmtId="0" xfId="0" applyAlignment="1" applyBorder="1" applyFill="1" applyFont="1">
      <alignment horizontal="center"/>
    </xf>
    <xf borderId="5" fillId="11" fontId="35" numFmtId="0" xfId="0" applyAlignment="1" applyBorder="1" applyFill="1" applyFont="1">
      <alignment horizontal="center"/>
    </xf>
    <xf borderId="6" fillId="11" fontId="36" numFmtId="0" xfId="0" applyAlignment="1" applyBorder="1" applyFill="1" applyFont="1">
      <alignment horizontal="center"/>
    </xf>
    <xf borderId="20" fillId="11" fontId="37" numFmtId="0" xfId="0" applyAlignment="1" applyBorder="1" applyFill="1" applyFont="1">
      <alignment horizontal="center"/>
    </xf>
    <xf borderId="6" fillId="11" fontId="38" numFmtId="0" xfId="0" applyAlignment="1" applyBorder="1" applyFill="1" applyFont="1">
      <alignment horizontal="center"/>
    </xf>
    <xf borderId="6" fillId="11" fontId="37" numFmtId="0" xfId="0" applyAlignment="1" applyBorder="1" applyFill="1" applyFont="1">
      <alignment horizontal="center"/>
    </xf>
    <xf borderId="1" fillId="12" fontId="31" numFmtId="0" xfId="0" applyAlignment="1" applyBorder="1" applyFill="1" applyFont="1">
      <alignment horizontal="center" readingOrder="0" shrinkToFit="0" wrapText="0"/>
    </xf>
    <xf borderId="1" fillId="13" fontId="31" numFmtId="0" xfId="0" applyAlignment="1" applyBorder="1" applyFill="1" applyFont="1">
      <alignment horizontal="center" readingOrder="0" shrinkToFit="0" wrapText="0"/>
    </xf>
    <xf borderId="1" fillId="14" fontId="31" numFmtId="0" xfId="0" applyAlignment="1" applyBorder="1" applyFill="1" applyFont="1">
      <alignment horizontal="center" readingOrder="0" shrinkToFit="0" wrapText="0"/>
    </xf>
    <xf borderId="1" fillId="15" fontId="31" numFmtId="0" xfId="0" applyAlignment="1" applyBorder="1" applyFill="1" applyFont="1">
      <alignment horizontal="center" readingOrder="0" shrinkToFit="0" wrapText="0"/>
    </xf>
    <xf borderId="1" fillId="16" fontId="31" numFmtId="0" xfId="0" applyAlignment="1" applyBorder="1" applyFill="1" applyFont="1">
      <alignment horizontal="center" readingOrder="0" shrinkToFit="0" wrapText="0"/>
    </xf>
    <xf borderId="21" fillId="2" fontId="21" numFmtId="0" xfId="0" applyAlignment="1" applyBorder="1" applyFill="1" applyFont="1">
      <alignment horizontal="center" readingOrder="0" shrinkToFit="0" wrapText="0"/>
    </xf>
    <xf borderId="15" fillId="10" fontId="32" numFmtId="0" xfId="0" applyAlignment="1" applyBorder="1" applyFill="1" applyFont="1">
      <alignment horizontal="center" readingOrder="0" shrinkToFit="0" wrapText="0"/>
    </xf>
    <xf borderId="15" fillId="0" fontId="38" numFmtId="0" xfId="0" applyAlignment="1" applyBorder="1" applyFont="1">
      <alignment horizontal="center"/>
    </xf>
    <xf borderId="15" fillId="11" fontId="38" numFmtId="0" xfId="0" applyAlignment="1" applyBorder="1" applyFill="1" applyFont="1">
      <alignment horizontal="center"/>
    </xf>
    <xf borderId="0" fillId="0" fontId="23" numFmtId="0" xfId="0" applyAlignment="1" applyFont="1">
      <alignment readingOrder="0" vertical="bottom"/>
    </xf>
    <xf borderId="20" fillId="11" fontId="38" numFmtId="0" xfId="0" applyAlignment="1" applyBorder="1" applyFill="1" applyFont="1">
      <alignment horizontal="center"/>
    </xf>
    <xf borderId="0" fillId="6" fontId="30" numFmtId="0" xfId="0" applyAlignment="1" applyFill="1" applyFont="1">
      <alignment horizontal="center" readingOrder="0" shrinkToFit="0" vertical="center" wrapText="0"/>
    </xf>
    <xf borderId="0" fillId="0" fontId="29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7" numFmtId="16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23" numFmtId="0" xfId="0" applyAlignment="1" applyFont="1">
      <alignment horizontal="right" readingOrder="0" vertical="bottom"/>
    </xf>
    <xf borderId="1" fillId="0" fontId="5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0" fillId="0" fontId="39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13" fillId="0" fontId="9" numFmtId="0" xfId="0" applyAlignment="1" applyBorder="1" applyFont="1">
      <alignment readingOrder="0"/>
    </xf>
    <xf borderId="14" fillId="0" fontId="9" numFmtId="0" xfId="0" applyBorder="1" applyFont="1"/>
    <xf borderId="13" fillId="0" fontId="9" numFmtId="0" xfId="0" applyBorder="1" applyFont="1"/>
    <xf borderId="22" fillId="0" fontId="8" numFmtId="0" xfId="0" applyAlignment="1" applyBorder="1" applyFont="1">
      <alignment readingOrder="0"/>
    </xf>
    <xf borderId="22" fillId="0" fontId="8" numFmtId="0" xfId="0" applyAlignment="1" applyBorder="1" applyFont="1">
      <alignment horizontal="center" readingOrder="0" shrinkToFit="0" wrapText="1"/>
    </xf>
    <xf borderId="22" fillId="0" fontId="8" numFmtId="0" xfId="0" applyAlignment="1" applyBorder="1" applyFont="1">
      <alignment horizontal="center" readingOrder="0"/>
    </xf>
    <xf borderId="21" fillId="0" fontId="8" numFmtId="0" xfId="0" applyAlignment="1" applyBorder="1" applyFont="1">
      <alignment readingOrder="0"/>
    </xf>
    <xf borderId="21" fillId="0" fontId="8" numFmtId="0" xfId="0" applyAlignment="1" applyBorder="1" applyFont="1">
      <alignment horizontal="center" readingOrder="0" shrinkToFit="0" wrapText="1"/>
    </xf>
    <xf borderId="21" fillId="0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22" fillId="0" fontId="40" numFmtId="0" xfId="0" applyAlignment="1" applyBorder="1" applyFont="1">
      <alignment readingOrder="0"/>
    </xf>
    <xf borderId="22" fillId="0" fontId="9" numFmtId="0" xfId="0" applyBorder="1" applyFont="1"/>
    <xf borderId="22" fillId="0" fontId="9" numFmtId="0" xfId="0" applyAlignment="1" applyBorder="1" applyFont="1">
      <alignment readingOrder="0"/>
    </xf>
    <xf borderId="23" fillId="0" fontId="9" numFmtId="0" xfId="0" applyBorder="1" applyFont="1"/>
    <xf borderId="15" fillId="0" fontId="9" numFmtId="0" xfId="0" applyAlignment="1" applyBorder="1" applyFont="1">
      <alignment readingOrder="0"/>
    </xf>
    <xf borderId="15" fillId="0" fontId="9" numFmtId="0" xfId="0" applyBorder="1" applyFont="1"/>
    <xf borderId="22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left" readingOrder="0"/>
    </xf>
    <xf borderId="21" fillId="0" fontId="9" numFmtId="0" xfId="0" applyBorder="1" applyFont="1"/>
    <xf borderId="15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horizontal="center" readingOrder="0"/>
    </xf>
    <xf borderId="20" fillId="0" fontId="9" numFmtId="0" xfId="0" applyBorder="1" applyFont="1"/>
    <xf borderId="6" fillId="0" fontId="9" numFmtId="0" xfId="0" applyBorder="1" applyFont="1"/>
    <xf borderId="21" fillId="0" fontId="9" numFmtId="0" xfId="0" applyAlignment="1" applyBorder="1" applyFont="1">
      <alignment readingOrder="0"/>
    </xf>
    <xf borderId="20" fillId="0" fontId="9" numFmtId="0" xfId="0" applyAlignment="1" applyBorder="1" applyFont="1">
      <alignment readingOrder="0"/>
    </xf>
    <xf borderId="21" fillId="0" fontId="9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csgo-central-system.vercel.ap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5.29"/>
    <col customWidth="1" min="9" max="9" width="16.86"/>
    <col customWidth="1" min="22" max="22" width="15.29"/>
    <col customWidth="1" min="23" max="23" width="16.86"/>
    <col customWidth="1" min="29" max="29" width="15.29"/>
    <col customWidth="1" min="30" max="30" width="16.86"/>
    <col customWidth="1" min="31" max="31" width="17.0"/>
    <col customWidth="1" min="32" max="37" width="19.43"/>
  </cols>
  <sheetData>
    <row r="1">
      <c r="A1" s="6" t="s">
        <v>5</v>
      </c>
      <c r="G1" s="22" t="s">
        <v>14</v>
      </c>
    </row>
    <row r="3">
      <c r="A3" s="25"/>
      <c r="B3" s="28"/>
      <c r="C3" s="30"/>
      <c r="E3" s="30"/>
      <c r="G3" s="32"/>
      <c r="I3" s="32"/>
      <c r="J3" s="32"/>
      <c r="K3" s="32"/>
      <c r="M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>
      <c r="A4" s="41"/>
      <c r="B4" s="28"/>
      <c r="C4" s="30"/>
      <c r="E4" s="30"/>
      <c r="G4" s="32"/>
      <c r="I4" s="32"/>
      <c r="J4" s="32"/>
      <c r="K4" s="32"/>
      <c r="L4" s="42"/>
      <c r="M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43" t="s">
        <v>134</v>
      </c>
      <c r="B5" s="44"/>
      <c r="C5" s="45"/>
      <c r="D5" s="46" t="s">
        <v>139</v>
      </c>
      <c r="E5" s="9"/>
      <c r="F5" s="9"/>
      <c r="G5" s="9"/>
      <c r="H5" s="9"/>
      <c r="I5" s="10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>
      <c r="A6" s="51">
        <v>2026.0</v>
      </c>
      <c r="B6" s="53"/>
      <c r="C6" s="54"/>
      <c r="D6" s="56" t="s">
        <v>148</v>
      </c>
      <c r="I6" s="59" t="s">
        <v>152</v>
      </c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</row>
    <row r="7">
      <c r="A7" s="32"/>
      <c r="B7" s="32"/>
      <c r="C7" s="30"/>
      <c r="D7" s="65" t="s">
        <v>156</v>
      </c>
      <c r="E7" s="67"/>
      <c r="F7" s="67"/>
      <c r="G7" s="67"/>
      <c r="H7" s="67"/>
      <c r="I7" s="68" t="s">
        <v>162</v>
      </c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</row>
    <row r="8">
      <c r="A8" s="43" t="s">
        <v>169</v>
      </c>
      <c r="B8" s="44"/>
      <c r="C8" s="45"/>
      <c r="D8" s="71" t="s">
        <v>173</v>
      </c>
      <c r="E8" s="44"/>
      <c r="F8" s="44"/>
      <c r="G8" s="44"/>
      <c r="H8" s="44"/>
      <c r="I8" s="45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</row>
    <row r="9">
      <c r="A9" s="51" t="s">
        <v>183</v>
      </c>
      <c r="B9" s="53"/>
      <c r="C9" s="54"/>
      <c r="D9" s="75" t="s">
        <v>189</v>
      </c>
      <c r="E9" s="53"/>
      <c r="F9" s="53"/>
      <c r="G9" s="53"/>
      <c r="H9" s="53"/>
      <c r="I9" s="54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</row>
    <row r="10">
      <c r="A10" s="76" t="s">
        <v>197</v>
      </c>
      <c r="B10" s="10"/>
      <c r="C10" s="77" t="s">
        <v>203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  <c r="R10" s="76" t="s">
        <v>197</v>
      </c>
      <c r="S10" s="10"/>
      <c r="T10" s="77" t="s">
        <v>210</v>
      </c>
      <c r="U10" s="9"/>
      <c r="V10" s="9"/>
      <c r="W10" s="9"/>
      <c r="X10" s="10"/>
      <c r="Y10" s="78"/>
    </row>
    <row r="11">
      <c r="A11" s="79"/>
      <c r="B11" s="80"/>
      <c r="C11" s="81" t="s">
        <v>214</v>
      </c>
      <c r="D11" s="9"/>
      <c r="E11" s="10"/>
      <c r="F11" s="81" t="s">
        <v>216</v>
      </c>
      <c r="G11" s="9"/>
      <c r="H11" s="10"/>
      <c r="I11" s="81" t="s">
        <v>218</v>
      </c>
      <c r="J11" s="9"/>
      <c r="K11" s="10"/>
      <c r="L11" s="81" t="s">
        <v>221</v>
      </c>
      <c r="M11" s="9"/>
      <c r="N11" s="10"/>
      <c r="O11" s="82" t="s">
        <v>222</v>
      </c>
      <c r="P11" s="9"/>
      <c r="Q11" s="10"/>
      <c r="R11" s="79"/>
      <c r="S11" s="80"/>
      <c r="T11" s="81" t="s">
        <v>214</v>
      </c>
      <c r="U11" s="81" t="s">
        <v>216</v>
      </c>
      <c r="V11" s="81" t="s">
        <v>218</v>
      </c>
      <c r="W11" s="81" t="s">
        <v>221</v>
      </c>
      <c r="X11" s="83" t="s">
        <v>222</v>
      </c>
      <c r="Y11" s="84"/>
    </row>
    <row r="12">
      <c r="A12" s="85"/>
      <c r="B12" s="86"/>
      <c r="C12" s="87" t="s">
        <v>152</v>
      </c>
      <c r="D12" s="88" t="s">
        <v>162</v>
      </c>
      <c r="E12" s="89" t="s">
        <v>231</v>
      </c>
      <c r="F12" s="87" t="s">
        <v>152</v>
      </c>
      <c r="G12" s="88" t="s">
        <v>162</v>
      </c>
      <c r="H12" s="90" t="s">
        <v>231</v>
      </c>
      <c r="I12" s="87" t="s">
        <v>152</v>
      </c>
      <c r="J12" s="88" t="s">
        <v>162</v>
      </c>
      <c r="K12" s="90" t="s">
        <v>231</v>
      </c>
      <c r="L12" s="87" t="s">
        <v>152</v>
      </c>
      <c r="M12" s="88" t="s">
        <v>162</v>
      </c>
      <c r="N12" s="90" t="s">
        <v>231</v>
      </c>
      <c r="O12" s="91" t="s">
        <v>152</v>
      </c>
      <c r="P12" s="88" t="s">
        <v>162</v>
      </c>
      <c r="Q12" s="90" t="s">
        <v>231</v>
      </c>
      <c r="R12" s="85"/>
      <c r="S12" s="86"/>
      <c r="T12" s="92" t="s">
        <v>231</v>
      </c>
      <c r="U12" s="90" t="s">
        <v>231</v>
      </c>
      <c r="V12" s="90" t="s">
        <v>231</v>
      </c>
      <c r="W12" s="90" t="s">
        <v>231</v>
      </c>
      <c r="X12" s="90" t="s">
        <v>231</v>
      </c>
      <c r="Y12" s="94"/>
    </row>
    <row r="13">
      <c r="A13" s="96" t="s">
        <v>4</v>
      </c>
      <c r="B13" s="10"/>
      <c r="C13" s="98">
        <f t="shared" ref="C13:C24" si="1">COUNTIF(INDIRECT(A13&amp;"!G:G"),"*ONSITE*")</f>
        <v>0</v>
      </c>
      <c r="D13" s="99">
        <f t="shared" ref="D13:D24" si="2">COUNTIF(INDIRECT(A13&amp;"!G:G"),"*ONLINE*")</f>
        <v>0</v>
      </c>
      <c r="E13" s="100">
        <f t="shared" ref="E13:E24" si="3">SUM(C13:D13)</f>
        <v>0</v>
      </c>
      <c r="F13" s="98">
        <f t="shared" ref="F13:F24" si="4">COUNTIF(INDIRECT(A13&amp;"!H:H"),"*ONSITE*")</f>
        <v>0</v>
      </c>
      <c r="G13" s="99">
        <f t="shared" ref="G13:G24" si="5">COUNTIF(INDIRECT(A13&amp;"!H:H"),"*ONLINE*")</f>
        <v>0</v>
      </c>
      <c r="H13" s="100">
        <f t="shared" ref="H13:H24" si="6">SUM(F13:G13)</f>
        <v>0</v>
      </c>
      <c r="I13" s="98">
        <f t="shared" ref="I13:I24" si="7">COUNTIF(INDIRECT(A13&amp;"!I:I"),"*ONSITE*")</f>
        <v>0</v>
      </c>
      <c r="J13" s="99">
        <f t="shared" ref="J13:J24" si="8">COUNTIF(INDIRECT(A13&amp;"!I:I"),"*ONLINE*")</f>
        <v>0</v>
      </c>
      <c r="K13" s="100">
        <f t="shared" ref="K13:K24" si="9">SUM(I13:J13)</f>
        <v>0</v>
      </c>
      <c r="L13" s="98">
        <f t="shared" ref="L13:L24" si="10">COUNTIF(INDIRECT(A13&amp;"!J:J"),"*ONSITE*")</f>
        <v>0</v>
      </c>
      <c r="M13" s="99">
        <f t="shared" ref="M13:M24" si="11">COUNTIF(INDIRECT(A13&amp;"!J:J"),"*ONLINE*")</f>
        <v>0</v>
      </c>
      <c r="N13" s="100">
        <f t="shared" ref="N13:N24" si="12">SUM(L13:M13)</f>
        <v>0</v>
      </c>
      <c r="O13" s="99">
        <f t="shared" ref="O13:O24" si="13">COUNTIF(INDIRECT(A13&amp;"!K:K"),"*ONSITE*")</f>
        <v>0</v>
      </c>
      <c r="P13" s="99">
        <f t="shared" ref="P13:P24" si="14">COUNTIF(INDIRECT(A13&amp;"!K:K"),"*ONLINE*")</f>
        <v>0</v>
      </c>
      <c r="Q13" s="100">
        <f t="shared" ref="Q13:Q24" si="15">SUM(O13:P13)</f>
        <v>0</v>
      </c>
      <c r="R13" s="96" t="s">
        <v>4</v>
      </c>
      <c r="S13" s="10"/>
      <c r="T13" s="101">
        <f t="shared" ref="T13:T24" si="16">COUNTIF(INDIRECT($A13&amp;"!L:L"),"TRUE")</f>
        <v>0</v>
      </c>
      <c r="U13" s="102">
        <f t="shared" ref="U13:U24" si="17">COUNTIF(INDIRECT($A13&amp;"!M:M"),"TRUE")</f>
        <v>0</v>
      </c>
      <c r="V13" s="103">
        <f t="shared" ref="V13:V24" si="18">COUNTIF(INDIRECT($A13&amp;"!N:N"),"TRUE")</f>
        <v>0</v>
      </c>
      <c r="W13" s="102">
        <f t="shared" ref="W13:W24" si="19">COUNTIF(INDIRECT($A13&amp;"!O:O"),"TRUE")</f>
        <v>0</v>
      </c>
      <c r="X13" s="103">
        <f t="shared" ref="X13:X24" si="20">COUNTIF(INDIRECT($A13&amp;"!P:P"),"TRUE")</f>
        <v>0</v>
      </c>
      <c r="Y13" s="104"/>
    </row>
    <row r="14">
      <c r="A14" s="105" t="s">
        <v>331</v>
      </c>
      <c r="B14" s="80"/>
      <c r="C14" s="106">
        <f t="shared" si="1"/>
        <v>0</v>
      </c>
      <c r="D14" s="107">
        <f t="shared" si="2"/>
        <v>0</v>
      </c>
      <c r="E14" s="108">
        <f t="shared" si="3"/>
        <v>0</v>
      </c>
      <c r="F14" s="106">
        <f t="shared" si="4"/>
        <v>0</v>
      </c>
      <c r="G14" s="107">
        <f t="shared" si="5"/>
        <v>0</v>
      </c>
      <c r="H14" s="108">
        <f t="shared" si="6"/>
        <v>0</v>
      </c>
      <c r="I14" s="106">
        <f t="shared" si="7"/>
        <v>0</v>
      </c>
      <c r="J14" s="107">
        <f t="shared" si="8"/>
        <v>0</v>
      </c>
      <c r="K14" s="108">
        <f t="shared" si="9"/>
        <v>0</v>
      </c>
      <c r="L14" s="106">
        <f t="shared" si="10"/>
        <v>0</v>
      </c>
      <c r="M14" s="107">
        <f t="shared" si="11"/>
        <v>0</v>
      </c>
      <c r="N14" s="108">
        <f t="shared" si="12"/>
        <v>0</v>
      </c>
      <c r="O14" s="107">
        <f t="shared" si="13"/>
        <v>0</v>
      </c>
      <c r="P14" s="107">
        <f t="shared" si="14"/>
        <v>0</v>
      </c>
      <c r="Q14" s="108">
        <f t="shared" si="15"/>
        <v>0</v>
      </c>
      <c r="R14" s="105" t="s">
        <v>331</v>
      </c>
      <c r="S14" s="80"/>
      <c r="T14" s="109">
        <f t="shared" si="16"/>
        <v>0</v>
      </c>
      <c r="U14" s="110">
        <f t="shared" si="17"/>
        <v>0</v>
      </c>
      <c r="V14" s="111">
        <f t="shared" si="18"/>
        <v>0</v>
      </c>
      <c r="W14" s="110">
        <f t="shared" si="19"/>
        <v>0</v>
      </c>
      <c r="X14" s="111">
        <f t="shared" si="20"/>
        <v>0</v>
      </c>
      <c r="Y14" s="104"/>
    </row>
    <row r="15">
      <c r="A15" s="112" t="s">
        <v>357</v>
      </c>
      <c r="B15" s="113"/>
      <c r="C15" s="114">
        <f t="shared" si="1"/>
        <v>0</v>
      </c>
      <c r="D15" s="115">
        <f t="shared" si="2"/>
        <v>0</v>
      </c>
      <c r="E15" s="116">
        <f t="shared" si="3"/>
        <v>0</v>
      </c>
      <c r="F15" s="114">
        <f t="shared" si="4"/>
        <v>0</v>
      </c>
      <c r="G15" s="115">
        <f t="shared" si="5"/>
        <v>0</v>
      </c>
      <c r="H15" s="116">
        <f t="shared" si="6"/>
        <v>0</v>
      </c>
      <c r="I15" s="114">
        <f t="shared" si="7"/>
        <v>0</v>
      </c>
      <c r="J15" s="115">
        <f t="shared" si="8"/>
        <v>0</v>
      </c>
      <c r="K15" s="116">
        <f t="shared" si="9"/>
        <v>0</v>
      </c>
      <c r="L15" s="114">
        <f t="shared" si="10"/>
        <v>0</v>
      </c>
      <c r="M15" s="115">
        <f t="shared" si="11"/>
        <v>0</v>
      </c>
      <c r="N15" s="116">
        <f t="shared" si="12"/>
        <v>0</v>
      </c>
      <c r="O15" s="115">
        <f t="shared" si="13"/>
        <v>0</v>
      </c>
      <c r="P15" s="115">
        <f t="shared" si="14"/>
        <v>0</v>
      </c>
      <c r="Q15" s="116">
        <f t="shared" si="15"/>
        <v>0</v>
      </c>
      <c r="R15" s="112" t="s">
        <v>357</v>
      </c>
      <c r="S15" s="113"/>
      <c r="T15" s="101">
        <f t="shared" si="16"/>
        <v>0</v>
      </c>
      <c r="U15" s="102">
        <f t="shared" si="17"/>
        <v>0</v>
      </c>
      <c r="V15" s="103">
        <f t="shared" si="18"/>
        <v>0</v>
      </c>
      <c r="W15" s="102">
        <f t="shared" si="19"/>
        <v>0</v>
      </c>
      <c r="X15" s="103">
        <f t="shared" si="20"/>
        <v>0</v>
      </c>
      <c r="Y15" s="104"/>
    </row>
    <row r="16">
      <c r="A16" s="117" t="s">
        <v>371</v>
      </c>
      <c r="B16" s="118"/>
      <c r="C16" s="106">
        <f t="shared" si="1"/>
        <v>0</v>
      </c>
      <c r="D16" s="107">
        <f t="shared" si="2"/>
        <v>0</v>
      </c>
      <c r="E16" s="108">
        <f t="shared" si="3"/>
        <v>0</v>
      </c>
      <c r="F16" s="106">
        <f t="shared" si="4"/>
        <v>0</v>
      </c>
      <c r="G16" s="107">
        <f t="shared" si="5"/>
        <v>0</v>
      </c>
      <c r="H16" s="108">
        <f t="shared" si="6"/>
        <v>0</v>
      </c>
      <c r="I16" s="106">
        <f t="shared" si="7"/>
        <v>0</v>
      </c>
      <c r="J16" s="107">
        <f t="shared" si="8"/>
        <v>0</v>
      </c>
      <c r="K16" s="108">
        <f t="shared" si="9"/>
        <v>0</v>
      </c>
      <c r="L16" s="106">
        <f t="shared" si="10"/>
        <v>0</v>
      </c>
      <c r="M16" s="107">
        <f t="shared" si="11"/>
        <v>0</v>
      </c>
      <c r="N16" s="108">
        <f t="shared" si="12"/>
        <v>0</v>
      </c>
      <c r="O16" s="107">
        <f t="shared" si="13"/>
        <v>0</v>
      </c>
      <c r="P16" s="107">
        <f t="shared" si="14"/>
        <v>0</v>
      </c>
      <c r="Q16" s="108">
        <f t="shared" si="15"/>
        <v>0</v>
      </c>
      <c r="R16" s="117" t="s">
        <v>371</v>
      </c>
      <c r="S16" s="118"/>
      <c r="T16" s="109">
        <f t="shared" si="16"/>
        <v>0</v>
      </c>
      <c r="U16" s="110">
        <f t="shared" si="17"/>
        <v>0</v>
      </c>
      <c r="V16" s="111">
        <f t="shared" si="18"/>
        <v>0</v>
      </c>
      <c r="W16" s="110">
        <f t="shared" si="19"/>
        <v>0</v>
      </c>
      <c r="X16" s="111">
        <f t="shared" si="20"/>
        <v>0</v>
      </c>
      <c r="Y16" s="104"/>
    </row>
    <row r="17">
      <c r="A17" s="119" t="s">
        <v>386</v>
      </c>
      <c r="B17" s="118"/>
      <c r="C17" s="114">
        <f t="shared" si="1"/>
        <v>0</v>
      </c>
      <c r="D17" s="115">
        <f t="shared" si="2"/>
        <v>0</v>
      </c>
      <c r="E17" s="116">
        <f t="shared" si="3"/>
        <v>0</v>
      </c>
      <c r="F17" s="114">
        <f t="shared" si="4"/>
        <v>0</v>
      </c>
      <c r="G17" s="115">
        <f t="shared" si="5"/>
        <v>0</v>
      </c>
      <c r="H17" s="116">
        <f t="shared" si="6"/>
        <v>0</v>
      </c>
      <c r="I17" s="114">
        <f t="shared" si="7"/>
        <v>0</v>
      </c>
      <c r="J17" s="115">
        <f t="shared" si="8"/>
        <v>0</v>
      </c>
      <c r="K17" s="116">
        <f t="shared" si="9"/>
        <v>0</v>
      </c>
      <c r="L17" s="114">
        <f t="shared" si="10"/>
        <v>0</v>
      </c>
      <c r="M17" s="115">
        <f t="shared" si="11"/>
        <v>0</v>
      </c>
      <c r="N17" s="116">
        <f t="shared" si="12"/>
        <v>0</v>
      </c>
      <c r="O17" s="115">
        <f t="shared" si="13"/>
        <v>0</v>
      </c>
      <c r="P17" s="115">
        <f t="shared" si="14"/>
        <v>0</v>
      </c>
      <c r="Q17" s="116">
        <f t="shared" si="15"/>
        <v>0</v>
      </c>
      <c r="R17" s="119" t="s">
        <v>386</v>
      </c>
      <c r="S17" s="118"/>
      <c r="T17" s="101">
        <f t="shared" si="16"/>
        <v>0</v>
      </c>
      <c r="U17" s="102">
        <f t="shared" si="17"/>
        <v>0</v>
      </c>
      <c r="V17" s="103">
        <f t="shared" si="18"/>
        <v>0</v>
      </c>
      <c r="W17" s="102">
        <f t="shared" si="19"/>
        <v>0</v>
      </c>
      <c r="X17" s="103">
        <f t="shared" si="20"/>
        <v>0</v>
      </c>
      <c r="Y17" s="104"/>
    </row>
    <row r="18">
      <c r="A18" s="117" t="s">
        <v>404</v>
      </c>
      <c r="B18" s="118"/>
      <c r="C18" s="106">
        <f t="shared" si="1"/>
        <v>0</v>
      </c>
      <c r="D18" s="107">
        <f t="shared" si="2"/>
        <v>0</v>
      </c>
      <c r="E18" s="108">
        <f t="shared" si="3"/>
        <v>0</v>
      </c>
      <c r="F18" s="106">
        <f t="shared" si="4"/>
        <v>0</v>
      </c>
      <c r="G18" s="107">
        <f t="shared" si="5"/>
        <v>0</v>
      </c>
      <c r="H18" s="108">
        <f t="shared" si="6"/>
        <v>0</v>
      </c>
      <c r="I18" s="106">
        <f t="shared" si="7"/>
        <v>0</v>
      </c>
      <c r="J18" s="107">
        <f t="shared" si="8"/>
        <v>0</v>
      </c>
      <c r="K18" s="108">
        <f t="shared" si="9"/>
        <v>0</v>
      </c>
      <c r="L18" s="106">
        <f t="shared" si="10"/>
        <v>0</v>
      </c>
      <c r="M18" s="107">
        <f t="shared" si="11"/>
        <v>0</v>
      </c>
      <c r="N18" s="108">
        <f t="shared" si="12"/>
        <v>0</v>
      </c>
      <c r="O18" s="107">
        <f t="shared" si="13"/>
        <v>0</v>
      </c>
      <c r="P18" s="107">
        <f t="shared" si="14"/>
        <v>0</v>
      </c>
      <c r="Q18" s="108">
        <f t="shared" si="15"/>
        <v>0</v>
      </c>
      <c r="R18" s="117" t="s">
        <v>404</v>
      </c>
      <c r="S18" s="118"/>
      <c r="T18" s="109">
        <f t="shared" si="16"/>
        <v>0</v>
      </c>
      <c r="U18" s="110">
        <f t="shared" si="17"/>
        <v>0</v>
      </c>
      <c r="V18" s="111">
        <f t="shared" si="18"/>
        <v>0</v>
      </c>
      <c r="W18" s="110">
        <f t="shared" si="19"/>
        <v>0</v>
      </c>
      <c r="X18" s="111">
        <f t="shared" si="20"/>
        <v>0</v>
      </c>
      <c r="Y18" s="104"/>
    </row>
    <row r="19">
      <c r="A19" s="119" t="s">
        <v>423</v>
      </c>
      <c r="B19" s="118"/>
      <c r="C19" s="114">
        <f t="shared" si="1"/>
        <v>0</v>
      </c>
      <c r="D19" s="115">
        <f t="shared" si="2"/>
        <v>0</v>
      </c>
      <c r="E19" s="116">
        <f t="shared" si="3"/>
        <v>0</v>
      </c>
      <c r="F19" s="114">
        <f t="shared" si="4"/>
        <v>0</v>
      </c>
      <c r="G19" s="115">
        <f t="shared" si="5"/>
        <v>0</v>
      </c>
      <c r="H19" s="116">
        <f t="shared" si="6"/>
        <v>0</v>
      </c>
      <c r="I19" s="114">
        <f t="shared" si="7"/>
        <v>0</v>
      </c>
      <c r="J19" s="115">
        <f t="shared" si="8"/>
        <v>0</v>
      </c>
      <c r="K19" s="116">
        <f t="shared" si="9"/>
        <v>0</v>
      </c>
      <c r="L19" s="114">
        <f t="shared" si="10"/>
        <v>0</v>
      </c>
      <c r="M19" s="115">
        <f t="shared" si="11"/>
        <v>0</v>
      </c>
      <c r="N19" s="116">
        <f t="shared" si="12"/>
        <v>0</v>
      </c>
      <c r="O19" s="115">
        <f t="shared" si="13"/>
        <v>0</v>
      </c>
      <c r="P19" s="115">
        <f t="shared" si="14"/>
        <v>0</v>
      </c>
      <c r="Q19" s="116">
        <f t="shared" si="15"/>
        <v>0</v>
      </c>
      <c r="R19" s="119" t="s">
        <v>423</v>
      </c>
      <c r="S19" s="118"/>
      <c r="T19" s="101">
        <f t="shared" si="16"/>
        <v>0</v>
      </c>
      <c r="U19" s="102">
        <f t="shared" si="17"/>
        <v>0</v>
      </c>
      <c r="V19" s="103">
        <f t="shared" si="18"/>
        <v>0</v>
      </c>
      <c r="W19" s="102">
        <f t="shared" si="19"/>
        <v>0</v>
      </c>
      <c r="X19" s="103">
        <f t="shared" si="20"/>
        <v>0</v>
      </c>
      <c r="Y19" s="104"/>
    </row>
    <row r="20">
      <c r="A20" s="117" t="s">
        <v>437</v>
      </c>
      <c r="B20" s="118"/>
      <c r="C20" s="106">
        <f t="shared" si="1"/>
        <v>0</v>
      </c>
      <c r="D20" s="107">
        <f t="shared" si="2"/>
        <v>0</v>
      </c>
      <c r="E20" s="108">
        <f t="shared" si="3"/>
        <v>0</v>
      </c>
      <c r="F20" s="106">
        <f t="shared" si="4"/>
        <v>0</v>
      </c>
      <c r="G20" s="107">
        <f t="shared" si="5"/>
        <v>0</v>
      </c>
      <c r="H20" s="108">
        <f t="shared" si="6"/>
        <v>0</v>
      </c>
      <c r="I20" s="106">
        <f t="shared" si="7"/>
        <v>0</v>
      </c>
      <c r="J20" s="107">
        <f t="shared" si="8"/>
        <v>0</v>
      </c>
      <c r="K20" s="108">
        <f t="shared" si="9"/>
        <v>0</v>
      </c>
      <c r="L20" s="106">
        <f t="shared" si="10"/>
        <v>0</v>
      </c>
      <c r="M20" s="107">
        <f t="shared" si="11"/>
        <v>0</v>
      </c>
      <c r="N20" s="108">
        <f t="shared" si="12"/>
        <v>0</v>
      </c>
      <c r="O20" s="107">
        <f t="shared" si="13"/>
        <v>0</v>
      </c>
      <c r="P20" s="107">
        <f t="shared" si="14"/>
        <v>0</v>
      </c>
      <c r="Q20" s="108">
        <f t="shared" si="15"/>
        <v>0</v>
      </c>
      <c r="R20" s="117" t="s">
        <v>437</v>
      </c>
      <c r="S20" s="118"/>
      <c r="T20" s="109">
        <f t="shared" si="16"/>
        <v>0</v>
      </c>
      <c r="U20" s="110">
        <f t="shared" si="17"/>
        <v>0</v>
      </c>
      <c r="V20" s="111">
        <f t="shared" si="18"/>
        <v>0</v>
      </c>
      <c r="W20" s="110">
        <f t="shared" si="19"/>
        <v>0</v>
      </c>
      <c r="X20" s="111">
        <f t="shared" si="20"/>
        <v>0</v>
      </c>
      <c r="Y20" s="104"/>
    </row>
    <row r="21">
      <c r="A21" s="119" t="s">
        <v>448</v>
      </c>
      <c r="B21" s="118"/>
      <c r="C21" s="114">
        <f t="shared" si="1"/>
        <v>0</v>
      </c>
      <c r="D21" s="115">
        <f t="shared" si="2"/>
        <v>0</v>
      </c>
      <c r="E21" s="116">
        <f t="shared" si="3"/>
        <v>0</v>
      </c>
      <c r="F21" s="114">
        <f t="shared" si="4"/>
        <v>0</v>
      </c>
      <c r="G21" s="115">
        <f t="shared" si="5"/>
        <v>0</v>
      </c>
      <c r="H21" s="116">
        <f t="shared" si="6"/>
        <v>0</v>
      </c>
      <c r="I21" s="114">
        <f t="shared" si="7"/>
        <v>0</v>
      </c>
      <c r="J21" s="115">
        <f t="shared" si="8"/>
        <v>0</v>
      </c>
      <c r="K21" s="116">
        <f t="shared" si="9"/>
        <v>0</v>
      </c>
      <c r="L21" s="114">
        <f t="shared" si="10"/>
        <v>0</v>
      </c>
      <c r="M21" s="115">
        <f t="shared" si="11"/>
        <v>0</v>
      </c>
      <c r="N21" s="116">
        <f t="shared" si="12"/>
        <v>0</v>
      </c>
      <c r="O21" s="115">
        <f t="shared" si="13"/>
        <v>0</v>
      </c>
      <c r="P21" s="115">
        <f t="shared" si="14"/>
        <v>0</v>
      </c>
      <c r="Q21" s="116">
        <f t="shared" si="15"/>
        <v>0</v>
      </c>
      <c r="R21" s="119" t="s">
        <v>448</v>
      </c>
      <c r="S21" s="118"/>
      <c r="T21" s="101">
        <f t="shared" si="16"/>
        <v>0</v>
      </c>
      <c r="U21" s="102">
        <f t="shared" si="17"/>
        <v>0</v>
      </c>
      <c r="V21" s="103">
        <f t="shared" si="18"/>
        <v>0</v>
      </c>
      <c r="W21" s="102">
        <f t="shared" si="19"/>
        <v>0</v>
      </c>
      <c r="X21" s="103">
        <f t="shared" si="20"/>
        <v>0</v>
      </c>
      <c r="Y21" s="104"/>
    </row>
    <row r="22">
      <c r="A22" s="117" t="s">
        <v>456</v>
      </c>
      <c r="B22" s="118"/>
      <c r="C22" s="106">
        <f t="shared" si="1"/>
        <v>0</v>
      </c>
      <c r="D22" s="107">
        <f t="shared" si="2"/>
        <v>0</v>
      </c>
      <c r="E22" s="108">
        <f t="shared" si="3"/>
        <v>0</v>
      </c>
      <c r="F22" s="106">
        <f t="shared" si="4"/>
        <v>0</v>
      </c>
      <c r="G22" s="107">
        <f t="shared" si="5"/>
        <v>0</v>
      </c>
      <c r="H22" s="108">
        <f t="shared" si="6"/>
        <v>0</v>
      </c>
      <c r="I22" s="106">
        <f t="shared" si="7"/>
        <v>0</v>
      </c>
      <c r="J22" s="107">
        <f t="shared" si="8"/>
        <v>0</v>
      </c>
      <c r="K22" s="108">
        <f t="shared" si="9"/>
        <v>0</v>
      </c>
      <c r="L22" s="106">
        <f t="shared" si="10"/>
        <v>0</v>
      </c>
      <c r="M22" s="107">
        <f t="shared" si="11"/>
        <v>0</v>
      </c>
      <c r="N22" s="108">
        <f t="shared" si="12"/>
        <v>0</v>
      </c>
      <c r="O22" s="107">
        <f t="shared" si="13"/>
        <v>0</v>
      </c>
      <c r="P22" s="107">
        <f t="shared" si="14"/>
        <v>0</v>
      </c>
      <c r="Q22" s="108">
        <f t="shared" si="15"/>
        <v>0</v>
      </c>
      <c r="R22" s="117" t="s">
        <v>456</v>
      </c>
      <c r="S22" s="118"/>
      <c r="T22" s="109">
        <f t="shared" si="16"/>
        <v>0</v>
      </c>
      <c r="U22" s="110">
        <f t="shared" si="17"/>
        <v>0</v>
      </c>
      <c r="V22" s="111">
        <f t="shared" si="18"/>
        <v>0</v>
      </c>
      <c r="W22" s="110">
        <f t="shared" si="19"/>
        <v>0</v>
      </c>
      <c r="X22" s="111">
        <f t="shared" si="20"/>
        <v>0</v>
      </c>
      <c r="Y22" s="104"/>
    </row>
    <row r="23">
      <c r="A23" s="119" t="s">
        <v>466</v>
      </c>
      <c r="B23" s="118"/>
      <c r="C23" s="114">
        <f t="shared" si="1"/>
        <v>0</v>
      </c>
      <c r="D23" s="115">
        <f t="shared" si="2"/>
        <v>0</v>
      </c>
      <c r="E23" s="116">
        <f t="shared" si="3"/>
        <v>0</v>
      </c>
      <c r="F23" s="114">
        <f t="shared" si="4"/>
        <v>0</v>
      </c>
      <c r="G23" s="115">
        <f t="shared" si="5"/>
        <v>0</v>
      </c>
      <c r="H23" s="116">
        <f t="shared" si="6"/>
        <v>0</v>
      </c>
      <c r="I23" s="114">
        <f t="shared" si="7"/>
        <v>0</v>
      </c>
      <c r="J23" s="115">
        <f t="shared" si="8"/>
        <v>0</v>
      </c>
      <c r="K23" s="116">
        <f t="shared" si="9"/>
        <v>0</v>
      </c>
      <c r="L23" s="114">
        <f t="shared" si="10"/>
        <v>0</v>
      </c>
      <c r="M23" s="115">
        <f t="shared" si="11"/>
        <v>0</v>
      </c>
      <c r="N23" s="116">
        <f t="shared" si="12"/>
        <v>0</v>
      </c>
      <c r="O23" s="115">
        <f t="shared" si="13"/>
        <v>0</v>
      </c>
      <c r="P23" s="115">
        <f t="shared" si="14"/>
        <v>0</v>
      </c>
      <c r="Q23" s="116">
        <f t="shared" si="15"/>
        <v>0</v>
      </c>
      <c r="R23" s="119" t="s">
        <v>466</v>
      </c>
      <c r="S23" s="118"/>
      <c r="T23" s="101">
        <f t="shared" si="16"/>
        <v>0</v>
      </c>
      <c r="U23" s="102">
        <f t="shared" si="17"/>
        <v>0</v>
      </c>
      <c r="V23" s="103">
        <f t="shared" si="18"/>
        <v>0</v>
      </c>
      <c r="W23" s="102">
        <f t="shared" si="19"/>
        <v>0</v>
      </c>
      <c r="X23" s="103">
        <f t="shared" si="20"/>
        <v>0</v>
      </c>
      <c r="Y23" s="104"/>
    </row>
    <row r="24">
      <c r="A24" s="121" t="s">
        <v>480</v>
      </c>
      <c r="B24" s="54"/>
      <c r="C24" s="122">
        <f t="shared" si="1"/>
        <v>0</v>
      </c>
      <c r="D24" s="123">
        <f t="shared" si="2"/>
        <v>0</v>
      </c>
      <c r="E24" s="124">
        <f t="shared" si="3"/>
        <v>0</v>
      </c>
      <c r="F24" s="122">
        <f t="shared" si="4"/>
        <v>0</v>
      </c>
      <c r="G24" s="123">
        <f t="shared" si="5"/>
        <v>0</v>
      </c>
      <c r="H24" s="124">
        <f t="shared" si="6"/>
        <v>0</v>
      </c>
      <c r="I24" s="122">
        <f t="shared" si="7"/>
        <v>0</v>
      </c>
      <c r="J24" s="123">
        <f t="shared" si="8"/>
        <v>0</v>
      </c>
      <c r="K24" s="124">
        <f t="shared" si="9"/>
        <v>0</v>
      </c>
      <c r="L24" s="122">
        <f t="shared" si="10"/>
        <v>0</v>
      </c>
      <c r="M24" s="123">
        <f t="shared" si="11"/>
        <v>0</v>
      </c>
      <c r="N24" s="124">
        <f t="shared" si="12"/>
        <v>0</v>
      </c>
      <c r="O24" s="123">
        <f t="shared" si="13"/>
        <v>0</v>
      </c>
      <c r="P24" s="123">
        <f t="shared" si="14"/>
        <v>0</v>
      </c>
      <c r="Q24" s="124">
        <f t="shared" si="15"/>
        <v>0</v>
      </c>
      <c r="R24" s="121" t="s">
        <v>480</v>
      </c>
      <c r="S24" s="54"/>
      <c r="T24" s="125">
        <f t="shared" si="16"/>
        <v>0</v>
      </c>
      <c r="U24" s="126">
        <f t="shared" si="17"/>
        <v>0</v>
      </c>
      <c r="V24" s="127">
        <f t="shared" si="18"/>
        <v>0</v>
      </c>
      <c r="W24" s="126">
        <f t="shared" si="19"/>
        <v>0</v>
      </c>
      <c r="X24" s="127">
        <f t="shared" si="20"/>
        <v>0</v>
      </c>
      <c r="Y24" s="104"/>
    </row>
    <row r="27">
      <c r="A27" s="76" t="s">
        <v>197</v>
      </c>
      <c r="B27" s="10"/>
      <c r="C27" s="128" t="s">
        <v>19</v>
      </c>
      <c r="D27" s="9"/>
      <c r="E27" s="9"/>
      <c r="F27" s="9"/>
      <c r="G27" s="9"/>
      <c r="H27" s="9"/>
      <c r="I27" s="10"/>
      <c r="J27" s="129" t="s">
        <v>19</v>
      </c>
      <c r="K27" s="9"/>
      <c r="L27" s="9"/>
      <c r="M27" s="9"/>
      <c r="N27" s="9"/>
      <c r="O27" s="9"/>
      <c r="P27" s="10"/>
      <c r="Q27" s="130" t="s">
        <v>19</v>
      </c>
      <c r="R27" s="9"/>
      <c r="S27" s="9"/>
      <c r="T27" s="9"/>
      <c r="U27" s="9"/>
      <c r="V27" s="9"/>
      <c r="W27" s="10"/>
      <c r="X27" s="131" t="s">
        <v>19</v>
      </c>
      <c r="Y27" s="9"/>
      <c r="Z27" s="9"/>
      <c r="AA27" s="9"/>
      <c r="AB27" s="9"/>
      <c r="AC27" s="9"/>
      <c r="AD27" s="10"/>
      <c r="AE27" s="132" t="s">
        <v>19</v>
      </c>
      <c r="AF27" s="9"/>
      <c r="AG27" s="9"/>
      <c r="AH27" s="9"/>
      <c r="AI27" s="9"/>
      <c r="AJ27" s="9"/>
      <c r="AK27" s="10"/>
    </row>
    <row r="28">
      <c r="A28" s="79"/>
      <c r="B28" s="80"/>
      <c r="C28" s="128" t="s">
        <v>214</v>
      </c>
      <c r="D28" s="9"/>
      <c r="E28" s="9"/>
      <c r="F28" s="9"/>
      <c r="G28" s="9"/>
      <c r="H28" s="9"/>
      <c r="I28" s="10"/>
      <c r="J28" s="129" t="s">
        <v>216</v>
      </c>
      <c r="K28" s="9"/>
      <c r="L28" s="9"/>
      <c r="M28" s="9"/>
      <c r="N28" s="9"/>
      <c r="O28" s="9"/>
      <c r="P28" s="10"/>
      <c r="Q28" s="130" t="s">
        <v>218</v>
      </c>
      <c r="R28" s="9"/>
      <c r="S28" s="9"/>
      <c r="T28" s="9"/>
      <c r="U28" s="9"/>
      <c r="V28" s="9"/>
      <c r="W28" s="10"/>
      <c r="X28" s="131" t="s">
        <v>221</v>
      </c>
      <c r="Y28" s="9"/>
      <c r="Z28" s="9"/>
      <c r="AA28" s="9"/>
      <c r="AB28" s="9"/>
      <c r="AC28" s="9"/>
      <c r="AD28" s="10"/>
      <c r="AE28" s="132" t="s">
        <v>222</v>
      </c>
      <c r="AF28" s="9"/>
      <c r="AG28" s="9"/>
      <c r="AH28" s="9"/>
      <c r="AI28" s="9"/>
      <c r="AJ28" s="9"/>
      <c r="AK28" s="10"/>
    </row>
    <row r="29">
      <c r="A29" s="79"/>
      <c r="B29" s="80"/>
      <c r="C29" s="81" t="s">
        <v>519</v>
      </c>
      <c r="D29" s="81" t="s">
        <v>520</v>
      </c>
      <c r="E29" s="81" t="s">
        <v>521</v>
      </c>
      <c r="F29" s="81" t="s">
        <v>522</v>
      </c>
      <c r="G29" s="83" t="s">
        <v>524</v>
      </c>
      <c r="H29" s="133" t="s">
        <v>525</v>
      </c>
      <c r="I29" s="133" t="s">
        <v>527</v>
      </c>
      <c r="J29" s="81" t="s">
        <v>519</v>
      </c>
      <c r="K29" s="81" t="s">
        <v>520</v>
      </c>
      <c r="L29" s="81" t="s">
        <v>521</v>
      </c>
      <c r="M29" s="81" t="s">
        <v>522</v>
      </c>
      <c r="N29" s="83" t="s">
        <v>524</v>
      </c>
      <c r="O29" s="133" t="s">
        <v>525</v>
      </c>
      <c r="P29" s="133" t="s">
        <v>527</v>
      </c>
      <c r="Q29" s="81" t="s">
        <v>519</v>
      </c>
      <c r="R29" s="81" t="s">
        <v>520</v>
      </c>
      <c r="S29" s="81" t="s">
        <v>521</v>
      </c>
      <c r="T29" s="81" t="s">
        <v>522</v>
      </c>
      <c r="U29" s="83" t="s">
        <v>524</v>
      </c>
      <c r="V29" s="133" t="s">
        <v>525</v>
      </c>
      <c r="W29" s="133" t="s">
        <v>527</v>
      </c>
      <c r="X29" s="81" t="s">
        <v>519</v>
      </c>
      <c r="Y29" s="81" t="s">
        <v>520</v>
      </c>
      <c r="Z29" s="81" t="s">
        <v>521</v>
      </c>
      <c r="AA29" s="81" t="s">
        <v>522</v>
      </c>
      <c r="AB29" s="83" t="s">
        <v>524</v>
      </c>
      <c r="AC29" s="133" t="s">
        <v>525</v>
      </c>
      <c r="AD29" s="133" t="s">
        <v>527</v>
      </c>
      <c r="AE29" s="81" t="s">
        <v>519</v>
      </c>
      <c r="AF29" s="81" t="s">
        <v>520</v>
      </c>
      <c r="AG29" s="81" t="s">
        <v>521</v>
      </c>
      <c r="AH29" s="81" t="s">
        <v>522</v>
      </c>
      <c r="AI29" s="83" t="s">
        <v>524</v>
      </c>
      <c r="AJ29" s="133" t="s">
        <v>525</v>
      </c>
      <c r="AK29" s="133" t="s">
        <v>527</v>
      </c>
    </row>
    <row r="30">
      <c r="A30" s="85"/>
      <c r="B30" s="86"/>
      <c r="C30" s="92" t="s">
        <v>231</v>
      </c>
      <c r="D30" s="90" t="s">
        <v>231</v>
      </c>
      <c r="E30" s="90" t="s">
        <v>231</v>
      </c>
      <c r="F30" s="90" t="s">
        <v>231</v>
      </c>
      <c r="G30" s="90" t="s">
        <v>231</v>
      </c>
      <c r="H30" s="134" t="s">
        <v>231</v>
      </c>
      <c r="I30" s="134" t="s">
        <v>231</v>
      </c>
      <c r="J30" s="92" t="s">
        <v>231</v>
      </c>
      <c r="K30" s="90" t="s">
        <v>231</v>
      </c>
      <c r="L30" s="90" t="s">
        <v>231</v>
      </c>
      <c r="M30" s="90" t="s">
        <v>231</v>
      </c>
      <c r="N30" s="90" t="s">
        <v>231</v>
      </c>
      <c r="O30" s="134" t="s">
        <v>231</v>
      </c>
      <c r="P30" s="134" t="s">
        <v>231</v>
      </c>
      <c r="Q30" s="92" t="s">
        <v>231</v>
      </c>
      <c r="R30" s="90" t="s">
        <v>231</v>
      </c>
      <c r="S30" s="90" t="s">
        <v>231</v>
      </c>
      <c r="T30" s="90" t="s">
        <v>231</v>
      </c>
      <c r="U30" s="90" t="s">
        <v>231</v>
      </c>
      <c r="V30" s="134" t="s">
        <v>231</v>
      </c>
      <c r="W30" s="134" t="s">
        <v>231</v>
      </c>
      <c r="X30" s="92" t="s">
        <v>231</v>
      </c>
      <c r="Y30" s="90" t="s">
        <v>231</v>
      </c>
      <c r="Z30" s="90" t="s">
        <v>231</v>
      </c>
      <c r="AA30" s="90" t="s">
        <v>231</v>
      </c>
      <c r="AB30" s="90" t="s">
        <v>231</v>
      </c>
      <c r="AC30" s="134" t="s">
        <v>231</v>
      </c>
      <c r="AD30" s="134" t="s">
        <v>231</v>
      </c>
      <c r="AE30" s="92" t="s">
        <v>231</v>
      </c>
      <c r="AF30" s="90" t="s">
        <v>231</v>
      </c>
      <c r="AG30" s="90" t="s">
        <v>231</v>
      </c>
      <c r="AH30" s="90" t="s">
        <v>231</v>
      </c>
      <c r="AI30" s="90" t="s">
        <v>231</v>
      </c>
      <c r="AJ30" s="134" t="s">
        <v>231</v>
      </c>
      <c r="AK30" s="134" t="s">
        <v>231</v>
      </c>
    </row>
    <row r="31">
      <c r="A31" s="96" t="s">
        <v>4</v>
      </c>
      <c r="B31" s="10"/>
      <c r="C31" s="135">
        <f t="shared" ref="C31:C42" si="21">COUNTIF(INDIRECT($A31&amp;"!Q:Q"),"WEEK1")</f>
        <v>0</v>
      </c>
      <c r="D31" s="103">
        <f t="shared" ref="D31:D42" si="22">COUNTIF(INDIRECT($A31&amp;"!R:R"),"WEEK1")</f>
        <v>0</v>
      </c>
      <c r="E31" s="102">
        <f t="shared" ref="E31:E42" si="23">COUNTIF(INDIRECT($A31&amp;"!S:S"),"WEEK1")</f>
        <v>0</v>
      </c>
      <c r="F31" s="103">
        <f t="shared" ref="F31:F42" si="24">COUNTIF(INDIRECT($A31&amp;"!T:T"),"WEEK1")</f>
        <v>0</v>
      </c>
      <c r="G31" s="102">
        <f t="shared" ref="G31:G42" si="25">COUNTIF(INDIRECT($A31&amp;"!U:U"),"WEEK1")</f>
        <v>0</v>
      </c>
      <c r="H31" s="103">
        <f t="shared" ref="H31:H42" si="26">COUNTIF(INDIRECT($A31&amp;"!V:V"),"WEEK1")</f>
        <v>0</v>
      </c>
      <c r="I31" s="102">
        <f t="shared" ref="I31:I42" si="27">COUNTIF(INDIRECT($A31&amp;"!W:W"),"WEEK1")</f>
        <v>0</v>
      </c>
      <c r="J31" s="135">
        <f t="shared" ref="J31:J42" si="28">COUNTIF(INDIRECT($A31&amp;"!Q:Q"),"WEEK2")</f>
        <v>0</v>
      </c>
      <c r="K31" s="103">
        <f t="shared" ref="K31:K42" si="29">COUNTIF(INDIRECT($A31&amp;"!R:R"),"WEEK2")</f>
        <v>0</v>
      </c>
      <c r="L31" s="102">
        <f t="shared" ref="L31:L42" si="30">COUNTIF(INDIRECT($A31&amp;"!S:S"),"WEEK2")</f>
        <v>0</v>
      </c>
      <c r="M31" s="103">
        <f t="shared" ref="M31:M42" si="31">COUNTIF(INDIRECT($A31&amp;"!T:T"),"WEEK2")</f>
        <v>0</v>
      </c>
      <c r="N31" s="102">
        <f t="shared" ref="N31:N42" si="32">COUNTIF(INDIRECT($A31&amp;"!U:U"),"WEEK2")</f>
        <v>0</v>
      </c>
      <c r="O31" s="103">
        <f t="shared" ref="O31:O42" si="33">COUNTIF(INDIRECT($A31&amp;"!V:V"),"WEEK2")</f>
        <v>0</v>
      </c>
      <c r="P31" s="102">
        <f t="shared" ref="P31:P42" si="34">COUNTIF(INDIRECT($A31&amp;"!W:W"),"WEEK2")</f>
        <v>0</v>
      </c>
      <c r="Q31" s="135">
        <f t="shared" ref="Q31:Q42" si="35">COUNTIF(INDIRECT($A31&amp;"!Q:Q"),"WEEK3")</f>
        <v>0</v>
      </c>
      <c r="R31" s="103">
        <f t="shared" ref="R31:R42" si="36">COUNTIF(INDIRECT($A31&amp;"!R:R"),"WEEK3")</f>
        <v>0</v>
      </c>
      <c r="S31" s="102">
        <f t="shared" ref="S31:S42" si="37">COUNTIF(INDIRECT($A31&amp;"!S:S"),"WEEK3")</f>
        <v>0</v>
      </c>
      <c r="T31" s="103">
        <f t="shared" ref="T31:T42" si="38">COUNTIF(INDIRECT($A31&amp;"!T:T"),"WEEK3")</f>
        <v>0</v>
      </c>
      <c r="U31" s="102">
        <f t="shared" ref="U31:U42" si="39">COUNTIF(INDIRECT($A31&amp;"!U:U"),"WEEK3")</f>
        <v>0</v>
      </c>
      <c r="V31" s="103">
        <f t="shared" ref="V31:V42" si="40">COUNTIF(INDIRECT($A31&amp;"!V:V"),"WEEK3")</f>
        <v>0</v>
      </c>
      <c r="W31" s="102">
        <f t="shared" ref="W31:W42" si="41">COUNTIF(INDIRECT($A31&amp;"!W:W"),"WEEK3")</f>
        <v>0</v>
      </c>
      <c r="X31" s="135">
        <f t="shared" ref="X31:X42" si="42">COUNTIF(INDIRECT($A31&amp;"!Q:Q"),"WEEK4")</f>
        <v>0</v>
      </c>
      <c r="Y31" s="103">
        <f t="shared" ref="Y31:Y42" si="43">COUNTIF(INDIRECT($A31&amp;"!R:R"),"WEEK4")</f>
        <v>0</v>
      </c>
      <c r="Z31" s="102">
        <f t="shared" ref="Z31:Z42" si="44">COUNTIF(INDIRECT($A31&amp;"!S:S"),"WEEK4")</f>
        <v>0</v>
      </c>
      <c r="AA31" s="103">
        <f t="shared" ref="AA31:AA42" si="45">COUNTIF(INDIRECT($A31&amp;"!T:T"),"WEEK4")</f>
        <v>0</v>
      </c>
      <c r="AB31" s="102">
        <f t="shared" ref="AB31:AB42" si="46">COUNTIF(INDIRECT($A31&amp;"!U:U"),"WEEK4")</f>
        <v>0</v>
      </c>
      <c r="AC31" s="103">
        <f t="shared" ref="AC31:AC42" si="47">COUNTIF(INDIRECT($A31&amp;"!V:V"),"WEEK4")</f>
        <v>0</v>
      </c>
      <c r="AD31" s="102">
        <f t="shared" ref="AD31:AD42" si="48">COUNTIF(INDIRECT($A31&amp;"!W:W"),"WEEK4")</f>
        <v>0</v>
      </c>
      <c r="AE31" s="135">
        <f t="shared" ref="AE31:AE42" si="49">COUNTIF(INDIRECT($A31&amp;"!Q:Q"),"WEEK5")</f>
        <v>0</v>
      </c>
      <c r="AF31" s="103">
        <f t="shared" ref="AF31:AF42" si="50">COUNTIF(INDIRECT($A31&amp;"!R:R"),"WEEK5")</f>
        <v>0</v>
      </c>
      <c r="AG31" s="102">
        <f t="shared" ref="AG31:AG42" si="51">COUNTIF(INDIRECT($A31&amp;"!S:S"),"WEEK5")</f>
        <v>0</v>
      </c>
      <c r="AH31" s="103">
        <f t="shared" ref="AH31:AH42" si="52">COUNTIF(INDIRECT($A31&amp;"!T:T"),"WEEK5")</f>
        <v>0</v>
      </c>
      <c r="AI31" s="102">
        <f t="shared" ref="AI31:AI42" si="53">COUNTIF(INDIRECT($A31&amp;"!U:U"),"WEEK5")</f>
        <v>0</v>
      </c>
      <c r="AJ31" s="103">
        <f t="shared" ref="AJ31:AJ42" si="54">COUNTIF(INDIRECT($A31&amp;"!V:V"),"WEEK5")</f>
        <v>0</v>
      </c>
      <c r="AK31" s="102">
        <f t="shared" ref="AK31:AK42" si="55">COUNTIF(INDIRECT($A31&amp;"!W:W"),"WEEK5")</f>
        <v>0</v>
      </c>
    </row>
    <row r="32">
      <c r="A32" s="105" t="s">
        <v>331</v>
      </c>
      <c r="B32" s="80"/>
      <c r="C32" s="136">
        <f t="shared" si="21"/>
        <v>0</v>
      </c>
      <c r="D32" s="111">
        <f t="shared" si="22"/>
        <v>0</v>
      </c>
      <c r="E32" s="110">
        <f t="shared" si="23"/>
        <v>0</v>
      </c>
      <c r="F32" s="111">
        <f t="shared" si="24"/>
        <v>0</v>
      </c>
      <c r="G32" s="110">
        <f t="shared" si="25"/>
        <v>0</v>
      </c>
      <c r="H32" s="111">
        <f t="shared" si="26"/>
        <v>0</v>
      </c>
      <c r="I32" s="110">
        <f t="shared" si="27"/>
        <v>0</v>
      </c>
      <c r="J32" s="136">
        <f t="shared" si="28"/>
        <v>0</v>
      </c>
      <c r="K32" s="111">
        <f t="shared" si="29"/>
        <v>0</v>
      </c>
      <c r="L32" s="110">
        <f t="shared" si="30"/>
        <v>0</v>
      </c>
      <c r="M32" s="111">
        <f t="shared" si="31"/>
        <v>0</v>
      </c>
      <c r="N32" s="110">
        <f t="shared" si="32"/>
        <v>0</v>
      </c>
      <c r="O32" s="111">
        <f t="shared" si="33"/>
        <v>0</v>
      </c>
      <c r="P32" s="110">
        <f t="shared" si="34"/>
        <v>0</v>
      </c>
      <c r="Q32" s="136">
        <f t="shared" si="35"/>
        <v>0</v>
      </c>
      <c r="R32" s="111">
        <f t="shared" si="36"/>
        <v>0</v>
      </c>
      <c r="S32" s="110">
        <f t="shared" si="37"/>
        <v>0</v>
      </c>
      <c r="T32" s="111">
        <f t="shared" si="38"/>
        <v>0</v>
      </c>
      <c r="U32" s="110">
        <f t="shared" si="39"/>
        <v>0</v>
      </c>
      <c r="V32" s="111">
        <f t="shared" si="40"/>
        <v>0</v>
      </c>
      <c r="W32" s="110">
        <f t="shared" si="41"/>
        <v>0</v>
      </c>
      <c r="X32" s="136">
        <f t="shared" si="42"/>
        <v>0</v>
      </c>
      <c r="Y32" s="111">
        <f t="shared" si="43"/>
        <v>0</v>
      </c>
      <c r="Z32" s="110">
        <f t="shared" si="44"/>
        <v>0</v>
      </c>
      <c r="AA32" s="111">
        <f t="shared" si="45"/>
        <v>0</v>
      </c>
      <c r="AB32" s="110">
        <f t="shared" si="46"/>
        <v>0</v>
      </c>
      <c r="AC32" s="111">
        <f t="shared" si="47"/>
        <v>0</v>
      </c>
      <c r="AD32" s="110">
        <f t="shared" si="48"/>
        <v>0</v>
      </c>
      <c r="AE32" s="136">
        <f t="shared" si="49"/>
        <v>0</v>
      </c>
      <c r="AF32" s="111">
        <f t="shared" si="50"/>
        <v>0</v>
      </c>
      <c r="AG32" s="110">
        <f t="shared" si="51"/>
        <v>0</v>
      </c>
      <c r="AH32" s="111">
        <f t="shared" si="52"/>
        <v>0</v>
      </c>
      <c r="AI32" s="110">
        <f t="shared" si="53"/>
        <v>0</v>
      </c>
      <c r="AJ32" s="111">
        <f t="shared" si="54"/>
        <v>0</v>
      </c>
      <c r="AK32" s="110">
        <f t="shared" si="55"/>
        <v>0</v>
      </c>
    </row>
    <row r="33">
      <c r="A33" s="112" t="s">
        <v>357</v>
      </c>
      <c r="B33" s="113"/>
      <c r="C33" s="135">
        <f t="shared" si="21"/>
        <v>0</v>
      </c>
      <c r="D33" s="103">
        <f t="shared" si="22"/>
        <v>0</v>
      </c>
      <c r="E33" s="102">
        <f t="shared" si="23"/>
        <v>0</v>
      </c>
      <c r="F33" s="103">
        <f t="shared" si="24"/>
        <v>0</v>
      </c>
      <c r="G33" s="102">
        <f t="shared" si="25"/>
        <v>0</v>
      </c>
      <c r="H33" s="103">
        <f t="shared" si="26"/>
        <v>0</v>
      </c>
      <c r="I33" s="102">
        <f t="shared" si="27"/>
        <v>0</v>
      </c>
      <c r="J33" s="135">
        <f t="shared" si="28"/>
        <v>0</v>
      </c>
      <c r="K33" s="103">
        <f t="shared" si="29"/>
        <v>0</v>
      </c>
      <c r="L33" s="102">
        <f t="shared" si="30"/>
        <v>0</v>
      </c>
      <c r="M33" s="103">
        <f t="shared" si="31"/>
        <v>0</v>
      </c>
      <c r="N33" s="102">
        <f t="shared" si="32"/>
        <v>0</v>
      </c>
      <c r="O33" s="103">
        <f t="shared" si="33"/>
        <v>0</v>
      </c>
      <c r="P33" s="102">
        <f t="shared" si="34"/>
        <v>0</v>
      </c>
      <c r="Q33" s="135">
        <f t="shared" si="35"/>
        <v>0</v>
      </c>
      <c r="R33" s="103">
        <f t="shared" si="36"/>
        <v>0</v>
      </c>
      <c r="S33" s="102">
        <f t="shared" si="37"/>
        <v>0</v>
      </c>
      <c r="T33" s="103">
        <f t="shared" si="38"/>
        <v>0</v>
      </c>
      <c r="U33" s="102">
        <f t="shared" si="39"/>
        <v>0</v>
      </c>
      <c r="V33" s="103">
        <f t="shared" si="40"/>
        <v>0</v>
      </c>
      <c r="W33" s="102">
        <f t="shared" si="41"/>
        <v>0</v>
      </c>
      <c r="X33" s="135">
        <f t="shared" si="42"/>
        <v>0</v>
      </c>
      <c r="Y33" s="103">
        <f t="shared" si="43"/>
        <v>0</v>
      </c>
      <c r="Z33" s="102">
        <f t="shared" si="44"/>
        <v>0</v>
      </c>
      <c r="AA33" s="103">
        <f t="shared" si="45"/>
        <v>0</v>
      </c>
      <c r="AB33" s="102">
        <f t="shared" si="46"/>
        <v>0</v>
      </c>
      <c r="AC33" s="103">
        <f t="shared" si="47"/>
        <v>0</v>
      </c>
      <c r="AD33" s="102">
        <f t="shared" si="48"/>
        <v>0</v>
      </c>
      <c r="AE33" s="135">
        <f t="shared" si="49"/>
        <v>0</v>
      </c>
      <c r="AF33" s="103">
        <f t="shared" si="50"/>
        <v>0</v>
      </c>
      <c r="AG33" s="102">
        <f t="shared" si="51"/>
        <v>0</v>
      </c>
      <c r="AH33" s="103">
        <f t="shared" si="52"/>
        <v>0</v>
      </c>
      <c r="AI33" s="102">
        <f t="shared" si="53"/>
        <v>0</v>
      </c>
      <c r="AJ33" s="103">
        <f t="shared" si="54"/>
        <v>0</v>
      </c>
      <c r="AK33" s="102">
        <f t="shared" si="55"/>
        <v>0</v>
      </c>
    </row>
    <row r="34">
      <c r="A34" s="117" t="s">
        <v>371</v>
      </c>
      <c r="B34" s="118"/>
      <c r="C34" s="136">
        <f t="shared" si="21"/>
        <v>0</v>
      </c>
      <c r="D34" s="111">
        <f t="shared" si="22"/>
        <v>0</v>
      </c>
      <c r="E34" s="110">
        <f t="shared" si="23"/>
        <v>0</v>
      </c>
      <c r="F34" s="111">
        <f t="shared" si="24"/>
        <v>0</v>
      </c>
      <c r="G34" s="110">
        <f t="shared" si="25"/>
        <v>0</v>
      </c>
      <c r="H34" s="111">
        <f t="shared" si="26"/>
        <v>0</v>
      </c>
      <c r="I34" s="110">
        <f t="shared" si="27"/>
        <v>0</v>
      </c>
      <c r="J34" s="136">
        <f t="shared" si="28"/>
        <v>0</v>
      </c>
      <c r="K34" s="111">
        <f t="shared" si="29"/>
        <v>0</v>
      </c>
      <c r="L34" s="110">
        <f t="shared" si="30"/>
        <v>0</v>
      </c>
      <c r="M34" s="111">
        <f t="shared" si="31"/>
        <v>0</v>
      </c>
      <c r="N34" s="110">
        <f t="shared" si="32"/>
        <v>0</v>
      </c>
      <c r="O34" s="111">
        <f t="shared" si="33"/>
        <v>0</v>
      </c>
      <c r="P34" s="110">
        <f t="shared" si="34"/>
        <v>0</v>
      </c>
      <c r="Q34" s="136">
        <f t="shared" si="35"/>
        <v>0</v>
      </c>
      <c r="R34" s="111">
        <f t="shared" si="36"/>
        <v>0</v>
      </c>
      <c r="S34" s="110">
        <f t="shared" si="37"/>
        <v>0</v>
      </c>
      <c r="T34" s="111">
        <f t="shared" si="38"/>
        <v>0</v>
      </c>
      <c r="U34" s="110">
        <f t="shared" si="39"/>
        <v>0</v>
      </c>
      <c r="V34" s="111">
        <f t="shared" si="40"/>
        <v>0</v>
      </c>
      <c r="W34" s="110">
        <f t="shared" si="41"/>
        <v>0</v>
      </c>
      <c r="X34" s="136">
        <f t="shared" si="42"/>
        <v>0</v>
      </c>
      <c r="Y34" s="111">
        <f t="shared" si="43"/>
        <v>0</v>
      </c>
      <c r="Z34" s="110">
        <f t="shared" si="44"/>
        <v>0</v>
      </c>
      <c r="AA34" s="111">
        <f t="shared" si="45"/>
        <v>0</v>
      </c>
      <c r="AB34" s="110">
        <f t="shared" si="46"/>
        <v>0</v>
      </c>
      <c r="AC34" s="111">
        <f t="shared" si="47"/>
        <v>0</v>
      </c>
      <c r="AD34" s="110">
        <f t="shared" si="48"/>
        <v>0</v>
      </c>
      <c r="AE34" s="136">
        <f t="shared" si="49"/>
        <v>0</v>
      </c>
      <c r="AF34" s="111">
        <f t="shared" si="50"/>
        <v>0</v>
      </c>
      <c r="AG34" s="110">
        <f t="shared" si="51"/>
        <v>0</v>
      </c>
      <c r="AH34" s="111">
        <f t="shared" si="52"/>
        <v>0</v>
      </c>
      <c r="AI34" s="110">
        <f t="shared" si="53"/>
        <v>0</v>
      </c>
      <c r="AJ34" s="111">
        <f t="shared" si="54"/>
        <v>0</v>
      </c>
      <c r="AK34" s="110">
        <f t="shared" si="55"/>
        <v>0</v>
      </c>
    </row>
    <row r="35">
      <c r="A35" s="119" t="s">
        <v>386</v>
      </c>
      <c r="B35" s="118"/>
      <c r="C35" s="135">
        <f t="shared" si="21"/>
        <v>0</v>
      </c>
      <c r="D35" s="103">
        <f t="shared" si="22"/>
        <v>0</v>
      </c>
      <c r="E35" s="102">
        <f t="shared" si="23"/>
        <v>0</v>
      </c>
      <c r="F35" s="103">
        <f t="shared" si="24"/>
        <v>0</v>
      </c>
      <c r="G35" s="102">
        <f t="shared" si="25"/>
        <v>0</v>
      </c>
      <c r="H35" s="103">
        <f t="shared" si="26"/>
        <v>0</v>
      </c>
      <c r="I35" s="102">
        <f t="shared" si="27"/>
        <v>0</v>
      </c>
      <c r="J35" s="135">
        <f t="shared" si="28"/>
        <v>0</v>
      </c>
      <c r="K35" s="103">
        <f t="shared" si="29"/>
        <v>0</v>
      </c>
      <c r="L35" s="102">
        <f t="shared" si="30"/>
        <v>0</v>
      </c>
      <c r="M35" s="103">
        <f t="shared" si="31"/>
        <v>0</v>
      </c>
      <c r="N35" s="102">
        <f t="shared" si="32"/>
        <v>0</v>
      </c>
      <c r="O35" s="103">
        <f t="shared" si="33"/>
        <v>0</v>
      </c>
      <c r="P35" s="102">
        <f t="shared" si="34"/>
        <v>0</v>
      </c>
      <c r="Q35" s="135">
        <f t="shared" si="35"/>
        <v>0</v>
      </c>
      <c r="R35" s="103">
        <f t="shared" si="36"/>
        <v>0</v>
      </c>
      <c r="S35" s="102">
        <f t="shared" si="37"/>
        <v>0</v>
      </c>
      <c r="T35" s="103">
        <f t="shared" si="38"/>
        <v>0</v>
      </c>
      <c r="U35" s="102">
        <f t="shared" si="39"/>
        <v>0</v>
      </c>
      <c r="V35" s="103">
        <f t="shared" si="40"/>
        <v>0</v>
      </c>
      <c r="W35" s="102">
        <f t="shared" si="41"/>
        <v>0</v>
      </c>
      <c r="X35" s="135">
        <f t="shared" si="42"/>
        <v>0</v>
      </c>
      <c r="Y35" s="103">
        <f t="shared" si="43"/>
        <v>0</v>
      </c>
      <c r="Z35" s="102">
        <f t="shared" si="44"/>
        <v>0</v>
      </c>
      <c r="AA35" s="103">
        <f t="shared" si="45"/>
        <v>0</v>
      </c>
      <c r="AB35" s="102">
        <f t="shared" si="46"/>
        <v>0</v>
      </c>
      <c r="AC35" s="103">
        <f t="shared" si="47"/>
        <v>0</v>
      </c>
      <c r="AD35" s="102">
        <f t="shared" si="48"/>
        <v>0</v>
      </c>
      <c r="AE35" s="135">
        <f t="shared" si="49"/>
        <v>0</v>
      </c>
      <c r="AF35" s="103">
        <f t="shared" si="50"/>
        <v>0</v>
      </c>
      <c r="AG35" s="102">
        <f t="shared" si="51"/>
        <v>0</v>
      </c>
      <c r="AH35" s="103">
        <f t="shared" si="52"/>
        <v>0</v>
      </c>
      <c r="AI35" s="102">
        <f t="shared" si="53"/>
        <v>0</v>
      </c>
      <c r="AJ35" s="103">
        <f t="shared" si="54"/>
        <v>0</v>
      </c>
      <c r="AK35" s="102">
        <f t="shared" si="55"/>
        <v>0</v>
      </c>
    </row>
    <row r="36">
      <c r="A36" s="117" t="s">
        <v>404</v>
      </c>
      <c r="B36" s="118"/>
      <c r="C36" s="136">
        <f t="shared" si="21"/>
        <v>0</v>
      </c>
      <c r="D36" s="111">
        <f t="shared" si="22"/>
        <v>0</v>
      </c>
      <c r="E36" s="110">
        <f t="shared" si="23"/>
        <v>0</v>
      </c>
      <c r="F36" s="111">
        <f t="shared" si="24"/>
        <v>0</v>
      </c>
      <c r="G36" s="110">
        <f t="shared" si="25"/>
        <v>0</v>
      </c>
      <c r="H36" s="111">
        <f t="shared" si="26"/>
        <v>0</v>
      </c>
      <c r="I36" s="110">
        <f t="shared" si="27"/>
        <v>0</v>
      </c>
      <c r="J36" s="136">
        <f t="shared" si="28"/>
        <v>0</v>
      </c>
      <c r="K36" s="111">
        <f t="shared" si="29"/>
        <v>0</v>
      </c>
      <c r="L36" s="110">
        <f t="shared" si="30"/>
        <v>0</v>
      </c>
      <c r="M36" s="111">
        <f t="shared" si="31"/>
        <v>0</v>
      </c>
      <c r="N36" s="110">
        <f t="shared" si="32"/>
        <v>0</v>
      </c>
      <c r="O36" s="111">
        <f t="shared" si="33"/>
        <v>0</v>
      </c>
      <c r="P36" s="110">
        <f t="shared" si="34"/>
        <v>0</v>
      </c>
      <c r="Q36" s="136">
        <f t="shared" si="35"/>
        <v>0</v>
      </c>
      <c r="R36" s="111">
        <f t="shared" si="36"/>
        <v>0</v>
      </c>
      <c r="S36" s="110">
        <f t="shared" si="37"/>
        <v>0</v>
      </c>
      <c r="T36" s="111">
        <f t="shared" si="38"/>
        <v>0</v>
      </c>
      <c r="U36" s="110">
        <f t="shared" si="39"/>
        <v>0</v>
      </c>
      <c r="V36" s="111">
        <f t="shared" si="40"/>
        <v>0</v>
      </c>
      <c r="W36" s="110">
        <f t="shared" si="41"/>
        <v>0</v>
      </c>
      <c r="X36" s="136">
        <f t="shared" si="42"/>
        <v>0</v>
      </c>
      <c r="Y36" s="111">
        <f t="shared" si="43"/>
        <v>0</v>
      </c>
      <c r="Z36" s="110">
        <f t="shared" si="44"/>
        <v>0</v>
      </c>
      <c r="AA36" s="111">
        <f t="shared" si="45"/>
        <v>0</v>
      </c>
      <c r="AB36" s="110">
        <f t="shared" si="46"/>
        <v>0</v>
      </c>
      <c r="AC36" s="111">
        <f t="shared" si="47"/>
        <v>0</v>
      </c>
      <c r="AD36" s="110">
        <f t="shared" si="48"/>
        <v>0</v>
      </c>
      <c r="AE36" s="136">
        <f t="shared" si="49"/>
        <v>0</v>
      </c>
      <c r="AF36" s="111">
        <f t="shared" si="50"/>
        <v>0</v>
      </c>
      <c r="AG36" s="110">
        <f t="shared" si="51"/>
        <v>0</v>
      </c>
      <c r="AH36" s="111">
        <f t="shared" si="52"/>
        <v>0</v>
      </c>
      <c r="AI36" s="110">
        <f t="shared" si="53"/>
        <v>0</v>
      </c>
      <c r="AJ36" s="111">
        <f t="shared" si="54"/>
        <v>0</v>
      </c>
      <c r="AK36" s="110">
        <f t="shared" si="55"/>
        <v>0</v>
      </c>
    </row>
    <row r="37">
      <c r="A37" s="119" t="s">
        <v>423</v>
      </c>
      <c r="B37" s="118"/>
      <c r="C37" s="135">
        <f t="shared" si="21"/>
        <v>0</v>
      </c>
      <c r="D37" s="103">
        <f t="shared" si="22"/>
        <v>0</v>
      </c>
      <c r="E37" s="102">
        <f t="shared" si="23"/>
        <v>0</v>
      </c>
      <c r="F37" s="103">
        <f t="shared" si="24"/>
        <v>0</v>
      </c>
      <c r="G37" s="102">
        <f t="shared" si="25"/>
        <v>0</v>
      </c>
      <c r="H37" s="103">
        <f t="shared" si="26"/>
        <v>0</v>
      </c>
      <c r="I37" s="102">
        <f t="shared" si="27"/>
        <v>0</v>
      </c>
      <c r="J37" s="135">
        <f t="shared" si="28"/>
        <v>0</v>
      </c>
      <c r="K37" s="103">
        <f t="shared" si="29"/>
        <v>0</v>
      </c>
      <c r="L37" s="102">
        <f t="shared" si="30"/>
        <v>0</v>
      </c>
      <c r="M37" s="103">
        <f t="shared" si="31"/>
        <v>0</v>
      </c>
      <c r="N37" s="102">
        <f t="shared" si="32"/>
        <v>0</v>
      </c>
      <c r="O37" s="103">
        <f t="shared" si="33"/>
        <v>0</v>
      </c>
      <c r="P37" s="102">
        <f t="shared" si="34"/>
        <v>0</v>
      </c>
      <c r="Q37" s="135">
        <f t="shared" si="35"/>
        <v>0</v>
      </c>
      <c r="R37" s="103">
        <f t="shared" si="36"/>
        <v>0</v>
      </c>
      <c r="S37" s="102">
        <f t="shared" si="37"/>
        <v>0</v>
      </c>
      <c r="T37" s="103">
        <f t="shared" si="38"/>
        <v>0</v>
      </c>
      <c r="U37" s="102">
        <f t="shared" si="39"/>
        <v>0</v>
      </c>
      <c r="V37" s="103">
        <f t="shared" si="40"/>
        <v>0</v>
      </c>
      <c r="W37" s="102">
        <f t="shared" si="41"/>
        <v>0</v>
      </c>
      <c r="X37" s="135">
        <f t="shared" si="42"/>
        <v>0</v>
      </c>
      <c r="Y37" s="103">
        <f t="shared" si="43"/>
        <v>0</v>
      </c>
      <c r="Z37" s="102">
        <f t="shared" si="44"/>
        <v>0</v>
      </c>
      <c r="AA37" s="103">
        <f t="shared" si="45"/>
        <v>0</v>
      </c>
      <c r="AB37" s="102">
        <f t="shared" si="46"/>
        <v>0</v>
      </c>
      <c r="AC37" s="103">
        <f t="shared" si="47"/>
        <v>0</v>
      </c>
      <c r="AD37" s="102">
        <f t="shared" si="48"/>
        <v>0</v>
      </c>
      <c r="AE37" s="135">
        <f t="shared" si="49"/>
        <v>0</v>
      </c>
      <c r="AF37" s="103">
        <f t="shared" si="50"/>
        <v>0</v>
      </c>
      <c r="AG37" s="102">
        <f t="shared" si="51"/>
        <v>0</v>
      </c>
      <c r="AH37" s="103">
        <f t="shared" si="52"/>
        <v>0</v>
      </c>
      <c r="AI37" s="102">
        <f t="shared" si="53"/>
        <v>0</v>
      </c>
      <c r="AJ37" s="103">
        <f t="shared" si="54"/>
        <v>0</v>
      </c>
      <c r="AK37" s="102">
        <f t="shared" si="55"/>
        <v>0</v>
      </c>
    </row>
    <row r="38">
      <c r="A38" s="117" t="s">
        <v>437</v>
      </c>
      <c r="B38" s="118"/>
      <c r="C38" s="136">
        <f t="shared" si="21"/>
        <v>0</v>
      </c>
      <c r="D38" s="111">
        <f t="shared" si="22"/>
        <v>0</v>
      </c>
      <c r="E38" s="110">
        <f t="shared" si="23"/>
        <v>0</v>
      </c>
      <c r="F38" s="111">
        <f t="shared" si="24"/>
        <v>0</v>
      </c>
      <c r="G38" s="110">
        <f t="shared" si="25"/>
        <v>0</v>
      </c>
      <c r="H38" s="111">
        <f t="shared" si="26"/>
        <v>0</v>
      </c>
      <c r="I38" s="110">
        <f t="shared" si="27"/>
        <v>0</v>
      </c>
      <c r="J38" s="136">
        <f t="shared" si="28"/>
        <v>0</v>
      </c>
      <c r="K38" s="111">
        <f t="shared" si="29"/>
        <v>0</v>
      </c>
      <c r="L38" s="110">
        <f t="shared" si="30"/>
        <v>0</v>
      </c>
      <c r="M38" s="111">
        <f t="shared" si="31"/>
        <v>0</v>
      </c>
      <c r="N38" s="110">
        <f t="shared" si="32"/>
        <v>0</v>
      </c>
      <c r="O38" s="111">
        <f t="shared" si="33"/>
        <v>0</v>
      </c>
      <c r="P38" s="110">
        <f t="shared" si="34"/>
        <v>0</v>
      </c>
      <c r="Q38" s="136">
        <f t="shared" si="35"/>
        <v>0</v>
      </c>
      <c r="R38" s="111">
        <f t="shared" si="36"/>
        <v>0</v>
      </c>
      <c r="S38" s="110">
        <f t="shared" si="37"/>
        <v>0</v>
      </c>
      <c r="T38" s="111">
        <f t="shared" si="38"/>
        <v>0</v>
      </c>
      <c r="U38" s="110">
        <f t="shared" si="39"/>
        <v>0</v>
      </c>
      <c r="V38" s="111">
        <f t="shared" si="40"/>
        <v>0</v>
      </c>
      <c r="W38" s="110">
        <f t="shared" si="41"/>
        <v>0</v>
      </c>
      <c r="X38" s="136">
        <f t="shared" si="42"/>
        <v>0</v>
      </c>
      <c r="Y38" s="111">
        <f t="shared" si="43"/>
        <v>0</v>
      </c>
      <c r="Z38" s="110">
        <f t="shared" si="44"/>
        <v>0</v>
      </c>
      <c r="AA38" s="111">
        <f t="shared" si="45"/>
        <v>0</v>
      </c>
      <c r="AB38" s="110">
        <f t="shared" si="46"/>
        <v>0</v>
      </c>
      <c r="AC38" s="111">
        <f t="shared" si="47"/>
        <v>0</v>
      </c>
      <c r="AD38" s="110">
        <f t="shared" si="48"/>
        <v>0</v>
      </c>
      <c r="AE38" s="136">
        <f t="shared" si="49"/>
        <v>0</v>
      </c>
      <c r="AF38" s="111">
        <f t="shared" si="50"/>
        <v>0</v>
      </c>
      <c r="AG38" s="110">
        <f t="shared" si="51"/>
        <v>0</v>
      </c>
      <c r="AH38" s="111">
        <f t="shared" si="52"/>
        <v>0</v>
      </c>
      <c r="AI38" s="110">
        <f t="shared" si="53"/>
        <v>0</v>
      </c>
      <c r="AJ38" s="111">
        <f t="shared" si="54"/>
        <v>0</v>
      </c>
      <c r="AK38" s="110">
        <f t="shared" si="55"/>
        <v>0</v>
      </c>
    </row>
    <row r="39">
      <c r="A39" s="119" t="s">
        <v>448</v>
      </c>
      <c r="B39" s="118"/>
      <c r="C39" s="135">
        <f t="shared" si="21"/>
        <v>0</v>
      </c>
      <c r="D39" s="103">
        <f t="shared" si="22"/>
        <v>0</v>
      </c>
      <c r="E39" s="102">
        <f t="shared" si="23"/>
        <v>0</v>
      </c>
      <c r="F39" s="103">
        <f t="shared" si="24"/>
        <v>0</v>
      </c>
      <c r="G39" s="102">
        <f t="shared" si="25"/>
        <v>0</v>
      </c>
      <c r="H39" s="103">
        <f t="shared" si="26"/>
        <v>0</v>
      </c>
      <c r="I39" s="102">
        <f t="shared" si="27"/>
        <v>0</v>
      </c>
      <c r="J39" s="135">
        <f t="shared" si="28"/>
        <v>0</v>
      </c>
      <c r="K39" s="103">
        <f t="shared" si="29"/>
        <v>0</v>
      </c>
      <c r="L39" s="102">
        <f t="shared" si="30"/>
        <v>0</v>
      </c>
      <c r="M39" s="103">
        <f t="shared" si="31"/>
        <v>0</v>
      </c>
      <c r="N39" s="102">
        <f t="shared" si="32"/>
        <v>0</v>
      </c>
      <c r="O39" s="103">
        <f t="shared" si="33"/>
        <v>0</v>
      </c>
      <c r="P39" s="102">
        <f t="shared" si="34"/>
        <v>0</v>
      </c>
      <c r="Q39" s="135">
        <f t="shared" si="35"/>
        <v>0</v>
      </c>
      <c r="R39" s="103">
        <f t="shared" si="36"/>
        <v>0</v>
      </c>
      <c r="S39" s="102">
        <f t="shared" si="37"/>
        <v>0</v>
      </c>
      <c r="T39" s="103">
        <f t="shared" si="38"/>
        <v>0</v>
      </c>
      <c r="U39" s="102">
        <f t="shared" si="39"/>
        <v>0</v>
      </c>
      <c r="V39" s="103">
        <f t="shared" si="40"/>
        <v>0</v>
      </c>
      <c r="W39" s="102">
        <f t="shared" si="41"/>
        <v>0</v>
      </c>
      <c r="X39" s="135">
        <f t="shared" si="42"/>
        <v>0</v>
      </c>
      <c r="Y39" s="103">
        <f t="shared" si="43"/>
        <v>0</v>
      </c>
      <c r="Z39" s="102">
        <f t="shared" si="44"/>
        <v>0</v>
      </c>
      <c r="AA39" s="103">
        <f t="shared" si="45"/>
        <v>0</v>
      </c>
      <c r="AB39" s="102">
        <f t="shared" si="46"/>
        <v>0</v>
      </c>
      <c r="AC39" s="103">
        <f t="shared" si="47"/>
        <v>0</v>
      </c>
      <c r="AD39" s="102">
        <f t="shared" si="48"/>
        <v>0</v>
      </c>
      <c r="AE39" s="135">
        <f t="shared" si="49"/>
        <v>0</v>
      </c>
      <c r="AF39" s="103">
        <f t="shared" si="50"/>
        <v>0</v>
      </c>
      <c r="AG39" s="102">
        <f t="shared" si="51"/>
        <v>0</v>
      </c>
      <c r="AH39" s="103">
        <f t="shared" si="52"/>
        <v>0</v>
      </c>
      <c r="AI39" s="102">
        <f t="shared" si="53"/>
        <v>0</v>
      </c>
      <c r="AJ39" s="103">
        <f t="shared" si="54"/>
        <v>0</v>
      </c>
      <c r="AK39" s="102">
        <f t="shared" si="55"/>
        <v>0</v>
      </c>
    </row>
    <row r="40">
      <c r="A40" s="117" t="s">
        <v>456</v>
      </c>
      <c r="B40" s="118"/>
      <c r="C40" s="136">
        <f t="shared" si="21"/>
        <v>0</v>
      </c>
      <c r="D40" s="111">
        <f t="shared" si="22"/>
        <v>0</v>
      </c>
      <c r="E40" s="110">
        <f t="shared" si="23"/>
        <v>0</v>
      </c>
      <c r="F40" s="111">
        <f t="shared" si="24"/>
        <v>0</v>
      </c>
      <c r="G40" s="110">
        <f t="shared" si="25"/>
        <v>0</v>
      </c>
      <c r="H40" s="111">
        <f t="shared" si="26"/>
        <v>0</v>
      </c>
      <c r="I40" s="110">
        <f t="shared" si="27"/>
        <v>0</v>
      </c>
      <c r="J40" s="136">
        <f t="shared" si="28"/>
        <v>0</v>
      </c>
      <c r="K40" s="111">
        <f t="shared" si="29"/>
        <v>0</v>
      </c>
      <c r="L40" s="110">
        <f t="shared" si="30"/>
        <v>0</v>
      </c>
      <c r="M40" s="111">
        <f t="shared" si="31"/>
        <v>0</v>
      </c>
      <c r="N40" s="110">
        <f t="shared" si="32"/>
        <v>0</v>
      </c>
      <c r="O40" s="111">
        <f t="shared" si="33"/>
        <v>0</v>
      </c>
      <c r="P40" s="110">
        <f t="shared" si="34"/>
        <v>0</v>
      </c>
      <c r="Q40" s="136">
        <f t="shared" si="35"/>
        <v>0</v>
      </c>
      <c r="R40" s="111">
        <f t="shared" si="36"/>
        <v>0</v>
      </c>
      <c r="S40" s="110">
        <f t="shared" si="37"/>
        <v>0</v>
      </c>
      <c r="T40" s="111">
        <f t="shared" si="38"/>
        <v>0</v>
      </c>
      <c r="U40" s="110">
        <f t="shared" si="39"/>
        <v>0</v>
      </c>
      <c r="V40" s="111">
        <f t="shared" si="40"/>
        <v>0</v>
      </c>
      <c r="W40" s="110">
        <f t="shared" si="41"/>
        <v>0</v>
      </c>
      <c r="X40" s="136">
        <f t="shared" si="42"/>
        <v>0</v>
      </c>
      <c r="Y40" s="111">
        <f t="shared" si="43"/>
        <v>0</v>
      </c>
      <c r="Z40" s="110">
        <f t="shared" si="44"/>
        <v>0</v>
      </c>
      <c r="AA40" s="111">
        <f t="shared" si="45"/>
        <v>0</v>
      </c>
      <c r="AB40" s="110">
        <f t="shared" si="46"/>
        <v>0</v>
      </c>
      <c r="AC40" s="111">
        <f t="shared" si="47"/>
        <v>0</v>
      </c>
      <c r="AD40" s="110">
        <f t="shared" si="48"/>
        <v>0</v>
      </c>
      <c r="AE40" s="136">
        <f t="shared" si="49"/>
        <v>0</v>
      </c>
      <c r="AF40" s="111">
        <f t="shared" si="50"/>
        <v>0</v>
      </c>
      <c r="AG40" s="110">
        <f t="shared" si="51"/>
        <v>0</v>
      </c>
      <c r="AH40" s="111">
        <f t="shared" si="52"/>
        <v>0</v>
      </c>
      <c r="AI40" s="110">
        <f t="shared" si="53"/>
        <v>0</v>
      </c>
      <c r="AJ40" s="111">
        <f t="shared" si="54"/>
        <v>0</v>
      </c>
      <c r="AK40" s="110">
        <f t="shared" si="55"/>
        <v>0</v>
      </c>
    </row>
    <row r="41">
      <c r="A41" s="119" t="s">
        <v>466</v>
      </c>
      <c r="B41" s="118"/>
      <c r="C41" s="135">
        <f t="shared" si="21"/>
        <v>0</v>
      </c>
      <c r="D41" s="103">
        <f t="shared" si="22"/>
        <v>0</v>
      </c>
      <c r="E41" s="102">
        <f t="shared" si="23"/>
        <v>0</v>
      </c>
      <c r="F41" s="103">
        <f t="shared" si="24"/>
        <v>0</v>
      </c>
      <c r="G41" s="102">
        <f t="shared" si="25"/>
        <v>0</v>
      </c>
      <c r="H41" s="103">
        <f t="shared" si="26"/>
        <v>0</v>
      </c>
      <c r="I41" s="102">
        <f t="shared" si="27"/>
        <v>0</v>
      </c>
      <c r="J41" s="135">
        <f t="shared" si="28"/>
        <v>0</v>
      </c>
      <c r="K41" s="103">
        <f t="shared" si="29"/>
        <v>0</v>
      </c>
      <c r="L41" s="102">
        <f t="shared" si="30"/>
        <v>0</v>
      </c>
      <c r="M41" s="103">
        <f t="shared" si="31"/>
        <v>0</v>
      </c>
      <c r="N41" s="102">
        <f t="shared" si="32"/>
        <v>0</v>
      </c>
      <c r="O41" s="103">
        <f t="shared" si="33"/>
        <v>0</v>
      </c>
      <c r="P41" s="102">
        <f t="shared" si="34"/>
        <v>0</v>
      </c>
      <c r="Q41" s="135">
        <f t="shared" si="35"/>
        <v>0</v>
      </c>
      <c r="R41" s="103">
        <f t="shared" si="36"/>
        <v>0</v>
      </c>
      <c r="S41" s="102">
        <f t="shared" si="37"/>
        <v>0</v>
      </c>
      <c r="T41" s="103">
        <f t="shared" si="38"/>
        <v>0</v>
      </c>
      <c r="U41" s="102">
        <f t="shared" si="39"/>
        <v>0</v>
      </c>
      <c r="V41" s="103">
        <f t="shared" si="40"/>
        <v>0</v>
      </c>
      <c r="W41" s="102">
        <f t="shared" si="41"/>
        <v>0</v>
      </c>
      <c r="X41" s="135">
        <f t="shared" si="42"/>
        <v>0</v>
      </c>
      <c r="Y41" s="103">
        <f t="shared" si="43"/>
        <v>0</v>
      </c>
      <c r="Z41" s="102">
        <f t="shared" si="44"/>
        <v>0</v>
      </c>
      <c r="AA41" s="103">
        <f t="shared" si="45"/>
        <v>0</v>
      </c>
      <c r="AB41" s="102">
        <f t="shared" si="46"/>
        <v>0</v>
      </c>
      <c r="AC41" s="103">
        <f t="shared" si="47"/>
        <v>0</v>
      </c>
      <c r="AD41" s="102">
        <f t="shared" si="48"/>
        <v>0</v>
      </c>
      <c r="AE41" s="135">
        <f t="shared" si="49"/>
        <v>0</v>
      </c>
      <c r="AF41" s="103">
        <f t="shared" si="50"/>
        <v>0</v>
      </c>
      <c r="AG41" s="102">
        <f t="shared" si="51"/>
        <v>0</v>
      </c>
      <c r="AH41" s="103">
        <f t="shared" si="52"/>
        <v>0</v>
      </c>
      <c r="AI41" s="102">
        <f t="shared" si="53"/>
        <v>0</v>
      </c>
      <c r="AJ41" s="103">
        <f t="shared" si="54"/>
        <v>0</v>
      </c>
      <c r="AK41" s="102">
        <f t="shared" si="55"/>
        <v>0</v>
      </c>
    </row>
    <row r="42">
      <c r="A42" s="121" t="s">
        <v>480</v>
      </c>
      <c r="B42" s="54"/>
      <c r="C42" s="138">
        <f t="shared" si="21"/>
        <v>0</v>
      </c>
      <c r="D42" s="127">
        <f t="shared" si="22"/>
        <v>0</v>
      </c>
      <c r="E42" s="126">
        <f t="shared" si="23"/>
        <v>0</v>
      </c>
      <c r="F42" s="127">
        <f t="shared" si="24"/>
        <v>0</v>
      </c>
      <c r="G42" s="126">
        <f t="shared" si="25"/>
        <v>0</v>
      </c>
      <c r="H42" s="127">
        <f t="shared" si="26"/>
        <v>0</v>
      </c>
      <c r="I42" s="126">
        <f t="shared" si="27"/>
        <v>0</v>
      </c>
      <c r="J42" s="138">
        <f t="shared" si="28"/>
        <v>0</v>
      </c>
      <c r="K42" s="127">
        <f t="shared" si="29"/>
        <v>0</v>
      </c>
      <c r="L42" s="126">
        <f t="shared" si="30"/>
        <v>0</v>
      </c>
      <c r="M42" s="127">
        <f t="shared" si="31"/>
        <v>0</v>
      </c>
      <c r="N42" s="126">
        <f t="shared" si="32"/>
        <v>0</v>
      </c>
      <c r="O42" s="127">
        <f t="shared" si="33"/>
        <v>0</v>
      </c>
      <c r="P42" s="126">
        <f t="shared" si="34"/>
        <v>0</v>
      </c>
      <c r="Q42" s="138">
        <f t="shared" si="35"/>
        <v>0</v>
      </c>
      <c r="R42" s="127">
        <f t="shared" si="36"/>
        <v>0</v>
      </c>
      <c r="S42" s="126">
        <f t="shared" si="37"/>
        <v>0</v>
      </c>
      <c r="T42" s="127">
        <f t="shared" si="38"/>
        <v>0</v>
      </c>
      <c r="U42" s="126">
        <f t="shared" si="39"/>
        <v>0</v>
      </c>
      <c r="V42" s="127">
        <f t="shared" si="40"/>
        <v>0</v>
      </c>
      <c r="W42" s="126">
        <f t="shared" si="41"/>
        <v>0</v>
      </c>
      <c r="X42" s="138">
        <f t="shared" si="42"/>
        <v>0</v>
      </c>
      <c r="Y42" s="127">
        <f t="shared" si="43"/>
        <v>0</v>
      </c>
      <c r="Z42" s="126">
        <f t="shared" si="44"/>
        <v>0</v>
      </c>
      <c r="AA42" s="127">
        <f t="shared" si="45"/>
        <v>0</v>
      </c>
      <c r="AB42" s="126">
        <f t="shared" si="46"/>
        <v>0</v>
      </c>
      <c r="AC42" s="127">
        <f t="shared" si="47"/>
        <v>0</v>
      </c>
      <c r="AD42" s="126">
        <f t="shared" si="48"/>
        <v>0</v>
      </c>
      <c r="AE42" s="138">
        <f t="shared" si="49"/>
        <v>0</v>
      </c>
      <c r="AF42" s="127">
        <f t="shared" si="50"/>
        <v>0</v>
      </c>
      <c r="AG42" s="126">
        <f t="shared" si="51"/>
        <v>0</v>
      </c>
      <c r="AH42" s="127">
        <f t="shared" si="52"/>
        <v>0</v>
      </c>
      <c r="AI42" s="126">
        <f t="shared" si="53"/>
        <v>0</v>
      </c>
      <c r="AJ42" s="127">
        <f t="shared" si="54"/>
        <v>0</v>
      </c>
      <c r="AK42" s="126">
        <f t="shared" si="55"/>
        <v>0</v>
      </c>
    </row>
    <row r="45">
      <c r="A45" s="139"/>
      <c r="B45" s="139"/>
    </row>
    <row r="46">
      <c r="A46" s="139"/>
      <c r="B46" s="139"/>
    </row>
    <row r="47">
      <c r="A47" s="139"/>
      <c r="B47" s="139"/>
    </row>
    <row r="48">
      <c r="A48" s="139"/>
      <c r="B48" s="139"/>
    </row>
    <row r="49">
      <c r="A49" s="139"/>
      <c r="B49" s="139"/>
    </row>
    <row r="50">
      <c r="A50" s="139"/>
      <c r="B50" s="139"/>
    </row>
    <row r="51">
      <c r="A51" s="139"/>
      <c r="B51" s="139"/>
    </row>
    <row r="52">
      <c r="A52" s="139"/>
      <c r="B52" s="139"/>
    </row>
    <row r="53">
      <c r="A53" s="139"/>
      <c r="B53" s="139"/>
    </row>
    <row r="54">
      <c r="A54" s="139"/>
      <c r="B54" s="139"/>
    </row>
    <row r="55">
      <c r="A55" s="139"/>
      <c r="B55" s="139"/>
    </row>
    <row r="56">
      <c r="A56" s="139"/>
      <c r="B56" s="139"/>
    </row>
    <row r="57">
      <c r="A57" s="139"/>
      <c r="B57" s="139"/>
    </row>
    <row r="58">
      <c r="A58" s="139"/>
      <c r="B58" s="139"/>
    </row>
    <row r="59">
      <c r="A59" s="139"/>
      <c r="B59" s="139"/>
    </row>
    <row r="60">
      <c r="A60" s="139"/>
      <c r="B60" s="139"/>
    </row>
  </sheetData>
  <mergeCells count="76">
    <mergeCell ref="R19:S19"/>
    <mergeCell ref="R20:S20"/>
    <mergeCell ref="R21:S21"/>
    <mergeCell ref="R22:S22"/>
    <mergeCell ref="R23:S23"/>
    <mergeCell ref="R24:S24"/>
    <mergeCell ref="Q27:W27"/>
    <mergeCell ref="Q28:W28"/>
    <mergeCell ref="C27:I27"/>
    <mergeCell ref="C28:I28"/>
    <mergeCell ref="A20:B20"/>
    <mergeCell ref="A21:B21"/>
    <mergeCell ref="A22:B22"/>
    <mergeCell ref="A23:B23"/>
    <mergeCell ref="A24:B24"/>
    <mergeCell ref="J27:P27"/>
    <mergeCell ref="J28:P28"/>
    <mergeCell ref="A37:B37"/>
    <mergeCell ref="A38:B38"/>
    <mergeCell ref="A39:B39"/>
    <mergeCell ref="A40:B40"/>
    <mergeCell ref="A41:B41"/>
    <mergeCell ref="A42:B42"/>
    <mergeCell ref="A27:B30"/>
    <mergeCell ref="A31:B31"/>
    <mergeCell ref="A32:B32"/>
    <mergeCell ref="A33:B33"/>
    <mergeCell ref="A34:B34"/>
    <mergeCell ref="A35:B35"/>
    <mergeCell ref="A36:B36"/>
    <mergeCell ref="A1:F2"/>
    <mergeCell ref="G1:H1"/>
    <mergeCell ref="C3:D3"/>
    <mergeCell ref="E3:F3"/>
    <mergeCell ref="G3:H3"/>
    <mergeCell ref="K3:L3"/>
    <mergeCell ref="M3:N3"/>
    <mergeCell ref="C4:D4"/>
    <mergeCell ref="E4:F4"/>
    <mergeCell ref="G4:H4"/>
    <mergeCell ref="M4:N4"/>
    <mergeCell ref="A5:C5"/>
    <mergeCell ref="D5:I5"/>
    <mergeCell ref="A6:C6"/>
    <mergeCell ref="C10:Q10"/>
    <mergeCell ref="T10:X10"/>
    <mergeCell ref="C11:E11"/>
    <mergeCell ref="F11:H11"/>
    <mergeCell ref="I11:K11"/>
    <mergeCell ref="L11:N11"/>
    <mergeCell ref="O11:Q11"/>
    <mergeCell ref="D6:H6"/>
    <mergeCell ref="D7:H7"/>
    <mergeCell ref="A8:C8"/>
    <mergeCell ref="D8:I8"/>
    <mergeCell ref="A9:C9"/>
    <mergeCell ref="D9:I9"/>
    <mergeCell ref="A10:B12"/>
    <mergeCell ref="R10:S12"/>
    <mergeCell ref="R13:S13"/>
    <mergeCell ref="R14:S14"/>
    <mergeCell ref="R15:S15"/>
    <mergeCell ref="R16:S16"/>
    <mergeCell ref="R17:S17"/>
    <mergeCell ref="R18:S18"/>
    <mergeCell ref="A13:B13"/>
    <mergeCell ref="A14:B14"/>
    <mergeCell ref="A15:B15"/>
    <mergeCell ref="A16:B16"/>
    <mergeCell ref="A17:B17"/>
    <mergeCell ref="A18:B18"/>
    <mergeCell ref="A19:B19"/>
    <mergeCell ref="X27:AD27"/>
    <mergeCell ref="AE27:AK27"/>
    <mergeCell ref="X28:AD28"/>
    <mergeCell ref="AE28:AK28"/>
  </mergeCells>
  <hyperlinks>
    <hyperlink r:id="rId1" location="/vine-attendance" ref="G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/>
      <c r="B1" s="4"/>
      <c r="G1" s="7"/>
      <c r="H1" s="7"/>
      <c r="I1" s="7"/>
      <c r="J1" s="7"/>
      <c r="K1" s="7"/>
      <c r="L1" s="7"/>
      <c r="M1" s="7"/>
      <c r="N1" s="7"/>
      <c r="O1" s="7"/>
      <c r="P1" s="7"/>
      <c r="Q1" s="12"/>
      <c r="R1" s="12"/>
      <c r="S1" s="12"/>
      <c r="T1" s="12"/>
      <c r="U1" s="12"/>
      <c r="V1" s="12"/>
      <c r="W1" s="12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11" t="s">
        <v>25</v>
      </c>
      <c r="H2" s="11" t="s">
        <v>26</v>
      </c>
      <c r="I2" s="11"/>
      <c r="J2" s="11"/>
      <c r="K2" s="11"/>
      <c r="L2" s="11"/>
      <c r="M2" s="11"/>
      <c r="N2" s="11"/>
      <c r="O2" s="11"/>
      <c r="P2" s="11"/>
      <c r="U2" s="13"/>
      <c r="V2" s="13"/>
      <c r="W2" s="13"/>
    </row>
    <row r="3">
      <c r="A3" s="13">
        <v>1.0</v>
      </c>
      <c r="C3" s="13">
        <v>1.0</v>
      </c>
      <c r="D3" s="13" t="b">
        <v>1</v>
      </c>
      <c r="E3" s="13" t="s">
        <v>32</v>
      </c>
      <c r="F3" s="13" t="s">
        <v>34</v>
      </c>
      <c r="G3" s="13" t="b">
        <v>0</v>
      </c>
      <c r="H3" s="13" t="s">
        <v>35</v>
      </c>
    </row>
    <row r="4">
      <c r="A4" s="13">
        <v>2.0</v>
      </c>
      <c r="C4" s="13">
        <v>1.0</v>
      </c>
      <c r="E4" s="13" t="s">
        <v>37</v>
      </c>
      <c r="F4" s="13" t="s">
        <v>38</v>
      </c>
      <c r="G4" s="13" t="b">
        <v>0</v>
      </c>
      <c r="H4" s="13" t="s">
        <v>39</v>
      </c>
      <c r="I4" s="19"/>
    </row>
    <row r="5">
      <c r="A5" s="13">
        <v>3.0</v>
      </c>
      <c r="C5" s="13">
        <v>1.0</v>
      </c>
      <c r="E5" s="13" t="s">
        <v>41</v>
      </c>
      <c r="F5" s="13" t="s">
        <v>42</v>
      </c>
      <c r="G5" s="13" t="b">
        <v>0</v>
      </c>
      <c r="H5" s="13" t="s">
        <v>43</v>
      </c>
      <c r="I5" s="19"/>
    </row>
    <row r="6">
      <c r="A6" s="13">
        <v>4.0</v>
      </c>
      <c r="C6" s="13">
        <v>1.0</v>
      </c>
      <c r="E6" s="13" t="s">
        <v>44</v>
      </c>
      <c r="F6" s="13" t="s">
        <v>45</v>
      </c>
      <c r="G6" s="13" t="b">
        <v>0</v>
      </c>
      <c r="I6" s="19"/>
    </row>
    <row r="7">
      <c r="A7" s="13">
        <v>5.0</v>
      </c>
      <c r="C7" s="13">
        <v>1.0</v>
      </c>
      <c r="E7" s="13" t="s">
        <v>47</v>
      </c>
      <c r="F7" s="13" t="s">
        <v>48</v>
      </c>
      <c r="G7" s="13" t="b">
        <v>0</v>
      </c>
      <c r="H7" s="13" t="s">
        <v>43</v>
      </c>
      <c r="I7" s="19"/>
    </row>
    <row r="8">
      <c r="A8" s="13">
        <v>6.0</v>
      </c>
      <c r="C8" s="13">
        <v>1.0</v>
      </c>
      <c r="E8" s="13" t="s">
        <v>51</v>
      </c>
      <c r="F8" s="13" t="s">
        <v>52</v>
      </c>
      <c r="G8" s="13" t="b">
        <v>0</v>
      </c>
      <c r="I8" s="19"/>
    </row>
    <row r="9">
      <c r="A9" s="13">
        <v>7.0</v>
      </c>
      <c r="C9" s="13">
        <v>1.0</v>
      </c>
      <c r="E9" s="13" t="s">
        <v>56</v>
      </c>
      <c r="F9" s="13" t="s">
        <v>57</v>
      </c>
      <c r="G9" s="13" t="b">
        <v>0</v>
      </c>
      <c r="H9" s="13" t="s">
        <v>43</v>
      </c>
      <c r="I9" s="19"/>
    </row>
    <row r="10">
      <c r="A10" s="13">
        <v>8.0</v>
      </c>
      <c r="C10" s="13">
        <v>1.0</v>
      </c>
      <c r="E10" s="13" t="s">
        <v>62</v>
      </c>
      <c r="F10" s="13" t="s">
        <v>63</v>
      </c>
      <c r="G10" s="13" t="b">
        <v>0</v>
      </c>
      <c r="I10" s="19"/>
    </row>
    <row r="11">
      <c r="A11" s="13">
        <v>9.0</v>
      </c>
      <c r="C11" s="13">
        <v>1.0</v>
      </c>
      <c r="E11" s="13" t="s">
        <v>51</v>
      </c>
      <c r="F11" s="13" t="s">
        <v>67</v>
      </c>
      <c r="G11" s="13" t="b">
        <v>0</v>
      </c>
      <c r="I11" s="19"/>
    </row>
    <row r="12">
      <c r="A12" s="13">
        <v>10.0</v>
      </c>
      <c r="C12" s="13">
        <v>1.0</v>
      </c>
      <c r="E12" s="13" t="s">
        <v>73</v>
      </c>
      <c r="F12" s="13" t="s">
        <v>75</v>
      </c>
      <c r="G12" s="13" t="b">
        <v>0</v>
      </c>
      <c r="H12" s="13" t="s">
        <v>39</v>
      </c>
      <c r="I12" s="19"/>
    </row>
    <row r="13">
      <c r="A13" s="13">
        <v>11.0</v>
      </c>
      <c r="C13" s="13">
        <v>1.0</v>
      </c>
      <c r="E13" s="13" t="s">
        <v>86</v>
      </c>
      <c r="F13" s="13" t="s">
        <v>88</v>
      </c>
      <c r="G13" s="13" t="b">
        <v>0</v>
      </c>
      <c r="H13" s="13" t="s">
        <v>43</v>
      </c>
      <c r="I13" s="19"/>
    </row>
    <row r="14">
      <c r="A14" s="13">
        <v>12.0</v>
      </c>
      <c r="C14" s="13">
        <v>1.0</v>
      </c>
      <c r="E14" s="13" t="s">
        <v>97</v>
      </c>
      <c r="F14" s="13" t="s">
        <v>99</v>
      </c>
      <c r="G14" s="13" t="b">
        <v>0</v>
      </c>
      <c r="I14" s="19"/>
    </row>
    <row r="15">
      <c r="A15" s="13">
        <v>13.0</v>
      </c>
      <c r="C15" s="13">
        <v>1.0</v>
      </c>
      <c r="E15" s="13" t="s">
        <v>107</v>
      </c>
      <c r="F15" s="13" t="s">
        <v>110</v>
      </c>
      <c r="G15" s="13" t="b">
        <v>0</v>
      </c>
      <c r="I15" s="19"/>
    </row>
    <row r="16">
      <c r="A16" s="13">
        <v>14.0</v>
      </c>
      <c r="C16" s="13">
        <v>1.0</v>
      </c>
      <c r="E16" s="13" t="s">
        <v>118</v>
      </c>
      <c r="F16" s="13" t="s">
        <v>120</v>
      </c>
      <c r="G16" s="13" t="b">
        <v>0</v>
      </c>
      <c r="H16" s="13" t="s">
        <v>43</v>
      </c>
      <c r="I16" s="21"/>
    </row>
    <row r="17">
      <c r="A17" s="13">
        <v>15.0</v>
      </c>
      <c r="C17" s="13">
        <v>1.0</v>
      </c>
      <c r="E17" s="13" t="s">
        <v>132</v>
      </c>
      <c r="F17" s="13" t="s">
        <v>133</v>
      </c>
      <c r="G17" s="13" t="b">
        <v>0</v>
      </c>
      <c r="I17" s="19"/>
    </row>
    <row r="18">
      <c r="A18" s="13">
        <v>16.0</v>
      </c>
      <c r="C18" s="13">
        <v>1.0</v>
      </c>
      <c r="E18" s="13" t="s">
        <v>135</v>
      </c>
      <c r="F18" s="13" t="s">
        <v>136</v>
      </c>
      <c r="G18" s="13" t="b">
        <v>0</v>
      </c>
      <c r="H18" s="13" t="s">
        <v>43</v>
      </c>
      <c r="I18" s="19"/>
    </row>
    <row r="19">
      <c r="A19" s="13">
        <v>17.0</v>
      </c>
      <c r="C19" s="13">
        <v>1.0</v>
      </c>
      <c r="E19" s="13" t="s">
        <v>137</v>
      </c>
      <c r="F19" s="13" t="s">
        <v>138</v>
      </c>
      <c r="G19" s="13" t="b">
        <v>0</v>
      </c>
      <c r="I19" s="19"/>
    </row>
    <row r="20">
      <c r="A20" s="13">
        <v>19.0</v>
      </c>
      <c r="C20" s="13">
        <v>19.0</v>
      </c>
      <c r="D20" s="13" t="b">
        <v>1</v>
      </c>
      <c r="E20" s="13" t="s">
        <v>140</v>
      </c>
      <c r="F20" s="13" t="s">
        <v>141</v>
      </c>
      <c r="G20" s="13" t="b">
        <v>0</v>
      </c>
      <c r="H20" s="13" t="s">
        <v>35</v>
      </c>
      <c r="I20" s="19"/>
    </row>
    <row r="21">
      <c r="A21" s="13">
        <v>20.0</v>
      </c>
      <c r="C21" s="13">
        <v>19.0</v>
      </c>
      <c r="E21" s="13" t="s">
        <v>32</v>
      </c>
      <c r="F21" s="13" t="s">
        <v>142</v>
      </c>
      <c r="G21" s="13" t="b">
        <v>0</v>
      </c>
      <c r="H21" s="13" t="s">
        <v>39</v>
      </c>
      <c r="I21" s="19"/>
    </row>
    <row r="22">
      <c r="A22" s="13">
        <v>22.0</v>
      </c>
      <c r="C22" s="13">
        <v>19.0</v>
      </c>
      <c r="E22" s="13" t="s">
        <v>143</v>
      </c>
      <c r="F22" s="13" t="s">
        <v>144</v>
      </c>
      <c r="G22" s="13" t="b">
        <v>0</v>
      </c>
      <c r="I22" s="27"/>
    </row>
    <row r="23">
      <c r="A23" s="13">
        <v>23.0</v>
      </c>
      <c r="C23" s="13">
        <v>19.0</v>
      </c>
      <c r="E23" s="13" t="s">
        <v>145</v>
      </c>
      <c r="F23" s="13" t="s">
        <v>146</v>
      </c>
      <c r="G23" s="13" t="b">
        <v>0</v>
      </c>
      <c r="I23" s="27"/>
    </row>
    <row r="24">
      <c r="A24" s="13">
        <v>24.0</v>
      </c>
      <c r="C24" s="13">
        <v>19.0</v>
      </c>
      <c r="E24" s="13" t="s">
        <v>147</v>
      </c>
      <c r="F24" s="13" t="s">
        <v>149</v>
      </c>
      <c r="G24" s="13" t="b">
        <v>0</v>
      </c>
      <c r="I24" s="27"/>
    </row>
    <row r="25">
      <c r="A25" s="13">
        <v>26.0</v>
      </c>
      <c r="C25" s="13">
        <v>19.0</v>
      </c>
      <c r="E25" s="13" t="s">
        <v>150</v>
      </c>
      <c r="F25" s="13" t="s">
        <v>151</v>
      </c>
      <c r="G25" s="13" t="b">
        <v>0</v>
      </c>
      <c r="I25" s="27"/>
    </row>
    <row r="26">
      <c r="A26" s="13">
        <v>28.0</v>
      </c>
      <c r="C26" s="13">
        <v>19.0</v>
      </c>
      <c r="E26" s="13" t="s">
        <v>153</v>
      </c>
      <c r="F26" s="13" t="s">
        <v>154</v>
      </c>
      <c r="G26" s="13" t="b">
        <v>0</v>
      </c>
      <c r="H26" s="13" t="s">
        <v>39</v>
      </c>
      <c r="I26" s="27"/>
    </row>
    <row r="27">
      <c r="A27" s="13">
        <v>30.0</v>
      </c>
      <c r="C27" s="13">
        <v>19.0</v>
      </c>
      <c r="E27" s="13" t="s">
        <v>150</v>
      </c>
      <c r="F27" s="13" t="s">
        <v>155</v>
      </c>
      <c r="G27" s="13" t="b">
        <v>0</v>
      </c>
      <c r="I27" s="27"/>
    </row>
    <row r="28">
      <c r="A28" s="13">
        <v>31.0</v>
      </c>
      <c r="C28" s="13">
        <v>19.0</v>
      </c>
      <c r="E28" s="13" t="s">
        <v>157</v>
      </c>
      <c r="F28" s="13" t="s">
        <v>158</v>
      </c>
      <c r="G28" s="13" t="b">
        <v>0</v>
      </c>
      <c r="I28" s="27"/>
    </row>
    <row r="29">
      <c r="A29" s="13">
        <v>32.0</v>
      </c>
      <c r="C29" s="13">
        <v>19.0</v>
      </c>
      <c r="E29" s="13" t="s">
        <v>44</v>
      </c>
      <c r="F29" s="13" t="s">
        <v>159</v>
      </c>
      <c r="G29" s="13" t="b">
        <v>0</v>
      </c>
      <c r="I29" s="38"/>
    </row>
    <row r="30">
      <c r="A30" s="13">
        <v>34.0</v>
      </c>
      <c r="C30" s="13">
        <v>19.0</v>
      </c>
      <c r="E30" s="13" t="s">
        <v>160</v>
      </c>
      <c r="F30" s="13" t="s">
        <v>161</v>
      </c>
      <c r="G30" s="13" t="b">
        <v>0</v>
      </c>
      <c r="I30" s="39"/>
    </row>
    <row r="31">
      <c r="A31" s="13">
        <v>35.0</v>
      </c>
      <c r="C31" s="13">
        <v>19.0</v>
      </c>
      <c r="E31" s="13" t="s">
        <v>163</v>
      </c>
      <c r="F31" s="13" t="s">
        <v>164</v>
      </c>
      <c r="G31" s="13" t="b">
        <v>0</v>
      </c>
      <c r="I31" s="39"/>
    </row>
    <row r="32">
      <c r="A32" s="13">
        <v>36.0</v>
      </c>
      <c r="C32" s="13">
        <v>19.0</v>
      </c>
      <c r="E32" s="13" t="s">
        <v>165</v>
      </c>
      <c r="F32" s="13" t="s">
        <v>166</v>
      </c>
      <c r="G32" s="13" t="b">
        <v>0</v>
      </c>
      <c r="H32" s="13" t="s">
        <v>39</v>
      </c>
      <c r="I32" s="39"/>
    </row>
    <row r="33">
      <c r="A33" s="13">
        <v>38.0</v>
      </c>
      <c r="C33" s="13">
        <v>19.0</v>
      </c>
      <c r="E33" s="13" t="s">
        <v>137</v>
      </c>
      <c r="F33" s="13" t="s">
        <v>167</v>
      </c>
      <c r="G33" s="13" t="b">
        <v>0</v>
      </c>
      <c r="I33" s="39"/>
    </row>
    <row r="34">
      <c r="A34" s="13">
        <v>39.0</v>
      </c>
      <c r="C34" s="13">
        <v>19.0</v>
      </c>
      <c r="E34" s="13" t="s">
        <v>168</v>
      </c>
      <c r="F34" s="13" t="s">
        <v>170</v>
      </c>
      <c r="G34" s="13" t="b">
        <v>0</v>
      </c>
      <c r="I34" s="39"/>
    </row>
    <row r="35">
      <c r="A35" s="13">
        <v>40.0</v>
      </c>
      <c r="C35" s="13">
        <v>19.0</v>
      </c>
      <c r="E35" s="13" t="s">
        <v>171</v>
      </c>
      <c r="F35" s="13" t="s">
        <v>172</v>
      </c>
      <c r="G35" s="13" t="b">
        <v>0</v>
      </c>
      <c r="I35" s="39"/>
    </row>
    <row r="36">
      <c r="A36" s="13">
        <v>41.0</v>
      </c>
      <c r="C36" s="13">
        <v>19.0</v>
      </c>
      <c r="E36" s="13" t="s">
        <v>174</v>
      </c>
      <c r="F36" s="13" t="s">
        <v>175</v>
      </c>
      <c r="G36" s="13" t="b">
        <v>0</v>
      </c>
      <c r="I36" s="39"/>
    </row>
    <row r="37">
      <c r="A37" s="13">
        <v>43.0</v>
      </c>
      <c r="C37" s="13">
        <v>19.0</v>
      </c>
      <c r="E37" s="13" t="s">
        <v>176</v>
      </c>
      <c r="F37" s="13" t="s">
        <v>177</v>
      </c>
      <c r="G37" s="13" t="b">
        <v>0</v>
      </c>
      <c r="I37" s="39"/>
    </row>
    <row r="38">
      <c r="A38" s="13">
        <v>44.0</v>
      </c>
      <c r="C38" s="13">
        <v>19.0</v>
      </c>
      <c r="E38" s="13" t="s">
        <v>178</v>
      </c>
      <c r="F38" s="72"/>
      <c r="G38" s="13" t="b">
        <v>0</v>
      </c>
      <c r="I38" s="39"/>
    </row>
    <row r="39">
      <c r="A39" s="13">
        <v>45.0</v>
      </c>
      <c r="C39" s="13">
        <v>19.0</v>
      </c>
      <c r="E39" s="13" t="s">
        <v>179</v>
      </c>
      <c r="F39" s="13" t="s">
        <v>180</v>
      </c>
      <c r="G39" s="13" t="b">
        <v>0</v>
      </c>
      <c r="H39" s="13" t="s">
        <v>43</v>
      </c>
      <c r="I39" s="39"/>
    </row>
    <row r="40">
      <c r="A40" s="13">
        <v>46.0</v>
      </c>
      <c r="C40" s="13">
        <v>19.0</v>
      </c>
      <c r="E40" s="13" t="s">
        <v>179</v>
      </c>
      <c r="F40" s="13" t="s">
        <v>181</v>
      </c>
      <c r="G40" s="13" t="b">
        <v>0</v>
      </c>
      <c r="H40" s="13" t="s">
        <v>39</v>
      </c>
      <c r="I40" s="39"/>
    </row>
    <row r="41">
      <c r="A41" s="13">
        <v>48.0</v>
      </c>
      <c r="C41" s="13">
        <v>19.0</v>
      </c>
      <c r="E41" s="13" t="s">
        <v>182</v>
      </c>
      <c r="F41" s="13" t="s">
        <v>184</v>
      </c>
      <c r="G41" s="13" t="b">
        <v>0</v>
      </c>
      <c r="I41" s="39"/>
    </row>
    <row r="42">
      <c r="A42" s="13">
        <v>49.0</v>
      </c>
      <c r="C42" s="13">
        <v>19.0</v>
      </c>
      <c r="E42" s="13" t="s">
        <v>185</v>
      </c>
      <c r="F42" s="13" t="s">
        <v>186</v>
      </c>
      <c r="G42" s="13" t="b">
        <v>0</v>
      </c>
      <c r="I42" s="39"/>
    </row>
    <row r="43">
      <c r="A43" s="13">
        <v>50.0</v>
      </c>
      <c r="C43" s="13">
        <v>19.0</v>
      </c>
      <c r="E43" s="13" t="s">
        <v>187</v>
      </c>
      <c r="F43" s="13" t="s">
        <v>188</v>
      </c>
      <c r="G43" s="13" t="b">
        <v>0</v>
      </c>
      <c r="I43" s="24"/>
    </row>
    <row r="44">
      <c r="A44" s="13">
        <v>52.0</v>
      </c>
      <c r="C44" s="13">
        <v>19.0</v>
      </c>
      <c r="E44" s="13" t="s">
        <v>190</v>
      </c>
      <c r="F44" s="13" t="s">
        <v>191</v>
      </c>
      <c r="G44" s="13" t="b">
        <v>0</v>
      </c>
      <c r="I44" s="27"/>
    </row>
    <row r="45">
      <c r="A45" s="13">
        <v>53.0</v>
      </c>
      <c r="C45" s="13">
        <v>19.0</v>
      </c>
      <c r="E45" s="13" t="s">
        <v>192</v>
      </c>
      <c r="F45" s="13" t="s">
        <v>193</v>
      </c>
      <c r="G45" s="13" t="b">
        <v>0</v>
      </c>
      <c r="I45" s="27"/>
    </row>
    <row r="46">
      <c r="A46" s="13">
        <v>54.0</v>
      </c>
      <c r="C46" s="13">
        <v>19.0</v>
      </c>
      <c r="E46" s="13" t="s">
        <v>194</v>
      </c>
      <c r="F46" s="13" t="s">
        <v>195</v>
      </c>
      <c r="G46" s="13" t="b">
        <v>0</v>
      </c>
      <c r="I46" s="27"/>
    </row>
    <row r="47">
      <c r="A47" s="13">
        <v>56.0</v>
      </c>
      <c r="C47" s="13">
        <v>19.0</v>
      </c>
      <c r="E47" s="13" t="s">
        <v>194</v>
      </c>
      <c r="F47" s="13" t="s">
        <v>196</v>
      </c>
      <c r="G47" s="13" t="b">
        <v>0</v>
      </c>
      <c r="I47" s="27"/>
    </row>
    <row r="48">
      <c r="A48" s="13">
        <v>57.0</v>
      </c>
      <c r="C48" s="13">
        <v>19.0</v>
      </c>
      <c r="E48" s="13" t="s">
        <v>198</v>
      </c>
      <c r="F48" s="13" t="s">
        <v>199</v>
      </c>
      <c r="G48" s="13" t="b">
        <v>0</v>
      </c>
      <c r="I48" s="27"/>
    </row>
    <row r="49">
      <c r="A49" s="13">
        <v>58.0</v>
      </c>
      <c r="C49" s="13">
        <v>19.0</v>
      </c>
      <c r="E49" s="13" t="s">
        <v>200</v>
      </c>
      <c r="F49" s="13" t="s">
        <v>201</v>
      </c>
      <c r="G49" s="13" t="b">
        <v>0</v>
      </c>
      <c r="I49" s="27"/>
    </row>
    <row r="50">
      <c r="A50" s="13">
        <v>59.0</v>
      </c>
      <c r="C50" s="13">
        <v>19.0</v>
      </c>
      <c r="E50" s="13" t="s">
        <v>32</v>
      </c>
      <c r="F50" s="13" t="s">
        <v>202</v>
      </c>
      <c r="G50" s="13" t="b">
        <v>0</v>
      </c>
      <c r="H50" s="13" t="s">
        <v>39</v>
      </c>
      <c r="I50" s="27"/>
    </row>
    <row r="51">
      <c r="A51" s="13">
        <v>61.0</v>
      </c>
      <c r="C51" s="13">
        <v>19.0</v>
      </c>
      <c r="E51" s="13" t="s">
        <v>204</v>
      </c>
      <c r="F51" s="13" t="s">
        <v>205</v>
      </c>
      <c r="G51" s="13" t="b">
        <v>0</v>
      </c>
      <c r="I51" s="24"/>
    </row>
    <row r="52">
      <c r="A52" s="13">
        <v>62.0</v>
      </c>
      <c r="C52" s="13">
        <v>19.0</v>
      </c>
      <c r="E52" s="13" t="s">
        <v>206</v>
      </c>
      <c r="F52" s="13" t="s">
        <v>207</v>
      </c>
      <c r="G52" s="13" t="b">
        <v>0</v>
      </c>
      <c r="I52" s="27"/>
    </row>
    <row r="53">
      <c r="A53" s="13">
        <v>63.0</v>
      </c>
      <c r="C53" s="13">
        <v>19.0</v>
      </c>
      <c r="E53" s="13" t="s">
        <v>208</v>
      </c>
      <c r="F53" s="13" t="s">
        <v>209</v>
      </c>
      <c r="G53" s="13" t="b">
        <v>0</v>
      </c>
      <c r="I53" s="27"/>
    </row>
    <row r="54">
      <c r="A54" s="13">
        <v>64.0</v>
      </c>
      <c r="C54" s="13">
        <v>19.0</v>
      </c>
      <c r="E54" s="13" t="s">
        <v>211</v>
      </c>
      <c r="F54" s="13" t="s">
        <v>212</v>
      </c>
      <c r="G54" s="13" t="b">
        <v>0</v>
      </c>
      <c r="H54" s="13" t="s">
        <v>43</v>
      </c>
      <c r="I54" s="27"/>
    </row>
    <row r="55">
      <c r="A55" s="13">
        <v>65.0</v>
      </c>
      <c r="C55" s="13">
        <v>19.0</v>
      </c>
      <c r="E55" s="13" t="s">
        <v>208</v>
      </c>
      <c r="F55" s="13" t="s">
        <v>213</v>
      </c>
      <c r="G55" s="13" t="b">
        <v>0</v>
      </c>
      <c r="I55" s="27"/>
    </row>
    <row r="56">
      <c r="A56" s="13">
        <v>66.0</v>
      </c>
      <c r="C56" s="13">
        <v>19.0</v>
      </c>
      <c r="E56" s="13" t="s">
        <v>187</v>
      </c>
      <c r="F56" s="13" t="s">
        <v>215</v>
      </c>
      <c r="G56" s="13" t="b">
        <v>0</v>
      </c>
      <c r="I56" s="27"/>
    </row>
    <row r="57">
      <c r="A57" s="13">
        <v>67.0</v>
      </c>
      <c r="C57" s="13">
        <v>19.0</v>
      </c>
      <c r="E57" s="13" t="s">
        <v>51</v>
      </c>
      <c r="F57" s="13" t="s">
        <v>217</v>
      </c>
      <c r="G57" s="13" t="b">
        <v>0</v>
      </c>
      <c r="I57" s="27"/>
    </row>
    <row r="58">
      <c r="A58" s="13">
        <v>69.0</v>
      </c>
      <c r="C58" s="13">
        <v>19.0</v>
      </c>
      <c r="E58" s="13" t="s">
        <v>219</v>
      </c>
      <c r="F58" s="13" t="s">
        <v>220</v>
      </c>
      <c r="G58" s="13" t="b">
        <v>0</v>
      </c>
      <c r="I58" s="52"/>
    </row>
    <row r="59">
      <c r="A59" s="13">
        <v>70.0</v>
      </c>
      <c r="C59" s="13">
        <v>70.0</v>
      </c>
      <c r="D59" s="13" t="b">
        <v>1</v>
      </c>
      <c r="E59" s="13" t="s">
        <v>176</v>
      </c>
      <c r="F59" s="13" t="s">
        <v>223</v>
      </c>
      <c r="G59" s="13" t="b">
        <v>0</v>
      </c>
      <c r="H59" s="13" t="s">
        <v>35</v>
      </c>
      <c r="I59" s="34"/>
    </row>
    <row r="60">
      <c r="A60" s="13">
        <v>71.0</v>
      </c>
      <c r="C60" s="13">
        <v>70.0</v>
      </c>
      <c r="E60" s="13" t="s">
        <v>224</v>
      </c>
      <c r="F60" s="13" t="s">
        <v>225</v>
      </c>
      <c r="G60" s="13" t="b">
        <v>0</v>
      </c>
      <c r="H60" s="13" t="s">
        <v>39</v>
      </c>
      <c r="I60" s="34"/>
    </row>
    <row r="61">
      <c r="A61" s="13">
        <v>72.0</v>
      </c>
      <c r="C61" s="13">
        <v>70.0</v>
      </c>
      <c r="E61" s="13" t="s">
        <v>226</v>
      </c>
      <c r="F61" s="13" t="s">
        <v>225</v>
      </c>
      <c r="G61" s="13" t="b">
        <v>0</v>
      </c>
      <c r="H61" s="13" t="s">
        <v>43</v>
      </c>
      <c r="I61" s="34"/>
    </row>
    <row r="62">
      <c r="A62" s="13">
        <v>73.0</v>
      </c>
      <c r="C62" s="13">
        <v>70.0</v>
      </c>
      <c r="E62" s="13" t="s">
        <v>227</v>
      </c>
      <c r="F62" s="13" t="s">
        <v>228</v>
      </c>
      <c r="G62" s="13" t="b">
        <v>0</v>
      </c>
      <c r="I62" s="55"/>
    </row>
    <row r="63">
      <c r="A63" s="13">
        <v>74.0</v>
      </c>
      <c r="C63" s="13">
        <v>70.0</v>
      </c>
      <c r="E63" s="13" t="s">
        <v>229</v>
      </c>
      <c r="F63" s="13" t="s">
        <v>230</v>
      </c>
      <c r="G63" s="13" t="b">
        <v>0</v>
      </c>
      <c r="I63" s="57"/>
    </row>
    <row r="64">
      <c r="A64" s="13">
        <v>75.0</v>
      </c>
      <c r="C64" s="13">
        <v>70.0</v>
      </c>
      <c r="E64" s="13" t="s">
        <v>143</v>
      </c>
      <c r="F64" s="13" t="s">
        <v>232</v>
      </c>
      <c r="G64" s="13" t="b">
        <v>0</v>
      </c>
      <c r="I64" s="58"/>
    </row>
    <row r="65">
      <c r="A65" s="13">
        <v>76.0</v>
      </c>
      <c r="C65" s="13">
        <v>70.0</v>
      </c>
      <c r="E65" s="13" t="s">
        <v>233</v>
      </c>
      <c r="F65" s="13" t="s">
        <v>234</v>
      </c>
      <c r="G65" s="13" t="b">
        <v>0</v>
      </c>
      <c r="H65" s="13" t="s">
        <v>43</v>
      </c>
      <c r="I65" s="58"/>
    </row>
    <row r="66">
      <c r="A66" s="13">
        <v>77.0</v>
      </c>
      <c r="C66" s="13">
        <v>70.0</v>
      </c>
      <c r="E66" s="13" t="s">
        <v>235</v>
      </c>
      <c r="F66" s="13" t="s">
        <v>236</v>
      </c>
      <c r="G66" s="13" t="b">
        <v>0</v>
      </c>
      <c r="I66" s="60"/>
    </row>
    <row r="67">
      <c r="A67" s="13">
        <v>78.0</v>
      </c>
      <c r="C67" s="13">
        <v>70.0</v>
      </c>
      <c r="E67" s="13" t="s">
        <v>237</v>
      </c>
      <c r="F67" s="13" t="s">
        <v>238</v>
      </c>
      <c r="G67" s="13" t="b">
        <v>0</v>
      </c>
      <c r="I67" s="58"/>
    </row>
    <row r="68">
      <c r="A68" s="13">
        <v>79.0</v>
      </c>
      <c r="C68" s="13">
        <v>70.0</v>
      </c>
      <c r="E68" s="13" t="s">
        <v>51</v>
      </c>
      <c r="F68" s="13" t="s">
        <v>239</v>
      </c>
      <c r="G68" s="13" t="b">
        <v>0</v>
      </c>
      <c r="I68" s="57"/>
    </row>
    <row r="69">
      <c r="A69" s="13">
        <v>80.0</v>
      </c>
      <c r="C69" s="13">
        <v>70.0</v>
      </c>
      <c r="E69" s="13" t="s">
        <v>224</v>
      </c>
      <c r="F69" s="13" t="s">
        <v>225</v>
      </c>
      <c r="G69" s="13" t="b">
        <v>0</v>
      </c>
      <c r="H69" s="13" t="s">
        <v>43</v>
      </c>
      <c r="I69" s="58"/>
    </row>
    <row r="70">
      <c r="A70" s="13">
        <v>81.0</v>
      </c>
      <c r="C70" s="13">
        <v>70.0</v>
      </c>
      <c r="E70" s="13" t="s">
        <v>233</v>
      </c>
      <c r="F70" s="13" t="s">
        <v>240</v>
      </c>
      <c r="G70" s="13" t="b">
        <v>0</v>
      </c>
      <c r="I70" s="58"/>
    </row>
    <row r="71">
      <c r="A71" s="13">
        <v>82.0</v>
      </c>
      <c r="C71" s="13">
        <v>70.0</v>
      </c>
      <c r="E71" s="13" t="s">
        <v>241</v>
      </c>
      <c r="F71" s="13" t="s">
        <v>242</v>
      </c>
      <c r="G71" s="13" t="b">
        <v>0</v>
      </c>
      <c r="I71" s="58"/>
    </row>
    <row r="72">
      <c r="A72" s="13">
        <v>83.0</v>
      </c>
      <c r="C72" s="13">
        <v>70.0</v>
      </c>
      <c r="E72" s="13" t="s">
        <v>243</v>
      </c>
      <c r="F72" s="13" t="s">
        <v>244</v>
      </c>
      <c r="G72" s="13" t="b">
        <v>0</v>
      </c>
      <c r="I72" s="58"/>
    </row>
    <row r="73">
      <c r="A73" s="13">
        <v>84.0</v>
      </c>
      <c r="C73" s="13">
        <v>70.0</v>
      </c>
      <c r="E73" s="13" t="s">
        <v>245</v>
      </c>
      <c r="F73" s="13" t="s">
        <v>246</v>
      </c>
      <c r="G73" s="13" t="b">
        <v>0</v>
      </c>
      <c r="H73" s="13" t="s">
        <v>39</v>
      </c>
      <c r="I73" s="57"/>
    </row>
    <row r="74">
      <c r="A74" s="13">
        <v>85.0</v>
      </c>
      <c r="C74" s="13">
        <v>70.0</v>
      </c>
      <c r="E74" s="13" t="s">
        <v>247</v>
      </c>
      <c r="F74" s="13" t="s">
        <v>172</v>
      </c>
      <c r="G74" s="13" t="b">
        <v>0</v>
      </c>
      <c r="H74" s="13" t="s">
        <v>43</v>
      </c>
      <c r="I74" s="58"/>
    </row>
    <row r="75">
      <c r="A75" s="13">
        <v>86.0</v>
      </c>
      <c r="C75" s="13">
        <v>70.0</v>
      </c>
      <c r="E75" s="13" t="s">
        <v>248</v>
      </c>
      <c r="F75" s="13" t="s">
        <v>249</v>
      </c>
      <c r="G75" s="13" t="b">
        <v>0</v>
      </c>
      <c r="I75" s="62"/>
    </row>
    <row r="76">
      <c r="A76" s="13">
        <v>87.0</v>
      </c>
      <c r="C76" s="13">
        <v>70.0</v>
      </c>
      <c r="E76" s="13" t="s">
        <v>233</v>
      </c>
      <c r="F76" s="13" t="s">
        <v>250</v>
      </c>
      <c r="G76" s="13" t="b">
        <v>0</v>
      </c>
      <c r="I76" s="63"/>
    </row>
    <row r="77">
      <c r="A77" s="13">
        <v>88.0</v>
      </c>
      <c r="C77" s="13">
        <v>70.0</v>
      </c>
      <c r="E77" s="13" t="s">
        <v>251</v>
      </c>
      <c r="F77" s="13" t="s">
        <v>252</v>
      </c>
      <c r="G77" s="13" t="b">
        <v>0</v>
      </c>
      <c r="I77" s="63"/>
    </row>
    <row r="78">
      <c r="A78" s="13">
        <v>89.0</v>
      </c>
      <c r="C78" s="13">
        <v>70.0</v>
      </c>
      <c r="E78" s="13" t="s">
        <v>245</v>
      </c>
      <c r="F78" s="13" t="s">
        <v>246</v>
      </c>
      <c r="G78" s="13" t="b">
        <v>0</v>
      </c>
      <c r="H78" s="13" t="s">
        <v>43</v>
      </c>
      <c r="I78" s="64"/>
    </row>
    <row r="79">
      <c r="A79" s="13">
        <v>90.0</v>
      </c>
      <c r="C79" s="13">
        <v>70.0</v>
      </c>
      <c r="E79" s="13" t="s">
        <v>253</v>
      </c>
      <c r="F79" s="13" t="s">
        <v>254</v>
      </c>
      <c r="G79" s="13" t="b">
        <v>0</v>
      </c>
      <c r="I79" s="66"/>
    </row>
    <row r="80">
      <c r="A80" s="13">
        <v>91.0</v>
      </c>
      <c r="C80" s="13">
        <v>70.0</v>
      </c>
      <c r="E80" s="13" t="s">
        <v>132</v>
      </c>
      <c r="F80" s="13" t="s">
        <v>255</v>
      </c>
      <c r="G80" s="13" t="b">
        <v>0</v>
      </c>
      <c r="I80" s="66"/>
    </row>
    <row r="81">
      <c r="A81" s="13">
        <v>92.0</v>
      </c>
      <c r="C81" s="13">
        <v>70.0</v>
      </c>
      <c r="E81" s="13" t="s">
        <v>200</v>
      </c>
      <c r="F81" s="13" t="s">
        <v>256</v>
      </c>
      <c r="G81" s="13" t="b">
        <v>0</v>
      </c>
      <c r="I81" s="66"/>
    </row>
    <row r="82">
      <c r="A82" s="13">
        <v>94.0</v>
      </c>
      <c r="C82" s="13">
        <v>70.0</v>
      </c>
      <c r="E82" s="13" t="s">
        <v>257</v>
      </c>
      <c r="F82" s="13" t="s">
        <v>258</v>
      </c>
      <c r="G82" s="13" t="b">
        <v>0</v>
      </c>
      <c r="I82" s="63"/>
    </row>
    <row r="83">
      <c r="A83" s="13">
        <v>95.0</v>
      </c>
      <c r="C83" s="13">
        <v>70.0</v>
      </c>
      <c r="E83" s="13" t="s">
        <v>259</v>
      </c>
      <c r="F83" s="13" t="s">
        <v>260</v>
      </c>
      <c r="G83" s="13" t="b">
        <v>0</v>
      </c>
      <c r="I83" s="70"/>
    </row>
    <row r="84">
      <c r="A84" s="13">
        <v>96.0</v>
      </c>
      <c r="C84" s="13">
        <v>70.0</v>
      </c>
      <c r="E84" s="13" t="s">
        <v>241</v>
      </c>
      <c r="F84" s="13" t="s">
        <v>261</v>
      </c>
      <c r="G84" s="13" t="b">
        <v>0</v>
      </c>
      <c r="I84" s="70"/>
    </row>
    <row r="85">
      <c r="A85" s="13">
        <v>97.0</v>
      </c>
      <c r="C85" s="13">
        <v>70.0</v>
      </c>
      <c r="E85" s="72"/>
      <c r="F85" s="72"/>
      <c r="G85" s="13" t="b">
        <v>0</v>
      </c>
      <c r="H85" s="13" t="s">
        <v>39</v>
      </c>
      <c r="I85" s="70"/>
    </row>
    <row r="86">
      <c r="A86" s="13">
        <v>99.0</v>
      </c>
      <c r="C86" s="13">
        <v>70.0</v>
      </c>
      <c r="E86" s="13" t="s">
        <v>37</v>
      </c>
      <c r="F86" s="13" t="s">
        <v>262</v>
      </c>
      <c r="G86" s="13" t="b">
        <v>0</v>
      </c>
      <c r="I86" s="70"/>
    </row>
    <row r="87">
      <c r="A87" s="13">
        <v>100.0</v>
      </c>
      <c r="C87" s="13">
        <v>70.0</v>
      </c>
      <c r="E87" s="13" t="s">
        <v>263</v>
      </c>
      <c r="F87" s="13" t="s">
        <v>264</v>
      </c>
      <c r="G87" s="13" t="b">
        <v>0</v>
      </c>
      <c r="I87" s="70"/>
    </row>
    <row r="88">
      <c r="A88" s="13">
        <v>101.0</v>
      </c>
      <c r="C88" s="13">
        <v>70.0</v>
      </c>
      <c r="E88" s="13" t="s">
        <v>235</v>
      </c>
      <c r="F88" s="13" t="s">
        <v>265</v>
      </c>
      <c r="G88" s="13" t="b">
        <v>0</v>
      </c>
      <c r="I88" s="70"/>
    </row>
    <row r="89">
      <c r="A89" s="13">
        <v>102.0</v>
      </c>
      <c r="C89" s="13">
        <v>70.0</v>
      </c>
      <c r="E89" s="13" t="s">
        <v>266</v>
      </c>
      <c r="F89" s="13" t="s">
        <v>267</v>
      </c>
      <c r="G89" s="13" t="b">
        <v>0</v>
      </c>
      <c r="H89" s="13" t="s">
        <v>43</v>
      </c>
      <c r="I89" s="70"/>
    </row>
    <row r="90">
      <c r="A90" s="13">
        <v>103.0</v>
      </c>
      <c r="C90" s="13">
        <v>70.0</v>
      </c>
      <c r="E90" s="13" t="s">
        <v>268</v>
      </c>
      <c r="F90" s="13" t="s">
        <v>269</v>
      </c>
      <c r="G90" s="13" t="b">
        <v>0</v>
      </c>
      <c r="I90" s="70"/>
    </row>
    <row r="91">
      <c r="A91" s="13">
        <v>104.0</v>
      </c>
      <c r="C91" s="13">
        <v>70.0</v>
      </c>
      <c r="E91" s="13" t="s">
        <v>270</v>
      </c>
      <c r="F91" s="13" t="s">
        <v>271</v>
      </c>
      <c r="G91" s="13" t="b">
        <v>0</v>
      </c>
      <c r="I91" s="70"/>
    </row>
    <row r="92">
      <c r="A92" s="13">
        <v>105.0</v>
      </c>
      <c r="C92" s="13">
        <v>70.0</v>
      </c>
      <c r="E92" s="13" t="s">
        <v>272</v>
      </c>
      <c r="F92" s="13" t="s">
        <v>273</v>
      </c>
      <c r="G92" s="13" t="b">
        <v>0</v>
      </c>
      <c r="H92" s="13" t="s">
        <v>43</v>
      </c>
      <c r="I92" s="70"/>
    </row>
    <row r="93">
      <c r="A93" s="13">
        <v>106.0</v>
      </c>
      <c r="C93" s="13">
        <v>70.0</v>
      </c>
      <c r="E93" s="13" t="s">
        <v>56</v>
      </c>
      <c r="F93" s="13" t="s">
        <v>274</v>
      </c>
      <c r="G93" s="13" t="b">
        <v>0</v>
      </c>
      <c r="I93" s="70"/>
    </row>
    <row r="94">
      <c r="A94" s="13">
        <v>107.0</v>
      </c>
      <c r="C94" s="13">
        <v>70.0</v>
      </c>
      <c r="E94" s="13" t="s">
        <v>275</v>
      </c>
      <c r="F94" s="13" t="s">
        <v>264</v>
      </c>
      <c r="G94" s="13" t="b">
        <v>0</v>
      </c>
      <c r="I94" s="70"/>
    </row>
    <row r="95">
      <c r="A95" s="13">
        <v>108.0</v>
      </c>
      <c r="C95" s="13">
        <v>70.0</v>
      </c>
      <c r="E95" s="13" t="s">
        <v>235</v>
      </c>
      <c r="F95" s="13" t="s">
        <v>276</v>
      </c>
      <c r="G95" s="13" t="b">
        <v>0</v>
      </c>
      <c r="I95" s="70"/>
    </row>
    <row r="96">
      <c r="A96" s="13">
        <v>109.0</v>
      </c>
      <c r="C96" s="13">
        <v>70.0</v>
      </c>
      <c r="E96" s="13" t="s">
        <v>277</v>
      </c>
      <c r="F96" s="13" t="s">
        <v>278</v>
      </c>
      <c r="G96" s="13" t="b">
        <v>0</v>
      </c>
      <c r="I96" s="70"/>
    </row>
    <row r="97">
      <c r="A97" s="13">
        <v>111.0</v>
      </c>
      <c r="C97" s="13">
        <v>70.0</v>
      </c>
      <c r="E97" s="13" t="s">
        <v>224</v>
      </c>
      <c r="F97" s="13" t="s">
        <v>225</v>
      </c>
      <c r="G97" s="13" t="b">
        <v>0</v>
      </c>
      <c r="H97" s="13" t="s">
        <v>43</v>
      </c>
      <c r="I97" s="70"/>
    </row>
    <row r="98">
      <c r="A98" s="13">
        <v>112.0</v>
      </c>
      <c r="C98" s="13">
        <v>70.0</v>
      </c>
      <c r="E98" s="13" t="s">
        <v>107</v>
      </c>
      <c r="F98" s="13" t="s">
        <v>279</v>
      </c>
      <c r="G98" s="13" t="b">
        <v>0</v>
      </c>
      <c r="I98" s="70"/>
    </row>
    <row r="99">
      <c r="A99" s="13">
        <v>113.0</v>
      </c>
      <c r="C99" s="13">
        <v>70.0</v>
      </c>
      <c r="E99" s="13" t="s">
        <v>280</v>
      </c>
      <c r="F99" s="13" t="s">
        <v>57</v>
      </c>
      <c r="G99" s="13" t="b">
        <v>0</v>
      </c>
      <c r="I99" s="70"/>
    </row>
    <row r="100">
      <c r="A100" s="13">
        <v>114.0</v>
      </c>
      <c r="C100" s="13">
        <v>70.0</v>
      </c>
      <c r="E100" s="13" t="s">
        <v>281</v>
      </c>
      <c r="F100" s="13" t="s">
        <v>282</v>
      </c>
      <c r="G100" s="13" t="b">
        <v>0</v>
      </c>
      <c r="I100" s="70"/>
    </row>
    <row r="101">
      <c r="A101" s="13">
        <v>115.0</v>
      </c>
      <c r="C101" s="13">
        <v>70.0</v>
      </c>
      <c r="E101" s="13" t="s">
        <v>272</v>
      </c>
      <c r="F101" s="13" t="s">
        <v>283</v>
      </c>
      <c r="G101" s="13" t="b">
        <v>0</v>
      </c>
      <c r="H101" s="13" t="s">
        <v>43</v>
      </c>
    </row>
    <row r="102">
      <c r="A102" s="13">
        <v>116.0</v>
      </c>
      <c r="C102" s="13">
        <v>70.0</v>
      </c>
      <c r="E102" s="13" t="s">
        <v>284</v>
      </c>
      <c r="F102" s="13" t="s">
        <v>285</v>
      </c>
      <c r="G102" s="13" t="b">
        <v>0</v>
      </c>
      <c r="I102" s="55"/>
    </row>
    <row r="103">
      <c r="A103" s="13">
        <v>117.0</v>
      </c>
      <c r="C103" s="13">
        <v>70.0</v>
      </c>
      <c r="E103" s="13" t="s">
        <v>286</v>
      </c>
      <c r="F103" s="13" t="s">
        <v>287</v>
      </c>
      <c r="G103" s="13" t="b">
        <v>0</v>
      </c>
      <c r="I103" s="58"/>
    </row>
    <row r="104">
      <c r="A104" s="13">
        <v>119.0</v>
      </c>
      <c r="C104" s="13">
        <v>70.0</v>
      </c>
      <c r="E104" s="13" t="s">
        <v>288</v>
      </c>
      <c r="F104" s="13" t="s">
        <v>289</v>
      </c>
      <c r="G104" s="13" t="b">
        <v>0</v>
      </c>
      <c r="I104" s="58"/>
    </row>
    <row r="105">
      <c r="A105" s="13">
        <v>120.0</v>
      </c>
      <c r="C105" s="13">
        <v>70.0</v>
      </c>
      <c r="E105" s="13" t="s">
        <v>290</v>
      </c>
      <c r="F105" s="13" t="s">
        <v>291</v>
      </c>
      <c r="G105" s="13" t="b">
        <v>0</v>
      </c>
      <c r="I105" s="58"/>
    </row>
    <row r="106">
      <c r="A106" s="13">
        <v>121.0</v>
      </c>
      <c r="C106" s="13">
        <v>70.0</v>
      </c>
      <c r="E106" s="13" t="s">
        <v>292</v>
      </c>
      <c r="F106" s="13" t="s">
        <v>293</v>
      </c>
      <c r="G106" s="13" t="b">
        <v>0</v>
      </c>
      <c r="I106" s="58"/>
    </row>
    <row r="107">
      <c r="A107" s="13">
        <v>124.0</v>
      </c>
      <c r="C107" s="13">
        <v>70.0</v>
      </c>
      <c r="E107" s="13" t="s">
        <v>75</v>
      </c>
      <c r="F107" s="72"/>
      <c r="G107" s="13" t="b">
        <v>0</v>
      </c>
      <c r="I107" s="58"/>
    </row>
    <row r="108">
      <c r="A108" s="13">
        <v>125.0</v>
      </c>
      <c r="C108" s="13">
        <v>125.0</v>
      </c>
      <c r="D108" s="13" t="b">
        <v>1</v>
      </c>
      <c r="E108" s="13" t="s">
        <v>241</v>
      </c>
      <c r="F108" s="13" t="s">
        <v>294</v>
      </c>
      <c r="G108" s="13" t="b">
        <v>0</v>
      </c>
      <c r="H108" s="13" t="s">
        <v>35</v>
      </c>
      <c r="I108" s="58"/>
    </row>
    <row r="109">
      <c r="E109" s="72"/>
      <c r="F109" s="72"/>
      <c r="I109" s="58"/>
    </row>
    <row r="110">
      <c r="A110" s="13">
        <v>127.0</v>
      </c>
      <c r="C110" s="13">
        <v>125.0</v>
      </c>
      <c r="E110" s="13" t="s">
        <v>295</v>
      </c>
      <c r="F110" s="13" t="s">
        <v>296</v>
      </c>
      <c r="G110" s="13" t="b">
        <v>0</v>
      </c>
      <c r="H110" s="13" t="s">
        <v>43</v>
      </c>
      <c r="I110" s="58"/>
    </row>
    <row r="111">
      <c r="A111" s="13">
        <v>128.0</v>
      </c>
      <c r="C111" s="13">
        <v>125.0</v>
      </c>
      <c r="E111" s="13" t="s">
        <v>297</v>
      </c>
      <c r="F111" s="13" t="s">
        <v>142</v>
      </c>
      <c r="G111" s="13" t="b">
        <v>0</v>
      </c>
      <c r="I111" s="58"/>
    </row>
    <row r="112">
      <c r="A112" s="13">
        <v>129.0</v>
      </c>
      <c r="C112" s="13">
        <v>125.0</v>
      </c>
      <c r="E112" s="13" t="s">
        <v>298</v>
      </c>
      <c r="F112" s="13" t="s">
        <v>299</v>
      </c>
      <c r="G112" s="13" t="b">
        <v>0</v>
      </c>
      <c r="I112" s="58"/>
    </row>
    <row r="113">
      <c r="A113" s="13">
        <v>130.0</v>
      </c>
      <c r="C113" s="13">
        <v>125.0</v>
      </c>
      <c r="E113" s="13" t="s">
        <v>300</v>
      </c>
      <c r="F113" s="13" t="s">
        <v>301</v>
      </c>
      <c r="G113" s="13" t="b">
        <v>0</v>
      </c>
      <c r="I113" s="58"/>
    </row>
    <row r="114">
      <c r="A114" s="13">
        <v>131.0</v>
      </c>
      <c r="C114" s="13">
        <v>125.0</v>
      </c>
      <c r="E114" s="13" t="s">
        <v>302</v>
      </c>
      <c r="F114" s="13" t="s">
        <v>303</v>
      </c>
      <c r="G114" s="13" t="b">
        <v>0</v>
      </c>
      <c r="H114" s="13" t="s">
        <v>43</v>
      </c>
      <c r="I114" s="58"/>
    </row>
    <row r="115">
      <c r="A115" s="13">
        <v>132.0</v>
      </c>
      <c r="C115" s="13">
        <v>125.0</v>
      </c>
      <c r="E115" s="13" t="s">
        <v>304</v>
      </c>
      <c r="F115" s="13" t="s">
        <v>305</v>
      </c>
      <c r="G115" s="13" t="b">
        <v>0</v>
      </c>
      <c r="I115" s="58"/>
    </row>
    <row r="116">
      <c r="A116" s="13">
        <v>133.0</v>
      </c>
      <c r="C116" s="13">
        <v>125.0</v>
      </c>
      <c r="E116" s="13" t="s">
        <v>306</v>
      </c>
      <c r="F116" s="13" t="s">
        <v>225</v>
      </c>
      <c r="G116" s="13" t="b">
        <v>0</v>
      </c>
    </row>
    <row r="117">
      <c r="A117" s="13">
        <v>134.0</v>
      </c>
      <c r="C117" s="13">
        <v>125.0</v>
      </c>
      <c r="E117" s="13" t="s">
        <v>190</v>
      </c>
      <c r="F117" s="13" t="s">
        <v>307</v>
      </c>
      <c r="G117" s="13" t="b">
        <v>0</v>
      </c>
      <c r="I117" s="55"/>
    </row>
    <row r="118">
      <c r="F118" s="72"/>
      <c r="I118" s="62"/>
    </row>
    <row r="119">
      <c r="A119" s="13">
        <v>136.0</v>
      </c>
      <c r="C119" s="13">
        <v>125.0</v>
      </c>
      <c r="E119" s="13" t="s">
        <v>257</v>
      </c>
      <c r="F119" s="13" t="s">
        <v>308</v>
      </c>
      <c r="G119" s="13" t="b">
        <v>0</v>
      </c>
      <c r="I119" s="62"/>
    </row>
    <row r="120">
      <c r="A120" s="13">
        <v>137.0</v>
      </c>
      <c r="C120" s="13">
        <v>125.0</v>
      </c>
      <c r="E120" s="13" t="s">
        <v>309</v>
      </c>
      <c r="F120" s="13" t="s">
        <v>310</v>
      </c>
      <c r="G120" s="13" t="b">
        <v>0</v>
      </c>
      <c r="I120" s="62"/>
    </row>
    <row r="121">
      <c r="A121" s="13">
        <v>138.0</v>
      </c>
      <c r="C121" s="13">
        <v>125.0</v>
      </c>
      <c r="E121" s="13" t="s">
        <v>311</v>
      </c>
      <c r="F121" s="13" t="s">
        <v>312</v>
      </c>
      <c r="G121" s="13" t="b">
        <v>0</v>
      </c>
      <c r="I121" s="62"/>
    </row>
    <row r="122">
      <c r="A122" s="13">
        <v>139.0</v>
      </c>
      <c r="C122" s="13">
        <v>125.0</v>
      </c>
      <c r="E122" s="72"/>
      <c r="F122" s="72"/>
      <c r="G122" s="13" t="b">
        <v>0</v>
      </c>
      <c r="H122" s="13" t="s">
        <v>39</v>
      </c>
      <c r="I122" s="62"/>
    </row>
    <row r="123">
      <c r="E123" s="72"/>
      <c r="F123" s="72"/>
      <c r="I123" s="62"/>
    </row>
    <row r="124">
      <c r="A124" s="13">
        <v>141.0</v>
      </c>
      <c r="C124" s="13">
        <v>125.0</v>
      </c>
      <c r="E124" s="13" t="s">
        <v>313</v>
      </c>
      <c r="F124" s="13" t="s">
        <v>314</v>
      </c>
      <c r="G124" s="13" t="b">
        <v>0</v>
      </c>
      <c r="I124" s="62"/>
    </row>
    <row r="125">
      <c r="A125" s="13">
        <v>142.0</v>
      </c>
      <c r="C125" s="13">
        <v>125.0</v>
      </c>
      <c r="E125" s="13" t="s">
        <v>315</v>
      </c>
      <c r="F125" s="13" t="s">
        <v>316</v>
      </c>
      <c r="G125" s="13" t="b">
        <v>0</v>
      </c>
      <c r="I125" s="62"/>
    </row>
    <row r="126">
      <c r="A126" s="13">
        <v>143.0</v>
      </c>
      <c r="C126" s="13">
        <v>125.0</v>
      </c>
      <c r="E126" s="13" t="s">
        <v>317</v>
      </c>
      <c r="F126" s="13" t="s">
        <v>318</v>
      </c>
      <c r="G126" s="13" t="b">
        <v>0</v>
      </c>
      <c r="I126" s="62"/>
    </row>
    <row r="127">
      <c r="E127" s="72"/>
      <c r="F127" s="72"/>
      <c r="I127" s="62"/>
    </row>
    <row r="128">
      <c r="A128" s="13">
        <v>145.0</v>
      </c>
      <c r="C128" s="13">
        <v>125.0</v>
      </c>
      <c r="E128" s="13" t="s">
        <v>319</v>
      </c>
      <c r="F128" s="13" t="s">
        <v>320</v>
      </c>
      <c r="G128" s="13" t="b">
        <v>0</v>
      </c>
      <c r="I128" s="62"/>
    </row>
    <row r="129">
      <c r="A129" s="13">
        <v>146.0</v>
      </c>
      <c r="C129" s="13">
        <v>146.0</v>
      </c>
      <c r="D129" s="13" t="b">
        <v>1</v>
      </c>
      <c r="E129" s="13" t="s">
        <v>321</v>
      </c>
      <c r="F129" s="13" t="s">
        <v>322</v>
      </c>
      <c r="G129" s="13" t="b">
        <v>0</v>
      </c>
      <c r="H129" s="13" t="s">
        <v>35</v>
      </c>
      <c r="I129" s="62"/>
    </row>
    <row r="130">
      <c r="A130" s="13">
        <v>147.0</v>
      </c>
      <c r="C130" s="13">
        <v>146.0</v>
      </c>
      <c r="E130" s="13" t="s">
        <v>323</v>
      </c>
      <c r="F130" s="13" t="s">
        <v>324</v>
      </c>
      <c r="G130" s="13" t="b">
        <v>0</v>
      </c>
      <c r="H130" s="13" t="s">
        <v>39</v>
      </c>
      <c r="I130" s="62"/>
    </row>
    <row r="131">
      <c r="A131" s="13">
        <v>148.0</v>
      </c>
      <c r="C131" s="13">
        <v>146.0</v>
      </c>
      <c r="E131" s="13" t="s">
        <v>325</v>
      </c>
      <c r="F131" s="13" t="s">
        <v>326</v>
      </c>
      <c r="G131" s="13" t="b">
        <v>0</v>
      </c>
      <c r="H131" s="13" t="s">
        <v>43</v>
      </c>
      <c r="I131" s="62"/>
    </row>
    <row r="132">
      <c r="A132" s="13">
        <v>149.0</v>
      </c>
      <c r="C132" s="13">
        <v>146.0</v>
      </c>
      <c r="E132" s="13" t="s">
        <v>327</v>
      </c>
      <c r="F132" s="13" t="s">
        <v>328</v>
      </c>
      <c r="G132" s="13" t="b">
        <v>0</v>
      </c>
      <c r="I132" s="62"/>
    </row>
    <row r="133">
      <c r="A133" s="13">
        <v>150.0</v>
      </c>
      <c r="C133" s="13">
        <v>146.0</v>
      </c>
      <c r="E133" s="13" t="s">
        <v>329</v>
      </c>
      <c r="F133" s="13" t="s">
        <v>330</v>
      </c>
      <c r="G133" s="13" t="b">
        <v>0</v>
      </c>
    </row>
    <row r="134">
      <c r="A134" s="13">
        <v>151.0</v>
      </c>
      <c r="C134" s="13">
        <v>146.0</v>
      </c>
      <c r="E134" s="13" t="s">
        <v>332</v>
      </c>
      <c r="F134" s="13" t="s">
        <v>287</v>
      </c>
      <c r="G134" s="13" t="b">
        <v>0</v>
      </c>
      <c r="I134" s="55"/>
    </row>
    <row r="135">
      <c r="E135" s="72"/>
      <c r="F135" s="72"/>
      <c r="I135" s="58"/>
    </row>
    <row r="136">
      <c r="A136" s="13">
        <v>153.0</v>
      </c>
      <c r="C136" s="13">
        <v>146.0</v>
      </c>
      <c r="E136" s="13" t="s">
        <v>333</v>
      </c>
      <c r="F136" s="13" t="s">
        <v>334</v>
      </c>
      <c r="G136" s="13" t="b">
        <v>0</v>
      </c>
      <c r="I136" s="58"/>
    </row>
    <row r="137">
      <c r="A137" s="13">
        <v>154.0</v>
      </c>
      <c r="C137" s="13">
        <v>146.0</v>
      </c>
      <c r="E137" s="13" t="s">
        <v>335</v>
      </c>
      <c r="F137" s="13" t="s">
        <v>336</v>
      </c>
      <c r="G137" s="13" t="b">
        <v>0</v>
      </c>
      <c r="I137" s="58"/>
    </row>
    <row r="138">
      <c r="A138" s="13">
        <v>155.0</v>
      </c>
      <c r="C138" s="13">
        <v>146.0</v>
      </c>
      <c r="E138" s="13" t="s">
        <v>337</v>
      </c>
      <c r="F138" s="13" t="s">
        <v>338</v>
      </c>
      <c r="G138" s="13" t="b">
        <v>0</v>
      </c>
      <c r="I138" s="58"/>
    </row>
    <row r="139">
      <c r="E139" s="72"/>
      <c r="F139" s="72"/>
      <c r="I139" s="58"/>
    </row>
    <row r="140">
      <c r="A140" s="13">
        <v>157.0</v>
      </c>
      <c r="C140" s="13">
        <v>146.0</v>
      </c>
      <c r="E140" s="13" t="s">
        <v>339</v>
      </c>
      <c r="F140" s="13" t="s">
        <v>340</v>
      </c>
      <c r="G140" s="13" t="b">
        <v>0</v>
      </c>
      <c r="I140" s="58"/>
    </row>
    <row r="141">
      <c r="A141" s="13">
        <v>158.0</v>
      </c>
      <c r="C141" s="13">
        <v>146.0</v>
      </c>
      <c r="E141" s="13" t="s">
        <v>341</v>
      </c>
      <c r="F141" s="13" t="s">
        <v>342</v>
      </c>
      <c r="G141" s="13" t="b">
        <v>0</v>
      </c>
      <c r="I141" s="58"/>
    </row>
    <row r="142">
      <c r="A142" s="13">
        <v>159.0</v>
      </c>
      <c r="C142" s="13">
        <v>146.0</v>
      </c>
      <c r="E142" s="13" t="s">
        <v>343</v>
      </c>
      <c r="F142" s="13" t="s">
        <v>344</v>
      </c>
      <c r="G142" s="13" t="b">
        <v>0</v>
      </c>
      <c r="I142" s="58"/>
    </row>
    <row r="143">
      <c r="E143" s="72"/>
      <c r="F143" s="72"/>
      <c r="I143" s="58"/>
    </row>
    <row r="144">
      <c r="A144" s="13">
        <v>161.0</v>
      </c>
      <c r="C144" s="13">
        <v>146.0</v>
      </c>
      <c r="E144" s="13" t="s">
        <v>335</v>
      </c>
      <c r="F144" s="13" t="s">
        <v>345</v>
      </c>
      <c r="G144" s="13" t="b">
        <v>0</v>
      </c>
      <c r="H144" s="13" t="s">
        <v>43</v>
      </c>
      <c r="I144" s="58"/>
    </row>
    <row r="145">
      <c r="A145" s="13">
        <v>162.0</v>
      </c>
      <c r="C145" s="13">
        <v>146.0</v>
      </c>
      <c r="E145" s="13" t="s">
        <v>346</v>
      </c>
      <c r="F145" s="13" t="s">
        <v>347</v>
      </c>
      <c r="G145" s="13" t="b">
        <v>0</v>
      </c>
      <c r="I145" s="58"/>
    </row>
    <row r="146">
      <c r="A146" s="13">
        <v>163.0</v>
      </c>
      <c r="C146" s="13">
        <v>163.0</v>
      </c>
      <c r="D146" s="13" t="b">
        <v>1</v>
      </c>
      <c r="E146" s="13" t="s">
        <v>348</v>
      </c>
      <c r="F146" s="13" t="s">
        <v>349</v>
      </c>
      <c r="G146" s="13" t="b">
        <v>0</v>
      </c>
      <c r="H146" s="13" t="s">
        <v>35</v>
      </c>
      <c r="I146" s="58"/>
    </row>
    <row r="147">
      <c r="A147" s="13">
        <v>164.0</v>
      </c>
      <c r="C147" s="13">
        <v>163.0</v>
      </c>
      <c r="E147" s="13" t="s">
        <v>51</v>
      </c>
      <c r="F147" s="13" t="s">
        <v>350</v>
      </c>
      <c r="G147" s="13" t="b">
        <v>0</v>
      </c>
      <c r="H147" s="13" t="s">
        <v>39</v>
      </c>
      <c r="I147" s="58"/>
    </row>
    <row r="148">
      <c r="A148" s="13">
        <v>165.0</v>
      </c>
      <c r="C148" s="13">
        <v>163.0</v>
      </c>
      <c r="E148" s="13" t="s">
        <v>51</v>
      </c>
      <c r="F148" s="13" t="s">
        <v>350</v>
      </c>
      <c r="G148" s="13" t="b">
        <v>0</v>
      </c>
      <c r="H148" s="13" t="s">
        <v>43</v>
      </c>
      <c r="I148" s="58"/>
    </row>
    <row r="149">
      <c r="A149" s="13">
        <v>166.0</v>
      </c>
      <c r="C149" s="13">
        <v>163.0</v>
      </c>
      <c r="E149" s="13" t="s">
        <v>351</v>
      </c>
      <c r="F149" s="13" t="s">
        <v>352</v>
      </c>
      <c r="G149" s="13" t="b">
        <v>0</v>
      </c>
      <c r="I149" s="58"/>
    </row>
    <row r="150">
      <c r="A150" s="13">
        <v>167.0</v>
      </c>
      <c r="C150" s="13">
        <v>163.0</v>
      </c>
      <c r="E150" s="13" t="s">
        <v>353</v>
      </c>
      <c r="F150" s="13" t="s">
        <v>232</v>
      </c>
      <c r="G150" s="13" t="b">
        <v>0</v>
      </c>
      <c r="I150" s="58"/>
    </row>
    <row r="151">
      <c r="A151" s="13">
        <v>168.0</v>
      </c>
      <c r="C151" s="13">
        <v>163.0</v>
      </c>
      <c r="E151" s="13" t="s">
        <v>354</v>
      </c>
      <c r="F151" s="13" t="s">
        <v>355</v>
      </c>
      <c r="G151" s="13" t="b">
        <v>0</v>
      </c>
      <c r="H151" s="13" t="s">
        <v>43</v>
      </c>
      <c r="I151" s="58"/>
    </row>
    <row r="152">
      <c r="A152" s="13">
        <v>169.0</v>
      </c>
      <c r="C152" s="13">
        <v>163.0</v>
      </c>
      <c r="E152" s="13" t="s">
        <v>356</v>
      </c>
      <c r="F152" s="13" t="s">
        <v>238</v>
      </c>
      <c r="G152" s="13" t="b">
        <v>0</v>
      </c>
      <c r="I152" s="58"/>
    </row>
    <row r="153">
      <c r="A153" s="13">
        <v>170.0</v>
      </c>
      <c r="C153" s="13">
        <v>163.0</v>
      </c>
      <c r="E153" s="13" t="s">
        <v>358</v>
      </c>
      <c r="F153" s="13" t="s">
        <v>359</v>
      </c>
      <c r="G153" s="13" t="b">
        <v>0</v>
      </c>
      <c r="I153" s="58"/>
    </row>
    <row r="154">
      <c r="A154" s="13">
        <v>171.0</v>
      </c>
      <c r="C154" s="13">
        <v>163.0</v>
      </c>
      <c r="E154" s="13" t="s">
        <v>360</v>
      </c>
      <c r="F154" s="13" t="s">
        <v>240</v>
      </c>
      <c r="G154" s="13" t="b">
        <v>0</v>
      </c>
      <c r="I154" s="58"/>
    </row>
    <row r="155">
      <c r="A155" s="13">
        <v>172.0</v>
      </c>
      <c r="C155" s="13">
        <v>163.0</v>
      </c>
      <c r="E155" s="13" t="s">
        <v>361</v>
      </c>
      <c r="F155" s="13" t="s">
        <v>362</v>
      </c>
      <c r="G155" s="13" t="b">
        <v>0</v>
      </c>
      <c r="I155" s="58"/>
    </row>
    <row r="156">
      <c r="A156" s="13">
        <v>173.0</v>
      </c>
      <c r="C156" s="13">
        <v>163.0</v>
      </c>
      <c r="E156" s="13" t="s">
        <v>363</v>
      </c>
      <c r="F156" s="13" t="s">
        <v>364</v>
      </c>
      <c r="G156" s="13" t="b">
        <v>0</v>
      </c>
      <c r="I156" s="58"/>
    </row>
    <row r="157">
      <c r="A157" s="13">
        <v>174.0</v>
      </c>
      <c r="C157" s="13">
        <v>163.0</v>
      </c>
      <c r="E157" s="13" t="s">
        <v>365</v>
      </c>
      <c r="F157" s="13" t="s">
        <v>366</v>
      </c>
      <c r="G157" s="13" t="b">
        <v>0</v>
      </c>
      <c r="I157" s="58"/>
    </row>
    <row r="158">
      <c r="A158" s="13">
        <v>175.0</v>
      </c>
      <c r="C158" s="13">
        <v>163.0</v>
      </c>
      <c r="E158" s="13" t="s">
        <v>367</v>
      </c>
      <c r="F158" s="13" t="s">
        <v>368</v>
      </c>
      <c r="G158" s="13" t="b">
        <v>0</v>
      </c>
      <c r="H158" s="13" t="s">
        <v>39</v>
      </c>
      <c r="I158" s="58"/>
    </row>
    <row r="159">
      <c r="A159" s="13">
        <v>176.0</v>
      </c>
      <c r="C159" s="13">
        <v>163.0</v>
      </c>
      <c r="E159" s="13" t="s">
        <v>187</v>
      </c>
      <c r="F159" s="13" t="s">
        <v>287</v>
      </c>
      <c r="G159" s="13" t="b">
        <v>0</v>
      </c>
      <c r="H159" s="13" t="s">
        <v>43</v>
      </c>
      <c r="I159" s="58"/>
    </row>
    <row r="160">
      <c r="A160" s="13">
        <v>177.0</v>
      </c>
      <c r="C160" s="13">
        <v>163.0</v>
      </c>
      <c r="E160" s="13" t="s">
        <v>369</v>
      </c>
      <c r="F160" s="13" t="s">
        <v>370</v>
      </c>
      <c r="G160" s="13" t="b">
        <v>0</v>
      </c>
      <c r="I160" s="58"/>
    </row>
    <row r="161">
      <c r="A161" s="13">
        <v>178.0</v>
      </c>
      <c r="C161" s="13">
        <v>163.0</v>
      </c>
      <c r="E161" s="13" t="s">
        <v>51</v>
      </c>
      <c r="F161" s="13" t="s">
        <v>362</v>
      </c>
      <c r="G161" s="13" t="b">
        <v>0</v>
      </c>
      <c r="I161" s="58"/>
    </row>
    <row r="162">
      <c r="A162" s="13">
        <v>179.0</v>
      </c>
      <c r="C162" s="13">
        <v>163.0</v>
      </c>
      <c r="E162" s="13" t="s">
        <v>372</v>
      </c>
      <c r="F162" s="13" t="s">
        <v>373</v>
      </c>
      <c r="G162" s="13" t="b">
        <v>0</v>
      </c>
      <c r="I162" s="58"/>
    </row>
    <row r="163">
      <c r="A163" s="13">
        <v>180.0</v>
      </c>
      <c r="C163" s="13">
        <v>163.0</v>
      </c>
      <c r="E163" s="13" t="s">
        <v>374</v>
      </c>
      <c r="F163" s="13" t="s">
        <v>375</v>
      </c>
      <c r="G163" s="13" t="b">
        <v>0</v>
      </c>
      <c r="H163" s="13" t="s">
        <v>43</v>
      </c>
      <c r="I163" s="58"/>
    </row>
    <row r="164">
      <c r="A164" s="13">
        <v>181.0</v>
      </c>
      <c r="C164" s="13">
        <v>163.0</v>
      </c>
      <c r="E164" s="13" t="s">
        <v>208</v>
      </c>
      <c r="F164" s="13" t="s">
        <v>376</v>
      </c>
      <c r="G164" s="13" t="b">
        <v>0</v>
      </c>
      <c r="I164" s="58"/>
    </row>
    <row r="165">
      <c r="A165" s="13">
        <v>182.0</v>
      </c>
      <c r="C165" s="13">
        <v>163.0</v>
      </c>
      <c r="E165" s="13" t="s">
        <v>377</v>
      </c>
      <c r="F165" s="13" t="s">
        <v>136</v>
      </c>
      <c r="G165" s="13" t="b">
        <v>0</v>
      </c>
      <c r="I165" s="58"/>
    </row>
    <row r="166">
      <c r="A166" s="13">
        <v>183.0</v>
      </c>
      <c r="C166" s="13">
        <v>163.0</v>
      </c>
      <c r="E166" s="13" t="s">
        <v>378</v>
      </c>
      <c r="F166" s="13" t="s">
        <v>379</v>
      </c>
      <c r="G166" s="13" t="b">
        <v>0</v>
      </c>
      <c r="I166" s="58"/>
    </row>
    <row r="167">
      <c r="A167" s="13">
        <v>184.0</v>
      </c>
      <c r="C167" s="13">
        <v>163.0</v>
      </c>
      <c r="E167" s="13" t="s">
        <v>208</v>
      </c>
      <c r="F167" s="13" t="s">
        <v>75</v>
      </c>
      <c r="G167" s="13" t="b">
        <v>0</v>
      </c>
      <c r="I167" s="58"/>
    </row>
    <row r="168">
      <c r="A168" s="13">
        <v>185.0</v>
      </c>
      <c r="C168" s="13">
        <v>163.0</v>
      </c>
      <c r="E168" s="13" t="s">
        <v>380</v>
      </c>
      <c r="F168" s="13" t="s">
        <v>381</v>
      </c>
      <c r="G168" s="13" t="b">
        <v>0</v>
      </c>
      <c r="I168" s="58"/>
    </row>
    <row r="169">
      <c r="A169" s="13">
        <v>186.0</v>
      </c>
      <c r="C169" s="13">
        <v>163.0</v>
      </c>
      <c r="E169" s="13" t="s">
        <v>382</v>
      </c>
      <c r="F169" s="13" t="s">
        <v>151</v>
      </c>
      <c r="G169" s="13" t="b">
        <v>0</v>
      </c>
      <c r="I169" s="58"/>
    </row>
    <row r="170">
      <c r="A170" s="13">
        <v>187.0</v>
      </c>
      <c r="C170" s="13">
        <v>163.0</v>
      </c>
      <c r="E170" s="13" t="s">
        <v>383</v>
      </c>
      <c r="F170" s="13" t="s">
        <v>355</v>
      </c>
      <c r="G170" s="13" t="b">
        <v>0</v>
      </c>
      <c r="I170" s="58"/>
    </row>
    <row r="171">
      <c r="A171" s="13">
        <v>188.0</v>
      </c>
      <c r="C171" s="13">
        <v>163.0</v>
      </c>
      <c r="E171" s="13" t="s">
        <v>300</v>
      </c>
      <c r="F171" s="13" t="s">
        <v>38</v>
      </c>
      <c r="G171" s="13" t="b">
        <v>0</v>
      </c>
      <c r="H171" s="13" t="s">
        <v>39</v>
      </c>
      <c r="I171" s="58"/>
    </row>
    <row r="172">
      <c r="A172" s="13">
        <v>189.0</v>
      </c>
      <c r="C172" s="13">
        <v>163.0</v>
      </c>
      <c r="E172" s="13" t="s">
        <v>300</v>
      </c>
      <c r="F172" s="13" t="s">
        <v>38</v>
      </c>
      <c r="G172" s="13" t="b">
        <v>0</v>
      </c>
      <c r="H172" s="13" t="s">
        <v>43</v>
      </c>
      <c r="I172" s="58"/>
    </row>
    <row r="173">
      <c r="A173" s="13">
        <v>190.0</v>
      </c>
      <c r="C173" s="13">
        <v>163.0</v>
      </c>
      <c r="E173" s="13" t="s">
        <v>384</v>
      </c>
      <c r="F173" s="13" t="s">
        <v>385</v>
      </c>
      <c r="G173" s="13" t="b">
        <v>0</v>
      </c>
      <c r="I173" s="58"/>
    </row>
    <row r="174">
      <c r="A174" s="13">
        <v>191.0</v>
      </c>
      <c r="C174" s="13">
        <v>163.0</v>
      </c>
      <c r="E174" s="13" t="s">
        <v>387</v>
      </c>
      <c r="F174" s="13" t="s">
        <v>232</v>
      </c>
      <c r="G174" s="13" t="b">
        <v>0</v>
      </c>
      <c r="I174" s="58"/>
    </row>
    <row r="175">
      <c r="A175" s="13">
        <v>192.0</v>
      </c>
      <c r="C175" s="13">
        <v>163.0</v>
      </c>
      <c r="E175" s="13" t="s">
        <v>388</v>
      </c>
      <c r="F175" s="13" t="s">
        <v>389</v>
      </c>
      <c r="G175" s="13" t="b">
        <v>0</v>
      </c>
      <c r="I175" s="58"/>
    </row>
    <row r="176">
      <c r="A176" s="13">
        <v>193.0</v>
      </c>
      <c r="C176" s="13">
        <v>163.0</v>
      </c>
      <c r="E176" s="13" t="s">
        <v>390</v>
      </c>
      <c r="F176" s="13" t="s">
        <v>391</v>
      </c>
      <c r="G176" s="13" t="b">
        <v>0</v>
      </c>
      <c r="I176" s="58"/>
    </row>
    <row r="177">
      <c r="A177" s="13">
        <v>194.0</v>
      </c>
      <c r="C177" s="13">
        <v>163.0</v>
      </c>
      <c r="E177" s="13" t="s">
        <v>392</v>
      </c>
      <c r="F177" s="13" t="s">
        <v>349</v>
      </c>
      <c r="G177" s="13" t="b">
        <v>0</v>
      </c>
      <c r="I177" s="58"/>
    </row>
    <row r="178">
      <c r="A178" s="13">
        <v>195.0</v>
      </c>
      <c r="C178" s="13">
        <v>163.0</v>
      </c>
      <c r="E178" s="13" t="s">
        <v>257</v>
      </c>
      <c r="F178" s="13" t="s">
        <v>393</v>
      </c>
      <c r="G178" s="13" t="b">
        <v>0</v>
      </c>
      <c r="H178" s="13" t="s">
        <v>39</v>
      </c>
      <c r="I178" s="58"/>
    </row>
    <row r="179">
      <c r="A179" s="13">
        <v>196.0</v>
      </c>
      <c r="C179" s="13">
        <v>163.0</v>
      </c>
      <c r="E179" s="13" t="s">
        <v>257</v>
      </c>
      <c r="F179" s="13" t="s">
        <v>393</v>
      </c>
      <c r="G179" s="13" t="b">
        <v>0</v>
      </c>
      <c r="H179" s="13" t="s">
        <v>43</v>
      </c>
      <c r="I179" s="58"/>
    </row>
    <row r="180">
      <c r="A180" s="13">
        <v>197.0</v>
      </c>
      <c r="C180" s="13">
        <v>163.0</v>
      </c>
      <c r="E180" s="13" t="s">
        <v>394</v>
      </c>
      <c r="F180" s="13" t="s">
        <v>395</v>
      </c>
      <c r="G180" s="13" t="b">
        <v>0</v>
      </c>
      <c r="I180" s="97"/>
    </row>
    <row r="181">
      <c r="A181" s="13">
        <v>198.0</v>
      </c>
      <c r="C181" s="13">
        <v>163.0</v>
      </c>
      <c r="E181" s="13" t="s">
        <v>396</v>
      </c>
      <c r="F181" s="13" t="s">
        <v>397</v>
      </c>
      <c r="G181" s="13" t="b">
        <v>0</v>
      </c>
      <c r="I181" s="58"/>
    </row>
    <row r="182">
      <c r="A182" s="13">
        <v>199.0</v>
      </c>
      <c r="C182" s="13">
        <v>163.0</v>
      </c>
      <c r="E182" s="13" t="s">
        <v>398</v>
      </c>
      <c r="F182" s="13" t="s">
        <v>48</v>
      </c>
      <c r="G182" s="13" t="b">
        <v>0</v>
      </c>
      <c r="I182" s="58"/>
    </row>
    <row r="183">
      <c r="A183" s="13">
        <v>200.0</v>
      </c>
      <c r="C183" s="13">
        <v>163.0</v>
      </c>
      <c r="E183" s="13" t="s">
        <v>399</v>
      </c>
      <c r="F183" s="13" t="s">
        <v>400</v>
      </c>
      <c r="G183" s="13" t="b">
        <v>0</v>
      </c>
      <c r="H183" s="13" t="s">
        <v>39</v>
      </c>
      <c r="I183" s="58"/>
    </row>
    <row r="184">
      <c r="A184" s="13">
        <v>201.0</v>
      </c>
      <c r="C184" s="13">
        <v>163.0</v>
      </c>
      <c r="E184" s="13" t="s">
        <v>399</v>
      </c>
      <c r="F184" s="13" t="s">
        <v>400</v>
      </c>
      <c r="G184" s="13" t="b">
        <v>0</v>
      </c>
      <c r="H184" s="13" t="s">
        <v>43</v>
      </c>
      <c r="I184" s="58"/>
    </row>
    <row r="185">
      <c r="A185" s="13">
        <v>202.0</v>
      </c>
      <c r="C185" s="13">
        <v>163.0</v>
      </c>
      <c r="E185" s="13" t="s">
        <v>401</v>
      </c>
      <c r="F185" s="13" t="s">
        <v>402</v>
      </c>
      <c r="G185" s="13" t="b">
        <v>0</v>
      </c>
      <c r="H185" s="13" t="s">
        <v>39</v>
      </c>
      <c r="I185" s="58"/>
    </row>
    <row r="186">
      <c r="A186" s="13">
        <v>203.0</v>
      </c>
      <c r="C186" s="13">
        <v>163.0</v>
      </c>
      <c r="E186" s="13" t="s">
        <v>401</v>
      </c>
      <c r="F186" s="13" t="s">
        <v>402</v>
      </c>
      <c r="G186" s="13" t="b">
        <v>0</v>
      </c>
      <c r="H186" s="13" t="s">
        <v>43</v>
      </c>
      <c r="I186" s="58"/>
    </row>
    <row r="187">
      <c r="A187" s="13">
        <v>204.0</v>
      </c>
      <c r="C187" s="13">
        <v>163.0</v>
      </c>
      <c r="E187" s="13" t="s">
        <v>311</v>
      </c>
      <c r="F187" s="13" t="s">
        <v>403</v>
      </c>
      <c r="G187" s="13" t="b">
        <v>0</v>
      </c>
      <c r="I187" s="58"/>
    </row>
    <row r="188">
      <c r="E188" s="58"/>
      <c r="F188" s="58"/>
      <c r="H188" s="58"/>
      <c r="I188" s="58"/>
    </row>
    <row r="189">
      <c r="A189" s="13">
        <v>205.0</v>
      </c>
      <c r="C189" s="13">
        <v>205.0</v>
      </c>
      <c r="D189" s="13" t="b">
        <v>1</v>
      </c>
      <c r="E189" s="13" t="s">
        <v>140</v>
      </c>
      <c r="F189" s="13" t="s">
        <v>405</v>
      </c>
      <c r="G189" s="13" t="b">
        <v>0</v>
      </c>
      <c r="H189" s="13" t="s">
        <v>35</v>
      </c>
      <c r="I189" s="58"/>
    </row>
    <row r="190">
      <c r="A190" s="13">
        <v>206.0</v>
      </c>
      <c r="C190" s="13">
        <v>205.0</v>
      </c>
      <c r="E190" s="13" t="s">
        <v>132</v>
      </c>
      <c r="F190" s="13" t="s">
        <v>352</v>
      </c>
      <c r="G190" s="13" t="b">
        <v>0</v>
      </c>
      <c r="H190" s="13" t="s">
        <v>39</v>
      </c>
      <c r="I190" s="58"/>
    </row>
    <row r="191">
      <c r="A191" s="13">
        <v>207.0</v>
      </c>
      <c r="C191" s="13">
        <v>205.0</v>
      </c>
      <c r="E191" s="13" t="s">
        <v>406</v>
      </c>
      <c r="F191" s="13" t="s">
        <v>407</v>
      </c>
      <c r="G191" s="13" t="b">
        <v>0</v>
      </c>
      <c r="H191" s="13" t="s">
        <v>43</v>
      </c>
      <c r="I191" s="58"/>
    </row>
    <row r="192">
      <c r="A192" s="13">
        <v>208.0</v>
      </c>
      <c r="C192" s="13">
        <v>205.0</v>
      </c>
      <c r="E192" s="13" t="s">
        <v>408</v>
      </c>
      <c r="F192" s="13" t="s">
        <v>409</v>
      </c>
      <c r="G192" s="13" t="b">
        <v>0</v>
      </c>
      <c r="I192" s="58"/>
    </row>
    <row r="193">
      <c r="A193" s="13">
        <v>209.0</v>
      </c>
      <c r="C193" s="13">
        <v>205.0</v>
      </c>
      <c r="E193" s="13" t="s">
        <v>410</v>
      </c>
      <c r="F193" s="13" t="s">
        <v>411</v>
      </c>
      <c r="G193" s="13" t="b">
        <v>0</v>
      </c>
      <c r="I193" s="58"/>
    </row>
    <row r="194">
      <c r="A194" s="13">
        <v>210.0</v>
      </c>
      <c r="C194" s="13">
        <v>205.0</v>
      </c>
      <c r="E194" s="13" t="s">
        <v>412</v>
      </c>
      <c r="F194" s="13" t="s">
        <v>75</v>
      </c>
      <c r="G194" s="13" t="b">
        <v>0</v>
      </c>
      <c r="H194" s="13" t="s">
        <v>43</v>
      </c>
      <c r="I194" s="58"/>
    </row>
    <row r="195">
      <c r="A195" s="13">
        <v>211.0</v>
      </c>
      <c r="C195" s="13">
        <v>205.0</v>
      </c>
      <c r="E195" s="13" t="s">
        <v>194</v>
      </c>
      <c r="F195" s="13" t="s">
        <v>413</v>
      </c>
      <c r="G195" s="13" t="b">
        <v>0</v>
      </c>
      <c r="I195" s="73"/>
    </row>
    <row r="196">
      <c r="A196" s="13">
        <v>212.0</v>
      </c>
      <c r="C196" s="13">
        <v>205.0</v>
      </c>
      <c r="E196" s="13" t="s">
        <v>414</v>
      </c>
      <c r="F196" s="13" t="s">
        <v>312</v>
      </c>
      <c r="G196" s="13" t="b">
        <v>0</v>
      </c>
      <c r="H196" s="13" t="s">
        <v>43</v>
      </c>
      <c r="I196" s="58"/>
    </row>
    <row r="197">
      <c r="A197" s="13">
        <v>213.0</v>
      </c>
      <c r="C197" s="13">
        <v>205.0</v>
      </c>
      <c r="E197" s="13" t="s">
        <v>415</v>
      </c>
      <c r="F197" s="13" t="s">
        <v>416</v>
      </c>
      <c r="G197" s="13" t="b">
        <v>0</v>
      </c>
    </row>
    <row r="198">
      <c r="A198" s="13">
        <v>214.0</v>
      </c>
      <c r="C198" s="13">
        <v>205.0</v>
      </c>
      <c r="E198" s="13" t="s">
        <v>417</v>
      </c>
      <c r="F198" s="13" t="s">
        <v>418</v>
      </c>
      <c r="G198" s="13" t="b">
        <v>0</v>
      </c>
    </row>
    <row r="199">
      <c r="A199" s="13">
        <v>215.0</v>
      </c>
      <c r="C199" s="13">
        <v>205.0</v>
      </c>
      <c r="E199" s="13" t="s">
        <v>419</v>
      </c>
      <c r="F199" s="13" t="s">
        <v>420</v>
      </c>
      <c r="G199" s="13" t="b">
        <v>0</v>
      </c>
    </row>
    <row r="200">
      <c r="A200" s="13">
        <v>216.0</v>
      </c>
      <c r="C200" s="13">
        <v>205.0</v>
      </c>
      <c r="E200" s="13" t="s">
        <v>421</v>
      </c>
      <c r="F200" s="13" t="s">
        <v>422</v>
      </c>
      <c r="G200" s="13" t="b">
        <v>0</v>
      </c>
    </row>
    <row r="201">
      <c r="A201" s="13">
        <v>217.0</v>
      </c>
      <c r="C201" s="13">
        <v>205.0</v>
      </c>
      <c r="E201" s="13" t="s">
        <v>424</v>
      </c>
      <c r="F201" s="13" t="s">
        <v>425</v>
      </c>
      <c r="G201" s="13" t="b">
        <v>0</v>
      </c>
    </row>
    <row r="202">
      <c r="A202" s="13">
        <v>218.0</v>
      </c>
      <c r="C202" s="13">
        <v>205.0</v>
      </c>
      <c r="E202" s="13" t="s">
        <v>132</v>
      </c>
      <c r="F202" s="13" t="s">
        <v>352</v>
      </c>
      <c r="G202" s="13" t="b">
        <v>0</v>
      </c>
      <c r="H202" s="13" t="s">
        <v>43</v>
      </c>
    </row>
    <row r="203">
      <c r="A203" s="13">
        <v>219.0</v>
      </c>
      <c r="C203" s="13">
        <v>205.0</v>
      </c>
      <c r="E203" s="13" t="s">
        <v>426</v>
      </c>
      <c r="F203" s="13" t="s">
        <v>427</v>
      </c>
      <c r="G203" s="13" t="b">
        <v>0</v>
      </c>
    </row>
    <row r="204">
      <c r="A204" s="13">
        <v>220.0</v>
      </c>
      <c r="C204" s="13">
        <v>205.0</v>
      </c>
      <c r="E204" s="13" t="s">
        <v>428</v>
      </c>
      <c r="F204" s="13" t="s">
        <v>429</v>
      </c>
      <c r="G204" s="13" t="b">
        <v>0</v>
      </c>
    </row>
    <row r="205">
      <c r="A205" s="13">
        <v>221.0</v>
      </c>
      <c r="C205" s="13">
        <v>205.0</v>
      </c>
      <c r="E205" s="13" t="s">
        <v>317</v>
      </c>
      <c r="F205" s="13" t="s">
        <v>430</v>
      </c>
      <c r="G205" s="13" t="b">
        <v>0</v>
      </c>
      <c r="H205" s="13" t="s">
        <v>39</v>
      </c>
    </row>
    <row r="206">
      <c r="A206" s="13">
        <v>222.0</v>
      </c>
      <c r="C206" s="13">
        <v>205.0</v>
      </c>
      <c r="E206" s="13" t="s">
        <v>431</v>
      </c>
      <c r="F206" s="13" t="s">
        <v>432</v>
      </c>
      <c r="G206" s="13" t="b">
        <v>0</v>
      </c>
      <c r="H206" s="13" t="s">
        <v>43</v>
      </c>
    </row>
    <row r="207">
      <c r="A207" s="13">
        <v>223.0</v>
      </c>
      <c r="C207" s="13">
        <v>205.0</v>
      </c>
      <c r="E207" s="13" t="s">
        <v>433</v>
      </c>
      <c r="F207" s="13" t="s">
        <v>38</v>
      </c>
      <c r="G207" s="13" t="b">
        <v>0</v>
      </c>
    </row>
    <row r="208">
      <c r="A208" s="13">
        <v>224.0</v>
      </c>
      <c r="C208" s="13">
        <v>205.0</v>
      </c>
      <c r="E208" s="13" t="s">
        <v>434</v>
      </c>
      <c r="F208" s="13" t="s">
        <v>142</v>
      </c>
      <c r="G208" s="13" t="b">
        <v>0</v>
      </c>
    </row>
    <row r="209">
      <c r="A209" s="13">
        <v>225.0</v>
      </c>
      <c r="C209" s="13">
        <v>205.0</v>
      </c>
      <c r="E209" s="13" t="s">
        <v>435</v>
      </c>
      <c r="F209" s="13" t="s">
        <v>436</v>
      </c>
      <c r="G209" s="13" t="b">
        <v>0</v>
      </c>
    </row>
    <row r="211">
      <c r="A211" s="13">
        <v>227.0</v>
      </c>
      <c r="C211" s="13">
        <v>205.0</v>
      </c>
      <c r="E211" s="13" t="s">
        <v>243</v>
      </c>
      <c r="F211" s="13" t="s">
        <v>244</v>
      </c>
      <c r="G211" s="13" t="b">
        <v>0</v>
      </c>
    </row>
    <row r="212">
      <c r="A212" s="13">
        <v>228.0</v>
      </c>
      <c r="C212" s="13">
        <v>205.0</v>
      </c>
      <c r="E212" s="13" t="s">
        <v>438</v>
      </c>
      <c r="F212" s="13" t="s">
        <v>439</v>
      </c>
      <c r="G212" s="13" t="b">
        <v>0</v>
      </c>
    </row>
    <row r="213">
      <c r="A213" s="13">
        <v>229.0</v>
      </c>
      <c r="C213" s="13">
        <v>205.0</v>
      </c>
      <c r="E213" s="13" t="s">
        <v>440</v>
      </c>
      <c r="F213" s="13" t="s">
        <v>441</v>
      </c>
      <c r="G213" s="13" t="b">
        <v>0</v>
      </c>
    </row>
    <row r="214">
      <c r="A214" s="13">
        <v>230.0</v>
      </c>
      <c r="C214" s="13">
        <v>205.0</v>
      </c>
      <c r="E214" s="13" t="s">
        <v>243</v>
      </c>
      <c r="F214" s="13" t="s">
        <v>397</v>
      </c>
      <c r="G214" s="13" t="b">
        <v>0</v>
      </c>
    </row>
    <row r="216">
      <c r="A216" s="13">
        <v>232.0</v>
      </c>
      <c r="C216" s="13">
        <v>205.0</v>
      </c>
      <c r="E216" s="13" t="s">
        <v>243</v>
      </c>
      <c r="F216" s="13" t="s">
        <v>397</v>
      </c>
      <c r="G216" s="13" t="b">
        <v>0</v>
      </c>
    </row>
    <row r="217">
      <c r="Q217" s="12"/>
      <c r="R217" s="12"/>
      <c r="S217" s="12"/>
      <c r="T217" s="12"/>
      <c r="U217" s="12"/>
      <c r="V217" s="12"/>
      <c r="W217" s="12"/>
    </row>
    <row r="219">
      <c r="A219" s="13">
        <v>235.0</v>
      </c>
      <c r="C219" s="13">
        <v>205.0</v>
      </c>
      <c r="E219" s="13" t="s">
        <v>442</v>
      </c>
      <c r="F219" s="13" t="s">
        <v>443</v>
      </c>
      <c r="G219" s="13" t="b">
        <v>0</v>
      </c>
    </row>
    <row r="220">
      <c r="A220" s="13">
        <v>236.0</v>
      </c>
      <c r="C220" s="13">
        <v>205.0</v>
      </c>
      <c r="E220" s="13" t="s">
        <v>444</v>
      </c>
      <c r="F220" s="13" t="s">
        <v>445</v>
      </c>
      <c r="G220" s="13" t="b">
        <v>0</v>
      </c>
    </row>
    <row r="221">
      <c r="A221" s="13">
        <v>237.0</v>
      </c>
      <c r="C221" s="13">
        <v>205.0</v>
      </c>
      <c r="E221" s="13" t="s">
        <v>446</v>
      </c>
      <c r="F221" s="13" t="s">
        <v>447</v>
      </c>
      <c r="G221" s="13" t="b">
        <v>0</v>
      </c>
    </row>
    <row r="223">
      <c r="A223" s="13">
        <v>239.0</v>
      </c>
      <c r="C223" s="13">
        <v>205.0</v>
      </c>
      <c r="E223" s="13" t="s">
        <v>449</v>
      </c>
      <c r="F223" s="13" t="s">
        <v>267</v>
      </c>
      <c r="G223" s="13" t="b">
        <v>0</v>
      </c>
    </row>
    <row r="224">
      <c r="A224" s="13">
        <v>240.0</v>
      </c>
      <c r="C224" s="13">
        <v>205.0</v>
      </c>
      <c r="E224" s="13" t="s">
        <v>450</v>
      </c>
      <c r="F224" s="13" t="s">
        <v>451</v>
      </c>
      <c r="G224" s="13" t="b">
        <v>0</v>
      </c>
    </row>
    <row r="225">
      <c r="A225" s="13">
        <v>241.0</v>
      </c>
      <c r="C225" s="13">
        <v>205.0</v>
      </c>
      <c r="E225" s="13" t="s">
        <v>452</v>
      </c>
      <c r="F225" s="13" t="s">
        <v>453</v>
      </c>
      <c r="G225" s="13" t="b">
        <v>0</v>
      </c>
    </row>
    <row r="226">
      <c r="A226" s="13">
        <v>242.0</v>
      </c>
      <c r="C226" s="13">
        <v>205.0</v>
      </c>
      <c r="E226" s="13" t="s">
        <v>454</v>
      </c>
      <c r="F226" s="13" t="s">
        <v>455</v>
      </c>
      <c r="G226" s="13" t="b">
        <v>0</v>
      </c>
      <c r="Q226" s="13"/>
      <c r="R226" s="13"/>
      <c r="S226" s="13"/>
      <c r="T226" s="13"/>
      <c r="U226" s="13"/>
      <c r="V226" s="13"/>
      <c r="W226" s="13"/>
    </row>
    <row r="227">
      <c r="A227" s="13">
        <v>243.0</v>
      </c>
      <c r="C227" s="13">
        <v>205.0</v>
      </c>
      <c r="E227" s="13" t="s">
        <v>385</v>
      </c>
      <c r="F227" s="120"/>
      <c r="G227" s="13" t="b">
        <v>0</v>
      </c>
    </row>
    <row r="228">
      <c r="A228" s="13">
        <v>244.0</v>
      </c>
      <c r="C228" s="13">
        <v>205.0</v>
      </c>
      <c r="E228" s="13" t="s">
        <v>140</v>
      </c>
      <c r="F228" s="13" t="s">
        <v>405</v>
      </c>
      <c r="G228" s="13" t="b">
        <v>0</v>
      </c>
      <c r="H228" s="13" t="s">
        <v>43</v>
      </c>
      <c r="K228" s="13"/>
      <c r="P228" s="13"/>
    </row>
    <row r="229">
      <c r="A229" s="13">
        <v>245.0</v>
      </c>
      <c r="C229" s="13">
        <v>205.0</v>
      </c>
      <c r="E229" s="13" t="s">
        <v>457</v>
      </c>
      <c r="F229" s="13" t="s">
        <v>458</v>
      </c>
      <c r="G229" s="13" t="b">
        <v>0</v>
      </c>
    </row>
    <row r="230">
      <c r="A230" s="13">
        <v>246.0</v>
      </c>
      <c r="C230" s="13">
        <v>205.0</v>
      </c>
      <c r="E230" s="13" t="s">
        <v>459</v>
      </c>
      <c r="F230" s="13" t="s">
        <v>416</v>
      </c>
      <c r="G230" s="13" t="b">
        <v>0</v>
      </c>
    </row>
    <row r="231">
      <c r="A231" s="13">
        <v>247.0</v>
      </c>
      <c r="C231" s="13">
        <v>205.0</v>
      </c>
      <c r="E231" s="13" t="s">
        <v>460</v>
      </c>
      <c r="F231" s="13" t="s">
        <v>461</v>
      </c>
      <c r="G231" s="13" t="b">
        <v>0</v>
      </c>
    </row>
    <row r="233">
      <c r="A233" s="13">
        <v>249.0</v>
      </c>
      <c r="C233" s="13">
        <v>205.0</v>
      </c>
      <c r="E233" s="13" t="s">
        <v>462</v>
      </c>
      <c r="F233" s="13" t="s">
        <v>463</v>
      </c>
      <c r="G233" s="13" t="b">
        <v>0</v>
      </c>
    </row>
    <row r="234">
      <c r="A234" s="13">
        <v>250.0</v>
      </c>
      <c r="C234" s="13">
        <v>205.0</v>
      </c>
      <c r="E234" s="13" t="s">
        <v>464</v>
      </c>
      <c r="F234" s="13" t="s">
        <v>465</v>
      </c>
      <c r="G234" s="13" t="b">
        <v>0</v>
      </c>
    </row>
    <row r="235">
      <c r="A235" s="13">
        <v>251.0</v>
      </c>
      <c r="C235" s="13">
        <v>205.0</v>
      </c>
      <c r="E235" s="13" t="s">
        <v>467</v>
      </c>
      <c r="F235" s="13" t="s">
        <v>468</v>
      </c>
      <c r="G235" s="13" t="b">
        <v>0</v>
      </c>
    </row>
    <row r="236">
      <c r="A236" s="13">
        <v>252.0</v>
      </c>
      <c r="C236" s="13">
        <v>205.0</v>
      </c>
      <c r="E236" s="13" t="s">
        <v>469</v>
      </c>
      <c r="F236" s="13" t="s">
        <v>225</v>
      </c>
      <c r="G236" s="13" t="b">
        <v>0</v>
      </c>
      <c r="H236" s="13" t="s">
        <v>39</v>
      </c>
    </row>
    <row r="237">
      <c r="A237" s="13">
        <v>253.0</v>
      </c>
      <c r="C237" s="13">
        <v>205.0</v>
      </c>
      <c r="E237" s="13" t="s">
        <v>470</v>
      </c>
      <c r="F237" s="13" t="s">
        <v>389</v>
      </c>
      <c r="G237" s="13" t="b">
        <v>0</v>
      </c>
      <c r="H237" s="13" t="s">
        <v>43</v>
      </c>
    </row>
    <row r="238">
      <c r="A238" s="13">
        <v>254.0</v>
      </c>
      <c r="C238" s="13">
        <v>205.0</v>
      </c>
      <c r="E238" s="13" t="s">
        <v>471</v>
      </c>
      <c r="F238" s="13" t="s">
        <v>472</v>
      </c>
      <c r="G238" s="13" t="b">
        <v>0</v>
      </c>
    </row>
    <row r="239">
      <c r="A239" s="13">
        <v>255.0</v>
      </c>
      <c r="C239" s="13">
        <v>205.0</v>
      </c>
      <c r="E239" s="13" t="s">
        <v>473</v>
      </c>
      <c r="F239" s="13" t="s">
        <v>474</v>
      </c>
      <c r="G239" s="13" t="b">
        <v>0</v>
      </c>
    </row>
    <row r="240">
      <c r="A240" s="13">
        <v>256.0</v>
      </c>
      <c r="C240" s="13">
        <v>205.0</v>
      </c>
      <c r="E240" s="13" t="s">
        <v>475</v>
      </c>
      <c r="F240" s="13" t="s">
        <v>476</v>
      </c>
      <c r="G240" s="13" t="b">
        <v>0</v>
      </c>
    </row>
    <row r="242">
      <c r="A242" s="13">
        <v>258.0</v>
      </c>
      <c r="C242" s="13">
        <v>205.0</v>
      </c>
      <c r="E242" s="13" t="s">
        <v>477</v>
      </c>
      <c r="F242" s="13" t="s">
        <v>478</v>
      </c>
      <c r="G242" s="13" t="b">
        <v>0</v>
      </c>
    </row>
    <row r="243">
      <c r="A243" s="13">
        <v>259.0</v>
      </c>
      <c r="C243" s="13">
        <v>205.0</v>
      </c>
      <c r="E243" s="13" t="s">
        <v>475</v>
      </c>
      <c r="F243" s="13" t="s">
        <v>476</v>
      </c>
      <c r="G243" s="13" t="b">
        <v>0</v>
      </c>
    </row>
    <row r="244">
      <c r="A244" s="13">
        <v>260.0</v>
      </c>
      <c r="C244" s="13">
        <v>205.0</v>
      </c>
      <c r="E244" s="13" t="s">
        <v>479</v>
      </c>
      <c r="F244" s="13" t="s">
        <v>481</v>
      </c>
      <c r="G244" s="13" t="b">
        <v>0</v>
      </c>
    </row>
    <row r="246">
      <c r="A246" s="13">
        <v>262.0</v>
      </c>
      <c r="C246" s="13">
        <v>205.0</v>
      </c>
      <c r="E246" s="13" t="s">
        <v>482</v>
      </c>
      <c r="F246" s="13" t="s">
        <v>483</v>
      </c>
      <c r="G246" s="13" t="b">
        <v>0</v>
      </c>
    </row>
    <row r="247">
      <c r="A247" s="13">
        <v>263.0</v>
      </c>
      <c r="C247" s="13">
        <v>205.0</v>
      </c>
      <c r="E247" s="13" t="s">
        <v>484</v>
      </c>
      <c r="F247" s="13" t="s">
        <v>485</v>
      </c>
      <c r="G247" s="13" t="b">
        <v>0</v>
      </c>
    </row>
    <row r="249">
      <c r="A249" s="13">
        <v>265.0</v>
      </c>
      <c r="C249" s="13">
        <v>205.0</v>
      </c>
      <c r="E249" s="13" t="s">
        <v>486</v>
      </c>
      <c r="F249" s="13" t="s">
        <v>487</v>
      </c>
      <c r="G249" s="13" t="b">
        <v>0</v>
      </c>
      <c r="H249" s="13" t="s">
        <v>43</v>
      </c>
    </row>
    <row r="250">
      <c r="A250" s="13">
        <v>266.0</v>
      </c>
      <c r="C250" s="13">
        <v>205.0</v>
      </c>
      <c r="E250" s="13" t="s">
        <v>488</v>
      </c>
      <c r="F250" s="13" t="s">
        <v>489</v>
      </c>
      <c r="G250" s="13" t="b">
        <v>0</v>
      </c>
      <c r="H250" s="13" t="s">
        <v>43</v>
      </c>
    </row>
    <row r="251">
      <c r="A251" s="13">
        <v>267.0</v>
      </c>
      <c r="C251" s="13">
        <v>205.0</v>
      </c>
      <c r="E251" s="13" t="s">
        <v>490</v>
      </c>
      <c r="F251" s="13" t="s">
        <v>48</v>
      </c>
      <c r="G251" s="13" t="b">
        <v>0</v>
      </c>
    </row>
    <row r="252">
      <c r="A252" s="13">
        <v>268.0</v>
      </c>
      <c r="C252" s="13">
        <v>205.0</v>
      </c>
      <c r="E252" s="13" t="s">
        <v>490</v>
      </c>
      <c r="F252" s="13" t="s">
        <v>491</v>
      </c>
      <c r="G252" s="13" t="b">
        <v>0</v>
      </c>
    </row>
    <row r="253">
      <c r="A253" s="13">
        <v>269.0</v>
      </c>
      <c r="C253" s="13">
        <v>205.0</v>
      </c>
      <c r="E253" s="13" t="s">
        <v>490</v>
      </c>
      <c r="F253" s="13" t="s">
        <v>492</v>
      </c>
      <c r="G253" s="13" t="b">
        <v>0</v>
      </c>
    </row>
    <row r="255">
      <c r="A255" s="13">
        <v>271.0</v>
      </c>
      <c r="C255" s="13">
        <v>205.0</v>
      </c>
      <c r="E255" s="13" t="s">
        <v>493</v>
      </c>
      <c r="F255" s="13" t="s">
        <v>494</v>
      </c>
      <c r="G255" s="13" t="b">
        <v>0</v>
      </c>
      <c r="H255" s="13" t="s">
        <v>43</v>
      </c>
    </row>
    <row r="256">
      <c r="A256" s="13">
        <v>272.0</v>
      </c>
      <c r="C256" s="13">
        <v>205.0</v>
      </c>
      <c r="E256" s="13" t="s">
        <v>495</v>
      </c>
      <c r="F256" s="13" t="s">
        <v>496</v>
      </c>
      <c r="G256" s="13" t="b">
        <v>0</v>
      </c>
    </row>
    <row r="258">
      <c r="A258" s="13">
        <v>273.0</v>
      </c>
      <c r="C258" s="13">
        <v>273.0</v>
      </c>
      <c r="D258" s="13" t="b">
        <v>1</v>
      </c>
      <c r="E258" s="13" t="s">
        <v>153</v>
      </c>
      <c r="F258" s="13" t="s">
        <v>310</v>
      </c>
      <c r="G258" s="13" t="b">
        <v>0</v>
      </c>
      <c r="H258" s="13" t="s">
        <v>35</v>
      </c>
    </row>
    <row r="259">
      <c r="A259" s="13">
        <v>274.0</v>
      </c>
      <c r="C259" s="13">
        <v>273.0</v>
      </c>
      <c r="E259" s="13" t="s">
        <v>171</v>
      </c>
      <c r="F259" s="13" t="s">
        <v>497</v>
      </c>
      <c r="G259" s="13" t="b">
        <v>0</v>
      </c>
      <c r="H259" s="13" t="s">
        <v>39</v>
      </c>
    </row>
    <row r="260">
      <c r="A260" s="13">
        <v>275.0</v>
      </c>
      <c r="C260" s="13">
        <v>273.0</v>
      </c>
      <c r="E260" s="13" t="s">
        <v>171</v>
      </c>
      <c r="F260" s="13" t="s">
        <v>497</v>
      </c>
      <c r="G260" s="13" t="b">
        <v>0</v>
      </c>
      <c r="H260" s="13" t="s">
        <v>43</v>
      </c>
    </row>
    <row r="261">
      <c r="A261" s="13">
        <v>276.0</v>
      </c>
      <c r="C261" s="13">
        <v>273.0</v>
      </c>
      <c r="E261" s="13" t="s">
        <v>498</v>
      </c>
      <c r="F261" s="13" t="s">
        <v>499</v>
      </c>
      <c r="G261" s="13" t="b">
        <v>0</v>
      </c>
    </row>
    <row r="262">
      <c r="A262" s="13">
        <v>277.0</v>
      </c>
      <c r="C262" s="13">
        <v>273.0</v>
      </c>
      <c r="E262" s="13" t="s">
        <v>500</v>
      </c>
      <c r="F262" s="13" t="s">
        <v>501</v>
      </c>
      <c r="G262" s="13" t="b">
        <v>0</v>
      </c>
      <c r="H262" s="13" t="s">
        <v>43</v>
      </c>
    </row>
    <row r="263">
      <c r="A263" s="13">
        <v>278.0</v>
      </c>
      <c r="C263" s="13">
        <v>273.0</v>
      </c>
      <c r="E263" s="13" t="s">
        <v>502</v>
      </c>
      <c r="F263" s="13" t="s">
        <v>34</v>
      </c>
      <c r="G263" s="13" t="b">
        <v>0</v>
      </c>
    </row>
    <row r="264">
      <c r="A264" s="13">
        <v>279.0</v>
      </c>
      <c r="C264" s="13">
        <v>273.0</v>
      </c>
      <c r="E264" s="13" t="s">
        <v>157</v>
      </c>
      <c r="F264" s="13" t="s">
        <v>503</v>
      </c>
      <c r="G264" s="13" t="b">
        <v>0</v>
      </c>
      <c r="H264" s="13" t="s">
        <v>43</v>
      </c>
    </row>
    <row r="265">
      <c r="A265" s="13">
        <v>280.0</v>
      </c>
      <c r="C265" s="13">
        <v>273.0</v>
      </c>
      <c r="E265" s="13" t="s">
        <v>504</v>
      </c>
      <c r="F265" s="13" t="s">
        <v>505</v>
      </c>
      <c r="G265" s="13" t="b">
        <v>0</v>
      </c>
      <c r="H265" s="13" t="s">
        <v>39</v>
      </c>
    </row>
    <row r="266">
      <c r="A266" s="13">
        <v>281.0</v>
      </c>
      <c r="C266" s="13">
        <v>273.0</v>
      </c>
      <c r="E266" s="13" t="s">
        <v>504</v>
      </c>
      <c r="F266" s="13" t="s">
        <v>133</v>
      </c>
      <c r="G266" s="13" t="b">
        <v>0</v>
      </c>
      <c r="H266" s="13" t="s">
        <v>43</v>
      </c>
    </row>
    <row r="267">
      <c r="A267" s="13">
        <v>282.0</v>
      </c>
      <c r="C267" s="13">
        <v>273.0</v>
      </c>
      <c r="E267" s="13" t="s">
        <v>506</v>
      </c>
      <c r="F267" s="13" t="s">
        <v>507</v>
      </c>
      <c r="G267" s="13" t="b">
        <v>0</v>
      </c>
    </row>
    <row r="268">
      <c r="A268" s="13">
        <v>283.0</v>
      </c>
      <c r="C268" s="13">
        <v>273.0</v>
      </c>
      <c r="E268" s="13" t="s">
        <v>508</v>
      </c>
      <c r="F268" s="13" t="s">
        <v>509</v>
      </c>
      <c r="G268" s="13" t="b">
        <v>0</v>
      </c>
      <c r="H268" s="13" t="s">
        <v>43</v>
      </c>
    </row>
    <row r="269">
      <c r="A269" s="13">
        <v>284.0</v>
      </c>
      <c r="C269" s="13">
        <v>273.0</v>
      </c>
      <c r="E269" s="13" t="s">
        <v>346</v>
      </c>
      <c r="F269" s="13" t="s">
        <v>349</v>
      </c>
      <c r="G269" s="13" t="b">
        <v>0</v>
      </c>
      <c r="H269" s="13" t="s">
        <v>43</v>
      </c>
    </row>
    <row r="270">
      <c r="A270" s="13">
        <v>285.0</v>
      </c>
      <c r="C270" s="13">
        <v>273.0</v>
      </c>
      <c r="E270" s="13" t="s">
        <v>510</v>
      </c>
      <c r="F270" s="13" t="s">
        <v>511</v>
      </c>
      <c r="G270" s="13" t="b">
        <v>0</v>
      </c>
    </row>
    <row r="273">
      <c r="A273" s="13">
        <v>288.0</v>
      </c>
      <c r="C273" s="13">
        <v>288.0</v>
      </c>
      <c r="D273" s="13" t="b">
        <v>1</v>
      </c>
      <c r="E273" s="13" t="s">
        <v>512</v>
      </c>
      <c r="F273" s="13" t="s">
        <v>513</v>
      </c>
      <c r="G273" s="13" t="b">
        <v>0</v>
      </c>
      <c r="H273" s="13" t="s">
        <v>35</v>
      </c>
    </row>
    <row r="274">
      <c r="A274" s="13">
        <v>289.0</v>
      </c>
      <c r="C274" s="13">
        <v>288.0</v>
      </c>
      <c r="E274" s="13" t="s">
        <v>512</v>
      </c>
      <c r="F274" s="13" t="s">
        <v>514</v>
      </c>
      <c r="G274" s="13" t="b">
        <v>0</v>
      </c>
      <c r="H274" s="13" t="s">
        <v>39</v>
      </c>
    </row>
    <row r="275">
      <c r="A275" s="13">
        <v>290.0</v>
      </c>
      <c r="C275" s="13">
        <v>288.0</v>
      </c>
      <c r="E275" s="13" t="s">
        <v>515</v>
      </c>
      <c r="F275" s="13" t="s">
        <v>516</v>
      </c>
      <c r="G275" s="13" t="b">
        <v>0</v>
      </c>
      <c r="H275" s="13" t="s">
        <v>43</v>
      </c>
    </row>
    <row r="276">
      <c r="A276" s="13">
        <v>291.0</v>
      </c>
      <c r="C276" s="13">
        <v>288.0</v>
      </c>
      <c r="E276" s="13" t="s">
        <v>517</v>
      </c>
      <c r="F276" s="13" t="s">
        <v>518</v>
      </c>
      <c r="G276" s="13" t="b">
        <v>0</v>
      </c>
    </row>
    <row r="277">
      <c r="A277" s="13">
        <v>292.0</v>
      </c>
      <c r="C277" s="13">
        <v>288.0</v>
      </c>
      <c r="E277" s="13" t="s">
        <v>163</v>
      </c>
      <c r="F277" s="13" t="s">
        <v>523</v>
      </c>
      <c r="G277" s="13" t="b">
        <v>0</v>
      </c>
    </row>
    <row r="278">
      <c r="A278" s="13">
        <v>293.0</v>
      </c>
      <c r="C278" s="13">
        <v>288.0</v>
      </c>
      <c r="E278" s="13" t="s">
        <v>526</v>
      </c>
      <c r="F278" s="13" t="s">
        <v>528</v>
      </c>
      <c r="G278" s="13" t="b">
        <v>0</v>
      </c>
    </row>
    <row r="280">
      <c r="A280" s="13">
        <v>295.0</v>
      </c>
      <c r="C280" s="13">
        <v>288.0</v>
      </c>
      <c r="E280" s="13" t="s">
        <v>529</v>
      </c>
      <c r="F280" s="13" t="s">
        <v>530</v>
      </c>
      <c r="G280" s="13" t="b">
        <v>0</v>
      </c>
    </row>
    <row r="281">
      <c r="A281" s="13">
        <v>296.0</v>
      </c>
      <c r="C281" s="13">
        <v>288.0</v>
      </c>
      <c r="E281" s="13" t="s">
        <v>531</v>
      </c>
      <c r="F281" s="13" t="s">
        <v>389</v>
      </c>
      <c r="G281" s="13" t="b">
        <v>0</v>
      </c>
      <c r="H281" s="13" t="s">
        <v>39</v>
      </c>
    </row>
    <row r="282">
      <c r="A282" s="13">
        <v>297.0</v>
      </c>
      <c r="C282" s="13">
        <v>288.0</v>
      </c>
      <c r="E282" s="13" t="s">
        <v>532</v>
      </c>
      <c r="F282" s="13" t="s">
        <v>533</v>
      </c>
      <c r="G282" s="13" t="b">
        <v>0</v>
      </c>
      <c r="H282" s="13" t="s">
        <v>43</v>
      </c>
    </row>
    <row r="283">
      <c r="A283" s="13">
        <v>298.0</v>
      </c>
      <c r="C283" s="13">
        <v>288.0</v>
      </c>
      <c r="E283" s="13" t="s">
        <v>534</v>
      </c>
      <c r="F283" s="13" t="s">
        <v>535</v>
      </c>
      <c r="G283" s="13" t="b">
        <v>0</v>
      </c>
    </row>
    <row r="284">
      <c r="A284" s="13">
        <v>299.0</v>
      </c>
      <c r="C284" s="13">
        <v>288.0</v>
      </c>
      <c r="E284" s="13" t="s">
        <v>536</v>
      </c>
      <c r="F284" s="13" t="s">
        <v>537</v>
      </c>
      <c r="G284" s="13" t="b">
        <v>0</v>
      </c>
    </row>
    <row r="285">
      <c r="A285" s="13">
        <v>300.0</v>
      </c>
      <c r="C285" s="13">
        <v>288.0</v>
      </c>
      <c r="E285" s="13" t="s">
        <v>538</v>
      </c>
      <c r="F285" s="13" t="s">
        <v>539</v>
      </c>
      <c r="G285" s="13" t="b">
        <v>0</v>
      </c>
    </row>
    <row r="287">
      <c r="A287" s="13">
        <v>302.0</v>
      </c>
      <c r="C287" s="13">
        <v>288.0</v>
      </c>
      <c r="E287" s="13" t="s">
        <v>540</v>
      </c>
      <c r="F287" s="13" t="s">
        <v>389</v>
      </c>
      <c r="G287" s="13" t="b">
        <v>0</v>
      </c>
    </row>
    <row r="288">
      <c r="A288" s="13">
        <v>303.0</v>
      </c>
      <c r="C288" s="13">
        <v>288.0</v>
      </c>
      <c r="E288" s="13" t="s">
        <v>541</v>
      </c>
      <c r="F288" s="13" t="s">
        <v>542</v>
      </c>
      <c r="G288" s="13" t="b">
        <v>0</v>
      </c>
    </row>
    <row r="290">
      <c r="A290" s="13">
        <v>305.0</v>
      </c>
      <c r="C290" s="13">
        <v>288.0</v>
      </c>
      <c r="E290" s="13" t="s">
        <v>543</v>
      </c>
      <c r="F290" s="13" t="s">
        <v>544</v>
      </c>
      <c r="G290" s="13" t="b">
        <v>0</v>
      </c>
      <c r="H290" s="13" t="s">
        <v>43</v>
      </c>
    </row>
    <row r="291">
      <c r="A291" s="13">
        <v>306.0</v>
      </c>
      <c r="C291" s="13">
        <v>288.0</v>
      </c>
      <c r="E291" s="13" t="s">
        <v>545</v>
      </c>
      <c r="F291" s="13" t="s">
        <v>362</v>
      </c>
      <c r="G291" s="13" t="b">
        <v>0</v>
      </c>
    </row>
    <row r="292">
      <c r="A292" s="13">
        <v>307.0</v>
      </c>
      <c r="C292" s="13">
        <v>288.0</v>
      </c>
      <c r="E292" s="13" t="s">
        <v>546</v>
      </c>
      <c r="F292" s="13" t="s">
        <v>547</v>
      </c>
      <c r="G292" s="13" t="b">
        <v>0</v>
      </c>
    </row>
    <row r="293">
      <c r="A293" s="13">
        <v>308.0</v>
      </c>
      <c r="C293" s="13">
        <v>288.0</v>
      </c>
      <c r="E293" s="13" t="s">
        <v>548</v>
      </c>
      <c r="F293" s="13" t="s">
        <v>549</v>
      </c>
      <c r="G293" s="13" t="b">
        <v>0</v>
      </c>
    </row>
    <row r="294">
      <c r="A294" s="13">
        <v>309.0</v>
      </c>
      <c r="C294" s="13">
        <v>288.0</v>
      </c>
      <c r="E294" s="13" t="s">
        <v>550</v>
      </c>
      <c r="F294" s="13" t="s">
        <v>267</v>
      </c>
      <c r="G294" s="13" t="b">
        <v>0</v>
      </c>
    </row>
    <row r="295">
      <c r="A295" s="13">
        <v>310.0</v>
      </c>
      <c r="C295" s="13">
        <v>288.0</v>
      </c>
      <c r="E295" s="13" t="s">
        <v>548</v>
      </c>
      <c r="F295" s="13" t="s">
        <v>551</v>
      </c>
      <c r="G295" s="13" t="b">
        <v>0</v>
      </c>
    </row>
    <row r="297">
      <c r="A297" s="13">
        <v>312.0</v>
      </c>
      <c r="C297" s="13">
        <v>288.0</v>
      </c>
      <c r="E297" s="13" t="s">
        <v>548</v>
      </c>
      <c r="F297" s="13" t="s">
        <v>552</v>
      </c>
      <c r="G297" s="13" t="b">
        <v>0</v>
      </c>
    </row>
    <row r="298">
      <c r="A298" s="13">
        <v>313.0</v>
      </c>
      <c r="C298" s="13">
        <v>288.0</v>
      </c>
      <c r="E298" s="13" t="s">
        <v>553</v>
      </c>
      <c r="F298" s="13" t="s">
        <v>554</v>
      </c>
      <c r="G298" s="13" t="b">
        <v>0</v>
      </c>
    </row>
    <row r="299">
      <c r="A299" s="13">
        <v>314.0</v>
      </c>
      <c r="C299" s="13">
        <v>288.0</v>
      </c>
      <c r="E299" s="13" t="s">
        <v>555</v>
      </c>
      <c r="F299" s="13" t="s">
        <v>556</v>
      </c>
      <c r="G299" s="13" t="b">
        <v>0</v>
      </c>
    </row>
    <row r="302">
      <c r="A302" s="13">
        <v>317.0</v>
      </c>
      <c r="C302" s="13">
        <v>288.0</v>
      </c>
      <c r="E302" s="13" t="s">
        <v>557</v>
      </c>
      <c r="F302" s="13" t="s">
        <v>558</v>
      </c>
      <c r="G302" s="13" t="b">
        <v>0</v>
      </c>
    </row>
    <row r="303">
      <c r="A303" s="13">
        <v>318.0</v>
      </c>
      <c r="C303" s="13">
        <v>288.0</v>
      </c>
      <c r="E303" s="13" t="s">
        <v>559</v>
      </c>
      <c r="F303" s="13" t="s">
        <v>560</v>
      </c>
      <c r="G303" s="13" t="b">
        <v>0</v>
      </c>
    </row>
    <row r="304">
      <c r="A304" s="13">
        <v>319.0</v>
      </c>
      <c r="C304" s="13">
        <v>288.0</v>
      </c>
      <c r="E304" s="13" t="s">
        <v>559</v>
      </c>
      <c r="F304" s="13" t="s">
        <v>170</v>
      </c>
      <c r="G304" s="13" t="b">
        <v>0</v>
      </c>
    </row>
    <row r="306">
      <c r="A306" s="13">
        <v>321.0</v>
      </c>
      <c r="C306" s="13">
        <v>288.0</v>
      </c>
      <c r="E306" s="13" t="s">
        <v>150</v>
      </c>
      <c r="F306" s="13" t="s">
        <v>362</v>
      </c>
      <c r="G306" s="13" t="b">
        <v>0</v>
      </c>
      <c r="H306" s="13" t="s">
        <v>39</v>
      </c>
    </row>
    <row r="307">
      <c r="A307" s="13">
        <v>322.0</v>
      </c>
      <c r="C307" s="13">
        <v>288.0</v>
      </c>
      <c r="E307" s="13" t="s">
        <v>561</v>
      </c>
      <c r="F307" s="13" t="s">
        <v>562</v>
      </c>
      <c r="G307" s="13" t="b">
        <v>0</v>
      </c>
      <c r="H307" s="13" t="s">
        <v>43</v>
      </c>
    </row>
    <row r="308">
      <c r="A308" s="13">
        <v>323.0</v>
      </c>
      <c r="C308" s="13">
        <v>288.0</v>
      </c>
      <c r="E308" s="13" t="s">
        <v>563</v>
      </c>
      <c r="F308" s="13" t="s">
        <v>420</v>
      </c>
      <c r="G308" s="13" t="b">
        <v>0</v>
      </c>
    </row>
    <row r="309">
      <c r="A309" s="13">
        <v>324.0</v>
      </c>
      <c r="C309" s="13">
        <v>288.0</v>
      </c>
      <c r="E309" s="13" t="s">
        <v>564</v>
      </c>
      <c r="F309" s="13" t="s">
        <v>565</v>
      </c>
      <c r="G309" s="13" t="b">
        <v>0</v>
      </c>
    </row>
    <row r="310">
      <c r="A310" s="13">
        <v>325.0</v>
      </c>
      <c r="C310" s="13">
        <v>288.0</v>
      </c>
      <c r="E310" s="13" t="s">
        <v>51</v>
      </c>
      <c r="F310" s="13" t="s">
        <v>566</v>
      </c>
      <c r="G310" s="13" t="b">
        <v>0</v>
      </c>
      <c r="H310" s="13" t="s">
        <v>43</v>
      </c>
    </row>
    <row r="311">
      <c r="A311" s="13">
        <v>326.0</v>
      </c>
      <c r="C311" s="13">
        <v>288.0</v>
      </c>
      <c r="E311" s="13" t="s">
        <v>567</v>
      </c>
      <c r="F311" s="13" t="s">
        <v>568</v>
      </c>
      <c r="G311" s="13" t="b">
        <v>0</v>
      </c>
    </row>
    <row r="312">
      <c r="A312" s="13">
        <v>327.0</v>
      </c>
      <c r="C312" s="13">
        <v>288.0</v>
      </c>
      <c r="E312" s="13" t="s">
        <v>569</v>
      </c>
      <c r="F312" s="13" t="s">
        <v>570</v>
      </c>
      <c r="G312" s="13" t="b">
        <v>0</v>
      </c>
    </row>
    <row r="314">
      <c r="A314" s="13">
        <v>329.0</v>
      </c>
      <c r="C314" s="13">
        <v>288.0</v>
      </c>
      <c r="E314" s="13" t="s">
        <v>571</v>
      </c>
      <c r="F314" s="13" t="s">
        <v>572</v>
      </c>
      <c r="G314" s="13" t="b">
        <v>0</v>
      </c>
    </row>
    <row r="315">
      <c r="A315" s="13">
        <v>330.0</v>
      </c>
      <c r="C315" s="13">
        <v>288.0</v>
      </c>
      <c r="E315" s="13" t="s">
        <v>573</v>
      </c>
      <c r="F315" s="13" t="s">
        <v>574</v>
      </c>
      <c r="G315" s="13" t="b">
        <v>0</v>
      </c>
    </row>
    <row r="316">
      <c r="A316" s="13">
        <v>331.0</v>
      </c>
      <c r="C316" s="13">
        <v>288.0</v>
      </c>
      <c r="E316" s="13" t="s">
        <v>174</v>
      </c>
      <c r="F316" s="13" t="s">
        <v>575</v>
      </c>
      <c r="G316" s="13" t="b">
        <v>0</v>
      </c>
    </row>
    <row r="318">
      <c r="A318" s="13">
        <v>333.0</v>
      </c>
      <c r="C318" s="13">
        <v>288.0</v>
      </c>
      <c r="E318" s="13" t="s">
        <v>174</v>
      </c>
      <c r="F318" s="13" t="s">
        <v>576</v>
      </c>
      <c r="G318" s="13" t="b">
        <v>0</v>
      </c>
    </row>
    <row r="319">
      <c r="A319" s="13">
        <v>334.0</v>
      </c>
      <c r="C319" s="13">
        <v>288.0</v>
      </c>
      <c r="E319" s="13" t="s">
        <v>577</v>
      </c>
      <c r="F319" s="13" t="s">
        <v>578</v>
      </c>
      <c r="G319" s="13" t="b">
        <v>0</v>
      </c>
    </row>
    <row r="320">
      <c r="A320" s="13">
        <v>335.0</v>
      </c>
      <c r="C320" s="13">
        <v>288.0</v>
      </c>
      <c r="E320" s="13" t="s">
        <v>579</v>
      </c>
      <c r="F320" s="13" t="s">
        <v>580</v>
      </c>
      <c r="G320" s="13" t="b">
        <v>0</v>
      </c>
    </row>
    <row r="322">
      <c r="A322" s="13">
        <v>337.0</v>
      </c>
      <c r="C322" s="13">
        <v>288.0</v>
      </c>
      <c r="E322" s="13" t="s">
        <v>581</v>
      </c>
      <c r="F322" s="13" t="s">
        <v>582</v>
      </c>
      <c r="G322" s="13" t="b">
        <v>0</v>
      </c>
    </row>
    <row r="323">
      <c r="A323" s="13">
        <v>338.0</v>
      </c>
      <c r="C323" s="13">
        <v>288.0</v>
      </c>
      <c r="E323" s="13" t="s">
        <v>583</v>
      </c>
      <c r="F323" s="13" t="s">
        <v>584</v>
      </c>
      <c r="G323" s="13" t="b">
        <v>0</v>
      </c>
      <c r="H323" s="13" t="s">
        <v>39</v>
      </c>
    </row>
    <row r="325">
      <c r="A325" s="13">
        <v>340.0</v>
      </c>
      <c r="C325" s="13">
        <v>288.0</v>
      </c>
      <c r="E325" s="13" t="s">
        <v>585</v>
      </c>
      <c r="F325" s="13" t="s">
        <v>586</v>
      </c>
      <c r="G325" s="13" t="b">
        <v>0</v>
      </c>
    </row>
    <row r="326">
      <c r="A326" s="13">
        <v>341.0</v>
      </c>
      <c r="C326" s="13">
        <v>288.0</v>
      </c>
      <c r="E326" s="13" t="s">
        <v>587</v>
      </c>
      <c r="F326" s="13" t="s">
        <v>136</v>
      </c>
      <c r="G326" s="13" t="b">
        <v>0</v>
      </c>
    </row>
    <row r="327">
      <c r="A327" s="13">
        <v>342.0</v>
      </c>
      <c r="C327" s="13">
        <v>288.0</v>
      </c>
      <c r="E327" s="13" t="s">
        <v>517</v>
      </c>
      <c r="F327" s="13" t="s">
        <v>588</v>
      </c>
      <c r="G327" s="13" t="b">
        <v>0</v>
      </c>
    </row>
    <row r="329">
      <c r="A329" s="13">
        <v>344.0</v>
      </c>
      <c r="C329" s="13">
        <v>288.0</v>
      </c>
      <c r="E329" s="13" t="s">
        <v>51</v>
      </c>
      <c r="F329" s="13" t="s">
        <v>492</v>
      </c>
      <c r="G329" s="13" t="b">
        <v>0</v>
      </c>
    </row>
    <row r="334">
      <c r="A334" s="13">
        <v>349.0</v>
      </c>
      <c r="C334" s="13">
        <v>288.0</v>
      </c>
      <c r="E334" s="13" t="s">
        <v>51</v>
      </c>
      <c r="F334" s="13" t="s">
        <v>492</v>
      </c>
      <c r="G334" s="13" t="b">
        <v>0</v>
      </c>
    </row>
    <row r="337">
      <c r="A337" s="13">
        <v>352.0</v>
      </c>
      <c r="C337" s="13">
        <v>288.0</v>
      </c>
      <c r="E337" s="13" t="s">
        <v>51</v>
      </c>
      <c r="F337" s="13" t="s">
        <v>492</v>
      </c>
      <c r="G337" s="13" t="b">
        <v>0</v>
      </c>
    </row>
    <row r="339">
      <c r="A339" s="13">
        <v>353.0</v>
      </c>
      <c r="C339" s="13">
        <v>353.0</v>
      </c>
      <c r="D339" s="13" t="b">
        <v>1</v>
      </c>
      <c r="E339" s="13" t="s">
        <v>135</v>
      </c>
      <c r="F339" s="13" t="s">
        <v>589</v>
      </c>
      <c r="G339" s="13" t="b">
        <v>0</v>
      </c>
      <c r="H339" s="13" t="s">
        <v>35</v>
      </c>
    </row>
    <row r="340">
      <c r="A340" s="13">
        <v>354.0</v>
      </c>
      <c r="C340" s="13">
        <v>353.0</v>
      </c>
      <c r="E340" s="13" t="s">
        <v>590</v>
      </c>
      <c r="F340" s="13" t="s">
        <v>591</v>
      </c>
      <c r="G340" s="13" t="b">
        <v>0</v>
      </c>
      <c r="H340" s="13" t="s">
        <v>39</v>
      </c>
    </row>
    <row r="342">
      <c r="A342" s="13">
        <v>356.0</v>
      </c>
      <c r="C342" s="13">
        <v>353.0</v>
      </c>
      <c r="E342" s="13" t="s">
        <v>592</v>
      </c>
      <c r="F342" s="13" t="s">
        <v>593</v>
      </c>
      <c r="G342" s="13" t="b">
        <v>0</v>
      </c>
    </row>
    <row r="343">
      <c r="A343" s="13">
        <v>357.0</v>
      </c>
      <c r="C343" s="13">
        <v>353.0</v>
      </c>
      <c r="E343" s="13" t="s">
        <v>163</v>
      </c>
      <c r="F343" s="13" t="s">
        <v>594</v>
      </c>
      <c r="G343" s="13" t="b">
        <v>0</v>
      </c>
    </row>
    <row r="346">
      <c r="A346" s="13">
        <v>360.0</v>
      </c>
      <c r="C346" s="13">
        <v>353.0</v>
      </c>
      <c r="E346" s="13" t="s">
        <v>321</v>
      </c>
      <c r="F346" s="13" t="s">
        <v>595</v>
      </c>
      <c r="G346" s="13" t="b">
        <v>0</v>
      </c>
      <c r="H346" s="13" t="s">
        <v>39</v>
      </c>
    </row>
    <row r="348">
      <c r="A348" s="13">
        <v>362.0</v>
      </c>
      <c r="C348" s="13">
        <v>353.0</v>
      </c>
      <c r="E348" s="13" t="s">
        <v>339</v>
      </c>
      <c r="F348" s="13" t="s">
        <v>596</v>
      </c>
      <c r="G348" s="13" t="b">
        <v>0</v>
      </c>
    </row>
    <row r="349">
      <c r="A349" s="13">
        <v>363.0</v>
      </c>
      <c r="C349" s="13">
        <v>353.0</v>
      </c>
      <c r="E349" s="13" t="s">
        <v>597</v>
      </c>
      <c r="F349" s="13" t="s">
        <v>598</v>
      </c>
      <c r="G349" s="13" t="b">
        <v>0</v>
      </c>
    </row>
    <row r="350">
      <c r="A350" s="13">
        <v>364.0</v>
      </c>
      <c r="C350" s="13">
        <v>353.0</v>
      </c>
      <c r="E350" s="13" t="s">
        <v>599</v>
      </c>
      <c r="F350" s="13" t="s">
        <v>600</v>
      </c>
      <c r="G350" s="13" t="b">
        <v>0</v>
      </c>
    </row>
    <row r="353">
      <c r="A353" s="13">
        <v>367.0</v>
      </c>
      <c r="C353" s="13">
        <v>353.0</v>
      </c>
      <c r="E353" s="13" t="s">
        <v>367</v>
      </c>
      <c r="F353" s="13" t="s">
        <v>601</v>
      </c>
      <c r="G353" s="13" t="b">
        <v>0</v>
      </c>
      <c r="H353" s="13" t="s">
        <v>39</v>
      </c>
    </row>
    <row r="355">
      <c r="A355" s="13">
        <v>369.0</v>
      </c>
      <c r="C355" s="13">
        <v>353.0</v>
      </c>
      <c r="E355" s="13" t="s">
        <v>602</v>
      </c>
      <c r="F355" s="13" t="s">
        <v>603</v>
      </c>
      <c r="G355" s="13" t="b">
        <v>0</v>
      </c>
    </row>
    <row r="357">
      <c r="A357" s="13">
        <v>370.0</v>
      </c>
      <c r="C357" s="13">
        <v>370.0</v>
      </c>
      <c r="D357" s="13" t="b">
        <v>1</v>
      </c>
      <c r="E357" s="13" t="s">
        <v>295</v>
      </c>
      <c r="F357" s="13" t="s">
        <v>264</v>
      </c>
      <c r="G357" s="13" t="b">
        <v>0</v>
      </c>
      <c r="H357" s="13" t="s">
        <v>35</v>
      </c>
    </row>
    <row r="358">
      <c r="A358" s="13">
        <v>371.0</v>
      </c>
      <c r="C358" s="13">
        <v>370.0</v>
      </c>
      <c r="E358" s="13" t="s">
        <v>604</v>
      </c>
      <c r="F358" s="13" t="s">
        <v>605</v>
      </c>
      <c r="G358" s="13" t="b">
        <v>0</v>
      </c>
      <c r="H358" s="13" t="s">
        <v>39</v>
      </c>
    </row>
    <row r="359">
      <c r="A359" s="13">
        <v>372.0</v>
      </c>
      <c r="C359" s="13">
        <v>370.0</v>
      </c>
      <c r="E359" s="13" t="s">
        <v>37</v>
      </c>
      <c r="F359" s="13" t="s">
        <v>606</v>
      </c>
      <c r="G359" s="13" t="b">
        <v>0</v>
      </c>
      <c r="H359" s="13" t="s">
        <v>43</v>
      </c>
    </row>
    <row r="360">
      <c r="A360" s="13">
        <v>373.0</v>
      </c>
      <c r="C360" s="13">
        <v>370.0</v>
      </c>
      <c r="E360" s="13" t="s">
        <v>259</v>
      </c>
      <c r="F360" s="13" t="s">
        <v>607</v>
      </c>
      <c r="G360" s="13" t="b">
        <v>0</v>
      </c>
    </row>
    <row r="361">
      <c r="A361" s="13">
        <v>374.0</v>
      </c>
      <c r="C361" s="13">
        <v>370.0</v>
      </c>
      <c r="E361" s="13" t="s">
        <v>608</v>
      </c>
      <c r="F361" s="13" t="s">
        <v>609</v>
      </c>
      <c r="G361" s="13" t="b">
        <v>0</v>
      </c>
    </row>
    <row r="362">
      <c r="A362" s="13">
        <v>375.0</v>
      </c>
      <c r="C362" s="13">
        <v>370.0</v>
      </c>
      <c r="E362" s="13" t="s">
        <v>608</v>
      </c>
      <c r="F362" s="13" t="s">
        <v>610</v>
      </c>
      <c r="G362" s="13" t="b">
        <v>0</v>
      </c>
      <c r="H362" s="13" t="s">
        <v>43</v>
      </c>
    </row>
    <row r="363">
      <c r="A363" s="13">
        <v>376.0</v>
      </c>
      <c r="C363" s="13">
        <v>370.0</v>
      </c>
      <c r="E363" s="13" t="s">
        <v>321</v>
      </c>
      <c r="F363" s="13" t="s">
        <v>611</v>
      </c>
      <c r="G363" s="13" t="b">
        <v>0</v>
      </c>
    </row>
    <row r="364">
      <c r="A364" s="13">
        <v>377.0</v>
      </c>
      <c r="C364" s="13">
        <v>370.0</v>
      </c>
      <c r="E364" s="13" t="s">
        <v>612</v>
      </c>
      <c r="F364" s="13" t="s">
        <v>613</v>
      </c>
      <c r="G364" s="13" t="b">
        <v>0</v>
      </c>
    </row>
    <row r="365">
      <c r="A365" s="13">
        <v>378.0</v>
      </c>
      <c r="C365" s="13">
        <v>370.0</v>
      </c>
      <c r="E365" s="13" t="s">
        <v>614</v>
      </c>
      <c r="F365" s="13" t="s">
        <v>615</v>
      </c>
      <c r="G365" s="13" t="b">
        <v>0</v>
      </c>
      <c r="H365" s="13" t="s">
        <v>43</v>
      </c>
    </row>
    <row r="366">
      <c r="A366" s="13">
        <v>379.0</v>
      </c>
      <c r="C366" s="13">
        <v>370.0</v>
      </c>
      <c r="E366" s="13" t="s">
        <v>323</v>
      </c>
      <c r="F366" s="13" t="s">
        <v>616</v>
      </c>
      <c r="G366" s="13" t="b">
        <v>0</v>
      </c>
    </row>
    <row r="367">
      <c r="A367" s="13">
        <v>380.0</v>
      </c>
      <c r="C367" s="13">
        <v>370.0</v>
      </c>
      <c r="E367" s="13" t="s">
        <v>617</v>
      </c>
      <c r="F367" s="13" t="s">
        <v>618</v>
      </c>
      <c r="G367" s="13" t="b">
        <v>0</v>
      </c>
      <c r="H367" s="13" t="s">
        <v>39</v>
      </c>
    </row>
    <row r="368">
      <c r="A368" s="13">
        <v>381.0</v>
      </c>
      <c r="C368" s="13">
        <v>370.0</v>
      </c>
      <c r="E368" s="13" t="s">
        <v>619</v>
      </c>
      <c r="F368" s="13" t="s">
        <v>620</v>
      </c>
      <c r="G368" s="13" t="b">
        <v>0</v>
      </c>
      <c r="H368" s="13" t="s">
        <v>43</v>
      </c>
    </row>
    <row r="369">
      <c r="A369" s="13">
        <v>382.0</v>
      </c>
      <c r="C369" s="13">
        <v>370.0</v>
      </c>
      <c r="E369" s="13" t="s">
        <v>621</v>
      </c>
      <c r="F369" s="13" t="s">
        <v>622</v>
      </c>
      <c r="G369" s="13" t="b">
        <v>0</v>
      </c>
    </row>
    <row r="370">
      <c r="A370" s="13">
        <v>383.0</v>
      </c>
      <c r="C370" s="13">
        <v>370.0</v>
      </c>
      <c r="E370" s="13" t="s">
        <v>623</v>
      </c>
      <c r="F370" s="13" t="s">
        <v>624</v>
      </c>
      <c r="G370" s="13" t="b">
        <v>0</v>
      </c>
      <c r="H370" s="13" t="s">
        <v>43</v>
      </c>
    </row>
    <row r="371">
      <c r="A371" s="13">
        <v>384.0</v>
      </c>
      <c r="C371" s="13">
        <v>370.0</v>
      </c>
      <c r="E371" s="13" t="s">
        <v>625</v>
      </c>
      <c r="F371" s="13" t="s">
        <v>626</v>
      </c>
      <c r="G371" s="13" t="b">
        <v>0</v>
      </c>
    </row>
    <row r="373">
      <c r="A373" s="13">
        <v>386.0</v>
      </c>
      <c r="C373" s="13">
        <v>370.0</v>
      </c>
      <c r="E373" s="13" t="s">
        <v>317</v>
      </c>
      <c r="F373" s="13" t="s">
        <v>624</v>
      </c>
      <c r="G373" s="13" t="b">
        <v>0</v>
      </c>
      <c r="H373" s="13" t="s">
        <v>39</v>
      </c>
    </row>
    <row r="374">
      <c r="A374" s="13">
        <v>387.0</v>
      </c>
      <c r="C374" s="13">
        <v>370.0</v>
      </c>
      <c r="E374" s="13" t="s">
        <v>627</v>
      </c>
      <c r="F374" s="13" t="s">
        <v>628</v>
      </c>
      <c r="G374" s="13" t="b">
        <v>0</v>
      </c>
      <c r="H374" s="13" t="s">
        <v>43</v>
      </c>
    </row>
    <row r="375">
      <c r="A375" s="13">
        <v>388.0</v>
      </c>
      <c r="C375" s="13">
        <v>370.0</v>
      </c>
      <c r="E375" s="13" t="s">
        <v>629</v>
      </c>
      <c r="F375" s="13" t="s">
        <v>630</v>
      </c>
      <c r="G375" s="13" t="b">
        <v>0</v>
      </c>
    </row>
    <row r="377">
      <c r="A377" s="13">
        <v>390.0</v>
      </c>
      <c r="C377" s="13">
        <v>370.0</v>
      </c>
      <c r="E377" s="13" t="s">
        <v>348</v>
      </c>
      <c r="F377" s="13" t="s">
        <v>611</v>
      </c>
      <c r="G377" s="13" t="b">
        <v>0</v>
      </c>
      <c r="H377" s="13" t="s">
        <v>43</v>
      </c>
    </row>
    <row r="379">
      <c r="A379" s="13">
        <v>392.0</v>
      </c>
      <c r="C379" s="13">
        <v>370.0</v>
      </c>
      <c r="E379" s="13" t="s">
        <v>140</v>
      </c>
      <c r="F379" s="13" t="s">
        <v>631</v>
      </c>
      <c r="G379" s="13" t="b">
        <v>0</v>
      </c>
      <c r="H379" s="13" t="s">
        <v>39</v>
      </c>
    </row>
    <row r="380">
      <c r="A380" s="13">
        <v>393.0</v>
      </c>
      <c r="C380" s="13">
        <v>370.0</v>
      </c>
      <c r="E380" s="13" t="s">
        <v>86</v>
      </c>
      <c r="F380" s="13" t="s">
        <v>632</v>
      </c>
      <c r="G380" s="13" t="b">
        <v>0</v>
      </c>
      <c r="H380" s="13" t="s">
        <v>43</v>
      </c>
    </row>
    <row r="381">
      <c r="A381" s="13">
        <v>394.0</v>
      </c>
      <c r="C381" s="13">
        <v>370.0</v>
      </c>
      <c r="E381" s="13" t="s">
        <v>633</v>
      </c>
      <c r="F381" s="13" t="s">
        <v>634</v>
      </c>
      <c r="G381" s="13" t="b">
        <v>0</v>
      </c>
    </row>
    <row r="382">
      <c r="A382" s="13">
        <v>395.0</v>
      </c>
      <c r="C382" s="13">
        <v>370.0</v>
      </c>
      <c r="E382" s="13" t="s">
        <v>635</v>
      </c>
      <c r="F382" s="13" t="s">
        <v>636</v>
      </c>
      <c r="G382" s="13" t="b">
        <v>0</v>
      </c>
    </row>
    <row r="383">
      <c r="A383" s="13">
        <v>396.0</v>
      </c>
      <c r="C383" s="13">
        <v>370.0</v>
      </c>
      <c r="E383" s="13" t="s">
        <v>118</v>
      </c>
      <c r="F383" s="13" t="s">
        <v>637</v>
      </c>
      <c r="G383" s="13" t="b">
        <v>0</v>
      </c>
      <c r="H383" s="13" t="s">
        <v>43</v>
      </c>
    </row>
    <row r="386">
      <c r="A386" s="13">
        <v>399.0</v>
      </c>
      <c r="C386" s="13">
        <v>370.0</v>
      </c>
      <c r="E386" s="13" t="s">
        <v>638</v>
      </c>
      <c r="F386" s="13" t="s">
        <v>639</v>
      </c>
      <c r="G386" s="13" t="b">
        <v>0</v>
      </c>
      <c r="H386" s="13" t="s">
        <v>43</v>
      </c>
    </row>
    <row r="387">
      <c r="A387" s="13">
        <v>400.0</v>
      </c>
      <c r="C387" s="13">
        <v>370.0</v>
      </c>
      <c r="E387" s="13" t="s">
        <v>241</v>
      </c>
      <c r="F387" s="13" t="s">
        <v>640</v>
      </c>
      <c r="G387" s="13" t="b">
        <v>0</v>
      </c>
    </row>
    <row r="388">
      <c r="A388" s="13">
        <v>401.0</v>
      </c>
      <c r="C388" s="13">
        <v>370.0</v>
      </c>
      <c r="E388" s="13" t="s">
        <v>638</v>
      </c>
      <c r="F388" s="13" t="s">
        <v>641</v>
      </c>
      <c r="G388" s="13" t="b">
        <v>0</v>
      </c>
    </row>
    <row r="389">
      <c r="A389" s="13">
        <v>402.0</v>
      </c>
      <c r="C389" s="13">
        <v>370.0</v>
      </c>
      <c r="E389" s="13" t="s">
        <v>608</v>
      </c>
      <c r="F389" s="13" t="s">
        <v>642</v>
      </c>
      <c r="G389" s="13" t="b">
        <v>0</v>
      </c>
    </row>
    <row r="390">
      <c r="A390" s="13">
        <v>403.0</v>
      </c>
      <c r="C390" s="13">
        <v>370.0</v>
      </c>
      <c r="E390" s="13" t="s">
        <v>185</v>
      </c>
      <c r="F390" s="13" t="s">
        <v>643</v>
      </c>
      <c r="G390" s="13" t="b">
        <v>0</v>
      </c>
      <c r="H390" s="13" t="s">
        <v>43</v>
      </c>
    </row>
    <row r="392">
      <c r="A392" s="13">
        <v>404.0</v>
      </c>
      <c r="C392" s="13">
        <v>404.0</v>
      </c>
      <c r="D392" s="13" t="b">
        <v>1</v>
      </c>
      <c r="E392" s="13" t="s">
        <v>140</v>
      </c>
      <c r="F392" s="13" t="s">
        <v>631</v>
      </c>
      <c r="G392" s="13" t="b">
        <v>0</v>
      </c>
      <c r="H392" s="13" t="s">
        <v>35</v>
      </c>
    </row>
    <row r="393">
      <c r="A393" s="13">
        <v>405.0</v>
      </c>
      <c r="C393" s="13">
        <v>404.0</v>
      </c>
      <c r="E393" s="13" t="s">
        <v>644</v>
      </c>
      <c r="F393" s="13" t="s">
        <v>645</v>
      </c>
      <c r="G393" s="13" t="b">
        <v>0</v>
      </c>
      <c r="H393" s="13" t="s">
        <v>39</v>
      </c>
    </row>
    <row r="394">
      <c r="A394" s="13">
        <v>406.0</v>
      </c>
      <c r="C394" s="13">
        <v>404.0</v>
      </c>
      <c r="E394" s="13" t="s">
        <v>176</v>
      </c>
      <c r="F394" s="13" t="s">
        <v>646</v>
      </c>
      <c r="G394" s="13" t="b">
        <v>0</v>
      </c>
      <c r="H394" s="13" t="s">
        <v>43</v>
      </c>
    </row>
    <row r="395">
      <c r="A395" s="13">
        <v>407.0</v>
      </c>
      <c r="C395" s="13">
        <v>404.0</v>
      </c>
      <c r="E395" s="13" t="s">
        <v>647</v>
      </c>
      <c r="F395" s="13" t="s">
        <v>648</v>
      </c>
      <c r="G395" s="13" t="b">
        <v>0</v>
      </c>
    </row>
    <row r="396">
      <c r="A396" s="13">
        <v>408.0</v>
      </c>
      <c r="C396" s="13">
        <v>404.0</v>
      </c>
      <c r="E396" s="13" t="s">
        <v>649</v>
      </c>
      <c r="F396" s="13" t="s">
        <v>650</v>
      </c>
      <c r="G396" s="13" t="b">
        <v>0</v>
      </c>
    </row>
    <row r="397">
      <c r="A397" s="13">
        <v>409.0</v>
      </c>
      <c r="C397" s="13">
        <v>404.0</v>
      </c>
      <c r="E397" s="13" t="s">
        <v>526</v>
      </c>
      <c r="F397" s="13" t="s">
        <v>651</v>
      </c>
      <c r="G397" s="13" t="b">
        <v>0</v>
      </c>
    </row>
    <row r="398">
      <c r="A398" s="13">
        <v>410.0</v>
      </c>
      <c r="C398" s="13">
        <v>404.0</v>
      </c>
      <c r="E398" s="13" t="s">
        <v>652</v>
      </c>
      <c r="F398" s="13" t="s">
        <v>653</v>
      </c>
      <c r="G398" s="13" t="b">
        <v>0</v>
      </c>
      <c r="H398" s="13" t="s">
        <v>43</v>
      </c>
    </row>
    <row r="399">
      <c r="A399" s="13">
        <v>411.0</v>
      </c>
      <c r="C399" s="13">
        <v>404.0</v>
      </c>
      <c r="E399" s="13" t="s">
        <v>32</v>
      </c>
      <c r="F399" s="13" t="s">
        <v>654</v>
      </c>
      <c r="G399" s="13" t="b">
        <v>0</v>
      </c>
    </row>
    <row r="400">
      <c r="A400" s="13">
        <v>412.0</v>
      </c>
      <c r="C400" s="13">
        <v>404.0</v>
      </c>
      <c r="E400" s="13" t="s">
        <v>137</v>
      </c>
      <c r="F400" s="13" t="s">
        <v>655</v>
      </c>
      <c r="G400" s="13" t="b">
        <v>0</v>
      </c>
    </row>
    <row r="401">
      <c r="A401" s="13">
        <v>413.0</v>
      </c>
      <c r="C401" s="13">
        <v>404.0</v>
      </c>
      <c r="E401" s="13" t="s">
        <v>557</v>
      </c>
      <c r="F401" s="13" t="s">
        <v>656</v>
      </c>
      <c r="G401" s="13" t="b">
        <v>0</v>
      </c>
    </row>
    <row r="402">
      <c r="A402" s="13">
        <v>414.0</v>
      </c>
      <c r="C402" s="13">
        <v>404.0</v>
      </c>
      <c r="E402" s="13" t="s">
        <v>182</v>
      </c>
      <c r="F402" s="13" t="s">
        <v>657</v>
      </c>
      <c r="G402" s="13" t="b">
        <v>0</v>
      </c>
      <c r="H402" s="13" t="s">
        <v>43</v>
      </c>
    </row>
    <row r="403">
      <c r="A403" s="13">
        <v>415.0</v>
      </c>
      <c r="C403" s="13">
        <v>404.0</v>
      </c>
      <c r="E403" s="13" t="s">
        <v>658</v>
      </c>
      <c r="F403" s="13" t="s">
        <v>659</v>
      </c>
      <c r="G403" s="13" t="b">
        <v>0</v>
      </c>
    </row>
    <row r="404">
      <c r="A404" s="13">
        <v>416.0</v>
      </c>
      <c r="C404" s="13">
        <v>404.0</v>
      </c>
      <c r="E404" s="13" t="s">
        <v>153</v>
      </c>
      <c r="F404" s="13" t="s">
        <v>660</v>
      </c>
      <c r="G404" s="13" t="b">
        <v>0</v>
      </c>
    </row>
    <row r="405">
      <c r="A405" s="13">
        <v>417.0</v>
      </c>
      <c r="C405" s="13">
        <v>404.0</v>
      </c>
      <c r="E405" s="13" t="s">
        <v>32</v>
      </c>
      <c r="F405" s="13" t="s">
        <v>661</v>
      </c>
      <c r="G405" s="13" t="b">
        <v>0</v>
      </c>
      <c r="H405" s="13" t="s">
        <v>39</v>
      </c>
    </row>
    <row r="406">
      <c r="A406" s="13">
        <v>418.0</v>
      </c>
      <c r="C406" s="13">
        <v>404.0</v>
      </c>
      <c r="E406" s="13" t="s">
        <v>323</v>
      </c>
      <c r="F406" s="13" t="s">
        <v>662</v>
      </c>
      <c r="G406" s="13" t="b">
        <v>0</v>
      </c>
      <c r="H406" s="13" t="s">
        <v>43</v>
      </c>
    </row>
    <row r="407">
      <c r="A407" s="13">
        <v>419.0</v>
      </c>
      <c r="C407" s="13">
        <v>404.0</v>
      </c>
      <c r="E407" s="13" t="s">
        <v>663</v>
      </c>
      <c r="F407" s="13" t="s">
        <v>664</v>
      </c>
      <c r="G407" s="13" t="b">
        <v>0</v>
      </c>
    </row>
    <row r="408">
      <c r="A408" s="13">
        <v>420.0</v>
      </c>
      <c r="C408" s="13">
        <v>404.0</v>
      </c>
      <c r="E408" s="13" t="s">
        <v>665</v>
      </c>
      <c r="F408" s="13" t="s">
        <v>666</v>
      </c>
      <c r="G408" s="13" t="b">
        <v>0</v>
      </c>
    </row>
    <row r="409">
      <c r="A409" s="13">
        <v>421.0</v>
      </c>
      <c r="C409" s="13">
        <v>404.0</v>
      </c>
      <c r="E409" s="13" t="s">
        <v>667</v>
      </c>
      <c r="F409" s="13" t="s">
        <v>668</v>
      </c>
      <c r="G409" s="13" t="b">
        <v>0</v>
      </c>
    </row>
    <row r="410">
      <c r="A410" s="13">
        <v>422.0</v>
      </c>
      <c r="C410" s="13">
        <v>404.0</v>
      </c>
      <c r="E410" s="13" t="s">
        <v>41</v>
      </c>
      <c r="F410" s="13" t="s">
        <v>159</v>
      </c>
      <c r="G410" s="13" t="b">
        <v>0</v>
      </c>
      <c r="H410" s="13" t="s">
        <v>43</v>
      </c>
    </row>
    <row r="411">
      <c r="A411" s="13">
        <v>423.0</v>
      </c>
      <c r="C411" s="13">
        <v>404.0</v>
      </c>
      <c r="E411" s="13" t="s">
        <v>669</v>
      </c>
      <c r="F411" s="13" t="s">
        <v>670</v>
      </c>
      <c r="G411" s="13" t="b">
        <v>0</v>
      </c>
    </row>
    <row r="412">
      <c r="A412" s="13">
        <v>424.0</v>
      </c>
      <c r="C412" s="13">
        <v>404.0</v>
      </c>
      <c r="E412" s="13" t="s">
        <v>671</v>
      </c>
      <c r="F412" s="13" t="s">
        <v>672</v>
      </c>
      <c r="G412" s="13" t="b">
        <v>0</v>
      </c>
    </row>
    <row r="413">
      <c r="A413" s="13">
        <v>425.0</v>
      </c>
      <c r="C413" s="13">
        <v>404.0</v>
      </c>
      <c r="E413" s="13" t="s">
        <v>171</v>
      </c>
      <c r="F413" s="13" t="s">
        <v>673</v>
      </c>
      <c r="G413" s="13" t="b">
        <v>0</v>
      </c>
    </row>
    <row r="414">
      <c r="A414" s="13">
        <v>426.0</v>
      </c>
      <c r="C414" s="13">
        <v>404.0</v>
      </c>
      <c r="E414" s="13" t="s">
        <v>135</v>
      </c>
      <c r="F414" s="13" t="s">
        <v>674</v>
      </c>
      <c r="G414" s="13" t="b">
        <v>0</v>
      </c>
      <c r="H414" s="13" t="s">
        <v>43</v>
      </c>
    </row>
    <row r="415">
      <c r="A415" s="13">
        <v>427.0</v>
      </c>
      <c r="C415" s="13">
        <v>404.0</v>
      </c>
      <c r="E415" s="13" t="s">
        <v>675</v>
      </c>
      <c r="F415" s="13" t="s">
        <v>615</v>
      </c>
      <c r="G415" s="13" t="b">
        <v>0</v>
      </c>
    </row>
    <row r="416">
      <c r="A416" s="13">
        <v>428.0</v>
      </c>
      <c r="C416" s="13">
        <v>404.0</v>
      </c>
      <c r="E416" s="13" t="s">
        <v>647</v>
      </c>
      <c r="F416" s="13" t="s">
        <v>676</v>
      </c>
      <c r="G416" s="13" t="b">
        <v>0</v>
      </c>
    </row>
    <row r="417">
      <c r="A417" s="13">
        <v>429.0</v>
      </c>
      <c r="C417" s="13">
        <v>404.0</v>
      </c>
      <c r="E417" s="13" t="s">
        <v>143</v>
      </c>
      <c r="F417" s="13" t="s">
        <v>677</v>
      </c>
      <c r="G417" s="13" t="b">
        <v>0</v>
      </c>
    </row>
    <row r="418">
      <c r="A418" s="13">
        <v>430.0</v>
      </c>
      <c r="C418" s="13">
        <v>404.0</v>
      </c>
      <c r="E418" s="13" t="s">
        <v>508</v>
      </c>
      <c r="F418" s="13" t="s">
        <v>678</v>
      </c>
      <c r="G418" s="13" t="b">
        <v>0</v>
      </c>
      <c r="H418" s="13" t="s">
        <v>39</v>
      </c>
    </row>
    <row r="420">
      <c r="A420" s="13">
        <v>432.0</v>
      </c>
      <c r="C420" s="13">
        <v>404.0</v>
      </c>
      <c r="E420" s="13" t="s">
        <v>638</v>
      </c>
      <c r="F420" s="13" t="s">
        <v>639</v>
      </c>
      <c r="G420" s="13" t="b">
        <v>0</v>
      </c>
    </row>
    <row r="421">
      <c r="A421" s="13">
        <v>433.0</v>
      </c>
      <c r="C421" s="13">
        <v>404.0</v>
      </c>
      <c r="E421" s="13" t="s">
        <v>51</v>
      </c>
      <c r="F421" s="13" t="s">
        <v>660</v>
      </c>
      <c r="G421" s="13" t="b">
        <v>0</v>
      </c>
    </row>
    <row r="423">
      <c r="A423" s="13">
        <v>435.0</v>
      </c>
      <c r="C423" s="13">
        <v>404.0</v>
      </c>
      <c r="E423" s="13" t="s">
        <v>508</v>
      </c>
      <c r="F423" s="13" t="s">
        <v>679</v>
      </c>
      <c r="G423" s="13" t="b">
        <v>0</v>
      </c>
    </row>
    <row r="424">
      <c r="A424" s="13">
        <v>436.0</v>
      </c>
      <c r="C424" s="13">
        <v>404.0</v>
      </c>
      <c r="E424" s="13" t="s">
        <v>508</v>
      </c>
      <c r="F424" s="13" t="s">
        <v>680</v>
      </c>
      <c r="G424" s="13" t="b">
        <v>0</v>
      </c>
    </row>
    <row r="425">
      <c r="A425" s="13">
        <v>437.0</v>
      </c>
      <c r="C425" s="13">
        <v>404.0</v>
      </c>
      <c r="E425" s="13" t="s">
        <v>627</v>
      </c>
      <c r="F425" s="13" t="s">
        <v>681</v>
      </c>
      <c r="G425" s="13" t="b">
        <v>0</v>
      </c>
    </row>
    <row r="427">
      <c r="A427" s="13">
        <v>439.0</v>
      </c>
      <c r="C427" s="13">
        <v>404.0</v>
      </c>
      <c r="E427" s="13" t="s">
        <v>233</v>
      </c>
      <c r="F427" s="13" t="s">
        <v>682</v>
      </c>
      <c r="G427" s="13" t="b">
        <v>0</v>
      </c>
    </row>
    <row r="428">
      <c r="A428" s="13">
        <v>440.0</v>
      </c>
      <c r="C428" s="13">
        <v>404.0</v>
      </c>
      <c r="E428" s="13" t="s">
        <v>233</v>
      </c>
      <c r="F428" s="13" t="s">
        <v>683</v>
      </c>
      <c r="G428" s="13" t="b">
        <v>0</v>
      </c>
    </row>
    <row r="429">
      <c r="A429" s="13">
        <v>441.0</v>
      </c>
      <c r="C429" s="13">
        <v>404.0</v>
      </c>
      <c r="E429" s="13" t="s">
        <v>208</v>
      </c>
      <c r="F429" s="13" t="s">
        <v>684</v>
      </c>
      <c r="G429" s="13" t="b">
        <v>0</v>
      </c>
      <c r="H429" s="13" t="s">
        <v>39</v>
      </c>
    </row>
    <row r="431">
      <c r="A431" s="13">
        <v>443.0</v>
      </c>
      <c r="C431" s="13">
        <v>404.0</v>
      </c>
      <c r="E431" s="13" t="s">
        <v>685</v>
      </c>
      <c r="F431" s="13" t="s">
        <v>686</v>
      </c>
      <c r="G431" s="13" t="b">
        <v>0</v>
      </c>
    </row>
    <row r="432">
      <c r="A432" s="13">
        <v>444.0</v>
      </c>
      <c r="C432" s="13">
        <v>404.0</v>
      </c>
      <c r="E432" s="13" t="s">
        <v>687</v>
      </c>
      <c r="F432" s="13" t="s">
        <v>688</v>
      </c>
      <c r="G432" s="13" t="b">
        <v>0</v>
      </c>
    </row>
    <row r="433">
      <c r="A433" s="13">
        <v>445.0</v>
      </c>
      <c r="C433" s="13">
        <v>404.0</v>
      </c>
      <c r="E433" s="13" t="s">
        <v>689</v>
      </c>
      <c r="F433" s="13" t="s">
        <v>690</v>
      </c>
      <c r="G433" s="13" t="b">
        <v>0</v>
      </c>
    </row>
    <row r="434">
      <c r="A434" s="13">
        <v>446.0</v>
      </c>
      <c r="C434" s="13">
        <v>404.0</v>
      </c>
      <c r="E434" s="13" t="s">
        <v>691</v>
      </c>
      <c r="F434" s="13" t="s">
        <v>692</v>
      </c>
      <c r="G434" s="13" t="b">
        <v>0</v>
      </c>
      <c r="H434" s="13" t="s">
        <v>43</v>
      </c>
    </row>
    <row r="435">
      <c r="A435" s="13">
        <v>447.0</v>
      </c>
      <c r="C435" s="13">
        <v>404.0</v>
      </c>
      <c r="E435" s="13" t="s">
        <v>693</v>
      </c>
      <c r="F435" s="13" t="s">
        <v>646</v>
      </c>
      <c r="G435" s="13" t="b">
        <v>0</v>
      </c>
    </row>
    <row r="436">
      <c r="A436" s="13">
        <v>448.0</v>
      </c>
      <c r="C436" s="13">
        <v>404.0</v>
      </c>
      <c r="E436" s="13" t="s">
        <v>694</v>
      </c>
      <c r="F436" s="13" t="s">
        <v>695</v>
      </c>
      <c r="G436" s="13" t="b">
        <v>0</v>
      </c>
    </row>
    <row r="438">
      <c r="A438" s="13">
        <v>450.0</v>
      </c>
      <c r="C438" s="13">
        <v>404.0</v>
      </c>
      <c r="E438" s="13" t="s">
        <v>157</v>
      </c>
      <c r="F438" s="13" t="s">
        <v>696</v>
      </c>
      <c r="G438" s="13" t="b">
        <v>0</v>
      </c>
    </row>
    <row r="439">
      <c r="A439" s="13">
        <v>451.0</v>
      </c>
      <c r="C439" s="13">
        <v>404.0</v>
      </c>
      <c r="E439" s="13" t="s">
        <v>697</v>
      </c>
      <c r="F439" s="13" t="s">
        <v>698</v>
      </c>
      <c r="G439" s="13" t="b">
        <v>0</v>
      </c>
    </row>
    <row r="440">
      <c r="A440" s="13">
        <v>452.0</v>
      </c>
      <c r="C440" s="13">
        <v>404.0</v>
      </c>
      <c r="E440" s="13" t="s">
        <v>699</v>
      </c>
      <c r="F440" s="13" t="s">
        <v>700</v>
      </c>
      <c r="G440" s="13" t="b">
        <v>0</v>
      </c>
    </row>
    <row r="443">
      <c r="A443" s="13">
        <v>455.0</v>
      </c>
      <c r="C443" s="13">
        <v>404.0</v>
      </c>
      <c r="E443" s="13" t="s">
        <v>647</v>
      </c>
      <c r="F443" s="13" t="s">
        <v>606</v>
      </c>
      <c r="G443" s="13" t="b">
        <v>0</v>
      </c>
    </row>
    <row r="444">
      <c r="A444" s="13">
        <v>456.0</v>
      </c>
      <c r="C444" s="13">
        <v>404.0</v>
      </c>
      <c r="E444" s="13" t="s">
        <v>701</v>
      </c>
      <c r="F444" s="13" t="s">
        <v>702</v>
      </c>
      <c r="G444" s="13" t="b">
        <v>0</v>
      </c>
    </row>
    <row r="445">
      <c r="A445" s="13">
        <v>457.0</v>
      </c>
      <c r="C445" s="13">
        <v>404.0</v>
      </c>
      <c r="E445" s="13" t="s">
        <v>703</v>
      </c>
      <c r="F445" s="13" t="s">
        <v>704</v>
      </c>
      <c r="G445" s="13" t="b">
        <v>0</v>
      </c>
    </row>
    <row r="447">
      <c r="A447" s="13">
        <v>459.0</v>
      </c>
      <c r="C447" s="13">
        <v>404.0</v>
      </c>
      <c r="E447" s="13" t="s">
        <v>701</v>
      </c>
      <c r="F447" s="13" t="s">
        <v>628</v>
      </c>
      <c r="G447" s="13" t="b">
        <v>0</v>
      </c>
    </row>
    <row r="448">
      <c r="A448" s="13">
        <v>460.0</v>
      </c>
      <c r="C448" s="13">
        <v>404.0</v>
      </c>
      <c r="E448" s="13" t="s">
        <v>705</v>
      </c>
      <c r="F448" s="13" t="s">
        <v>706</v>
      </c>
      <c r="G448" s="13" t="b">
        <v>0</v>
      </c>
    </row>
    <row r="449">
      <c r="A449" s="13">
        <v>461.0</v>
      </c>
      <c r="C449" s="13">
        <v>404.0</v>
      </c>
      <c r="E449" s="13" t="s">
        <v>707</v>
      </c>
      <c r="F449" s="13" t="s">
        <v>708</v>
      </c>
      <c r="G449" s="13" t="b">
        <v>0</v>
      </c>
    </row>
    <row r="451">
      <c r="A451" s="13">
        <v>463.0</v>
      </c>
      <c r="C451" s="13">
        <v>404.0</v>
      </c>
      <c r="E451" s="13" t="s">
        <v>709</v>
      </c>
      <c r="F451" s="13" t="s">
        <v>710</v>
      </c>
      <c r="G451" s="13" t="b">
        <v>0</v>
      </c>
    </row>
    <row r="453">
      <c r="A453" s="13">
        <v>464.0</v>
      </c>
      <c r="C453" s="13">
        <v>464.0</v>
      </c>
      <c r="D453" s="13" t="b">
        <v>1</v>
      </c>
      <c r="E453" s="13" t="s">
        <v>348</v>
      </c>
      <c r="F453" s="13" t="s">
        <v>711</v>
      </c>
      <c r="G453" s="13" t="b">
        <v>0</v>
      </c>
      <c r="H453" s="13" t="s">
        <v>35</v>
      </c>
    </row>
    <row r="454">
      <c r="A454" s="13">
        <v>465.0</v>
      </c>
      <c r="C454" s="13">
        <v>464.0</v>
      </c>
      <c r="E454" s="13" t="s">
        <v>512</v>
      </c>
      <c r="F454" s="13" t="s">
        <v>712</v>
      </c>
      <c r="G454" s="13" t="b">
        <v>0</v>
      </c>
      <c r="H454" s="13" t="s">
        <v>39</v>
      </c>
    </row>
    <row r="455">
      <c r="A455" s="13">
        <v>466.0</v>
      </c>
      <c r="C455" s="13">
        <v>464.0</v>
      </c>
      <c r="E455" s="13" t="s">
        <v>713</v>
      </c>
      <c r="F455" s="13" t="s">
        <v>714</v>
      </c>
      <c r="G455" s="13" t="b">
        <v>0</v>
      </c>
      <c r="H455" s="13" t="s">
        <v>43</v>
      </c>
    </row>
    <row r="456">
      <c r="A456" s="13">
        <v>467.0</v>
      </c>
      <c r="C456" s="13">
        <v>464.0</v>
      </c>
      <c r="E456" s="13" t="s">
        <v>715</v>
      </c>
      <c r="F456" s="13" t="s">
        <v>716</v>
      </c>
      <c r="G456" s="13" t="b">
        <v>0</v>
      </c>
    </row>
    <row r="457">
      <c r="A457" s="13">
        <v>468.0</v>
      </c>
      <c r="C457" s="13">
        <v>464.0</v>
      </c>
      <c r="E457" s="13" t="s">
        <v>587</v>
      </c>
      <c r="F457" s="13" t="s">
        <v>717</v>
      </c>
      <c r="G457" s="13" t="b">
        <v>0</v>
      </c>
    </row>
    <row r="458">
      <c r="A458" s="13">
        <v>469.0</v>
      </c>
      <c r="C458" s="13">
        <v>464.0</v>
      </c>
      <c r="E458" s="13" t="s">
        <v>401</v>
      </c>
      <c r="F458" s="13" t="s">
        <v>718</v>
      </c>
      <c r="G458" s="13" t="b">
        <v>0</v>
      </c>
    </row>
    <row r="460">
      <c r="A460" s="13">
        <v>471.0</v>
      </c>
      <c r="C460" s="13">
        <v>464.0</v>
      </c>
      <c r="E460" s="13" t="s">
        <v>323</v>
      </c>
      <c r="F460" s="13" t="s">
        <v>719</v>
      </c>
      <c r="G460" s="13" t="b">
        <v>0</v>
      </c>
    </row>
    <row r="461">
      <c r="A461" s="13">
        <v>472.0</v>
      </c>
      <c r="C461" s="13">
        <v>464.0</v>
      </c>
      <c r="E461" s="13" t="s">
        <v>721</v>
      </c>
      <c r="F461" s="13" t="s">
        <v>723</v>
      </c>
      <c r="G461" s="13" t="b">
        <v>0</v>
      </c>
    </row>
    <row r="463">
      <c r="A463" s="13">
        <v>474.0</v>
      </c>
      <c r="C463" s="13">
        <v>464.0</v>
      </c>
      <c r="E463" s="13" t="s">
        <v>257</v>
      </c>
      <c r="F463" s="13" t="s">
        <v>725</v>
      </c>
      <c r="G463" s="13" t="b">
        <v>0</v>
      </c>
      <c r="H463" s="13" t="s">
        <v>39</v>
      </c>
    </row>
    <row r="464">
      <c r="A464" s="13">
        <v>475.0</v>
      </c>
      <c r="C464" s="13">
        <v>464.0</v>
      </c>
      <c r="E464" s="13" t="s">
        <v>132</v>
      </c>
      <c r="F464" s="13" t="s">
        <v>726</v>
      </c>
      <c r="G464" s="13" t="b">
        <v>0</v>
      </c>
      <c r="H464" s="13" t="s">
        <v>43</v>
      </c>
    </row>
    <row r="465">
      <c r="A465" s="13">
        <v>476.0</v>
      </c>
      <c r="C465" s="13">
        <v>464.0</v>
      </c>
      <c r="E465" s="13" t="s">
        <v>132</v>
      </c>
      <c r="F465" s="13" t="s">
        <v>591</v>
      </c>
      <c r="G465" s="13" t="b">
        <v>0</v>
      </c>
    </row>
    <row r="466">
      <c r="A466" s="13">
        <v>477.0</v>
      </c>
      <c r="C466" s="13">
        <v>464.0</v>
      </c>
      <c r="E466" s="13" t="s">
        <v>132</v>
      </c>
      <c r="F466" s="13" t="s">
        <v>727</v>
      </c>
      <c r="G466" s="13" t="b">
        <v>0</v>
      </c>
    </row>
    <row r="467">
      <c r="A467" s="13">
        <v>478.0</v>
      </c>
      <c r="C467" s="13">
        <v>464.0</v>
      </c>
      <c r="E467" s="13" t="s">
        <v>47</v>
      </c>
      <c r="F467" s="13" t="s">
        <v>728</v>
      </c>
      <c r="G467" s="13" t="b">
        <v>0</v>
      </c>
      <c r="H467" s="13" t="s">
        <v>43</v>
      </c>
    </row>
    <row r="468">
      <c r="A468" s="13">
        <v>479.0</v>
      </c>
      <c r="C468" s="13">
        <v>464.0</v>
      </c>
      <c r="E468" s="13" t="s">
        <v>44</v>
      </c>
      <c r="F468" s="13" t="s">
        <v>717</v>
      </c>
      <c r="G468" s="13" t="b">
        <v>0</v>
      </c>
    </row>
    <row r="469">
      <c r="A469" s="13">
        <v>480.0</v>
      </c>
      <c r="C469" s="13">
        <v>464.0</v>
      </c>
      <c r="E469" s="13" t="s">
        <v>37</v>
      </c>
      <c r="F469" s="13" t="s">
        <v>729</v>
      </c>
      <c r="G469" s="13" t="b">
        <v>0</v>
      </c>
    </row>
    <row r="474">
      <c r="A474" s="13">
        <v>484.0</v>
      </c>
      <c r="C474" s="13">
        <v>484.0</v>
      </c>
      <c r="D474" s="13" t="b">
        <v>1</v>
      </c>
      <c r="E474" s="13" t="s">
        <v>241</v>
      </c>
      <c r="F474" s="13" t="s">
        <v>730</v>
      </c>
      <c r="G474" s="13" t="b">
        <v>0</v>
      </c>
      <c r="H474" s="13" t="s">
        <v>35</v>
      </c>
    </row>
    <row r="475">
      <c r="A475" s="13">
        <v>485.0</v>
      </c>
      <c r="C475" s="13">
        <v>484.0</v>
      </c>
      <c r="G475" s="13" t="b">
        <v>0</v>
      </c>
      <c r="H475" s="13" t="s">
        <v>39</v>
      </c>
    </row>
    <row r="476">
      <c r="A476" s="13">
        <v>486.0</v>
      </c>
      <c r="C476" s="13">
        <v>484.0</v>
      </c>
      <c r="E476" s="13" t="s">
        <v>171</v>
      </c>
      <c r="F476" s="13" t="s">
        <v>613</v>
      </c>
      <c r="G476" s="13" t="b">
        <v>0</v>
      </c>
      <c r="H476" s="13" t="s">
        <v>43</v>
      </c>
    </row>
    <row r="477">
      <c r="A477" s="13">
        <v>487.0</v>
      </c>
      <c r="C477" s="13">
        <v>484.0</v>
      </c>
      <c r="E477" s="13" t="s">
        <v>506</v>
      </c>
      <c r="F477" s="13" t="s">
        <v>731</v>
      </c>
      <c r="G477" s="13" t="b">
        <v>0</v>
      </c>
    </row>
    <row r="478">
      <c r="A478" s="13">
        <v>488.0</v>
      </c>
      <c r="C478" s="13">
        <v>484.0</v>
      </c>
      <c r="E478" s="13" t="s">
        <v>526</v>
      </c>
      <c r="F478" s="13" t="s">
        <v>725</v>
      </c>
      <c r="G478" s="13" t="b">
        <v>0</v>
      </c>
    </row>
    <row r="479">
      <c r="A479" s="13">
        <v>489.0</v>
      </c>
      <c r="C479" s="13">
        <v>484.0</v>
      </c>
      <c r="E479" s="13" t="s">
        <v>157</v>
      </c>
      <c r="F479" s="13" t="s">
        <v>732</v>
      </c>
      <c r="G479" s="13" t="b">
        <v>0</v>
      </c>
    </row>
    <row r="480">
      <c r="A480" s="13">
        <v>490.0</v>
      </c>
      <c r="C480" s="13">
        <v>484.0</v>
      </c>
      <c r="E480" s="13" t="s">
        <v>153</v>
      </c>
      <c r="F480" s="13" t="s">
        <v>607</v>
      </c>
      <c r="G480" s="13" t="b">
        <v>0</v>
      </c>
      <c r="H480" s="13" t="s">
        <v>43</v>
      </c>
    </row>
    <row r="481">
      <c r="A481" s="13">
        <v>491.0</v>
      </c>
      <c r="C481" s="13">
        <v>484.0</v>
      </c>
      <c r="E481" s="13" t="s">
        <v>233</v>
      </c>
      <c r="F481" s="13" t="s">
        <v>733</v>
      </c>
      <c r="G481" s="13" t="b">
        <v>0</v>
      </c>
    </row>
    <row r="482">
      <c r="A482" s="13">
        <v>492.0</v>
      </c>
      <c r="C482" s="13">
        <v>484.0</v>
      </c>
      <c r="E482" s="13" t="s">
        <v>302</v>
      </c>
      <c r="F482" s="13" t="s">
        <v>734</v>
      </c>
      <c r="G482" s="13" t="b">
        <v>0</v>
      </c>
    </row>
    <row r="483">
      <c r="A483" s="13">
        <v>493.0</v>
      </c>
      <c r="C483" s="13">
        <v>484.0</v>
      </c>
      <c r="E483" s="13" t="s">
        <v>735</v>
      </c>
      <c r="F483" s="13" t="s">
        <v>736</v>
      </c>
      <c r="G483" s="13" t="b">
        <v>0</v>
      </c>
    </row>
    <row r="484">
      <c r="A484" s="13">
        <v>494.0</v>
      </c>
      <c r="C484" s="13">
        <v>484.0</v>
      </c>
      <c r="E484" s="13" t="s">
        <v>150</v>
      </c>
      <c r="F484" s="13" t="s">
        <v>737</v>
      </c>
      <c r="G484" s="13" t="b">
        <v>0</v>
      </c>
      <c r="H484" s="13" t="s">
        <v>43</v>
      </c>
    </row>
    <row r="485">
      <c r="A485" s="13">
        <v>495.0</v>
      </c>
      <c r="C485" s="13">
        <v>484.0</v>
      </c>
      <c r="E485" s="13" t="s">
        <v>557</v>
      </c>
      <c r="F485" s="13" t="s">
        <v>738</v>
      </c>
      <c r="G485" s="13" t="b">
        <v>0</v>
      </c>
    </row>
    <row r="486">
      <c r="A486" s="13">
        <v>496.0</v>
      </c>
      <c r="C486" s="13">
        <v>484.0</v>
      </c>
      <c r="E486" s="13" t="s">
        <v>739</v>
      </c>
      <c r="F486" s="13" t="s">
        <v>740</v>
      </c>
      <c r="G486" s="13" t="b">
        <v>0</v>
      </c>
    </row>
    <row r="487">
      <c r="A487" s="13">
        <v>497.0</v>
      </c>
      <c r="C487" s="13">
        <v>484.0</v>
      </c>
      <c r="E487" s="13" t="s">
        <v>304</v>
      </c>
      <c r="F487" s="13" t="s">
        <v>628</v>
      </c>
      <c r="G487" s="13" t="b">
        <v>0</v>
      </c>
    </row>
    <row r="488">
      <c r="A488" s="13">
        <v>498.0</v>
      </c>
      <c r="C488" s="13">
        <v>484.0</v>
      </c>
      <c r="G488" s="13" t="b">
        <v>0</v>
      </c>
      <c r="H488" s="13" t="s">
        <v>39</v>
      </c>
    </row>
    <row r="489">
      <c r="A489" s="13">
        <v>499.0</v>
      </c>
      <c r="C489" s="13">
        <v>484.0</v>
      </c>
      <c r="E489" s="13" t="s">
        <v>504</v>
      </c>
      <c r="F489" s="13" t="s">
        <v>741</v>
      </c>
      <c r="G489" s="13" t="b">
        <v>0</v>
      </c>
      <c r="H489" s="13" t="s">
        <v>43</v>
      </c>
    </row>
    <row r="490">
      <c r="A490" s="13">
        <v>500.0</v>
      </c>
      <c r="C490" s="13">
        <v>484.0</v>
      </c>
      <c r="E490" s="13" t="s">
        <v>508</v>
      </c>
      <c r="F490" s="13" t="s">
        <v>742</v>
      </c>
      <c r="G490" s="13" t="b">
        <v>0</v>
      </c>
    </row>
    <row r="491">
      <c r="A491" s="13">
        <v>501.0</v>
      </c>
      <c r="C491" s="13">
        <v>484.0</v>
      </c>
      <c r="E491" s="13" t="s">
        <v>739</v>
      </c>
      <c r="F491" s="13" t="s">
        <v>743</v>
      </c>
      <c r="G491" s="13" t="b">
        <v>0</v>
      </c>
    </row>
    <row r="492">
      <c r="A492" s="13">
        <v>502.0</v>
      </c>
      <c r="C492" s="13">
        <v>484.0</v>
      </c>
      <c r="E492" s="13" t="s">
        <v>744</v>
      </c>
      <c r="F492" s="13" t="s">
        <v>745</v>
      </c>
      <c r="G492" s="13" t="b">
        <v>0</v>
      </c>
    </row>
    <row r="493">
      <c r="A493" s="13">
        <v>503.0</v>
      </c>
      <c r="C493" s="13">
        <v>484.0</v>
      </c>
      <c r="E493" s="13" t="s">
        <v>51</v>
      </c>
      <c r="F493" s="13" t="s">
        <v>746</v>
      </c>
      <c r="G493" s="13" t="b">
        <v>0</v>
      </c>
      <c r="H493" s="13" t="s">
        <v>43</v>
      </c>
    </row>
    <row r="494">
      <c r="A494" s="13">
        <v>504.0</v>
      </c>
      <c r="C494" s="13">
        <v>484.0</v>
      </c>
      <c r="E494" s="13" t="s">
        <v>536</v>
      </c>
      <c r="F494" s="13" t="s">
        <v>747</v>
      </c>
      <c r="G494" s="13" t="b">
        <v>0</v>
      </c>
    </row>
    <row r="495">
      <c r="A495" s="13">
        <v>505.0</v>
      </c>
      <c r="C495" s="13">
        <v>484.0</v>
      </c>
      <c r="E495" s="13" t="s">
        <v>176</v>
      </c>
      <c r="F495" s="13" t="s">
        <v>748</v>
      </c>
      <c r="G495" s="13" t="b">
        <v>0</v>
      </c>
    </row>
    <row r="496">
      <c r="A496" s="13">
        <v>506.0</v>
      </c>
      <c r="C496" s="13">
        <v>484.0</v>
      </c>
      <c r="E496" s="13" t="s">
        <v>749</v>
      </c>
      <c r="F496" s="13" t="s">
        <v>750</v>
      </c>
      <c r="G496" s="13" t="b">
        <v>0</v>
      </c>
    </row>
    <row r="497">
      <c r="A497" s="13">
        <v>507.0</v>
      </c>
      <c r="C497" s="13">
        <v>484.0</v>
      </c>
      <c r="G497" s="13" t="b">
        <v>0</v>
      </c>
      <c r="H497" s="13" t="s">
        <v>43</v>
      </c>
    </row>
    <row r="498">
      <c r="A498" s="13">
        <v>508.0</v>
      </c>
      <c r="C498" s="13">
        <v>484.0</v>
      </c>
      <c r="F498" s="13" t="s">
        <v>751</v>
      </c>
      <c r="G498" s="13" t="b">
        <v>0</v>
      </c>
    </row>
    <row r="499">
      <c r="A499" s="13">
        <v>509.0</v>
      </c>
      <c r="C499" s="13">
        <v>484.0</v>
      </c>
      <c r="E499" s="13" t="s">
        <v>752</v>
      </c>
      <c r="F499" s="13" t="s">
        <v>753</v>
      </c>
      <c r="G499" s="13" t="b">
        <v>0</v>
      </c>
    </row>
    <row r="500">
      <c r="A500" s="13">
        <v>510.0</v>
      </c>
      <c r="C500" s="13">
        <v>484.0</v>
      </c>
      <c r="E500" s="13" t="s">
        <v>319</v>
      </c>
      <c r="F500" s="13" t="s">
        <v>754</v>
      </c>
      <c r="G500" s="13" t="b">
        <v>0</v>
      </c>
    </row>
    <row r="501">
      <c r="A501" s="13">
        <v>511.0</v>
      </c>
      <c r="C501" s="13">
        <v>484.0</v>
      </c>
      <c r="G501" s="13" t="b">
        <v>0</v>
      </c>
      <c r="H501" s="13" t="s">
        <v>39</v>
      </c>
    </row>
    <row r="502">
      <c r="A502" s="13">
        <v>512.0</v>
      </c>
      <c r="C502" s="13">
        <v>484.0</v>
      </c>
      <c r="E502" s="13" t="s">
        <v>536</v>
      </c>
      <c r="F502" s="13" t="s">
        <v>755</v>
      </c>
      <c r="G502" s="13" t="b">
        <v>0</v>
      </c>
      <c r="H502" s="13" t="s">
        <v>43</v>
      </c>
    </row>
    <row r="503">
      <c r="A503" s="13">
        <v>513.0</v>
      </c>
      <c r="C503" s="13">
        <v>484.0</v>
      </c>
      <c r="E503" s="13" t="s">
        <v>756</v>
      </c>
      <c r="F503" s="13" t="s">
        <v>757</v>
      </c>
      <c r="G503" s="13" t="b">
        <v>0</v>
      </c>
    </row>
    <row r="504">
      <c r="A504" s="13">
        <v>514.0</v>
      </c>
      <c r="C504" s="13">
        <v>484.0</v>
      </c>
      <c r="E504" s="13" t="s">
        <v>758</v>
      </c>
      <c r="F504" s="13" t="s">
        <v>759</v>
      </c>
      <c r="G504" s="13" t="b">
        <v>0</v>
      </c>
    </row>
    <row r="505">
      <c r="A505" s="13">
        <v>515.0</v>
      </c>
      <c r="C505" s="13">
        <v>484.0</v>
      </c>
      <c r="G505" s="13" t="b">
        <v>0</v>
      </c>
      <c r="H505" s="13" t="s">
        <v>39</v>
      </c>
    </row>
    <row r="506">
      <c r="A506" s="13">
        <v>516.0</v>
      </c>
      <c r="C506" s="13">
        <v>484.0</v>
      </c>
      <c r="E506" s="13" t="s">
        <v>536</v>
      </c>
      <c r="F506" s="13" t="s">
        <v>755</v>
      </c>
      <c r="G506" s="13" t="b">
        <v>0</v>
      </c>
      <c r="H506" s="13" t="s">
        <v>43</v>
      </c>
    </row>
    <row r="507">
      <c r="A507" s="13">
        <v>517.0</v>
      </c>
      <c r="C507" s="13">
        <v>484.0</v>
      </c>
      <c r="E507" s="13" t="s">
        <v>756</v>
      </c>
      <c r="F507" s="13" t="s">
        <v>757</v>
      </c>
      <c r="G507" s="13" t="b">
        <v>0</v>
      </c>
    </row>
    <row r="508">
      <c r="A508" s="13">
        <v>518.0</v>
      </c>
      <c r="C508" s="13">
        <v>484.0</v>
      </c>
      <c r="E508" s="13" t="s">
        <v>758</v>
      </c>
      <c r="F508" s="13" t="s">
        <v>759</v>
      </c>
      <c r="G508" s="13" t="b">
        <v>0</v>
      </c>
    </row>
    <row r="509">
      <c r="A509" s="13">
        <v>519.0</v>
      </c>
      <c r="C509" s="13">
        <v>484.0</v>
      </c>
      <c r="G509" s="13" t="b">
        <v>0</v>
      </c>
      <c r="H509" s="13" t="s">
        <v>39</v>
      </c>
    </row>
    <row r="510">
      <c r="A510" s="13">
        <v>520.0</v>
      </c>
      <c r="C510" s="13">
        <v>484.0</v>
      </c>
      <c r="E510" s="13" t="s">
        <v>536</v>
      </c>
      <c r="F510" s="13" t="s">
        <v>755</v>
      </c>
      <c r="G510" s="13" t="b">
        <v>0</v>
      </c>
      <c r="H510" s="13" t="s">
        <v>43</v>
      </c>
    </row>
    <row r="511">
      <c r="A511" s="13">
        <v>521.0</v>
      </c>
      <c r="C511" s="13">
        <v>484.0</v>
      </c>
      <c r="E511" s="13" t="s">
        <v>756</v>
      </c>
      <c r="F511" s="13" t="s">
        <v>757</v>
      </c>
      <c r="G511" s="13" t="b">
        <v>0</v>
      </c>
    </row>
    <row r="512">
      <c r="A512" s="13">
        <v>522.0</v>
      </c>
      <c r="C512" s="13">
        <v>484.0</v>
      </c>
      <c r="E512" s="13" t="s">
        <v>758</v>
      </c>
      <c r="F512" s="13" t="s">
        <v>759</v>
      </c>
      <c r="G512" s="13" t="b">
        <v>0</v>
      </c>
    </row>
  </sheetData>
  <autoFilter ref="$H$1:$H$91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43"/>
    <col customWidth="1" min="6" max="6" width="40.86"/>
    <col customWidth="1" min="7" max="7" width="19.29"/>
    <col customWidth="1" min="9" max="9" width="17.43"/>
    <col customWidth="1" min="11" max="11" width="15.71"/>
    <col customWidth="1" min="12" max="12" width="17.14"/>
    <col customWidth="1" min="13" max="13" width="21.57"/>
    <col customWidth="1" min="21" max="21" width="16.29"/>
    <col customWidth="1" min="22" max="22" width="16.14"/>
  </cols>
  <sheetData>
    <row r="1">
      <c r="A1" s="1" t="s">
        <v>0</v>
      </c>
      <c r="B1" s="3" t="s">
        <v>1</v>
      </c>
      <c r="C1" s="3" t="s">
        <v>3</v>
      </c>
      <c r="D1" s="5" t="s">
        <v>6</v>
      </c>
      <c r="E1" s="3" t="s">
        <v>7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15</v>
      </c>
      <c r="L1" s="3" t="s">
        <v>16</v>
      </c>
      <c r="M1" s="3" t="s">
        <v>17</v>
      </c>
      <c r="N1" s="11"/>
      <c r="O1" s="11"/>
      <c r="T1" s="13"/>
      <c r="U1" s="13"/>
      <c r="V1" s="13"/>
    </row>
    <row r="2">
      <c r="D2" s="15"/>
      <c r="E2" s="16"/>
      <c r="G2" s="17"/>
      <c r="H2" s="19"/>
    </row>
    <row r="3">
      <c r="D3" s="17"/>
      <c r="E3" s="16"/>
      <c r="G3" s="17"/>
      <c r="H3" s="20"/>
    </row>
    <row r="4">
      <c r="D4" s="19"/>
      <c r="E4" s="16"/>
      <c r="G4" s="19"/>
      <c r="H4" s="19"/>
    </row>
    <row r="5">
      <c r="D5" s="19"/>
      <c r="E5" s="19"/>
      <c r="G5" s="19"/>
      <c r="H5" s="19"/>
    </row>
    <row r="6">
      <c r="D6" s="19"/>
      <c r="E6" s="19"/>
      <c r="G6" s="19"/>
      <c r="H6" s="19"/>
    </row>
    <row r="7">
      <c r="D7" s="19"/>
      <c r="E7" s="19"/>
      <c r="G7" s="19"/>
      <c r="H7" s="19"/>
    </row>
    <row r="8">
      <c r="D8" s="19"/>
      <c r="E8" s="19"/>
      <c r="G8" s="19"/>
      <c r="H8" s="19"/>
    </row>
    <row r="9">
      <c r="D9" s="19"/>
      <c r="E9" s="19"/>
      <c r="G9" s="19"/>
      <c r="H9" s="19"/>
    </row>
    <row r="10">
      <c r="D10" s="19"/>
      <c r="E10" s="19"/>
      <c r="G10" s="19"/>
      <c r="H10" s="19"/>
    </row>
    <row r="11">
      <c r="D11" s="19"/>
      <c r="E11" s="19"/>
      <c r="G11" s="19"/>
      <c r="H11" s="19"/>
    </row>
    <row r="12">
      <c r="D12" s="19"/>
      <c r="E12" s="19"/>
      <c r="G12" s="19"/>
      <c r="H12" s="19"/>
    </row>
    <row r="13">
      <c r="D13" s="19"/>
      <c r="E13" s="19"/>
      <c r="G13" s="19"/>
      <c r="H13" s="19"/>
    </row>
    <row r="14">
      <c r="D14" s="19"/>
      <c r="E14" s="19"/>
      <c r="G14" s="19"/>
      <c r="H14" s="19"/>
    </row>
    <row r="15">
      <c r="D15" s="21"/>
      <c r="E15" s="21"/>
      <c r="G15" s="21"/>
      <c r="H15" s="21"/>
    </row>
    <row r="16">
      <c r="D16" s="19"/>
      <c r="E16" s="19"/>
      <c r="G16" s="19"/>
      <c r="H16" s="19"/>
    </row>
    <row r="17">
      <c r="D17" s="19"/>
      <c r="E17" s="19"/>
      <c r="G17" s="19"/>
      <c r="H17" s="19"/>
    </row>
    <row r="18">
      <c r="D18" s="19"/>
      <c r="E18" s="19"/>
      <c r="G18" s="19"/>
      <c r="H18" s="19"/>
    </row>
    <row r="19">
      <c r="D19" s="19"/>
      <c r="E19" s="19"/>
      <c r="G19" s="19"/>
      <c r="H19" s="19"/>
    </row>
    <row r="20">
      <c r="D20" s="19"/>
      <c r="E20" s="19"/>
      <c r="G20" s="19"/>
      <c r="H20" s="19"/>
    </row>
    <row r="21">
      <c r="D21" s="19"/>
      <c r="E21" s="19"/>
      <c r="G21" s="19"/>
      <c r="H21" s="19"/>
    </row>
    <row r="22">
      <c r="D22" s="23"/>
      <c r="E22" s="19"/>
      <c r="G22" s="23"/>
      <c r="H22" s="19"/>
    </row>
    <row r="23">
      <c r="D23" s="24"/>
      <c r="E23" s="24"/>
      <c r="G23" s="24"/>
      <c r="H23" s="24"/>
    </row>
    <row r="24">
      <c r="D24" s="27"/>
      <c r="E24" s="27"/>
      <c r="G24" s="27"/>
      <c r="H24" s="27"/>
    </row>
    <row r="25">
      <c r="D25" s="27"/>
      <c r="E25" s="27"/>
      <c r="G25" s="27"/>
      <c r="H25" s="27"/>
    </row>
    <row r="26">
      <c r="D26" s="27"/>
      <c r="E26" s="27"/>
      <c r="G26" s="27"/>
      <c r="H26" s="27"/>
    </row>
    <row r="27">
      <c r="D27" s="27"/>
      <c r="E27" s="27"/>
      <c r="G27" s="27"/>
      <c r="H27" s="27"/>
    </row>
    <row r="28">
      <c r="D28" s="27"/>
      <c r="E28" s="27"/>
      <c r="G28" s="27"/>
      <c r="H28" s="27"/>
    </row>
    <row r="29">
      <c r="D29" s="27"/>
      <c r="E29" s="27"/>
      <c r="G29" s="27"/>
      <c r="H29" s="27"/>
    </row>
    <row r="30">
      <c r="D30" s="27"/>
      <c r="E30" s="27"/>
      <c r="G30" s="27"/>
      <c r="H30" s="27"/>
    </row>
    <row r="31">
      <c r="D31" s="34"/>
      <c r="E31" s="34"/>
      <c r="G31" s="34"/>
      <c r="H31" s="34"/>
    </row>
    <row r="32">
      <c r="D32" s="27"/>
      <c r="E32" s="27"/>
      <c r="G32" s="27"/>
      <c r="H32" s="27"/>
    </row>
    <row r="33">
      <c r="D33" s="27"/>
      <c r="E33" s="27"/>
      <c r="G33" s="27"/>
      <c r="H33" s="27"/>
    </row>
    <row r="34">
      <c r="D34" s="38"/>
      <c r="E34" s="38"/>
      <c r="G34" s="38"/>
      <c r="H34" s="38"/>
    </row>
    <row r="35">
      <c r="D35" s="39"/>
      <c r="E35" s="39"/>
      <c r="G35" s="39"/>
      <c r="H35" s="39"/>
    </row>
    <row r="36">
      <c r="D36" s="39"/>
      <c r="E36" s="39"/>
      <c r="G36" s="39"/>
      <c r="H36" s="39"/>
    </row>
    <row r="37">
      <c r="D37" s="38"/>
      <c r="E37" s="39"/>
      <c r="G37" s="38"/>
      <c r="H37" s="39"/>
    </row>
    <row r="38">
      <c r="D38" s="39"/>
      <c r="E38" s="39"/>
      <c r="G38" s="39"/>
      <c r="H38" s="39"/>
    </row>
    <row r="39">
      <c r="D39" s="39"/>
      <c r="E39" s="39"/>
      <c r="G39" s="39"/>
      <c r="H39" s="39"/>
    </row>
    <row r="40">
      <c r="D40" s="39"/>
      <c r="E40" s="39"/>
      <c r="G40" s="39"/>
      <c r="H40" s="39"/>
    </row>
    <row r="41">
      <c r="D41" s="39"/>
      <c r="E41" s="39"/>
      <c r="G41" s="39"/>
      <c r="H41" s="39"/>
    </row>
    <row r="42">
      <c r="D42" s="39"/>
      <c r="E42" s="39"/>
      <c r="G42" s="39"/>
      <c r="H42" s="39"/>
    </row>
    <row r="43">
      <c r="D43" s="39"/>
      <c r="E43" s="39"/>
      <c r="G43" s="39"/>
      <c r="H43" s="39"/>
    </row>
    <row r="44">
      <c r="D44" s="39"/>
      <c r="E44" s="39"/>
      <c r="G44" s="39"/>
      <c r="H44" s="39"/>
    </row>
    <row r="45">
      <c r="D45" s="39"/>
      <c r="E45" s="39"/>
      <c r="G45" s="39"/>
      <c r="H45" s="39"/>
    </row>
    <row r="46">
      <c r="D46" s="39"/>
      <c r="E46" s="39"/>
      <c r="G46" s="39"/>
      <c r="H46" s="39"/>
    </row>
    <row r="47">
      <c r="D47" s="39"/>
      <c r="E47" s="39"/>
      <c r="G47" s="39"/>
      <c r="H47" s="39"/>
    </row>
    <row r="48">
      <c r="D48" s="39"/>
      <c r="E48" s="39"/>
      <c r="G48" s="39"/>
      <c r="H48" s="39"/>
    </row>
    <row r="49">
      <c r="D49" s="39"/>
      <c r="E49" s="39"/>
      <c r="G49" s="39"/>
      <c r="H49" s="39"/>
    </row>
    <row r="50">
      <c r="D50" s="39"/>
      <c r="E50" s="39"/>
      <c r="G50" s="39"/>
      <c r="H50" s="39"/>
    </row>
    <row r="51">
      <c r="D51" s="39"/>
      <c r="E51" s="39"/>
      <c r="G51" s="39"/>
      <c r="H51" s="39"/>
    </row>
    <row r="52">
      <c r="D52" s="24"/>
      <c r="E52" s="24"/>
      <c r="G52" s="24"/>
      <c r="H52" s="24"/>
    </row>
    <row r="53">
      <c r="D53" s="27"/>
      <c r="E53" s="27"/>
      <c r="G53" s="27"/>
      <c r="H53" s="27"/>
    </row>
    <row r="54">
      <c r="D54" s="27"/>
      <c r="E54" s="27"/>
      <c r="G54" s="27"/>
      <c r="H54" s="27"/>
    </row>
    <row r="55">
      <c r="D55" s="27"/>
      <c r="E55" s="27"/>
      <c r="G55" s="27"/>
      <c r="H55" s="27"/>
    </row>
    <row r="56">
      <c r="D56" s="27"/>
      <c r="E56" s="27"/>
      <c r="G56" s="27"/>
      <c r="H56" s="27"/>
    </row>
    <row r="57">
      <c r="D57" s="27"/>
      <c r="E57" s="27"/>
      <c r="G57" s="27"/>
      <c r="H57" s="27"/>
    </row>
    <row r="58">
      <c r="D58" s="27"/>
      <c r="E58" s="27"/>
      <c r="G58" s="27"/>
      <c r="H58" s="27"/>
    </row>
    <row r="59">
      <c r="D59" s="27"/>
      <c r="E59" s="27"/>
      <c r="G59" s="27"/>
      <c r="H59" s="27"/>
    </row>
    <row r="60">
      <c r="D60" s="27"/>
      <c r="E60" s="27"/>
      <c r="G60" s="27"/>
      <c r="H60" s="27"/>
    </row>
    <row r="61">
      <c r="D61" s="27"/>
      <c r="E61" s="27"/>
      <c r="G61" s="27"/>
      <c r="H61" s="27"/>
    </row>
    <row r="62">
      <c r="D62" s="27"/>
      <c r="E62" s="27"/>
      <c r="G62" s="27"/>
      <c r="H62" s="27"/>
    </row>
    <row r="63">
      <c r="D63" s="24"/>
      <c r="E63" s="24"/>
      <c r="G63" s="24"/>
      <c r="H63" s="24"/>
    </row>
    <row r="64">
      <c r="D64" s="27"/>
      <c r="E64" s="27"/>
      <c r="G64" s="27"/>
      <c r="H64" s="27"/>
    </row>
    <row r="65">
      <c r="D65" s="27"/>
      <c r="E65" s="27"/>
      <c r="G65" s="27"/>
      <c r="H65" s="27"/>
    </row>
    <row r="66">
      <c r="D66" s="27"/>
      <c r="E66" s="27"/>
      <c r="G66" s="27"/>
      <c r="H66" s="27"/>
    </row>
    <row r="67">
      <c r="D67" s="27"/>
      <c r="E67" s="27"/>
      <c r="G67" s="27"/>
      <c r="H67" s="27"/>
    </row>
    <row r="68">
      <c r="D68" s="27"/>
      <c r="E68" s="27"/>
      <c r="G68" s="27"/>
      <c r="H68" s="27"/>
    </row>
    <row r="69">
      <c r="D69" s="27"/>
      <c r="E69" s="27"/>
      <c r="G69" s="27"/>
      <c r="H69" s="27"/>
    </row>
    <row r="70">
      <c r="D70" s="34"/>
      <c r="E70" s="34"/>
      <c r="G70" s="34"/>
      <c r="H70" s="34"/>
    </row>
    <row r="71">
      <c r="D71" s="34"/>
      <c r="E71" s="52"/>
      <c r="G71" s="34"/>
      <c r="H71" s="52"/>
    </row>
    <row r="72">
      <c r="D72" s="34"/>
      <c r="E72" s="34"/>
      <c r="G72" s="34"/>
      <c r="H72" s="34"/>
    </row>
    <row r="73">
      <c r="D73" s="34"/>
      <c r="E73" s="34"/>
      <c r="G73" s="34"/>
      <c r="H73" s="34"/>
    </row>
    <row r="74">
      <c r="D74" s="34"/>
      <c r="E74" s="34"/>
      <c r="G74" s="34"/>
      <c r="H74" s="34"/>
    </row>
    <row r="75">
      <c r="D75" s="34"/>
      <c r="E75" s="34"/>
      <c r="G75" s="34"/>
      <c r="H75" s="34"/>
    </row>
    <row r="76">
      <c r="D76" s="55"/>
      <c r="E76" s="55"/>
      <c r="G76" s="55"/>
      <c r="H76" s="55"/>
    </row>
    <row r="77">
      <c r="D77" s="57"/>
      <c r="E77" s="57"/>
      <c r="G77" s="57"/>
      <c r="H77" s="57"/>
    </row>
    <row r="78">
      <c r="D78" s="58"/>
      <c r="E78" s="58"/>
      <c r="G78" s="58"/>
      <c r="H78" s="58"/>
    </row>
    <row r="79">
      <c r="D79" s="58"/>
      <c r="E79" s="58"/>
      <c r="G79" s="58"/>
      <c r="H79" s="58"/>
    </row>
    <row r="80">
      <c r="D80" s="60"/>
      <c r="E80" s="60"/>
      <c r="G80" s="60"/>
      <c r="H80" s="60"/>
    </row>
    <row r="81">
      <c r="D81" s="58"/>
      <c r="E81" s="58"/>
      <c r="G81" s="58"/>
      <c r="H81" s="58"/>
    </row>
    <row r="82">
      <c r="D82" s="57"/>
      <c r="E82" s="57"/>
      <c r="G82" s="57"/>
      <c r="H82" s="57"/>
    </row>
    <row r="83">
      <c r="D83" s="58"/>
      <c r="E83" s="58"/>
      <c r="G83" s="58"/>
      <c r="H83" s="58"/>
    </row>
    <row r="84">
      <c r="D84" s="58"/>
      <c r="E84" s="58"/>
      <c r="G84" s="58"/>
      <c r="H84" s="58"/>
    </row>
    <row r="85">
      <c r="D85" s="58"/>
      <c r="E85" s="58"/>
      <c r="G85" s="58"/>
      <c r="H85" s="58"/>
    </row>
    <row r="86">
      <c r="D86" s="58"/>
      <c r="E86" s="58"/>
      <c r="G86" s="58"/>
      <c r="H86" s="58"/>
    </row>
    <row r="87">
      <c r="D87" s="57"/>
      <c r="E87" s="57"/>
      <c r="G87" s="57"/>
      <c r="H87" s="57"/>
    </row>
    <row r="88">
      <c r="D88" s="58"/>
      <c r="E88" s="58"/>
      <c r="G88" s="58"/>
      <c r="H88" s="58"/>
    </row>
    <row r="89">
      <c r="D89" s="62"/>
      <c r="E89" s="62"/>
      <c r="G89" s="62"/>
      <c r="H89" s="62"/>
    </row>
    <row r="90">
      <c r="D90" s="63"/>
      <c r="E90" s="63"/>
      <c r="G90" s="63"/>
      <c r="H90" s="63"/>
    </row>
    <row r="91">
      <c r="D91" s="63"/>
      <c r="E91" s="63"/>
      <c r="G91" s="63"/>
      <c r="H91" s="63"/>
    </row>
    <row r="92">
      <c r="D92" s="64"/>
      <c r="E92" s="64"/>
      <c r="G92" s="64"/>
      <c r="H92" s="64"/>
    </row>
    <row r="93">
      <c r="D93" s="66"/>
      <c r="E93" s="66"/>
      <c r="G93" s="66"/>
      <c r="H93" s="66"/>
    </row>
    <row r="94">
      <c r="D94" s="66"/>
      <c r="E94" s="66"/>
      <c r="G94" s="66"/>
      <c r="H94" s="66"/>
    </row>
    <row r="95">
      <c r="D95" s="66"/>
      <c r="E95" s="66"/>
      <c r="G95" s="66"/>
      <c r="H95" s="66"/>
    </row>
    <row r="96">
      <c r="D96" s="66"/>
      <c r="E96" s="66"/>
      <c r="G96" s="66"/>
      <c r="H96" s="66"/>
    </row>
    <row r="97">
      <c r="D97" s="69"/>
      <c r="E97" s="63"/>
      <c r="G97" s="69"/>
      <c r="H97" s="63"/>
    </row>
    <row r="98">
      <c r="D98" s="70"/>
      <c r="E98" s="70"/>
      <c r="G98" s="70"/>
      <c r="H98" s="70"/>
    </row>
    <row r="99">
      <c r="D99" s="70"/>
      <c r="E99" s="70"/>
      <c r="G99" s="70"/>
      <c r="H99" s="70"/>
    </row>
    <row r="100">
      <c r="D100" s="70"/>
      <c r="E100" s="70"/>
      <c r="G100" s="70"/>
      <c r="H100" s="70"/>
    </row>
    <row r="101">
      <c r="D101" s="70"/>
      <c r="E101" s="70"/>
      <c r="G101" s="70"/>
      <c r="H101" s="70"/>
    </row>
    <row r="102">
      <c r="D102" s="70"/>
      <c r="E102" s="70"/>
      <c r="G102" s="70"/>
      <c r="H102" s="70"/>
    </row>
    <row r="103">
      <c r="D103" s="70"/>
      <c r="E103" s="70"/>
      <c r="G103" s="70"/>
      <c r="H103" s="70"/>
    </row>
    <row r="104">
      <c r="D104" s="70"/>
      <c r="E104" s="70"/>
      <c r="G104" s="70"/>
      <c r="H104" s="70"/>
    </row>
    <row r="105">
      <c r="D105" s="70"/>
      <c r="E105" s="70"/>
      <c r="G105" s="70"/>
      <c r="H105" s="70"/>
    </row>
    <row r="106">
      <c r="D106" s="70"/>
      <c r="E106" s="70"/>
      <c r="G106" s="70"/>
      <c r="H106" s="70"/>
    </row>
    <row r="107">
      <c r="D107" s="70"/>
      <c r="E107" s="70"/>
      <c r="G107" s="70"/>
      <c r="H107" s="70"/>
    </row>
    <row r="108">
      <c r="D108" s="70"/>
      <c r="E108" s="70"/>
      <c r="G108" s="70"/>
      <c r="H108" s="70"/>
    </row>
    <row r="109">
      <c r="D109" s="70"/>
      <c r="E109" s="70"/>
      <c r="G109" s="70"/>
      <c r="H109" s="70"/>
    </row>
    <row r="110">
      <c r="D110" s="70"/>
      <c r="E110" s="70"/>
      <c r="G110" s="70"/>
      <c r="H110" s="70"/>
    </row>
    <row r="111">
      <c r="D111" s="70"/>
      <c r="E111" s="70"/>
      <c r="G111" s="70"/>
      <c r="H111" s="70"/>
    </row>
    <row r="112">
      <c r="D112" s="70"/>
      <c r="E112" s="70"/>
      <c r="G112" s="70"/>
      <c r="H112" s="70"/>
    </row>
    <row r="113">
      <c r="D113" s="70"/>
      <c r="E113" s="70"/>
      <c r="G113" s="70"/>
      <c r="H113" s="70"/>
    </row>
    <row r="114">
      <c r="D114" s="70"/>
      <c r="E114" s="70"/>
      <c r="G114" s="70"/>
      <c r="H114" s="70"/>
    </row>
    <row r="115">
      <c r="D115" s="70"/>
      <c r="E115" s="70"/>
      <c r="G115" s="70"/>
      <c r="H115" s="70"/>
    </row>
    <row r="116">
      <c r="D116" s="70"/>
      <c r="E116" s="70"/>
      <c r="G116" s="70"/>
      <c r="H116" s="70"/>
    </row>
    <row r="117">
      <c r="D117" s="70"/>
      <c r="E117" s="70"/>
      <c r="G117" s="70"/>
      <c r="H117" s="70"/>
    </row>
    <row r="119">
      <c r="D119" s="55"/>
      <c r="E119" s="55"/>
      <c r="G119" s="55"/>
      <c r="H119" s="55"/>
    </row>
    <row r="120">
      <c r="D120" s="73"/>
      <c r="E120" s="58"/>
      <c r="G120" s="73"/>
      <c r="H120" s="58"/>
    </row>
    <row r="121">
      <c r="D121" s="58"/>
      <c r="E121" s="58"/>
      <c r="G121" s="58"/>
      <c r="H121" s="58"/>
    </row>
    <row r="122">
      <c r="D122" s="74"/>
      <c r="E122" s="58"/>
      <c r="G122" s="74"/>
      <c r="H122" s="58"/>
    </row>
    <row r="123">
      <c r="D123" s="58"/>
      <c r="E123" s="58"/>
      <c r="G123" s="58"/>
      <c r="H123" s="58"/>
    </row>
    <row r="124">
      <c r="D124" s="58"/>
      <c r="E124" s="58"/>
      <c r="G124" s="58"/>
      <c r="H124" s="58"/>
    </row>
    <row r="125">
      <c r="D125" s="58"/>
      <c r="E125" s="58"/>
      <c r="G125" s="58"/>
      <c r="H125" s="58"/>
    </row>
    <row r="126">
      <c r="D126" s="58"/>
      <c r="E126" s="58"/>
      <c r="G126" s="58"/>
      <c r="H126" s="58"/>
    </row>
    <row r="127">
      <c r="D127" s="58"/>
      <c r="E127" s="58"/>
      <c r="G127" s="58"/>
      <c r="H127" s="58"/>
    </row>
    <row r="128">
      <c r="D128" s="58"/>
      <c r="E128" s="58"/>
      <c r="G128" s="58"/>
      <c r="H128" s="58"/>
    </row>
    <row r="129">
      <c r="D129" s="58"/>
      <c r="E129" s="58"/>
      <c r="G129" s="58"/>
      <c r="H129" s="58"/>
    </row>
    <row r="130">
      <c r="D130" s="58"/>
      <c r="E130" s="58"/>
      <c r="G130" s="58"/>
      <c r="H130" s="58"/>
    </row>
    <row r="131">
      <c r="D131" s="58"/>
      <c r="E131" s="58"/>
      <c r="G131" s="58"/>
      <c r="H131" s="58"/>
    </row>
    <row r="132">
      <c r="D132" s="58"/>
      <c r="E132" s="58"/>
      <c r="G132" s="58"/>
      <c r="H132" s="58"/>
    </row>
    <row r="133">
      <c r="D133" s="58"/>
      <c r="E133" s="58"/>
      <c r="G133" s="58"/>
      <c r="H133" s="58"/>
    </row>
    <row r="134">
      <c r="D134" s="58"/>
      <c r="E134" s="58"/>
      <c r="G134" s="58"/>
      <c r="H134" s="58"/>
    </row>
    <row r="135">
      <c r="D135" s="58"/>
      <c r="E135" s="58"/>
      <c r="G135" s="58"/>
      <c r="H135" s="58"/>
    </row>
    <row r="136">
      <c r="D136" s="58"/>
      <c r="E136" s="58"/>
      <c r="G136" s="58"/>
      <c r="H136" s="58"/>
    </row>
    <row r="137">
      <c r="D137" s="23"/>
      <c r="E137" s="58"/>
      <c r="G137" s="23"/>
      <c r="H137" s="58"/>
    </row>
    <row r="139">
      <c r="D139" s="55"/>
      <c r="E139" s="55"/>
      <c r="G139" s="55"/>
      <c r="H139" s="55"/>
    </row>
    <row r="140">
      <c r="D140" s="62"/>
      <c r="E140" s="62"/>
      <c r="G140" s="62"/>
      <c r="H140" s="62"/>
    </row>
    <row r="141">
      <c r="D141" s="62"/>
      <c r="E141" s="62"/>
      <c r="G141" s="62"/>
      <c r="H141" s="62"/>
    </row>
    <row r="142">
      <c r="D142" s="62"/>
      <c r="E142" s="62"/>
      <c r="G142" s="62"/>
      <c r="H142" s="62"/>
    </row>
    <row r="143">
      <c r="D143" s="62"/>
      <c r="E143" s="62"/>
      <c r="G143" s="62"/>
      <c r="H143" s="62"/>
    </row>
    <row r="144">
      <c r="D144" s="62"/>
      <c r="E144" s="62"/>
      <c r="G144" s="62"/>
      <c r="H144" s="62"/>
    </row>
    <row r="145">
      <c r="D145" s="62"/>
      <c r="E145" s="62"/>
      <c r="G145" s="62"/>
      <c r="H145" s="62"/>
    </row>
    <row r="146">
      <c r="D146" s="62"/>
      <c r="E146" s="62"/>
      <c r="G146" s="62"/>
      <c r="H146" s="62"/>
    </row>
    <row r="147">
      <c r="D147" s="62"/>
      <c r="E147" s="62"/>
      <c r="G147" s="62"/>
      <c r="H147" s="62"/>
    </row>
    <row r="148">
      <c r="D148" s="62"/>
      <c r="E148" s="62"/>
      <c r="G148" s="62"/>
      <c r="H148" s="62"/>
    </row>
    <row r="149">
      <c r="D149" s="62"/>
      <c r="E149" s="62"/>
      <c r="G149" s="62"/>
      <c r="H149" s="62"/>
    </row>
    <row r="150">
      <c r="D150" s="62"/>
      <c r="E150" s="62"/>
      <c r="G150" s="62"/>
      <c r="H150" s="62"/>
    </row>
    <row r="151">
      <c r="D151" s="62"/>
      <c r="E151" s="62"/>
      <c r="G151" s="62"/>
      <c r="H151" s="62"/>
    </row>
    <row r="152">
      <c r="D152" s="62"/>
      <c r="E152" s="62"/>
      <c r="G152" s="62"/>
      <c r="H152" s="62"/>
    </row>
    <row r="153">
      <c r="D153" s="62"/>
      <c r="E153" s="62"/>
      <c r="G153" s="62"/>
      <c r="H153" s="62"/>
    </row>
    <row r="154">
      <c r="D154" s="62"/>
      <c r="E154" s="62"/>
      <c r="G154" s="62"/>
      <c r="H154" s="62"/>
    </row>
    <row r="155">
      <c r="D155" s="62"/>
      <c r="E155" s="62"/>
      <c r="G155" s="62"/>
      <c r="H155" s="62"/>
    </row>
    <row r="156">
      <c r="D156" s="62"/>
      <c r="E156" s="62"/>
      <c r="G156" s="62"/>
      <c r="H156" s="62"/>
    </row>
    <row r="157">
      <c r="D157" s="62"/>
      <c r="E157" s="62"/>
      <c r="G157" s="62"/>
      <c r="H157" s="62"/>
    </row>
    <row r="158">
      <c r="D158" s="62"/>
      <c r="E158" s="62"/>
      <c r="G158" s="62"/>
      <c r="H158" s="62"/>
    </row>
    <row r="159">
      <c r="D159" s="62"/>
      <c r="E159" s="62"/>
      <c r="G159" s="62"/>
      <c r="H159" s="62"/>
    </row>
    <row r="160">
      <c r="D160" s="62"/>
      <c r="E160" s="62"/>
      <c r="G160" s="62"/>
      <c r="H160" s="62"/>
    </row>
    <row r="161">
      <c r="D161" s="62"/>
      <c r="E161" s="62"/>
      <c r="G161" s="62"/>
      <c r="H161" s="62"/>
    </row>
    <row r="162">
      <c r="D162" s="62"/>
      <c r="E162" s="62"/>
      <c r="G162" s="62"/>
      <c r="H162" s="62"/>
    </row>
    <row r="163">
      <c r="D163" s="62"/>
      <c r="E163" s="62"/>
      <c r="G163" s="62"/>
      <c r="H163" s="62"/>
    </row>
    <row r="164">
      <c r="D164" s="62"/>
      <c r="E164" s="62"/>
      <c r="G164" s="62"/>
      <c r="H164" s="62"/>
    </row>
    <row r="166">
      <c r="D166" s="55"/>
      <c r="E166" s="55"/>
      <c r="G166" s="55"/>
      <c r="H166" s="55"/>
    </row>
    <row r="167">
      <c r="D167" s="58"/>
      <c r="E167" s="58"/>
      <c r="G167" s="58"/>
      <c r="H167" s="58"/>
    </row>
    <row r="168">
      <c r="D168" s="58"/>
      <c r="E168" s="58"/>
      <c r="G168" s="58"/>
      <c r="H168" s="58"/>
    </row>
    <row r="169">
      <c r="D169" s="58"/>
      <c r="E169" s="58"/>
      <c r="G169" s="58"/>
      <c r="H169" s="58"/>
    </row>
    <row r="170">
      <c r="D170" s="58"/>
      <c r="E170" s="58"/>
      <c r="G170" s="58"/>
      <c r="H170" s="58"/>
    </row>
    <row r="171">
      <c r="D171" s="58"/>
      <c r="E171" s="58"/>
      <c r="G171" s="58"/>
      <c r="H171" s="58"/>
    </row>
    <row r="172">
      <c r="D172" s="58"/>
      <c r="E172" s="58"/>
      <c r="G172" s="58"/>
      <c r="H172" s="58"/>
    </row>
    <row r="173">
      <c r="D173" s="58"/>
      <c r="E173" s="58"/>
      <c r="G173" s="58"/>
      <c r="H173" s="58"/>
    </row>
    <row r="174">
      <c r="D174" s="58"/>
      <c r="E174" s="58"/>
      <c r="G174" s="58"/>
      <c r="H174" s="58"/>
    </row>
    <row r="175">
      <c r="D175" s="58"/>
      <c r="E175" s="58"/>
      <c r="G175" s="58"/>
      <c r="H175" s="58"/>
    </row>
    <row r="176">
      <c r="D176" s="58"/>
      <c r="E176" s="58"/>
      <c r="G176" s="58"/>
      <c r="H176" s="58"/>
    </row>
    <row r="177">
      <c r="D177" s="58"/>
      <c r="E177" s="58"/>
      <c r="G177" s="58"/>
      <c r="H177" s="58"/>
    </row>
    <row r="178">
      <c r="D178" s="58"/>
      <c r="E178" s="58"/>
      <c r="G178" s="58"/>
      <c r="H178" s="58"/>
    </row>
    <row r="179">
      <c r="D179" s="58"/>
      <c r="E179" s="58"/>
      <c r="G179" s="58"/>
      <c r="H179" s="58"/>
    </row>
    <row r="180">
      <c r="D180" s="58"/>
      <c r="E180" s="58"/>
      <c r="G180" s="58"/>
      <c r="H180" s="58"/>
    </row>
    <row r="181">
      <c r="D181" s="58"/>
      <c r="E181" s="58"/>
      <c r="G181" s="58"/>
      <c r="H181" s="58"/>
    </row>
    <row r="182">
      <c r="D182" s="58"/>
      <c r="E182" s="58"/>
      <c r="G182" s="58"/>
      <c r="H182" s="58"/>
    </row>
    <row r="183">
      <c r="D183" s="58"/>
      <c r="E183" s="58"/>
      <c r="G183" s="58"/>
      <c r="H183" s="58"/>
    </row>
    <row r="184">
      <c r="D184" s="58"/>
      <c r="E184" s="58"/>
      <c r="G184" s="58"/>
      <c r="H184" s="58"/>
    </row>
    <row r="185">
      <c r="D185" s="58"/>
      <c r="E185" s="58"/>
      <c r="G185" s="58"/>
      <c r="H185" s="58"/>
    </row>
    <row r="186">
      <c r="D186" s="58"/>
      <c r="E186" s="58"/>
      <c r="G186" s="58"/>
      <c r="H186" s="58"/>
    </row>
    <row r="187">
      <c r="D187" s="58"/>
      <c r="E187" s="58"/>
      <c r="G187" s="58"/>
      <c r="H187" s="58"/>
    </row>
    <row r="188">
      <c r="D188" s="58"/>
      <c r="E188" s="58"/>
      <c r="G188" s="58"/>
      <c r="H188" s="58"/>
    </row>
    <row r="189">
      <c r="D189" s="58"/>
      <c r="E189" s="58"/>
      <c r="G189" s="58"/>
      <c r="H189" s="58"/>
    </row>
    <row r="190">
      <c r="D190" s="58"/>
      <c r="E190" s="58"/>
      <c r="G190" s="58"/>
      <c r="H190" s="58"/>
    </row>
    <row r="191">
      <c r="D191" s="58"/>
      <c r="E191" s="58"/>
      <c r="G191" s="58"/>
      <c r="H191" s="58"/>
    </row>
    <row r="192">
      <c r="D192" s="58"/>
      <c r="E192" s="58"/>
      <c r="G192" s="58"/>
      <c r="H192" s="58"/>
    </row>
    <row r="193">
      <c r="D193" s="58"/>
      <c r="E193" s="58"/>
      <c r="G193" s="58"/>
      <c r="H193" s="58"/>
    </row>
    <row r="194">
      <c r="D194" s="58"/>
      <c r="E194" s="58"/>
      <c r="G194" s="58"/>
      <c r="H194" s="58"/>
    </row>
    <row r="195">
      <c r="D195" s="58"/>
      <c r="E195" s="58"/>
      <c r="G195" s="58"/>
      <c r="H195" s="58"/>
    </row>
    <row r="196">
      <c r="D196" s="58"/>
      <c r="E196" s="58"/>
      <c r="G196" s="58"/>
      <c r="H196" s="58"/>
    </row>
    <row r="197">
      <c r="D197" s="58"/>
      <c r="E197" s="58"/>
      <c r="G197" s="58"/>
      <c r="H197" s="58"/>
    </row>
    <row r="198">
      <c r="D198" s="58"/>
      <c r="E198" s="58"/>
      <c r="G198" s="58"/>
      <c r="H198" s="58"/>
    </row>
    <row r="199">
      <c r="D199" s="58"/>
      <c r="E199" s="58"/>
      <c r="G199" s="58"/>
      <c r="H199" s="58"/>
    </row>
    <row r="200">
      <c r="D200" s="58"/>
      <c r="E200" s="58"/>
      <c r="G200" s="58"/>
      <c r="H200" s="58"/>
    </row>
    <row r="201">
      <c r="D201" s="58"/>
      <c r="E201" s="58"/>
      <c r="G201" s="58"/>
      <c r="H201" s="58"/>
    </row>
    <row r="202">
      <c r="D202" s="58"/>
      <c r="E202" s="58"/>
      <c r="G202" s="58"/>
      <c r="H202" s="58"/>
    </row>
    <row r="203">
      <c r="D203" s="74"/>
      <c r="E203" s="73"/>
      <c r="G203" s="74"/>
      <c r="H203" s="58"/>
    </row>
    <row r="204">
      <c r="D204" s="73"/>
      <c r="E204" s="58"/>
      <c r="G204" s="58"/>
      <c r="H204" s="58"/>
    </row>
    <row r="205">
      <c r="D205" s="58"/>
      <c r="E205" s="58"/>
      <c r="G205" s="58"/>
      <c r="H205" s="58"/>
    </row>
    <row r="206">
      <c r="D206" s="58"/>
      <c r="E206" s="58"/>
      <c r="G206" s="58"/>
      <c r="H206" s="58"/>
    </row>
    <row r="207">
      <c r="D207" s="58"/>
      <c r="E207" s="58"/>
      <c r="G207" s="58"/>
      <c r="H207" s="58"/>
    </row>
    <row r="208">
      <c r="D208" s="93"/>
      <c r="E208" s="58"/>
      <c r="G208" s="95"/>
      <c r="H208" s="58"/>
    </row>
    <row r="209">
      <c r="D209" s="95"/>
      <c r="E209" s="58"/>
      <c r="G209" s="95"/>
      <c r="H209" s="58"/>
    </row>
    <row r="210">
      <c r="D210" s="95"/>
      <c r="E210" s="58"/>
      <c r="G210" s="95"/>
      <c r="H210" s="58"/>
    </row>
    <row r="211">
      <c r="D211" s="95"/>
      <c r="E211" s="58"/>
      <c r="G211" s="95"/>
      <c r="H211" s="58"/>
    </row>
    <row r="212">
      <c r="D212" s="97"/>
      <c r="E212" s="97"/>
      <c r="G212" s="97"/>
      <c r="H212" s="97"/>
    </row>
    <row r="213">
      <c r="D213" s="58"/>
      <c r="E213" s="58"/>
      <c r="G213" s="58"/>
      <c r="H213" s="58"/>
    </row>
    <row r="214">
      <c r="D214" s="58"/>
      <c r="E214" s="58"/>
      <c r="G214" s="58"/>
      <c r="H214" s="58"/>
    </row>
    <row r="215">
      <c r="D215" s="58"/>
      <c r="E215" s="58"/>
      <c r="G215" s="58"/>
      <c r="H215" s="58"/>
    </row>
    <row r="216">
      <c r="D216" s="58"/>
      <c r="E216" s="58"/>
      <c r="G216" s="58"/>
      <c r="H216" s="58"/>
    </row>
    <row r="217">
      <c r="D217" s="58"/>
      <c r="E217" s="58"/>
      <c r="G217" s="58"/>
      <c r="H217" s="58"/>
    </row>
    <row r="218">
      <c r="D218" s="58"/>
      <c r="E218" s="58"/>
      <c r="G218" s="58"/>
      <c r="H218" s="58"/>
    </row>
    <row r="219">
      <c r="D219" s="58"/>
      <c r="E219" s="58"/>
      <c r="G219" s="58"/>
      <c r="H219" s="58"/>
    </row>
    <row r="220">
      <c r="D220" s="58"/>
      <c r="E220" s="58"/>
      <c r="G220" s="58"/>
      <c r="H220" s="58"/>
    </row>
    <row r="221">
      <c r="D221" s="58"/>
      <c r="E221" s="58"/>
      <c r="G221" s="58"/>
      <c r="H221" s="58"/>
    </row>
    <row r="222">
      <c r="D222" s="58"/>
      <c r="E222" s="58"/>
      <c r="G222" s="58"/>
      <c r="H222" s="58"/>
    </row>
    <row r="223">
      <c r="D223" s="58"/>
      <c r="E223" s="58"/>
      <c r="G223" s="58"/>
      <c r="H223" s="58"/>
    </row>
    <row r="224">
      <c r="D224" s="58"/>
      <c r="E224" s="58"/>
      <c r="G224" s="58"/>
      <c r="H224" s="58"/>
    </row>
    <row r="225">
      <c r="D225" s="58"/>
      <c r="E225" s="58"/>
      <c r="G225" s="58"/>
      <c r="H225" s="58"/>
    </row>
    <row r="226">
      <c r="D226" s="58"/>
      <c r="E226" s="58"/>
      <c r="G226" s="58"/>
      <c r="H226" s="58"/>
    </row>
    <row r="227">
      <c r="D227" s="58"/>
      <c r="E227" s="73"/>
      <c r="G227" s="58"/>
      <c r="H227" s="73"/>
    </row>
    <row r="228">
      <c r="D228" s="58"/>
      <c r="E228" s="58"/>
      <c r="G228" s="58"/>
      <c r="H228" s="58"/>
    </row>
    <row r="249">
      <c r="A249" s="2"/>
      <c r="P249" s="12"/>
      <c r="Q249" s="12"/>
      <c r="R249" s="12"/>
      <c r="S249" s="12"/>
      <c r="T249" s="12"/>
      <c r="U249" s="12"/>
      <c r="V249" s="12"/>
    </row>
    <row r="251">
      <c r="D251" s="15"/>
      <c r="E251" s="15"/>
    </row>
    <row r="252">
      <c r="D252" s="17"/>
      <c r="E252" s="17"/>
    </row>
    <row r="253">
      <c r="D253" s="17"/>
      <c r="E253" s="17"/>
    </row>
    <row r="254">
      <c r="D254" s="17"/>
      <c r="E254" s="17"/>
    </row>
    <row r="255">
      <c r="D255" s="17"/>
      <c r="E255" s="17"/>
    </row>
    <row r="256">
      <c r="D256" s="17"/>
      <c r="E256" s="17"/>
    </row>
    <row r="257">
      <c r="D257" s="17"/>
      <c r="E257" s="17"/>
    </row>
    <row r="258">
      <c r="D258" s="17"/>
      <c r="E258" s="17"/>
    </row>
    <row r="259">
      <c r="D259" s="17"/>
      <c r="E259" s="17"/>
    </row>
    <row r="260">
      <c r="D260" s="17"/>
      <c r="E260" s="17"/>
    </row>
    <row r="261">
      <c r="P261" s="13"/>
      <c r="Q261" s="13"/>
      <c r="R261" s="13"/>
      <c r="S261" s="13"/>
      <c r="T261" s="13"/>
      <c r="U261" s="13"/>
      <c r="V261" s="13"/>
    </row>
    <row r="262">
      <c r="D262" s="15"/>
      <c r="E262" s="15"/>
    </row>
    <row r="263">
      <c r="G263" s="13"/>
      <c r="J263" s="13"/>
      <c r="O263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  <col customWidth="1" min="28" max="28" width="14.43"/>
    <col customWidth="1" min="29" max="29" width="17.43"/>
    <col customWidth="1" min="30" max="33" width="6.57"/>
    <col customWidth="1" min="34" max="34" width="12.43"/>
    <col customWidth="1" min="35" max="38" width="6.57"/>
    <col customWidth="1" min="39" max="39" width="12.29"/>
    <col customWidth="1" min="40" max="43" width="6.57"/>
    <col customWidth="1" min="44" max="44" width="15.43"/>
    <col customWidth="1" min="45" max="48" width="6.57"/>
    <col customWidth="1" min="49" max="49" width="18.0"/>
    <col customWidth="1" min="50" max="67" width="6.57"/>
    <col customWidth="1" min="68" max="68" width="9.0"/>
    <col customWidth="1" min="69" max="73" width="6.57"/>
  </cols>
  <sheetData>
    <row r="1">
      <c r="A1" s="2" t="s">
        <v>2</v>
      </c>
      <c r="B1" s="4" t="s">
        <v>4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9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34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6" t="str">
        <f>IFERROR(__xludf.DUMMYFUNCTION("""COMPUTED_VALUE"""),"CORTEZ")</f>
        <v>CORTEZ</v>
      </c>
      <c r="F98" s="66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69" t="str">
        <f>IFERROR(__xludf.DUMMYFUNCTION("""COMPUTED_VALUE"""),"LINGALONG")</f>
        <v>LINGALONG</v>
      </c>
      <c r="F99" s="63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70" t="str">
        <f>IFERROR(__xludf.DUMMYFUNCTION("""COMPUTED_VALUE"""),"FIGURACION")</f>
        <v>FIGURACION</v>
      </c>
      <c r="F119" s="70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47" t="str">
        <f>IFERROR(__xludf.DUMMYFUNCTION("""COMPUTED_VALUE"""),"SILANGAN")</f>
        <v>SILANGAN</v>
      </c>
      <c r="F120" s="47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55" t="str">
        <f>IFERROR(__xludf.DUMMYFUNCTION("""COMPUTED_VALUE"""),"CALUPAS")</f>
        <v>CALUPAS</v>
      </c>
      <c r="F121" s="55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58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74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58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23" t="str">
        <f>IFERROR(__xludf.DUMMYFUNCTION("""COMPUTED_VALUE"""),"RABINO")</f>
        <v>RABINO</v>
      </c>
      <c r="F137" s="58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73" t="str">
        <f>IFERROR(__xludf.DUMMYFUNCTION("""COMPUTED_VALUE"""),"FERRER BORRES")</f>
        <v>FERRER BORRES</v>
      </c>
      <c r="F165" s="73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58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58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5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55" t="str">
        <f>IFERROR(__xludf.DUMMYFUNCTION("""COMPUTED_VALUE"""),"CABISAY")</f>
        <v>CABISAY</v>
      </c>
      <c r="F201" s="55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58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 t="s">
        <v>720</v>
      </c>
      <c r="BR232" s="137" t="s">
        <v>722</v>
      </c>
      <c r="BS232" s="137" t="s">
        <v>724</v>
      </c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47">
        <f>IFERROR(__xludf.DUMMYFUNCTION("""COMPUTED_VALUE"""),254.0)</f>
        <v>254</v>
      </c>
      <c r="B238" s="47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47" t="str">
        <f>IFERROR(__xludf.DUMMYFUNCTION("""COMPUTED_VALUE"""),"IBALLA")</f>
        <v>IBALLA</v>
      </c>
      <c r="F240" s="47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47"/>
      <c r="F241" s="4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47" t="str">
        <f>IFERROR(__xludf.DUMMYFUNCTION("""COMPUTED_VALUE"""),"VILLACRUSIS")</f>
        <v>VILLACRUSIS</v>
      </c>
      <c r="F242" s="4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47" t="str">
        <f>IFERROR(__xludf.DUMMYFUNCTION("""COMPUTED_VALUE"""),"IBALLA")</f>
        <v>IBALLA</v>
      </c>
      <c r="F243" s="4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47" t="str">
        <f>IFERROR(__xludf.DUMMYFUNCTION("""COMPUTED_VALUE"""),"PUZALAN")</f>
        <v>PUZALAN</v>
      </c>
      <c r="F244" s="4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47"/>
      <c r="F245" s="4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47" t="str">
        <f>IFERROR(__xludf.DUMMYFUNCTION("""COMPUTED_VALUE"""),"LOBRIDO")</f>
        <v>LOBRIDO</v>
      </c>
      <c r="F246" s="47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47" t="str">
        <f>IFERROR(__xludf.DUMMYFUNCTION("""COMPUTED_VALUE"""),"GERVACIO")</f>
        <v>GERVACIO</v>
      </c>
      <c r="F247" s="47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47"/>
      <c r="F248" s="47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47" t="str">
        <f>IFERROR(__xludf.DUMMYFUNCTION("""COMPUTED_VALUE"""),"BOLANOS")</f>
        <v>BOLANOS</v>
      </c>
      <c r="F249" s="47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47" t="str">
        <f>IFERROR(__xludf.DUMMYFUNCTION("""COMPUTED_VALUE"""),"VINLUAN FORMENTERA")</f>
        <v>VINLUAN FORMENTERA</v>
      </c>
      <c r="F250" s="47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47" t="str">
        <f>IFERROR(__xludf.DUMMYFUNCTION("""COMPUTED_VALUE"""),"VINLUAN")</f>
        <v>VINLUAN</v>
      </c>
      <c r="F251" s="47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47" t="str">
        <f>IFERROR(__xludf.DUMMYFUNCTION("""COMPUTED_VALUE"""),"VINLUAN")</f>
        <v>VINLUAN</v>
      </c>
      <c r="F252" s="47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47" t="str">
        <f>IFERROR(__xludf.DUMMYFUNCTION("""COMPUTED_VALUE"""),"VINLUAN")</f>
        <v>VINLUAN</v>
      </c>
      <c r="F253" s="47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47"/>
      <c r="F254" s="47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47" t="str">
        <f>IFERROR(__xludf.DUMMYFUNCTION("""COMPUTED_VALUE"""),"CASIN")</f>
        <v>CASIN</v>
      </c>
      <c r="F255" s="47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47" t="str">
        <f>IFERROR(__xludf.DUMMYFUNCTION("""COMPUTED_VALUE"""),"SILVERIO")</f>
        <v>SILVERIO</v>
      </c>
      <c r="F256" s="47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47"/>
      <c r="F257" s="47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47" t="str">
        <f>IFERROR(__xludf.DUMMYFUNCTION("""COMPUTED_VALUE"""),"MORALES")</f>
        <v>MORALES</v>
      </c>
      <c r="F258" s="47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47" t="str">
        <f>IFERROR(__xludf.DUMMYFUNCTION("""COMPUTED_VALUE"""),"ARROYO")</f>
        <v>ARROYO</v>
      </c>
      <c r="F259" s="47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47" t="str">
        <f>IFERROR(__xludf.DUMMYFUNCTION("""COMPUTED_VALUE"""),"ARROYO")</f>
        <v>ARROYO</v>
      </c>
      <c r="F260" s="4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47" t="str">
        <f>IFERROR(__xludf.DUMMYFUNCTION("""COMPUTED_VALUE"""),"SALINAS")</f>
        <v>SALINAS</v>
      </c>
      <c r="F261" s="4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47" t="str">
        <f>IFERROR(__xludf.DUMMYFUNCTION("""COMPUTED_VALUE"""),"ACUÑA")</f>
        <v>ACUÑA</v>
      </c>
      <c r="F262" s="47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47" t="str">
        <f>IFERROR(__xludf.DUMMYFUNCTION("""COMPUTED_VALUE"""),"ALAOIG")</f>
        <v>ALAOIG</v>
      </c>
      <c r="F263" s="4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47" t="str">
        <f>IFERROR(__xludf.DUMMYFUNCTION("""COMPUTED_VALUE"""),"ROME")</f>
        <v>ROME</v>
      </c>
      <c r="F264" s="4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47" t="str">
        <f>IFERROR(__xludf.DUMMYFUNCTION("""COMPUTED_VALUE"""),"CUDAL")</f>
        <v>CUDAL</v>
      </c>
      <c r="F265" s="47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47" t="str">
        <f>IFERROR(__xludf.DUMMYFUNCTION("""COMPUTED_VALUE"""),"CUDAL")</f>
        <v>CUDAL</v>
      </c>
      <c r="F266" s="47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47" t="str">
        <f>IFERROR(__xludf.DUMMYFUNCTION("""COMPUTED_VALUE"""),"CRUZ")</f>
        <v>CRUZ</v>
      </c>
      <c r="F267" s="47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47" t="str">
        <f>IFERROR(__xludf.DUMMYFUNCTION("""COMPUTED_VALUE"""),"ABERIN")</f>
        <v>ABERIN</v>
      </c>
      <c r="F268" s="47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47" t="str">
        <f>IFERROR(__xludf.DUMMYFUNCTION("""COMPUTED_VALUE"""),"FRANCISCO")</f>
        <v>FRANCISCO</v>
      </c>
      <c r="F269" s="47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47" t="str">
        <f>IFERROR(__xludf.DUMMYFUNCTION("""COMPUTED_VALUE"""),"AQUINO")</f>
        <v>AQUINO</v>
      </c>
      <c r="F270" s="47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47"/>
      <c r="F271" s="47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47"/>
      <c r="F272" s="47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47" t="str">
        <f>IFERROR(__xludf.DUMMYFUNCTION("""COMPUTED_VALUE"""),"ROARING")</f>
        <v>ROARING</v>
      </c>
      <c r="F273" s="47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47" t="str">
        <f>IFERROR(__xludf.DUMMYFUNCTION("""COMPUTED_VALUE"""),"ROARING")</f>
        <v>ROARING</v>
      </c>
      <c r="F274" s="47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47" t="str">
        <f>IFERROR(__xludf.DUMMYFUNCTION("""COMPUTED_VALUE"""),"PAHILA")</f>
        <v>PAHILA</v>
      </c>
      <c r="F275" s="47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47" t="str">
        <f>IFERROR(__xludf.DUMMYFUNCTION("""COMPUTED_VALUE"""),"MANUEL")</f>
        <v>MANUEL</v>
      </c>
      <c r="F276" s="47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47" t="str">
        <f>IFERROR(__xludf.DUMMYFUNCTION("""COMPUTED_VALUE"""),"COMANDA")</f>
        <v>COMANDA</v>
      </c>
      <c r="F277" s="47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47" t="str">
        <f>IFERROR(__xludf.DUMMYFUNCTION("""COMPUTED_VALUE"""),"DRIS")</f>
        <v>DRIS</v>
      </c>
      <c r="F278" s="47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47"/>
      <c r="F279" s="47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47" t="str">
        <f>IFERROR(__xludf.DUMMYFUNCTION("""COMPUTED_VALUE"""),"CALLE")</f>
        <v>CALLE</v>
      </c>
      <c r="F280" s="47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47" t="str">
        <f>IFERROR(__xludf.DUMMYFUNCTION("""COMPUTED_VALUE"""),"JUANITAS")</f>
        <v>JUANITAS</v>
      </c>
      <c r="F281" s="47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47" t="str">
        <f>IFERROR(__xludf.DUMMYFUNCTION("""COMPUTED_VALUE"""),"MATA")</f>
        <v>MATA</v>
      </c>
      <c r="F282" s="4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47" t="str">
        <f>IFERROR(__xludf.DUMMYFUNCTION("""COMPUTED_VALUE"""),"ENCARNADO")</f>
        <v>ENCARNADO</v>
      </c>
      <c r="F283" s="4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47" t="str">
        <f>IFERROR(__xludf.DUMMYFUNCTION("""COMPUTED_VALUE"""),"DE GUZMAN")</f>
        <v>DE GUZMAN</v>
      </c>
      <c r="F284" s="4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47" t="str">
        <f>IFERROR(__xludf.DUMMYFUNCTION("""COMPUTED_VALUE"""),"PADILLA")</f>
        <v>PADILLA</v>
      </c>
      <c r="F285" s="4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47"/>
      <c r="F286" s="4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47" t="str">
        <f>IFERROR(__xludf.DUMMYFUNCTION("""COMPUTED_VALUE"""),"OSIANO")</f>
        <v>OSIANO</v>
      </c>
      <c r="F287" s="4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47" t="str">
        <f>IFERROR(__xludf.DUMMYFUNCTION("""COMPUTED_VALUE"""),"DE GUZMAN TORRE")</f>
        <v>DE GUZMAN TORRE</v>
      </c>
      <c r="F288" s="4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47"/>
      <c r="F289" s="4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47" t="str">
        <f>IFERROR(__xludf.DUMMYFUNCTION("""COMPUTED_VALUE"""),"MACABENTA")</f>
        <v>MACABENTA</v>
      </c>
      <c r="F290" s="4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47" t="str">
        <f>IFERROR(__xludf.DUMMYFUNCTION("""COMPUTED_VALUE"""),"REPUNTE")</f>
        <v>REPUNTE</v>
      </c>
      <c r="F291" s="4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47" t="str">
        <f>IFERROR(__xludf.DUMMYFUNCTION("""COMPUTED_VALUE"""),"DIONIO")</f>
        <v>DIONIO</v>
      </c>
      <c r="F292" s="47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47" t="str">
        <f>IFERROR(__xludf.DUMMYFUNCTION("""COMPUTED_VALUE"""),"CABRITO")</f>
        <v>CABRITO</v>
      </c>
      <c r="F293" s="4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47" t="str">
        <f>IFERROR(__xludf.DUMMYFUNCTION("""COMPUTED_VALUE"""),"GELZA")</f>
        <v>GELZA</v>
      </c>
      <c r="F294" s="4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47" t="str">
        <f>IFERROR(__xludf.DUMMYFUNCTION("""COMPUTED_VALUE"""),"CABRITO")</f>
        <v>CABRITO</v>
      </c>
      <c r="F295" s="4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47"/>
      <c r="F296" s="4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47" t="str">
        <f>IFERROR(__xludf.DUMMYFUNCTION("""COMPUTED_VALUE"""),"CABRITO")</f>
        <v>CABRITO</v>
      </c>
      <c r="F297" s="4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47" t="str">
        <f>IFERROR(__xludf.DUMMYFUNCTION("""COMPUTED_VALUE"""),"EDUARDO")</f>
        <v>EDUARDO</v>
      </c>
      <c r="F298" s="4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47" t="str">
        <f>IFERROR(__xludf.DUMMYFUNCTION("""COMPUTED_VALUE"""),"HIDALGO")</f>
        <v>HIDALGO</v>
      </c>
      <c r="F299" s="47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47"/>
      <c r="F300" s="4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47"/>
      <c r="F301" s="47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47" t="str">
        <f>IFERROR(__xludf.DUMMYFUNCTION("""COMPUTED_VALUE"""),"TAGARDA")</f>
        <v>TAGARDA</v>
      </c>
      <c r="F302" s="47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47" t="str">
        <f>IFERROR(__xludf.DUMMYFUNCTION("""COMPUTED_VALUE"""),"SEGOVIA")</f>
        <v>SEGOVIA</v>
      </c>
      <c r="F303" s="47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47" t="str">
        <f>IFERROR(__xludf.DUMMYFUNCTION("""COMPUTED_VALUE"""),"SEGOVIA")</f>
        <v>SEGOVIA</v>
      </c>
      <c r="F304" s="4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47"/>
      <c r="F305" s="47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47" t="str">
        <f>IFERROR(__xludf.DUMMYFUNCTION("""COMPUTED_VALUE"""),"ACUNA")</f>
        <v>ACUNA</v>
      </c>
      <c r="F306" s="47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47" t="str">
        <f>IFERROR(__xludf.DUMMYFUNCTION("""COMPUTED_VALUE"""),"BAQUERIZA")</f>
        <v>BAQUERIZA</v>
      </c>
      <c r="F307" s="47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47" t="str">
        <f>IFERROR(__xludf.DUMMYFUNCTION("""COMPUTED_VALUE"""),"LEYRITANA")</f>
        <v>LEYRITANA</v>
      </c>
      <c r="F308" s="47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47" t="str">
        <f>IFERROR(__xludf.DUMMYFUNCTION("""COMPUTED_VALUE"""),"BISPO")</f>
        <v>BISPO</v>
      </c>
      <c r="F309" s="4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47" t="str">
        <f>IFERROR(__xludf.DUMMYFUNCTION("""COMPUTED_VALUE"""),"SANTOS")</f>
        <v>SANTOS</v>
      </c>
      <c r="F310" s="47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47" t="str">
        <f>IFERROR(__xludf.DUMMYFUNCTION("""COMPUTED_VALUE"""),"PASAMONTE")</f>
        <v>PASAMONTE</v>
      </c>
      <c r="F311" s="47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47" t="str">
        <f>IFERROR(__xludf.DUMMYFUNCTION("""COMPUTED_VALUE"""),"M.")</f>
        <v>M.</v>
      </c>
      <c r="F312" s="47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47"/>
      <c r="F313" s="47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47" t="str">
        <f>IFERROR(__xludf.DUMMYFUNCTION("""COMPUTED_VALUE"""),"SAGUN")</f>
        <v>SAGUN</v>
      </c>
      <c r="F314" s="47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47" t="str">
        <f>IFERROR(__xludf.DUMMYFUNCTION("""COMPUTED_VALUE"""),"PORTAS")</f>
        <v>PORTAS</v>
      </c>
      <c r="F315" s="47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47" t="str">
        <f>IFERROR(__xludf.DUMMYFUNCTION("""COMPUTED_VALUE"""),"SANGEL")</f>
        <v>SANGEL</v>
      </c>
      <c r="F316" s="47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47"/>
      <c r="F317" s="47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47" t="str">
        <f>IFERROR(__xludf.DUMMYFUNCTION("""COMPUTED_VALUE"""),"SANGEL")</f>
        <v>SANGEL</v>
      </c>
      <c r="F318" s="47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47" t="str">
        <f>IFERROR(__xludf.DUMMYFUNCTION("""COMPUTED_VALUE"""),"ALCANTARA")</f>
        <v>ALCANTARA</v>
      </c>
      <c r="F319" s="47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47" t="str">
        <f>IFERROR(__xludf.DUMMYFUNCTION("""COMPUTED_VALUE"""),"ERILLA")</f>
        <v>ERILLA</v>
      </c>
      <c r="F320" s="47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47"/>
      <c r="F321" s="47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47" t="str">
        <f>IFERROR(__xludf.DUMMYFUNCTION("""COMPUTED_VALUE"""),"SEVILLA")</f>
        <v>SEVILLA</v>
      </c>
      <c r="F322" s="47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47" t="str">
        <f>IFERROR(__xludf.DUMMYFUNCTION("""COMPUTED_VALUE"""),"LALAGUNA")</f>
        <v>LALAGUNA</v>
      </c>
      <c r="F323" s="47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47"/>
      <c r="F324" s="47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47" t="str">
        <f>IFERROR(__xludf.DUMMYFUNCTION("""COMPUTED_VALUE"""),"BALAN")</f>
        <v>BALAN</v>
      </c>
      <c r="F325" s="47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47" t="str">
        <f>IFERROR(__xludf.DUMMYFUNCTION("""COMPUTED_VALUE"""),"SOLAR")</f>
        <v>SOLAR</v>
      </c>
      <c r="F326" s="47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47" t="str">
        <f>IFERROR(__xludf.DUMMYFUNCTION("""COMPUTED_VALUE"""),"MANUEL")</f>
        <v>MANUEL</v>
      </c>
      <c r="F327" s="47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47"/>
      <c r="F328" s="47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47" t="str">
        <f>IFERROR(__xludf.DUMMYFUNCTION("""COMPUTED_VALUE"""),"SANTOS")</f>
        <v>SANTOS</v>
      </c>
      <c r="F329" s="47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47"/>
      <c r="F330" s="47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47"/>
      <c r="F331" s="47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47"/>
      <c r="F332" s="47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47"/>
      <c r="F333" s="47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47" t="str">
        <f>IFERROR(__xludf.DUMMYFUNCTION("""COMPUTED_VALUE"""),"SANTOS")</f>
        <v>SANTOS</v>
      </c>
      <c r="F334" s="47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47"/>
      <c r="F335" s="47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47" t="str">
        <f>IFERROR(__xludf.DUMMYFUNCTION("""COMPUTED_VALUE"""),"SANTOS")</f>
        <v>SANTOS</v>
      </c>
      <c r="F337" s="47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47"/>
      <c r="F338" s="47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47" t="str">
        <f>IFERROR(__xludf.DUMMYFUNCTION("""COMPUTED_VALUE"""),"BERNAL")</f>
        <v>BERNAL</v>
      </c>
      <c r="F339" s="47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47" t="str">
        <f>IFERROR(__xludf.DUMMYFUNCTION("""COMPUTED_VALUE"""),"ROMERO")</f>
        <v>ROMERO</v>
      </c>
      <c r="F340" s="47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47"/>
      <c r="F341" s="47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47" t="str">
        <f>IFERROR(__xludf.DUMMYFUNCTION("""COMPUTED_VALUE"""),"ESTANISLAO")</f>
        <v>ESTANISLAO</v>
      </c>
      <c r="F342" s="47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47" t="str">
        <f>IFERROR(__xludf.DUMMYFUNCTION("""COMPUTED_VALUE"""),"COMANDA")</f>
        <v>COMANDA</v>
      </c>
      <c r="F343" s="47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47"/>
      <c r="F344" s="47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47"/>
      <c r="F345" s="47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47" t="str">
        <f>IFERROR(__xludf.DUMMYFUNCTION("""COMPUTED_VALUE"""),"DESPOJO")</f>
        <v>DESPOJO</v>
      </c>
      <c r="F346" s="47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47"/>
      <c r="F347" s="47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47" t="str">
        <f>IFERROR(__xludf.DUMMYFUNCTION("""COMPUTED_VALUE"""),"DE LEON")</f>
        <v>DE LEON</v>
      </c>
      <c r="F348" s="47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47" t="str">
        <f>IFERROR(__xludf.DUMMYFUNCTION("""COMPUTED_VALUE"""),"PAJARITO")</f>
        <v>PAJARITO</v>
      </c>
      <c r="F349" s="47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47" t="str">
        <f>IFERROR(__xludf.DUMMYFUNCTION("""COMPUTED_VALUE"""),"BALAIS")</f>
        <v>BALAIS</v>
      </c>
      <c r="F350" s="47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47"/>
      <c r="F351" s="47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47"/>
      <c r="F352" s="47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47" t="str">
        <f>IFERROR(__xludf.DUMMYFUNCTION("""COMPUTED_VALUE"""),"MATEO")</f>
        <v>MATEO</v>
      </c>
      <c r="F353" s="47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47"/>
      <c r="F354" s="47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47" t="str">
        <f>IFERROR(__xludf.DUMMYFUNCTION("""COMPUTED_VALUE"""),"TUMANENG")</f>
        <v>TUMANENG</v>
      </c>
      <c r="F355" s="47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47"/>
      <c r="F356" s="47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47" t="str">
        <f>IFERROR(__xludf.DUMMYFUNCTION("""COMPUTED_VALUE"""),"NARCELLES")</f>
        <v>NARCELLES</v>
      </c>
      <c r="F357" s="47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47" t="str">
        <f>IFERROR(__xludf.DUMMYFUNCTION("""COMPUTED_VALUE"""),"GAPAYAO")</f>
        <v>GAPAYAO</v>
      </c>
      <c r="F358" s="47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47" t="str">
        <f>IFERROR(__xludf.DUMMYFUNCTION("""COMPUTED_VALUE"""),"TIALCO")</f>
        <v>TIALCO</v>
      </c>
      <c r="F359" s="47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47" t="str">
        <f>IFERROR(__xludf.DUMMYFUNCTION("""COMPUTED_VALUE"""),"MAGALING")</f>
        <v>MAGALING</v>
      </c>
      <c r="F360" s="47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47" t="str">
        <f>IFERROR(__xludf.DUMMYFUNCTION("""COMPUTED_VALUE"""),"TANALEON")</f>
        <v>TANALEON</v>
      </c>
      <c r="F361" s="47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47" t="str">
        <f>IFERROR(__xludf.DUMMYFUNCTION("""COMPUTED_VALUE"""),"TANALEON")</f>
        <v>TANALEON</v>
      </c>
      <c r="F362" s="47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47" t="str">
        <f>IFERROR(__xludf.DUMMYFUNCTION("""COMPUTED_VALUE"""),"DESPOJO")</f>
        <v>DESPOJO</v>
      </c>
      <c r="F363" s="47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47" t="str">
        <f>IFERROR(__xludf.DUMMYFUNCTION("""COMPUTED_VALUE"""),"DIOSDADO")</f>
        <v>DIOSDADO</v>
      </c>
      <c r="F364" s="47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47" t="str">
        <f>IFERROR(__xludf.DUMMYFUNCTION("""COMPUTED_VALUE"""),"DIWA")</f>
        <v>DIWA</v>
      </c>
      <c r="F365" s="47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47" t="str">
        <f>IFERROR(__xludf.DUMMYFUNCTION("""COMPUTED_VALUE"""),"BROZO")</f>
        <v>BROZO</v>
      </c>
      <c r="F366" s="47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47" t="str">
        <f>IFERROR(__xludf.DUMMYFUNCTION("""COMPUTED_VALUE"""),"AUSTRIA")</f>
        <v>AUSTRIA</v>
      </c>
      <c r="F367" s="47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47" t="str">
        <f>IFERROR(__xludf.DUMMYFUNCTION("""COMPUTED_VALUE"""),"UMAYAM")</f>
        <v>UMAYAM</v>
      </c>
      <c r="F368" s="47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47" t="str">
        <f>IFERROR(__xludf.DUMMYFUNCTION("""COMPUTED_VALUE"""),"ALICUMAN")</f>
        <v>ALICUMAN</v>
      </c>
      <c r="F369" s="47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47" t="str">
        <f>IFERROR(__xludf.DUMMYFUNCTION("""COMPUTED_VALUE"""),"ANACAN")</f>
        <v>ANACAN</v>
      </c>
      <c r="F370" s="47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47" t="str">
        <f>IFERROR(__xludf.DUMMYFUNCTION("""COMPUTED_VALUE"""),"BACONI")</f>
        <v>BACONI</v>
      </c>
      <c r="F371" s="47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47"/>
      <c r="F372" s="47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47" t="str">
        <f>IFERROR(__xludf.DUMMYFUNCTION("""COMPUTED_VALUE"""),"CARAMANCION")</f>
        <v>CARAMANCION</v>
      </c>
      <c r="F373" s="47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47" t="str">
        <f>IFERROR(__xludf.DUMMYFUNCTION("""COMPUTED_VALUE"""),"PANIT")</f>
        <v>PANIT</v>
      </c>
      <c r="F374" s="47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47" t="str">
        <f>IFERROR(__xludf.DUMMYFUNCTION("""COMPUTED_VALUE"""),"NAVAL")</f>
        <v>NAVAL</v>
      </c>
      <c r="F375" s="47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47"/>
      <c r="F376" s="47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47" t="str">
        <f>IFERROR(__xludf.DUMMYFUNCTION("""COMPUTED_VALUE"""),"RAMIREZ")</f>
        <v>RAMIREZ</v>
      </c>
      <c r="F377" s="47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47" t="str">
        <f>IFERROR(__xludf.DUMMYFUNCTION("""COMPUTED_VALUE"""),"DOMINGO")</f>
        <v>DOMINGO</v>
      </c>
      <c r="F379" s="47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47" t="str">
        <f>IFERROR(__xludf.DUMMYFUNCTION("""COMPUTED_VALUE"""),"AUGUSTO")</f>
        <v>AUGUSTO</v>
      </c>
      <c r="F380" s="47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47" t="str">
        <f>IFERROR(__xludf.DUMMYFUNCTION("""COMPUTED_VALUE"""),"LOPEZ")</f>
        <v>LOPEZ</v>
      </c>
      <c r="F381" s="47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47" t="str">
        <f>IFERROR(__xludf.DUMMYFUNCTION("""COMPUTED_VALUE"""),"BASTIE")</f>
        <v>BASTIE</v>
      </c>
      <c r="F382" s="47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47" t="str">
        <f>IFERROR(__xludf.DUMMYFUNCTION("""COMPUTED_VALUE"""),"ACOB")</f>
        <v>ACOB</v>
      </c>
      <c r="F383" s="47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47"/>
      <c r="F384" s="47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47"/>
      <c r="F385" s="47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47" t="str">
        <f>IFERROR(__xludf.DUMMYFUNCTION("""COMPUTED_VALUE"""),"PALERO")</f>
        <v>PALERO</v>
      </c>
      <c r="F386" s="47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47" t="str">
        <f>IFERROR(__xludf.DUMMYFUNCTION("""COMPUTED_VALUE"""),"BUYOC")</f>
        <v>BUYOC</v>
      </c>
      <c r="F387" s="47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47" t="str">
        <f>IFERROR(__xludf.DUMMYFUNCTION("""COMPUTED_VALUE"""),"PALERO")</f>
        <v>PALERO</v>
      </c>
      <c r="F388" s="47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47" t="str">
        <f>IFERROR(__xludf.DUMMYFUNCTION("""COMPUTED_VALUE"""),"TANALEON")</f>
        <v>TANALEON</v>
      </c>
      <c r="F389" s="47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47" t="str">
        <f>IFERROR(__xludf.DUMMYFUNCTION("""COMPUTED_VALUE"""),"VILLAMOR")</f>
        <v>VILLAMOR</v>
      </c>
      <c r="F390" s="47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47"/>
      <c r="F391" s="47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47" t="str">
        <f>IFERROR(__xludf.DUMMYFUNCTION("""COMPUTED_VALUE"""),"DOMINGO")</f>
        <v>DOMINGO</v>
      </c>
      <c r="F392" s="47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47" t="str">
        <f>IFERROR(__xludf.DUMMYFUNCTION("""COMPUTED_VALUE"""),"CABARDO")</f>
        <v>CABARDO</v>
      </c>
      <c r="F393" s="47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47" t="str">
        <f>IFERROR(__xludf.DUMMYFUNCTION("""COMPUTED_VALUE"""),"BUENAFLOR")</f>
        <v>BUENAFLOR</v>
      </c>
      <c r="F394" s="47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47" t="str">
        <f>IFERROR(__xludf.DUMMYFUNCTION("""COMPUTED_VALUE"""),"BAUTISTA")</f>
        <v>BAUTISTA</v>
      </c>
      <c r="F395" s="47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47" t="str">
        <f>IFERROR(__xludf.DUMMYFUNCTION("""COMPUTED_VALUE"""),"MERCATO")</f>
        <v>MERCATO</v>
      </c>
      <c r="F396" s="47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47" t="str">
        <f>IFERROR(__xludf.DUMMYFUNCTION("""COMPUTED_VALUE"""),"DRIS")</f>
        <v>DRIS</v>
      </c>
      <c r="F397" s="47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47" t="str">
        <f>IFERROR(__xludf.DUMMYFUNCTION("""COMPUTED_VALUE"""),"SEBASTIAN")</f>
        <v>SEBASTIAN</v>
      </c>
      <c r="F398" s="47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47" t="str">
        <f>IFERROR(__xludf.DUMMYFUNCTION("""COMPUTED_VALUE"""),"SELUDO")</f>
        <v>SELUDO</v>
      </c>
      <c r="F399" s="47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47" t="str">
        <f>IFERROR(__xludf.DUMMYFUNCTION("""COMPUTED_VALUE"""),"ORTEGA")</f>
        <v>ORTEGA</v>
      </c>
      <c r="F400" s="47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47" t="str">
        <f>IFERROR(__xludf.DUMMYFUNCTION("""COMPUTED_VALUE"""),"TAGARDA")</f>
        <v>TAGARDA</v>
      </c>
      <c r="F401" s="47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47" t="str">
        <f>IFERROR(__xludf.DUMMYFUNCTION("""COMPUTED_VALUE"""),"EUSEBIO")</f>
        <v>EUSEBIO</v>
      </c>
      <c r="F402" s="47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47" t="str">
        <f>IFERROR(__xludf.DUMMYFUNCTION("""COMPUTED_VALUE"""),"NAZARENO")</f>
        <v>NAZARENO</v>
      </c>
      <c r="F403" s="47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47" t="str">
        <f>IFERROR(__xludf.DUMMYFUNCTION("""COMPUTED_VALUE"""),"MORALES")</f>
        <v>MORALES</v>
      </c>
      <c r="F404" s="47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47" t="str">
        <f>IFERROR(__xludf.DUMMYFUNCTION("""COMPUTED_VALUE"""),"SELUDO")</f>
        <v>SELUDO</v>
      </c>
      <c r="F405" s="47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47" t="str">
        <f>IFERROR(__xludf.DUMMYFUNCTION("""COMPUTED_VALUE"""),"BROZO")</f>
        <v>BROZO</v>
      </c>
      <c r="F406" s="47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47" t="str">
        <f>IFERROR(__xludf.DUMMYFUNCTION("""COMPUTED_VALUE"""),"OMBAL")</f>
        <v>OMBAL</v>
      </c>
      <c r="F407" s="47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47" t="str">
        <f>IFERROR(__xludf.DUMMYFUNCTION("""COMPUTED_VALUE"""),"MENDEL")</f>
        <v>MENDEL</v>
      </c>
      <c r="F408" s="47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47" t="str">
        <f>IFERROR(__xludf.DUMMYFUNCTION("""COMPUTED_VALUE"""),"DAMASCO")</f>
        <v>DAMASCO</v>
      </c>
      <c r="F409" s="47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47" t="str">
        <f>IFERROR(__xludf.DUMMYFUNCTION("""COMPUTED_VALUE"""),"TOLENTINO")</f>
        <v>TOLENTINO</v>
      </c>
      <c r="F410" s="47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47" t="str">
        <f>IFERROR(__xludf.DUMMYFUNCTION("""COMPUTED_VALUE"""),"KEYSOR")</f>
        <v>KEYSOR</v>
      </c>
      <c r="F411" s="47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47" t="str">
        <f>IFERROR(__xludf.DUMMYFUNCTION("""COMPUTED_VALUE"""),"PANCHO")</f>
        <v>PANCHO</v>
      </c>
      <c r="F412" s="47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47" t="str">
        <f>IFERROR(__xludf.DUMMYFUNCTION("""COMPUTED_VALUE"""),"ARROYO")</f>
        <v>ARROYO</v>
      </c>
      <c r="F413" s="47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47" t="str">
        <f>IFERROR(__xludf.DUMMYFUNCTION("""COMPUTED_VALUE"""),"BERNAL")</f>
        <v>BERNAL</v>
      </c>
      <c r="F414" s="47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47" t="str">
        <f>IFERROR(__xludf.DUMMYFUNCTION("""COMPUTED_VALUE"""),"CAGAYAN")</f>
        <v>CAGAYAN</v>
      </c>
      <c r="F415" s="47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47" t="str">
        <f>IFERROR(__xludf.DUMMYFUNCTION("""COMPUTED_VALUE"""),"BAUTISTA")</f>
        <v>BAUTISTA</v>
      </c>
      <c r="F416" s="47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47" t="str">
        <f>IFERROR(__xludf.DUMMYFUNCTION("""COMPUTED_VALUE"""),"NOGUERA")</f>
        <v>NOGUERA</v>
      </c>
      <c r="F417" s="47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47" t="str">
        <f>IFERROR(__xludf.DUMMYFUNCTION("""COMPUTED_VALUE"""),"ABERIN")</f>
        <v>ABERIN</v>
      </c>
      <c r="F418" s="47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47"/>
      <c r="F419" s="47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47" t="str">
        <f>IFERROR(__xludf.DUMMYFUNCTION("""COMPUTED_VALUE"""),"PALERO")</f>
        <v>PALERO</v>
      </c>
      <c r="F420" s="47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47" t="str">
        <f>IFERROR(__xludf.DUMMYFUNCTION("""COMPUTED_VALUE"""),"SANTOS")</f>
        <v>SANTOS</v>
      </c>
      <c r="F421" s="47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47"/>
      <c r="F422" s="47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47" t="str">
        <f>IFERROR(__xludf.DUMMYFUNCTION("""COMPUTED_VALUE"""),"ABERIN")</f>
        <v>ABERIN</v>
      </c>
      <c r="F423" s="4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47" t="str">
        <f>IFERROR(__xludf.DUMMYFUNCTION("""COMPUTED_VALUE"""),"ABERIN")</f>
        <v>ABERIN</v>
      </c>
      <c r="F424" s="47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47" t="str">
        <f>IFERROR(__xludf.DUMMYFUNCTION("""COMPUTED_VALUE"""),"PANIT")</f>
        <v>PANIT</v>
      </c>
      <c r="F425" s="47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47"/>
      <c r="F426" s="47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47" t="str">
        <f>IFERROR(__xludf.DUMMYFUNCTION("""COMPUTED_VALUE"""),"ABUS")</f>
        <v>ABUS</v>
      </c>
      <c r="F427" s="47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47" t="str">
        <f>IFERROR(__xludf.DUMMYFUNCTION("""COMPUTED_VALUE"""),"ABUS")</f>
        <v>ABUS</v>
      </c>
      <c r="F428" s="47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47" t="str">
        <f>IFERROR(__xludf.DUMMYFUNCTION("""COMPUTED_VALUE"""),"CARBONEL")</f>
        <v>CARBONEL</v>
      </c>
      <c r="F429" s="47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47"/>
      <c r="F430" s="47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47" t="str">
        <f>IFERROR(__xludf.DUMMYFUNCTION("""COMPUTED_VALUE"""),"CARBO")</f>
        <v>CARBO</v>
      </c>
      <c r="F431" s="47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47" t="str">
        <f>IFERROR(__xludf.DUMMYFUNCTION("""COMPUTED_VALUE"""),"LIEGUE")</f>
        <v>LIEGUE</v>
      </c>
      <c r="F432" s="47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47" t="str">
        <f>IFERROR(__xludf.DUMMYFUNCTION("""COMPUTED_VALUE"""),"ALEGADO")</f>
        <v>ALEGADO</v>
      </c>
      <c r="F433" s="47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47" t="str">
        <f>IFERROR(__xludf.DUMMYFUNCTION("""COMPUTED_VALUE"""),"BOLIVAR")</f>
        <v>BOLIVAR</v>
      </c>
      <c r="F434" s="47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47" t="str">
        <f>IFERROR(__xludf.DUMMYFUNCTION("""COMPUTED_VALUE"""),"DELA CRUZ")</f>
        <v>DELA CRUZ</v>
      </c>
      <c r="F435" s="47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47" t="str">
        <f>IFERROR(__xludf.DUMMYFUNCTION("""COMPUTED_VALUE"""),"ESPIDIDO")</f>
        <v>ESPIDIDO</v>
      </c>
      <c r="F436" s="47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47"/>
      <c r="F437" s="47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47">
        <f>IFERROR(__xludf.DUMMYFUNCTION("""COMPUTED_VALUE"""),467.0)</f>
        <v>467</v>
      </c>
      <c r="B456" s="47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47" t="str">
        <f>IFERROR(__xludf.DUMMYFUNCTION("""COMPUTED_VALUE"""),"MENDOZA")</f>
        <v>MENDOZA</v>
      </c>
      <c r="F458" s="47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47"/>
      <c r="F459" s="47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47" t="str">
        <f>IFERROR(__xludf.DUMMYFUNCTION("""COMPUTED_VALUE"""),"BROZO")</f>
        <v>BROZO</v>
      </c>
      <c r="F460" s="47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47" t="str">
        <f>IFERROR(__xludf.DUMMYFUNCTION("""COMPUTED_VALUE"""),"BRUSELAS")</f>
        <v>BRUSELAS</v>
      </c>
      <c r="F461" s="47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47"/>
      <c r="F462" s="47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47" t="str">
        <f>IFERROR(__xludf.DUMMYFUNCTION("""COMPUTED_VALUE"""),"FIGURACION")</f>
        <v>FIGURACION</v>
      </c>
      <c r="F463" s="47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47" t="str">
        <f>IFERROR(__xludf.DUMMYFUNCTION("""COMPUTED_VALUE"""),"SALANGA")</f>
        <v>SALANGA</v>
      </c>
      <c r="F464" s="47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47" t="str">
        <f>IFERROR(__xludf.DUMMYFUNCTION("""COMPUTED_VALUE"""),"SALANGA")</f>
        <v>SALANGA</v>
      </c>
      <c r="F465" s="47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47" t="str">
        <f>IFERROR(__xludf.DUMMYFUNCTION("""COMPUTED_VALUE"""),"SALANGA")</f>
        <v>SALANGA</v>
      </c>
      <c r="F466" s="47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47" t="str">
        <f>IFERROR(__xludf.DUMMYFUNCTION("""COMPUTED_VALUE"""),"OJEDA")</f>
        <v>OJEDA</v>
      </c>
      <c r="F467" s="47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47" t="str">
        <f>IFERROR(__xludf.DUMMYFUNCTION("""COMPUTED_VALUE"""),"PRESTADO")</f>
        <v>PRESTADO</v>
      </c>
      <c r="F468" s="47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47" t="str">
        <f>IFERROR(__xludf.DUMMYFUNCTION("""COMPUTED_VALUE"""),"TIALCO")</f>
        <v>TIALCO</v>
      </c>
      <c r="F469" s="47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47"/>
      <c r="F470" s="47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47"/>
      <c r="F471" s="47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47"/>
      <c r="F472" s="47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47"/>
      <c r="F473" s="47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47" t="str">
        <f>IFERROR(__xludf.DUMMYFUNCTION("""COMPUTED_VALUE"""),"BUYOC")</f>
        <v>BUYOC</v>
      </c>
      <c r="F474" s="47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47"/>
      <c r="F475" s="47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47" t="str">
        <f>IFERROR(__xludf.DUMMYFUNCTION("""COMPUTED_VALUE"""),"ARROYO")</f>
        <v>ARROYO</v>
      </c>
      <c r="F476" s="47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47" t="str">
        <f>IFERROR(__xludf.DUMMYFUNCTION("""COMPUTED_VALUE"""),"CRUZ")</f>
        <v>CRUZ</v>
      </c>
      <c r="F477" s="47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47" t="str">
        <f>IFERROR(__xludf.DUMMYFUNCTION("""COMPUTED_VALUE"""),"DRIS")</f>
        <v>DRIS</v>
      </c>
      <c r="F478" s="47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47" t="str">
        <f>IFERROR(__xludf.DUMMYFUNCTION("""COMPUTED_VALUE"""),"ROME")</f>
        <v>ROME</v>
      </c>
      <c r="F479" s="47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47" t="str">
        <f>IFERROR(__xludf.DUMMYFUNCTION("""COMPUTED_VALUE"""),"MORALES")</f>
        <v>MORALES</v>
      </c>
      <c r="F480" s="47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47" t="str">
        <f>IFERROR(__xludf.DUMMYFUNCTION("""COMPUTED_VALUE"""),"ABUS")</f>
        <v>ABUS</v>
      </c>
      <c r="F481" s="4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47" t="str">
        <f>IFERROR(__xludf.DUMMYFUNCTION("""COMPUTED_VALUE"""),"DE VILLA")</f>
        <v>DE VILLA</v>
      </c>
      <c r="F482" s="4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47" t="str">
        <f>IFERROR(__xludf.DUMMYFUNCTION("""COMPUTED_VALUE"""),"COREA")</f>
        <v>COREA</v>
      </c>
      <c r="F483" s="4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47" t="str">
        <f>IFERROR(__xludf.DUMMYFUNCTION("""COMPUTED_VALUE"""),"ACUNA")</f>
        <v>ACUNA</v>
      </c>
      <c r="F484" s="4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47" t="str">
        <f>IFERROR(__xludf.DUMMYFUNCTION("""COMPUTED_VALUE"""),"TAGARDA")</f>
        <v>TAGARDA</v>
      </c>
      <c r="F485" s="4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47" t="str">
        <f>IFERROR(__xludf.DUMMYFUNCTION("""COMPUTED_VALUE"""),"CALIBSO")</f>
        <v>CALIBSO</v>
      </c>
      <c r="F486" s="4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47" t="str">
        <f>IFERROR(__xludf.DUMMYFUNCTION("""COMPUTED_VALUE"""),"JASMIN")</f>
        <v>JASMIN</v>
      </c>
      <c r="F487" s="4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47"/>
      <c r="F488" s="47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47" t="str">
        <f>IFERROR(__xludf.DUMMYFUNCTION("""COMPUTED_VALUE"""),"CUDAL")</f>
        <v>CUDAL</v>
      </c>
      <c r="F489" s="4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47" t="str">
        <f>IFERROR(__xludf.DUMMYFUNCTION("""COMPUTED_VALUE"""),"ABERIN")</f>
        <v>ABERIN</v>
      </c>
      <c r="F490" s="4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47" t="str">
        <f>IFERROR(__xludf.DUMMYFUNCTION("""COMPUTED_VALUE"""),"CALIBSO")</f>
        <v>CALIBSO</v>
      </c>
      <c r="F491" s="47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47" t="str">
        <f>IFERROR(__xludf.DUMMYFUNCTION("""COMPUTED_VALUE"""),"CORPUZ")</f>
        <v>CORPUZ</v>
      </c>
      <c r="F492" s="47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47" t="str">
        <f>IFERROR(__xludf.DUMMYFUNCTION("""COMPUTED_VALUE"""),"SANTOS")</f>
        <v>SANTOS</v>
      </c>
      <c r="F493" s="47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47" t="str">
        <f>IFERROR(__xludf.DUMMYFUNCTION("""COMPUTED_VALUE"""),"DE GUZMAN")</f>
        <v>DE GUZMAN</v>
      </c>
      <c r="F494" s="47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47" t="str">
        <f>IFERROR(__xludf.DUMMYFUNCTION("""COMPUTED_VALUE"""),"BUENAFLOR")</f>
        <v>BUENAFLOR</v>
      </c>
      <c r="F495" s="47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47" t="str">
        <f>IFERROR(__xludf.DUMMYFUNCTION("""COMPUTED_VALUE"""),"LACONSAY")</f>
        <v>LACONSAY</v>
      </c>
      <c r="F496" s="47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47"/>
      <c r="F497" s="47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47"/>
      <c r="F498" s="47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47" t="str">
        <f>IFERROR(__xludf.DUMMYFUNCTION("""COMPUTED_VALUE"""),"SALES")</f>
        <v>SALES</v>
      </c>
      <c r="F499" s="47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47" t="str">
        <f>IFERROR(__xludf.DUMMYFUNCTION("""COMPUTED_VALUE"""),"TOLEDO")</f>
        <v>TOLEDO</v>
      </c>
      <c r="F500" s="47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47"/>
      <c r="F501" s="47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47" t="str">
        <f>IFERROR(__xludf.DUMMYFUNCTION("""COMPUTED_VALUE"""),"DE GUZMAN")</f>
        <v>DE GUZMAN</v>
      </c>
      <c r="F502" s="47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47" t="str">
        <f>IFERROR(__xludf.DUMMYFUNCTION("""COMPUTED_VALUE"""),"PARAGAS")</f>
        <v>PARAGAS</v>
      </c>
      <c r="F503" s="47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47" t="str">
        <f>IFERROR(__xludf.DUMMYFUNCTION("""COMPUTED_VALUE"""),"MONTESA")</f>
        <v>MONTESA</v>
      </c>
      <c r="F504" s="47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47"/>
      <c r="F505" s="47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47" t="str">
        <f>IFERROR(__xludf.DUMMYFUNCTION("""COMPUTED_VALUE"""),"DE GUZMAN")</f>
        <v>DE GUZMAN</v>
      </c>
      <c r="F506" s="47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47" t="str">
        <f>IFERROR(__xludf.DUMMYFUNCTION("""COMPUTED_VALUE"""),"PARAGAS")</f>
        <v>PARAGAS</v>
      </c>
      <c r="F507" s="47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47" t="str">
        <f>IFERROR(__xludf.DUMMYFUNCTION("""COMPUTED_VALUE"""),"MONTESA")</f>
        <v>MONTESA</v>
      </c>
      <c r="F508" s="4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47"/>
      <c r="F509" s="4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47" t="str">
        <f>IFERROR(__xludf.DUMMYFUNCTION("""COMPUTED_VALUE"""),"DE GUZMAN")</f>
        <v>DE GUZMAN</v>
      </c>
      <c r="F510" s="4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47" t="str">
        <f>IFERROR(__xludf.DUMMYFUNCTION("""COMPUTED_VALUE"""),"PARAGAS")</f>
        <v>PARAGAS</v>
      </c>
      <c r="F511" s="4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47" t="str">
        <f>IFERROR(__xludf.DUMMYFUNCTION("""COMPUTED_VALUE"""),"MONTESA")</f>
        <v>MONTESA</v>
      </c>
      <c r="F512" s="47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47"/>
      <c r="F513" s="4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47"/>
      <c r="F514" s="4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47"/>
      <c r="F515" s="4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47"/>
      <c r="F516" s="4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47"/>
      <c r="F517" s="4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47"/>
      <c r="F518" s="4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47"/>
      <c r="F519" s="47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47"/>
      <c r="F520" s="47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47"/>
      <c r="F521" s="47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47"/>
      <c r="F522" s="47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47"/>
      <c r="F523" s="47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47"/>
      <c r="F524" s="4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47"/>
      <c r="F525" s="47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47"/>
      <c r="F526" s="47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47"/>
      <c r="F527" s="47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47"/>
      <c r="F528" s="47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47"/>
      <c r="F529" s="4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47"/>
      <c r="F530" s="47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47"/>
      <c r="F531" s="47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47"/>
      <c r="F532" s="47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47"/>
      <c r="F533" s="47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47"/>
      <c r="F534" s="4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47"/>
      <c r="F535" s="47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47"/>
      <c r="F536" s="47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47"/>
      <c r="F537" s="47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47"/>
      <c r="F538" s="47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47"/>
      <c r="F539" s="47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47"/>
      <c r="F540" s="47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47"/>
      <c r="F541" s="47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47"/>
      <c r="F542" s="47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47"/>
      <c r="F543" s="47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47"/>
      <c r="F544" s="47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47"/>
      <c r="F545" s="47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47"/>
      <c r="F546" s="47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47"/>
      <c r="F547" s="47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47"/>
      <c r="F548" s="47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47"/>
      <c r="F549" s="47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47"/>
      <c r="F550" s="47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47"/>
      <c r="F551" s="47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47"/>
      <c r="F552" s="47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47"/>
      <c r="F553" s="47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47"/>
      <c r="F554" s="47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47"/>
      <c r="F555" s="47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47"/>
      <c r="F556" s="47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47"/>
      <c r="F557" s="47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47"/>
      <c r="F558" s="47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47"/>
      <c r="F559" s="47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47"/>
      <c r="F560" s="47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47"/>
      <c r="F561" s="47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47"/>
      <c r="F562" s="47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47"/>
      <c r="F563" s="47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47"/>
      <c r="F564" s="47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47"/>
      <c r="F566" s="47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47"/>
      <c r="F567" s="47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47"/>
      <c r="F568" s="47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47"/>
      <c r="F569" s="47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47"/>
      <c r="F570" s="47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47"/>
      <c r="F571" s="47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47"/>
      <c r="F572" s="47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47"/>
      <c r="F573" s="47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47"/>
      <c r="F574" s="47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47"/>
      <c r="F575" s="47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47"/>
      <c r="F576" s="47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47"/>
      <c r="F577" s="47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47"/>
      <c r="F578" s="47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47"/>
      <c r="F579" s="47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47"/>
      <c r="F580" s="47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47"/>
      <c r="F581" s="47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47"/>
      <c r="F582" s="47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47"/>
      <c r="F583" s="47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47"/>
      <c r="F584" s="47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47"/>
      <c r="F586" s="47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47"/>
      <c r="F587" s="47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47"/>
      <c r="F588" s="47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47"/>
      <c r="F589" s="47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47"/>
      <c r="F590" s="47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47"/>
      <c r="F591" s="47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47"/>
      <c r="F592" s="47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47"/>
      <c r="F593" s="47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47"/>
      <c r="F594" s="47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47"/>
      <c r="F595" s="47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47"/>
      <c r="F596" s="47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47"/>
      <c r="F597" s="47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47"/>
      <c r="F598" s="47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47"/>
      <c r="F599" s="47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47"/>
      <c r="F600" s="47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47"/>
      <c r="F601" s="47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47"/>
      <c r="F602" s="47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47"/>
      <c r="F603" s="47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47"/>
      <c r="F604" s="47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47"/>
      <c r="F605" s="47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47"/>
      <c r="F606" s="47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47"/>
      <c r="F607" s="47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47"/>
      <c r="F608" s="47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47"/>
      <c r="F609" s="47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47"/>
      <c r="F610" s="47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47"/>
      <c r="F611" s="47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47"/>
      <c r="F613" s="47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47"/>
      <c r="F614" s="47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47"/>
      <c r="F615" s="47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47"/>
      <c r="F616" s="47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47"/>
      <c r="F617" s="47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47"/>
      <c r="F618" s="47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47"/>
      <c r="F619" s="47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47"/>
      <c r="F620" s="47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47"/>
      <c r="F621" s="47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47"/>
      <c r="F622" s="47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47"/>
      <c r="F623" s="47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47"/>
      <c r="F624" s="47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47"/>
      <c r="F625" s="47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47"/>
      <c r="F626" s="47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47"/>
      <c r="F627" s="47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47"/>
      <c r="F628" s="47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47"/>
      <c r="F629" s="47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47"/>
      <c r="F630" s="47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47"/>
      <c r="F631" s="47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47"/>
      <c r="F632" s="47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47"/>
      <c r="F633" s="47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47"/>
      <c r="F634" s="47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47"/>
      <c r="F635" s="47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47"/>
      <c r="F636" s="47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47"/>
      <c r="F637" s="47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47"/>
      <c r="F638" s="47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47"/>
      <c r="F639" s="47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47"/>
      <c r="F640" s="47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47"/>
      <c r="F641" s="47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47"/>
      <c r="F642" s="47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47"/>
      <c r="F643" s="47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47"/>
      <c r="F644" s="47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47"/>
      <c r="F645" s="47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47"/>
      <c r="F646" s="47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47"/>
      <c r="F647" s="47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47"/>
      <c r="F648" s="47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47"/>
      <c r="F649" s="47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47"/>
      <c r="F650" s="47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47"/>
      <c r="F651" s="47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47"/>
      <c r="F652" s="47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47"/>
      <c r="F653" s="47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47"/>
      <c r="F654" s="47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47"/>
      <c r="F655" s="47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47"/>
      <c r="F656" s="47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47"/>
      <c r="F657" s="47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47"/>
      <c r="F658" s="47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47"/>
      <c r="F659" s="4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47"/>
      <c r="F660" s="47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47"/>
      <c r="F661" s="47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47"/>
      <c r="F662" s="47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47"/>
      <c r="F663" s="47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47"/>
      <c r="F664" s="47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47"/>
      <c r="F665" s="47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47"/>
      <c r="F666" s="47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47"/>
      <c r="F667" s="47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47"/>
      <c r="F668" s="47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47"/>
      <c r="F669" s="47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47"/>
      <c r="F670" s="47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47"/>
      <c r="F671" s="47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47"/>
      <c r="F672" s="47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47"/>
      <c r="F673" s="47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47"/>
      <c r="F674" s="47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47"/>
      <c r="F675" s="47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47"/>
      <c r="F696" s="47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47"/>
      <c r="F697" s="47"/>
      <c r="BQ697" s="50"/>
      <c r="BR697" s="50"/>
      <c r="BS697" s="50"/>
      <c r="BT697" s="50"/>
      <c r="BU697" s="50"/>
    </row>
    <row r="698">
      <c r="A698" s="47"/>
      <c r="B698" s="47"/>
      <c r="C698" s="47"/>
      <c r="D698" s="47"/>
      <c r="E698" s="47"/>
      <c r="F698" s="47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47"/>
      <c r="F700" s="47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47"/>
      <c r="F701" s="47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47"/>
      <c r="F702" s="47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47"/>
      <c r="F703" s="47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47"/>
      <c r="F704" s="47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47"/>
      <c r="F705" s="47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47"/>
      <c r="F706" s="47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47"/>
      <c r="F707" s="47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47"/>
      <c r="F708" s="47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47"/>
      <c r="F709" s="47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47"/>
      <c r="F710" s="47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47"/>
      <c r="F711" s="47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47"/>
      <c r="F712" s="47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47"/>
      <c r="F713" s="47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47"/>
      <c r="F714" s="47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47"/>
      <c r="F715" s="47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47"/>
      <c r="F716" s="47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47"/>
      <c r="F717" s="47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47"/>
      <c r="F718" s="47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47"/>
      <c r="F719" s="47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47"/>
      <c r="F720" s="47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47"/>
      <c r="F721" s="47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47"/>
      <c r="F722" s="47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47"/>
      <c r="F723" s="4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47"/>
      <c r="F724" s="4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47"/>
      <c r="F725" s="4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47"/>
      <c r="F726" s="4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47"/>
      <c r="F727" s="4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47"/>
      <c r="F728" s="4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47"/>
      <c r="F729" s="4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47"/>
      <c r="F730" s="47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47"/>
      <c r="F731" s="4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47"/>
      <c r="F732" s="4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47"/>
      <c r="F733" s="47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47"/>
      <c r="F734" s="47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47"/>
      <c r="F735" s="47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47"/>
      <c r="F736" s="47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47"/>
      <c r="F737" s="47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47"/>
      <c r="F738" s="47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47"/>
      <c r="F739" s="47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47"/>
      <c r="F740" s="47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47"/>
      <c r="F741" s="47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47"/>
      <c r="F742" s="47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47"/>
      <c r="F743" s="47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47"/>
      <c r="F744" s="47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47"/>
      <c r="F745" s="47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47"/>
      <c r="F746" s="47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47"/>
      <c r="F747" s="47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47"/>
      <c r="F748" s="47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47"/>
      <c r="F749" s="47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47"/>
      <c r="F750" s="47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47"/>
      <c r="F751" s="47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47"/>
      <c r="F752" s="4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47"/>
      <c r="F753" s="4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47"/>
      <c r="F754" s="4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47"/>
      <c r="F755" s="4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47"/>
      <c r="F756" s="4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47"/>
      <c r="F757" s="4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47"/>
      <c r="F758" s="4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47"/>
      <c r="F759" s="4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47"/>
      <c r="F760" s="4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47"/>
      <c r="F761" s="4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47"/>
      <c r="F762" s="47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47"/>
      <c r="F763" s="4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47"/>
      <c r="F764" s="4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47"/>
      <c r="F765" s="4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47"/>
      <c r="F766" s="4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47"/>
      <c r="F767" s="4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47"/>
      <c r="F768" s="4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47"/>
      <c r="F769" s="47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47"/>
      <c r="F770" s="47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47"/>
      <c r="F771" s="47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47"/>
      <c r="F772" s="47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47"/>
      <c r="F773" s="47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47"/>
      <c r="F774" s="47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47"/>
      <c r="F775" s="47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47"/>
      <c r="F776" s="4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47"/>
      <c r="F777" s="47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47"/>
      <c r="F778" s="47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47"/>
      <c r="F779" s="47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47"/>
      <c r="F780" s="47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47"/>
      <c r="F781" s="4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47"/>
      <c r="F782" s="47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47"/>
      <c r="F783" s="47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47"/>
      <c r="F784" s="47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47"/>
      <c r="F785" s="47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47"/>
      <c r="F786" s="4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47"/>
      <c r="F787" s="47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47"/>
      <c r="F788" s="47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47"/>
      <c r="F789" s="47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47"/>
      <c r="F790" s="47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47"/>
      <c r="F791" s="47"/>
      <c r="BQ791" s="50"/>
      <c r="BR791" s="50"/>
      <c r="BS791" s="50"/>
      <c r="BT791" s="50"/>
      <c r="BU791" s="50"/>
    </row>
    <row r="792">
      <c r="A792" s="47"/>
      <c r="B792" s="47"/>
      <c r="C792" s="47"/>
      <c r="D792" s="47"/>
      <c r="E792" s="47"/>
      <c r="F792" s="47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47"/>
      <c r="F794" s="47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47"/>
      <c r="F795" s="47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47"/>
      <c r="F796" s="47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47"/>
      <c r="F797" s="47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47"/>
      <c r="F798" s="47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47"/>
      <c r="F799" s="47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47"/>
      <c r="F800" s="47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47"/>
      <c r="F801" s="47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47"/>
      <c r="F802" s="47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47"/>
      <c r="F803" s="47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47"/>
      <c r="F804" s="47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47"/>
      <c r="F805" s="47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47"/>
      <c r="F806" s="47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47"/>
      <c r="F807" s="47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47"/>
      <c r="F808" s="47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47"/>
      <c r="F809" s="47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47"/>
      <c r="F810" s="47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47"/>
      <c r="F811" s="47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47"/>
      <c r="F812" s="47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47"/>
      <c r="F813" s="47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47"/>
      <c r="F814" s="47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47"/>
      <c r="F815" s="47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47"/>
      <c r="F816" s="47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47"/>
      <c r="F817" s="4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47"/>
      <c r="F818" s="4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47"/>
      <c r="F819" s="4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47"/>
      <c r="F820" s="4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47"/>
      <c r="F821" s="4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47"/>
      <c r="F822" s="4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47"/>
      <c r="F823" s="4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47"/>
      <c r="F824" s="47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47"/>
      <c r="F825" s="4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47"/>
      <c r="F826" s="4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47"/>
      <c r="F827" s="47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47"/>
      <c r="F828" s="47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47"/>
      <c r="F829" s="47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47"/>
      <c r="F830" s="47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47"/>
      <c r="F831" s="47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47"/>
      <c r="F832" s="47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47"/>
      <c r="F833" s="47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47"/>
      <c r="F834" s="47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47"/>
      <c r="F835" s="47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47"/>
      <c r="F836" s="47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47"/>
      <c r="F837" s="47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47"/>
      <c r="F838" s="47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47"/>
      <c r="F839" s="47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47"/>
      <c r="F840" s="47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47"/>
      <c r="F841" s="47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47"/>
      <c r="F842" s="47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47"/>
      <c r="F843" s="47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47"/>
      <c r="F844" s="47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47"/>
      <c r="F845" s="47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47"/>
      <c r="F846" s="4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47"/>
      <c r="F847" s="4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47"/>
      <c r="F848" s="4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47"/>
      <c r="F849" s="4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47"/>
      <c r="F850" s="4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47"/>
      <c r="F851" s="4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47"/>
      <c r="F852" s="4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47"/>
      <c r="F853" s="4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47"/>
      <c r="F854" s="4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47"/>
      <c r="F855" s="4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47"/>
      <c r="F856" s="47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47"/>
      <c r="F857" s="4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47"/>
      <c r="F858" s="4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47"/>
      <c r="F859" s="4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47"/>
      <c r="F860" s="4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47"/>
      <c r="F861" s="4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47"/>
      <c r="F862" s="4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47"/>
      <c r="F863" s="47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47"/>
      <c r="F864" s="47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47"/>
      <c r="F865" s="47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47"/>
      <c r="F866" s="47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47"/>
      <c r="F867" s="47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47"/>
      <c r="F868" s="47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47"/>
      <c r="F869" s="47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47"/>
      <c r="F870" s="4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47"/>
      <c r="F871" s="47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47"/>
      <c r="F872" s="47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47"/>
      <c r="F873" s="47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47"/>
      <c r="F874" s="47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47"/>
      <c r="F875" s="4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47"/>
      <c r="F876" s="47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47"/>
      <c r="F877" s="47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47"/>
      <c r="F878" s="47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47"/>
      <c r="F879" s="47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47"/>
      <c r="F880" s="4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47"/>
      <c r="F881" s="47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47"/>
      <c r="F882" s="47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47"/>
      <c r="F883" s="47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47"/>
      <c r="F884" s="47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47"/>
      <c r="F885" s="47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13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9.43"/>
    <col customWidth="1" min="22" max="22" width="16.29"/>
    <col customWidth="1" min="23" max="23" width="16.14"/>
  </cols>
  <sheetData>
    <row r="1">
      <c r="A1" s="2" t="s">
        <v>2</v>
      </c>
      <c r="B1" s="4" t="s">
        <v>331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34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58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58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5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/>
      <c r="BR232" s="137"/>
      <c r="BS232" s="137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47">
        <f>IFERROR(__xludf.DUMMYFUNCTION("""COMPUTED_VALUE"""),254.0)</f>
        <v>254</v>
      </c>
      <c r="B238" s="47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47" t="str">
        <f>IFERROR(__xludf.DUMMYFUNCTION("""COMPUTED_VALUE"""),"IBALLA")</f>
        <v>IBALLA</v>
      </c>
      <c r="F240" s="47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47"/>
      <c r="F241" s="4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47" t="str">
        <f>IFERROR(__xludf.DUMMYFUNCTION("""COMPUTED_VALUE"""),"VILLACRUSIS")</f>
        <v>VILLACRUSIS</v>
      </c>
      <c r="F242" s="4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47" t="str">
        <f>IFERROR(__xludf.DUMMYFUNCTION("""COMPUTED_VALUE"""),"IBALLA")</f>
        <v>IBALLA</v>
      </c>
      <c r="F243" s="4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47" t="str">
        <f>IFERROR(__xludf.DUMMYFUNCTION("""COMPUTED_VALUE"""),"PUZALAN")</f>
        <v>PUZALAN</v>
      </c>
      <c r="F244" s="4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47"/>
      <c r="F245" s="4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47" t="str">
        <f>IFERROR(__xludf.DUMMYFUNCTION("""COMPUTED_VALUE"""),"LOBRIDO")</f>
        <v>LOBRIDO</v>
      </c>
      <c r="F246" s="47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47" t="str">
        <f>IFERROR(__xludf.DUMMYFUNCTION("""COMPUTED_VALUE"""),"GERVACIO")</f>
        <v>GERVACIO</v>
      </c>
      <c r="F247" s="47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47"/>
      <c r="F248" s="47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47" t="str">
        <f>IFERROR(__xludf.DUMMYFUNCTION("""COMPUTED_VALUE"""),"BOLANOS")</f>
        <v>BOLANOS</v>
      </c>
      <c r="F249" s="47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47" t="str">
        <f>IFERROR(__xludf.DUMMYFUNCTION("""COMPUTED_VALUE"""),"VINLUAN FORMENTERA")</f>
        <v>VINLUAN FORMENTERA</v>
      </c>
      <c r="F250" s="47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47" t="str">
        <f>IFERROR(__xludf.DUMMYFUNCTION("""COMPUTED_VALUE"""),"VINLUAN")</f>
        <v>VINLUAN</v>
      </c>
      <c r="F251" s="47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47" t="str">
        <f>IFERROR(__xludf.DUMMYFUNCTION("""COMPUTED_VALUE"""),"VINLUAN")</f>
        <v>VINLUAN</v>
      </c>
      <c r="F252" s="47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47" t="str">
        <f>IFERROR(__xludf.DUMMYFUNCTION("""COMPUTED_VALUE"""),"VINLUAN")</f>
        <v>VINLUAN</v>
      </c>
      <c r="F253" s="47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47"/>
      <c r="F254" s="47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47" t="str">
        <f>IFERROR(__xludf.DUMMYFUNCTION("""COMPUTED_VALUE"""),"CASIN")</f>
        <v>CASIN</v>
      </c>
      <c r="F255" s="47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47" t="str">
        <f>IFERROR(__xludf.DUMMYFUNCTION("""COMPUTED_VALUE"""),"SILVERIO")</f>
        <v>SILVERIO</v>
      </c>
      <c r="F256" s="47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47"/>
      <c r="F257" s="47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47" t="str">
        <f>IFERROR(__xludf.DUMMYFUNCTION("""COMPUTED_VALUE"""),"MORALES")</f>
        <v>MORALES</v>
      </c>
      <c r="F258" s="47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47" t="str">
        <f>IFERROR(__xludf.DUMMYFUNCTION("""COMPUTED_VALUE"""),"ARROYO")</f>
        <v>ARROYO</v>
      </c>
      <c r="F259" s="47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47" t="str">
        <f>IFERROR(__xludf.DUMMYFUNCTION("""COMPUTED_VALUE"""),"ARROYO")</f>
        <v>ARROYO</v>
      </c>
      <c r="F260" s="4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47" t="str">
        <f>IFERROR(__xludf.DUMMYFUNCTION("""COMPUTED_VALUE"""),"SALINAS")</f>
        <v>SALINAS</v>
      </c>
      <c r="F261" s="4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47" t="str">
        <f>IFERROR(__xludf.DUMMYFUNCTION("""COMPUTED_VALUE"""),"ACUÑA")</f>
        <v>ACUÑA</v>
      </c>
      <c r="F262" s="47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47" t="str">
        <f>IFERROR(__xludf.DUMMYFUNCTION("""COMPUTED_VALUE"""),"ALAOIG")</f>
        <v>ALAOIG</v>
      </c>
      <c r="F263" s="4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47" t="str">
        <f>IFERROR(__xludf.DUMMYFUNCTION("""COMPUTED_VALUE"""),"ROME")</f>
        <v>ROME</v>
      </c>
      <c r="F264" s="4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47" t="str">
        <f>IFERROR(__xludf.DUMMYFUNCTION("""COMPUTED_VALUE"""),"CUDAL")</f>
        <v>CUDAL</v>
      </c>
      <c r="F265" s="47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47" t="str">
        <f>IFERROR(__xludf.DUMMYFUNCTION("""COMPUTED_VALUE"""),"CUDAL")</f>
        <v>CUDAL</v>
      </c>
      <c r="F266" s="47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47" t="str">
        <f>IFERROR(__xludf.DUMMYFUNCTION("""COMPUTED_VALUE"""),"CRUZ")</f>
        <v>CRUZ</v>
      </c>
      <c r="F267" s="47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47" t="str">
        <f>IFERROR(__xludf.DUMMYFUNCTION("""COMPUTED_VALUE"""),"ABERIN")</f>
        <v>ABERIN</v>
      </c>
      <c r="F268" s="47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47" t="str">
        <f>IFERROR(__xludf.DUMMYFUNCTION("""COMPUTED_VALUE"""),"FRANCISCO")</f>
        <v>FRANCISCO</v>
      </c>
      <c r="F269" s="47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47" t="str">
        <f>IFERROR(__xludf.DUMMYFUNCTION("""COMPUTED_VALUE"""),"AQUINO")</f>
        <v>AQUINO</v>
      </c>
      <c r="F270" s="47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47"/>
      <c r="F271" s="47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47"/>
      <c r="F272" s="47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47" t="str">
        <f>IFERROR(__xludf.DUMMYFUNCTION("""COMPUTED_VALUE"""),"ROARING")</f>
        <v>ROARING</v>
      </c>
      <c r="F273" s="47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47" t="str">
        <f>IFERROR(__xludf.DUMMYFUNCTION("""COMPUTED_VALUE"""),"ROARING")</f>
        <v>ROARING</v>
      </c>
      <c r="F274" s="47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47" t="str">
        <f>IFERROR(__xludf.DUMMYFUNCTION("""COMPUTED_VALUE"""),"PAHILA")</f>
        <v>PAHILA</v>
      </c>
      <c r="F275" s="47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47" t="str">
        <f>IFERROR(__xludf.DUMMYFUNCTION("""COMPUTED_VALUE"""),"MANUEL")</f>
        <v>MANUEL</v>
      </c>
      <c r="F276" s="47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47" t="str">
        <f>IFERROR(__xludf.DUMMYFUNCTION("""COMPUTED_VALUE"""),"COMANDA")</f>
        <v>COMANDA</v>
      </c>
      <c r="F277" s="47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47" t="str">
        <f>IFERROR(__xludf.DUMMYFUNCTION("""COMPUTED_VALUE"""),"DRIS")</f>
        <v>DRIS</v>
      </c>
      <c r="F278" s="47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47"/>
      <c r="F279" s="47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47" t="str">
        <f>IFERROR(__xludf.DUMMYFUNCTION("""COMPUTED_VALUE"""),"CALLE")</f>
        <v>CALLE</v>
      </c>
      <c r="F280" s="47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47" t="str">
        <f>IFERROR(__xludf.DUMMYFUNCTION("""COMPUTED_VALUE"""),"JUANITAS")</f>
        <v>JUANITAS</v>
      </c>
      <c r="F281" s="47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47" t="str">
        <f>IFERROR(__xludf.DUMMYFUNCTION("""COMPUTED_VALUE"""),"MATA")</f>
        <v>MATA</v>
      </c>
      <c r="F282" s="4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47" t="str">
        <f>IFERROR(__xludf.DUMMYFUNCTION("""COMPUTED_VALUE"""),"ENCARNADO")</f>
        <v>ENCARNADO</v>
      </c>
      <c r="F283" s="4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47" t="str">
        <f>IFERROR(__xludf.DUMMYFUNCTION("""COMPUTED_VALUE"""),"DE GUZMAN")</f>
        <v>DE GUZMAN</v>
      </c>
      <c r="F284" s="4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47" t="str">
        <f>IFERROR(__xludf.DUMMYFUNCTION("""COMPUTED_VALUE"""),"PADILLA")</f>
        <v>PADILLA</v>
      </c>
      <c r="F285" s="4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47"/>
      <c r="F286" s="4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47" t="str">
        <f>IFERROR(__xludf.DUMMYFUNCTION("""COMPUTED_VALUE"""),"OSIANO")</f>
        <v>OSIANO</v>
      </c>
      <c r="F287" s="4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47" t="str">
        <f>IFERROR(__xludf.DUMMYFUNCTION("""COMPUTED_VALUE"""),"DE GUZMAN TORRE")</f>
        <v>DE GUZMAN TORRE</v>
      </c>
      <c r="F288" s="4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47"/>
      <c r="F289" s="4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47" t="str">
        <f>IFERROR(__xludf.DUMMYFUNCTION("""COMPUTED_VALUE"""),"MACABENTA")</f>
        <v>MACABENTA</v>
      </c>
      <c r="F290" s="4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47" t="str">
        <f>IFERROR(__xludf.DUMMYFUNCTION("""COMPUTED_VALUE"""),"REPUNTE")</f>
        <v>REPUNTE</v>
      </c>
      <c r="F291" s="4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47" t="str">
        <f>IFERROR(__xludf.DUMMYFUNCTION("""COMPUTED_VALUE"""),"DIONIO")</f>
        <v>DIONIO</v>
      </c>
      <c r="F292" s="47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47" t="str">
        <f>IFERROR(__xludf.DUMMYFUNCTION("""COMPUTED_VALUE"""),"CABRITO")</f>
        <v>CABRITO</v>
      </c>
      <c r="F293" s="4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47" t="str">
        <f>IFERROR(__xludf.DUMMYFUNCTION("""COMPUTED_VALUE"""),"GELZA")</f>
        <v>GELZA</v>
      </c>
      <c r="F294" s="4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47" t="str">
        <f>IFERROR(__xludf.DUMMYFUNCTION("""COMPUTED_VALUE"""),"CABRITO")</f>
        <v>CABRITO</v>
      </c>
      <c r="F295" s="4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47"/>
      <c r="F296" s="4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47" t="str">
        <f>IFERROR(__xludf.DUMMYFUNCTION("""COMPUTED_VALUE"""),"CABRITO")</f>
        <v>CABRITO</v>
      </c>
      <c r="F297" s="4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47" t="str">
        <f>IFERROR(__xludf.DUMMYFUNCTION("""COMPUTED_VALUE"""),"EDUARDO")</f>
        <v>EDUARDO</v>
      </c>
      <c r="F298" s="4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47" t="str">
        <f>IFERROR(__xludf.DUMMYFUNCTION("""COMPUTED_VALUE"""),"HIDALGO")</f>
        <v>HIDALGO</v>
      </c>
      <c r="F299" s="47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47"/>
      <c r="F300" s="4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47"/>
      <c r="F301" s="47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47" t="str">
        <f>IFERROR(__xludf.DUMMYFUNCTION("""COMPUTED_VALUE"""),"TAGARDA")</f>
        <v>TAGARDA</v>
      </c>
      <c r="F302" s="47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47" t="str">
        <f>IFERROR(__xludf.DUMMYFUNCTION("""COMPUTED_VALUE"""),"SEGOVIA")</f>
        <v>SEGOVIA</v>
      </c>
      <c r="F303" s="47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47" t="str">
        <f>IFERROR(__xludf.DUMMYFUNCTION("""COMPUTED_VALUE"""),"SEGOVIA")</f>
        <v>SEGOVIA</v>
      </c>
      <c r="F304" s="4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47"/>
      <c r="F305" s="47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47" t="str">
        <f>IFERROR(__xludf.DUMMYFUNCTION("""COMPUTED_VALUE"""),"ACUNA")</f>
        <v>ACUNA</v>
      </c>
      <c r="F306" s="47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47" t="str">
        <f>IFERROR(__xludf.DUMMYFUNCTION("""COMPUTED_VALUE"""),"BAQUERIZA")</f>
        <v>BAQUERIZA</v>
      </c>
      <c r="F307" s="47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47" t="str">
        <f>IFERROR(__xludf.DUMMYFUNCTION("""COMPUTED_VALUE"""),"LEYRITANA")</f>
        <v>LEYRITANA</v>
      </c>
      <c r="F308" s="47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47" t="str">
        <f>IFERROR(__xludf.DUMMYFUNCTION("""COMPUTED_VALUE"""),"BISPO")</f>
        <v>BISPO</v>
      </c>
      <c r="F309" s="4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47" t="str">
        <f>IFERROR(__xludf.DUMMYFUNCTION("""COMPUTED_VALUE"""),"SANTOS")</f>
        <v>SANTOS</v>
      </c>
      <c r="F310" s="47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47" t="str">
        <f>IFERROR(__xludf.DUMMYFUNCTION("""COMPUTED_VALUE"""),"PASAMONTE")</f>
        <v>PASAMONTE</v>
      </c>
      <c r="F311" s="47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47" t="str">
        <f>IFERROR(__xludf.DUMMYFUNCTION("""COMPUTED_VALUE"""),"M.")</f>
        <v>M.</v>
      </c>
      <c r="F312" s="47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47"/>
      <c r="F313" s="47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47" t="str">
        <f>IFERROR(__xludf.DUMMYFUNCTION("""COMPUTED_VALUE"""),"SAGUN")</f>
        <v>SAGUN</v>
      </c>
      <c r="F314" s="47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47" t="str">
        <f>IFERROR(__xludf.DUMMYFUNCTION("""COMPUTED_VALUE"""),"PORTAS")</f>
        <v>PORTAS</v>
      </c>
      <c r="F315" s="47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47" t="str">
        <f>IFERROR(__xludf.DUMMYFUNCTION("""COMPUTED_VALUE"""),"SANGEL")</f>
        <v>SANGEL</v>
      </c>
      <c r="F316" s="47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47"/>
      <c r="F317" s="47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47" t="str">
        <f>IFERROR(__xludf.DUMMYFUNCTION("""COMPUTED_VALUE"""),"SANGEL")</f>
        <v>SANGEL</v>
      </c>
      <c r="F318" s="47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47" t="str">
        <f>IFERROR(__xludf.DUMMYFUNCTION("""COMPUTED_VALUE"""),"ALCANTARA")</f>
        <v>ALCANTARA</v>
      </c>
      <c r="F319" s="47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47" t="str">
        <f>IFERROR(__xludf.DUMMYFUNCTION("""COMPUTED_VALUE"""),"ERILLA")</f>
        <v>ERILLA</v>
      </c>
      <c r="F320" s="47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47"/>
      <c r="F321" s="47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47" t="str">
        <f>IFERROR(__xludf.DUMMYFUNCTION("""COMPUTED_VALUE"""),"SEVILLA")</f>
        <v>SEVILLA</v>
      </c>
      <c r="F322" s="47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47" t="str">
        <f>IFERROR(__xludf.DUMMYFUNCTION("""COMPUTED_VALUE"""),"LALAGUNA")</f>
        <v>LALAGUNA</v>
      </c>
      <c r="F323" s="47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47"/>
      <c r="F324" s="47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47" t="str">
        <f>IFERROR(__xludf.DUMMYFUNCTION("""COMPUTED_VALUE"""),"BALAN")</f>
        <v>BALAN</v>
      </c>
      <c r="F325" s="47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47" t="str">
        <f>IFERROR(__xludf.DUMMYFUNCTION("""COMPUTED_VALUE"""),"SOLAR")</f>
        <v>SOLAR</v>
      </c>
      <c r="F326" s="47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47" t="str">
        <f>IFERROR(__xludf.DUMMYFUNCTION("""COMPUTED_VALUE"""),"MANUEL")</f>
        <v>MANUEL</v>
      </c>
      <c r="F327" s="47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47"/>
      <c r="F328" s="47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47" t="str">
        <f>IFERROR(__xludf.DUMMYFUNCTION("""COMPUTED_VALUE"""),"SANTOS")</f>
        <v>SANTOS</v>
      </c>
      <c r="F329" s="47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47"/>
      <c r="F330" s="47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47"/>
      <c r="F331" s="47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47"/>
      <c r="F332" s="47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47"/>
      <c r="F333" s="47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47" t="str">
        <f>IFERROR(__xludf.DUMMYFUNCTION("""COMPUTED_VALUE"""),"SANTOS")</f>
        <v>SANTOS</v>
      </c>
      <c r="F334" s="47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47"/>
      <c r="F335" s="47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47" t="str">
        <f>IFERROR(__xludf.DUMMYFUNCTION("""COMPUTED_VALUE"""),"SANTOS")</f>
        <v>SANTOS</v>
      </c>
      <c r="F337" s="47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47"/>
      <c r="F338" s="47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47" t="str">
        <f>IFERROR(__xludf.DUMMYFUNCTION("""COMPUTED_VALUE"""),"BERNAL")</f>
        <v>BERNAL</v>
      </c>
      <c r="F339" s="47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47" t="str">
        <f>IFERROR(__xludf.DUMMYFUNCTION("""COMPUTED_VALUE"""),"ROMERO")</f>
        <v>ROMERO</v>
      </c>
      <c r="F340" s="47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47"/>
      <c r="F341" s="47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47" t="str">
        <f>IFERROR(__xludf.DUMMYFUNCTION("""COMPUTED_VALUE"""),"ESTANISLAO")</f>
        <v>ESTANISLAO</v>
      </c>
      <c r="F342" s="47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47" t="str">
        <f>IFERROR(__xludf.DUMMYFUNCTION("""COMPUTED_VALUE"""),"COMANDA")</f>
        <v>COMANDA</v>
      </c>
      <c r="F343" s="47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47"/>
      <c r="F344" s="47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47"/>
      <c r="F345" s="47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47" t="str">
        <f>IFERROR(__xludf.DUMMYFUNCTION("""COMPUTED_VALUE"""),"DESPOJO")</f>
        <v>DESPOJO</v>
      </c>
      <c r="F346" s="47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47"/>
      <c r="F347" s="47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47" t="str">
        <f>IFERROR(__xludf.DUMMYFUNCTION("""COMPUTED_VALUE"""),"DE LEON")</f>
        <v>DE LEON</v>
      </c>
      <c r="F348" s="47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47" t="str">
        <f>IFERROR(__xludf.DUMMYFUNCTION("""COMPUTED_VALUE"""),"PAJARITO")</f>
        <v>PAJARITO</v>
      </c>
      <c r="F349" s="47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47" t="str">
        <f>IFERROR(__xludf.DUMMYFUNCTION("""COMPUTED_VALUE"""),"BALAIS")</f>
        <v>BALAIS</v>
      </c>
      <c r="F350" s="47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47"/>
      <c r="F351" s="47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47"/>
      <c r="F352" s="47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47" t="str">
        <f>IFERROR(__xludf.DUMMYFUNCTION("""COMPUTED_VALUE"""),"MATEO")</f>
        <v>MATEO</v>
      </c>
      <c r="F353" s="47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47"/>
      <c r="F354" s="47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47" t="str">
        <f>IFERROR(__xludf.DUMMYFUNCTION("""COMPUTED_VALUE"""),"TUMANENG")</f>
        <v>TUMANENG</v>
      </c>
      <c r="F355" s="47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47"/>
      <c r="F356" s="47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47" t="str">
        <f>IFERROR(__xludf.DUMMYFUNCTION("""COMPUTED_VALUE"""),"NARCELLES")</f>
        <v>NARCELLES</v>
      </c>
      <c r="F357" s="47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47" t="str">
        <f>IFERROR(__xludf.DUMMYFUNCTION("""COMPUTED_VALUE"""),"GAPAYAO")</f>
        <v>GAPAYAO</v>
      </c>
      <c r="F358" s="47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47" t="str">
        <f>IFERROR(__xludf.DUMMYFUNCTION("""COMPUTED_VALUE"""),"TIALCO")</f>
        <v>TIALCO</v>
      </c>
      <c r="F359" s="47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47" t="str">
        <f>IFERROR(__xludf.DUMMYFUNCTION("""COMPUTED_VALUE"""),"MAGALING")</f>
        <v>MAGALING</v>
      </c>
      <c r="F360" s="47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47" t="str">
        <f>IFERROR(__xludf.DUMMYFUNCTION("""COMPUTED_VALUE"""),"TANALEON")</f>
        <v>TANALEON</v>
      </c>
      <c r="F361" s="47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47" t="str">
        <f>IFERROR(__xludf.DUMMYFUNCTION("""COMPUTED_VALUE"""),"TANALEON")</f>
        <v>TANALEON</v>
      </c>
      <c r="F362" s="47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47" t="str">
        <f>IFERROR(__xludf.DUMMYFUNCTION("""COMPUTED_VALUE"""),"DESPOJO")</f>
        <v>DESPOJO</v>
      </c>
      <c r="F363" s="47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47" t="str">
        <f>IFERROR(__xludf.DUMMYFUNCTION("""COMPUTED_VALUE"""),"DIOSDADO")</f>
        <v>DIOSDADO</v>
      </c>
      <c r="F364" s="47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47" t="str">
        <f>IFERROR(__xludf.DUMMYFUNCTION("""COMPUTED_VALUE"""),"DIWA")</f>
        <v>DIWA</v>
      </c>
      <c r="F365" s="47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47" t="str">
        <f>IFERROR(__xludf.DUMMYFUNCTION("""COMPUTED_VALUE"""),"BROZO")</f>
        <v>BROZO</v>
      </c>
      <c r="F366" s="47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47" t="str">
        <f>IFERROR(__xludf.DUMMYFUNCTION("""COMPUTED_VALUE"""),"AUSTRIA")</f>
        <v>AUSTRIA</v>
      </c>
      <c r="F367" s="47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47" t="str">
        <f>IFERROR(__xludf.DUMMYFUNCTION("""COMPUTED_VALUE"""),"UMAYAM")</f>
        <v>UMAYAM</v>
      </c>
      <c r="F368" s="47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47" t="str">
        <f>IFERROR(__xludf.DUMMYFUNCTION("""COMPUTED_VALUE"""),"ALICUMAN")</f>
        <v>ALICUMAN</v>
      </c>
      <c r="F369" s="47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47" t="str">
        <f>IFERROR(__xludf.DUMMYFUNCTION("""COMPUTED_VALUE"""),"ANACAN")</f>
        <v>ANACAN</v>
      </c>
      <c r="F370" s="47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47" t="str">
        <f>IFERROR(__xludf.DUMMYFUNCTION("""COMPUTED_VALUE"""),"BACONI")</f>
        <v>BACONI</v>
      </c>
      <c r="F371" s="47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47"/>
      <c r="F372" s="47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47" t="str">
        <f>IFERROR(__xludf.DUMMYFUNCTION("""COMPUTED_VALUE"""),"CARAMANCION")</f>
        <v>CARAMANCION</v>
      </c>
      <c r="F373" s="47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47" t="str">
        <f>IFERROR(__xludf.DUMMYFUNCTION("""COMPUTED_VALUE"""),"PANIT")</f>
        <v>PANIT</v>
      </c>
      <c r="F374" s="47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47" t="str">
        <f>IFERROR(__xludf.DUMMYFUNCTION("""COMPUTED_VALUE"""),"NAVAL")</f>
        <v>NAVAL</v>
      </c>
      <c r="F375" s="47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47"/>
      <c r="F376" s="47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47" t="str">
        <f>IFERROR(__xludf.DUMMYFUNCTION("""COMPUTED_VALUE"""),"RAMIREZ")</f>
        <v>RAMIREZ</v>
      </c>
      <c r="F377" s="47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47" t="str">
        <f>IFERROR(__xludf.DUMMYFUNCTION("""COMPUTED_VALUE"""),"DOMINGO")</f>
        <v>DOMINGO</v>
      </c>
      <c r="F379" s="47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47" t="str">
        <f>IFERROR(__xludf.DUMMYFUNCTION("""COMPUTED_VALUE"""),"AUGUSTO")</f>
        <v>AUGUSTO</v>
      </c>
      <c r="F380" s="47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47" t="str">
        <f>IFERROR(__xludf.DUMMYFUNCTION("""COMPUTED_VALUE"""),"LOPEZ")</f>
        <v>LOPEZ</v>
      </c>
      <c r="F381" s="47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47" t="str">
        <f>IFERROR(__xludf.DUMMYFUNCTION("""COMPUTED_VALUE"""),"BASTIE")</f>
        <v>BASTIE</v>
      </c>
      <c r="F382" s="47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47" t="str">
        <f>IFERROR(__xludf.DUMMYFUNCTION("""COMPUTED_VALUE"""),"ACOB")</f>
        <v>ACOB</v>
      </c>
      <c r="F383" s="47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47"/>
      <c r="F384" s="47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47"/>
      <c r="F385" s="47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47" t="str">
        <f>IFERROR(__xludf.DUMMYFUNCTION("""COMPUTED_VALUE"""),"PALERO")</f>
        <v>PALERO</v>
      </c>
      <c r="F386" s="47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47" t="str">
        <f>IFERROR(__xludf.DUMMYFUNCTION("""COMPUTED_VALUE"""),"BUYOC")</f>
        <v>BUYOC</v>
      </c>
      <c r="F387" s="47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47" t="str">
        <f>IFERROR(__xludf.DUMMYFUNCTION("""COMPUTED_VALUE"""),"PALERO")</f>
        <v>PALERO</v>
      </c>
      <c r="F388" s="47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47" t="str">
        <f>IFERROR(__xludf.DUMMYFUNCTION("""COMPUTED_VALUE"""),"TANALEON")</f>
        <v>TANALEON</v>
      </c>
      <c r="F389" s="47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47" t="str">
        <f>IFERROR(__xludf.DUMMYFUNCTION("""COMPUTED_VALUE"""),"VILLAMOR")</f>
        <v>VILLAMOR</v>
      </c>
      <c r="F390" s="47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47"/>
      <c r="F391" s="47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47" t="str">
        <f>IFERROR(__xludf.DUMMYFUNCTION("""COMPUTED_VALUE"""),"DOMINGO")</f>
        <v>DOMINGO</v>
      </c>
      <c r="F392" s="47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47" t="str">
        <f>IFERROR(__xludf.DUMMYFUNCTION("""COMPUTED_VALUE"""),"CABARDO")</f>
        <v>CABARDO</v>
      </c>
      <c r="F393" s="47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47" t="str">
        <f>IFERROR(__xludf.DUMMYFUNCTION("""COMPUTED_VALUE"""),"BUENAFLOR")</f>
        <v>BUENAFLOR</v>
      </c>
      <c r="F394" s="47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47" t="str">
        <f>IFERROR(__xludf.DUMMYFUNCTION("""COMPUTED_VALUE"""),"BAUTISTA")</f>
        <v>BAUTISTA</v>
      </c>
      <c r="F395" s="47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47" t="str">
        <f>IFERROR(__xludf.DUMMYFUNCTION("""COMPUTED_VALUE"""),"MERCATO")</f>
        <v>MERCATO</v>
      </c>
      <c r="F396" s="47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47" t="str">
        <f>IFERROR(__xludf.DUMMYFUNCTION("""COMPUTED_VALUE"""),"DRIS")</f>
        <v>DRIS</v>
      </c>
      <c r="F397" s="47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47" t="str">
        <f>IFERROR(__xludf.DUMMYFUNCTION("""COMPUTED_VALUE"""),"SEBASTIAN")</f>
        <v>SEBASTIAN</v>
      </c>
      <c r="F398" s="47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47" t="str">
        <f>IFERROR(__xludf.DUMMYFUNCTION("""COMPUTED_VALUE"""),"SELUDO")</f>
        <v>SELUDO</v>
      </c>
      <c r="F399" s="47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47" t="str">
        <f>IFERROR(__xludf.DUMMYFUNCTION("""COMPUTED_VALUE"""),"ORTEGA")</f>
        <v>ORTEGA</v>
      </c>
      <c r="F400" s="47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47" t="str">
        <f>IFERROR(__xludf.DUMMYFUNCTION("""COMPUTED_VALUE"""),"TAGARDA")</f>
        <v>TAGARDA</v>
      </c>
      <c r="F401" s="47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47" t="str">
        <f>IFERROR(__xludf.DUMMYFUNCTION("""COMPUTED_VALUE"""),"EUSEBIO")</f>
        <v>EUSEBIO</v>
      </c>
      <c r="F402" s="47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47" t="str">
        <f>IFERROR(__xludf.DUMMYFUNCTION("""COMPUTED_VALUE"""),"NAZARENO")</f>
        <v>NAZARENO</v>
      </c>
      <c r="F403" s="47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47" t="str">
        <f>IFERROR(__xludf.DUMMYFUNCTION("""COMPUTED_VALUE"""),"MORALES")</f>
        <v>MORALES</v>
      </c>
      <c r="F404" s="47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47" t="str">
        <f>IFERROR(__xludf.DUMMYFUNCTION("""COMPUTED_VALUE"""),"SELUDO")</f>
        <v>SELUDO</v>
      </c>
      <c r="F405" s="47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47" t="str">
        <f>IFERROR(__xludf.DUMMYFUNCTION("""COMPUTED_VALUE"""),"BROZO")</f>
        <v>BROZO</v>
      </c>
      <c r="F406" s="47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47" t="str">
        <f>IFERROR(__xludf.DUMMYFUNCTION("""COMPUTED_VALUE"""),"OMBAL")</f>
        <v>OMBAL</v>
      </c>
      <c r="F407" s="47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47" t="str">
        <f>IFERROR(__xludf.DUMMYFUNCTION("""COMPUTED_VALUE"""),"MENDEL")</f>
        <v>MENDEL</v>
      </c>
      <c r="F408" s="47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47" t="str">
        <f>IFERROR(__xludf.DUMMYFUNCTION("""COMPUTED_VALUE"""),"DAMASCO")</f>
        <v>DAMASCO</v>
      </c>
      <c r="F409" s="47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47" t="str">
        <f>IFERROR(__xludf.DUMMYFUNCTION("""COMPUTED_VALUE"""),"TOLENTINO")</f>
        <v>TOLENTINO</v>
      </c>
      <c r="F410" s="47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47" t="str">
        <f>IFERROR(__xludf.DUMMYFUNCTION("""COMPUTED_VALUE"""),"KEYSOR")</f>
        <v>KEYSOR</v>
      </c>
      <c r="F411" s="47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47" t="str">
        <f>IFERROR(__xludf.DUMMYFUNCTION("""COMPUTED_VALUE"""),"PANCHO")</f>
        <v>PANCHO</v>
      </c>
      <c r="F412" s="47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47" t="str">
        <f>IFERROR(__xludf.DUMMYFUNCTION("""COMPUTED_VALUE"""),"ARROYO")</f>
        <v>ARROYO</v>
      </c>
      <c r="F413" s="47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47" t="str">
        <f>IFERROR(__xludf.DUMMYFUNCTION("""COMPUTED_VALUE"""),"BERNAL")</f>
        <v>BERNAL</v>
      </c>
      <c r="F414" s="47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47" t="str">
        <f>IFERROR(__xludf.DUMMYFUNCTION("""COMPUTED_VALUE"""),"CAGAYAN")</f>
        <v>CAGAYAN</v>
      </c>
      <c r="F415" s="47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47" t="str">
        <f>IFERROR(__xludf.DUMMYFUNCTION("""COMPUTED_VALUE"""),"BAUTISTA")</f>
        <v>BAUTISTA</v>
      </c>
      <c r="F416" s="47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47" t="str">
        <f>IFERROR(__xludf.DUMMYFUNCTION("""COMPUTED_VALUE"""),"NOGUERA")</f>
        <v>NOGUERA</v>
      </c>
      <c r="F417" s="47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47" t="str">
        <f>IFERROR(__xludf.DUMMYFUNCTION("""COMPUTED_VALUE"""),"ABERIN")</f>
        <v>ABERIN</v>
      </c>
      <c r="F418" s="47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47"/>
      <c r="F419" s="47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47" t="str">
        <f>IFERROR(__xludf.DUMMYFUNCTION("""COMPUTED_VALUE"""),"PALERO")</f>
        <v>PALERO</v>
      </c>
      <c r="F420" s="47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47" t="str">
        <f>IFERROR(__xludf.DUMMYFUNCTION("""COMPUTED_VALUE"""),"SANTOS")</f>
        <v>SANTOS</v>
      </c>
      <c r="F421" s="47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47"/>
      <c r="F422" s="47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47" t="str">
        <f>IFERROR(__xludf.DUMMYFUNCTION("""COMPUTED_VALUE"""),"ABERIN")</f>
        <v>ABERIN</v>
      </c>
      <c r="F423" s="4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47" t="str">
        <f>IFERROR(__xludf.DUMMYFUNCTION("""COMPUTED_VALUE"""),"ABERIN")</f>
        <v>ABERIN</v>
      </c>
      <c r="F424" s="47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47" t="str">
        <f>IFERROR(__xludf.DUMMYFUNCTION("""COMPUTED_VALUE"""),"PANIT")</f>
        <v>PANIT</v>
      </c>
      <c r="F425" s="47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47"/>
      <c r="F426" s="47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47" t="str">
        <f>IFERROR(__xludf.DUMMYFUNCTION("""COMPUTED_VALUE"""),"ABUS")</f>
        <v>ABUS</v>
      </c>
      <c r="F427" s="47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47" t="str">
        <f>IFERROR(__xludf.DUMMYFUNCTION("""COMPUTED_VALUE"""),"ABUS")</f>
        <v>ABUS</v>
      </c>
      <c r="F428" s="47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47" t="str">
        <f>IFERROR(__xludf.DUMMYFUNCTION("""COMPUTED_VALUE"""),"CARBONEL")</f>
        <v>CARBONEL</v>
      </c>
      <c r="F429" s="47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47"/>
      <c r="F430" s="47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47" t="str">
        <f>IFERROR(__xludf.DUMMYFUNCTION("""COMPUTED_VALUE"""),"CARBO")</f>
        <v>CARBO</v>
      </c>
      <c r="F431" s="47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47" t="str">
        <f>IFERROR(__xludf.DUMMYFUNCTION("""COMPUTED_VALUE"""),"LIEGUE")</f>
        <v>LIEGUE</v>
      </c>
      <c r="F432" s="47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47" t="str">
        <f>IFERROR(__xludf.DUMMYFUNCTION("""COMPUTED_VALUE"""),"ALEGADO")</f>
        <v>ALEGADO</v>
      </c>
      <c r="F433" s="47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47" t="str">
        <f>IFERROR(__xludf.DUMMYFUNCTION("""COMPUTED_VALUE"""),"BOLIVAR")</f>
        <v>BOLIVAR</v>
      </c>
      <c r="F434" s="47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47" t="str">
        <f>IFERROR(__xludf.DUMMYFUNCTION("""COMPUTED_VALUE"""),"DELA CRUZ")</f>
        <v>DELA CRUZ</v>
      </c>
      <c r="F435" s="47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47" t="str">
        <f>IFERROR(__xludf.DUMMYFUNCTION("""COMPUTED_VALUE"""),"ESPIDIDO")</f>
        <v>ESPIDIDO</v>
      </c>
      <c r="F436" s="47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47"/>
      <c r="F437" s="47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47">
        <f>IFERROR(__xludf.DUMMYFUNCTION("""COMPUTED_VALUE"""),467.0)</f>
        <v>467</v>
      </c>
      <c r="B456" s="47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47" t="str">
        <f>IFERROR(__xludf.DUMMYFUNCTION("""COMPUTED_VALUE"""),"MENDOZA")</f>
        <v>MENDOZA</v>
      </c>
      <c r="F458" s="47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47"/>
      <c r="F459" s="47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47" t="str">
        <f>IFERROR(__xludf.DUMMYFUNCTION("""COMPUTED_VALUE"""),"BROZO")</f>
        <v>BROZO</v>
      </c>
      <c r="F460" s="47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47" t="str">
        <f>IFERROR(__xludf.DUMMYFUNCTION("""COMPUTED_VALUE"""),"BRUSELAS")</f>
        <v>BRUSELAS</v>
      </c>
      <c r="F461" s="47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47"/>
      <c r="F462" s="47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47" t="str">
        <f>IFERROR(__xludf.DUMMYFUNCTION("""COMPUTED_VALUE"""),"FIGURACION")</f>
        <v>FIGURACION</v>
      </c>
      <c r="F463" s="47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47" t="str">
        <f>IFERROR(__xludf.DUMMYFUNCTION("""COMPUTED_VALUE"""),"SALANGA")</f>
        <v>SALANGA</v>
      </c>
      <c r="F464" s="47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47" t="str">
        <f>IFERROR(__xludf.DUMMYFUNCTION("""COMPUTED_VALUE"""),"SALANGA")</f>
        <v>SALANGA</v>
      </c>
      <c r="F465" s="47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47" t="str">
        <f>IFERROR(__xludf.DUMMYFUNCTION("""COMPUTED_VALUE"""),"SALANGA")</f>
        <v>SALANGA</v>
      </c>
      <c r="F466" s="47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47" t="str">
        <f>IFERROR(__xludf.DUMMYFUNCTION("""COMPUTED_VALUE"""),"OJEDA")</f>
        <v>OJEDA</v>
      </c>
      <c r="F467" s="47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47" t="str">
        <f>IFERROR(__xludf.DUMMYFUNCTION("""COMPUTED_VALUE"""),"PRESTADO")</f>
        <v>PRESTADO</v>
      </c>
      <c r="F468" s="47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47" t="str">
        <f>IFERROR(__xludf.DUMMYFUNCTION("""COMPUTED_VALUE"""),"TIALCO")</f>
        <v>TIALCO</v>
      </c>
      <c r="F469" s="47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47"/>
      <c r="F470" s="47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47"/>
      <c r="F471" s="47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47"/>
      <c r="F472" s="47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47"/>
      <c r="F473" s="47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47" t="str">
        <f>IFERROR(__xludf.DUMMYFUNCTION("""COMPUTED_VALUE"""),"BUYOC")</f>
        <v>BUYOC</v>
      </c>
      <c r="F474" s="47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47"/>
      <c r="F475" s="47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47" t="str">
        <f>IFERROR(__xludf.DUMMYFUNCTION("""COMPUTED_VALUE"""),"ARROYO")</f>
        <v>ARROYO</v>
      </c>
      <c r="F476" s="47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47" t="str">
        <f>IFERROR(__xludf.DUMMYFUNCTION("""COMPUTED_VALUE"""),"CRUZ")</f>
        <v>CRUZ</v>
      </c>
      <c r="F477" s="47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47" t="str">
        <f>IFERROR(__xludf.DUMMYFUNCTION("""COMPUTED_VALUE"""),"DRIS")</f>
        <v>DRIS</v>
      </c>
      <c r="F478" s="47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47" t="str">
        <f>IFERROR(__xludf.DUMMYFUNCTION("""COMPUTED_VALUE"""),"ROME")</f>
        <v>ROME</v>
      </c>
      <c r="F479" s="47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47" t="str">
        <f>IFERROR(__xludf.DUMMYFUNCTION("""COMPUTED_VALUE"""),"MORALES")</f>
        <v>MORALES</v>
      </c>
      <c r="F480" s="47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47" t="str">
        <f>IFERROR(__xludf.DUMMYFUNCTION("""COMPUTED_VALUE"""),"ABUS")</f>
        <v>ABUS</v>
      </c>
      <c r="F481" s="4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47" t="str">
        <f>IFERROR(__xludf.DUMMYFUNCTION("""COMPUTED_VALUE"""),"DE VILLA")</f>
        <v>DE VILLA</v>
      </c>
      <c r="F482" s="4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47" t="str">
        <f>IFERROR(__xludf.DUMMYFUNCTION("""COMPUTED_VALUE"""),"COREA")</f>
        <v>COREA</v>
      </c>
      <c r="F483" s="4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47" t="str">
        <f>IFERROR(__xludf.DUMMYFUNCTION("""COMPUTED_VALUE"""),"ACUNA")</f>
        <v>ACUNA</v>
      </c>
      <c r="F484" s="4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47" t="str">
        <f>IFERROR(__xludf.DUMMYFUNCTION("""COMPUTED_VALUE"""),"TAGARDA")</f>
        <v>TAGARDA</v>
      </c>
      <c r="F485" s="4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47" t="str">
        <f>IFERROR(__xludf.DUMMYFUNCTION("""COMPUTED_VALUE"""),"CALIBSO")</f>
        <v>CALIBSO</v>
      </c>
      <c r="F486" s="4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47" t="str">
        <f>IFERROR(__xludf.DUMMYFUNCTION("""COMPUTED_VALUE"""),"JASMIN")</f>
        <v>JASMIN</v>
      </c>
      <c r="F487" s="4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47"/>
      <c r="F488" s="47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47" t="str">
        <f>IFERROR(__xludf.DUMMYFUNCTION("""COMPUTED_VALUE"""),"CUDAL")</f>
        <v>CUDAL</v>
      </c>
      <c r="F489" s="4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47" t="str">
        <f>IFERROR(__xludf.DUMMYFUNCTION("""COMPUTED_VALUE"""),"ABERIN")</f>
        <v>ABERIN</v>
      </c>
      <c r="F490" s="4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47" t="str">
        <f>IFERROR(__xludf.DUMMYFUNCTION("""COMPUTED_VALUE"""),"CALIBSO")</f>
        <v>CALIBSO</v>
      </c>
      <c r="F491" s="47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47" t="str">
        <f>IFERROR(__xludf.DUMMYFUNCTION("""COMPUTED_VALUE"""),"CORPUZ")</f>
        <v>CORPUZ</v>
      </c>
      <c r="F492" s="47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47" t="str">
        <f>IFERROR(__xludf.DUMMYFUNCTION("""COMPUTED_VALUE"""),"SANTOS")</f>
        <v>SANTOS</v>
      </c>
      <c r="F493" s="47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47" t="str">
        <f>IFERROR(__xludf.DUMMYFUNCTION("""COMPUTED_VALUE"""),"DE GUZMAN")</f>
        <v>DE GUZMAN</v>
      </c>
      <c r="F494" s="47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47" t="str">
        <f>IFERROR(__xludf.DUMMYFUNCTION("""COMPUTED_VALUE"""),"BUENAFLOR")</f>
        <v>BUENAFLOR</v>
      </c>
      <c r="F495" s="47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47" t="str">
        <f>IFERROR(__xludf.DUMMYFUNCTION("""COMPUTED_VALUE"""),"LACONSAY")</f>
        <v>LACONSAY</v>
      </c>
      <c r="F496" s="47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47"/>
      <c r="F497" s="47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47"/>
      <c r="F498" s="47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47" t="str">
        <f>IFERROR(__xludf.DUMMYFUNCTION("""COMPUTED_VALUE"""),"SALES")</f>
        <v>SALES</v>
      </c>
      <c r="F499" s="47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47" t="str">
        <f>IFERROR(__xludf.DUMMYFUNCTION("""COMPUTED_VALUE"""),"TOLEDO")</f>
        <v>TOLEDO</v>
      </c>
      <c r="F500" s="47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47"/>
      <c r="F501" s="47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47" t="str">
        <f>IFERROR(__xludf.DUMMYFUNCTION("""COMPUTED_VALUE"""),"DE GUZMAN")</f>
        <v>DE GUZMAN</v>
      </c>
      <c r="F502" s="47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47" t="str">
        <f>IFERROR(__xludf.DUMMYFUNCTION("""COMPUTED_VALUE"""),"PARAGAS")</f>
        <v>PARAGAS</v>
      </c>
      <c r="F503" s="47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47" t="str">
        <f>IFERROR(__xludf.DUMMYFUNCTION("""COMPUTED_VALUE"""),"MONTESA")</f>
        <v>MONTESA</v>
      </c>
      <c r="F504" s="47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47"/>
      <c r="F505" s="47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47" t="str">
        <f>IFERROR(__xludf.DUMMYFUNCTION("""COMPUTED_VALUE"""),"DE GUZMAN")</f>
        <v>DE GUZMAN</v>
      </c>
      <c r="F506" s="47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47" t="str">
        <f>IFERROR(__xludf.DUMMYFUNCTION("""COMPUTED_VALUE"""),"PARAGAS")</f>
        <v>PARAGAS</v>
      </c>
      <c r="F507" s="47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47" t="str">
        <f>IFERROR(__xludf.DUMMYFUNCTION("""COMPUTED_VALUE"""),"MONTESA")</f>
        <v>MONTESA</v>
      </c>
      <c r="F508" s="4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47"/>
      <c r="F509" s="4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47" t="str">
        <f>IFERROR(__xludf.DUMMYFUNCTION("""COMPUTED_VALUE"""),"DE GUZMAN")</f>
        <v>DE GUZMAN</v>
      </c>
      <c r="F510" s="4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47" t="str">
        <f>IFERROR(__xludf.DUMMYFUNCTION("""COMPUTED_VALUE"""),"PARAGAS")</f>
        <v>PARAGAS</v>
      </c>
      <c r="F511" s="4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47" t="str">
        <f>IFERROR(__xludf.DUMMYFUNCTION("""COMPUTED_VALUE"""),"MONTESA")</f>
        <v>MONTESA</v>
      </c>
      <c r="F512" s="47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47"/>
      <c r="F513" s="4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47"/>
      <c r="F514" s="4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47"/>
      <c r="F515" s="4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47"/>
      <c r="F516" s="4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47"/>
      <c r="F517" s="4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47"/>
      <c r="F518" s="4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47"/>
      <c r="F519" s="47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47"/>
      <c r="F520" s="47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47"/>
      <c r="F521" s="47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47"/>
      <c r="F522" s="47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47"/>
      <c r="F523" s="47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47"/>
      <c r="F524" s="4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47"/>
      <c r="F525" s="47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47"/>
      <c r="F526" s="47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47"/>
      <c r="F527" s="47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47"/>
      <c r="F528" s="47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47"/>
      <c r="F529" s="4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47"/>
      <c r="F530" s="47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47"/>
      <c r="F531" s="47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47"/>
      <c r="F532" s="47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47"/>
      <c r="F533" s="47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47"/>
      <c r="F534" s="4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47"/>
      <c r="F535" s="47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47"/>
      <c r="F536" s="47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47"/>
      <c r="F537" s="47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47"/>
      <c r="F538" s="47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47"/>
      <c r="F539" s="47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47"/>
      <c r="F540" s="47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47"/>
      <c r="F541" s="47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47"/>
      <c r="F542" s="47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47"/>
      <c r="F543" s="47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47"/>
      <c r="F544" s="47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47"/>
      <c r="F545" s="47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47"/>
      <c r="F546" s="47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47"/>
      <c r="F547" s="47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47"/>
      <c r="F548" s="47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47"/>
      <c r="F549" s="47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47"/>
      <c r="F550" s="47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47"/>
      <c r="F551" s="47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47"/>
      <c r="F552" s="47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47"/>
      <c r="F553" s="47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47"/>
      <c r="F554" s="47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47"/>
      <c r="F555" s="47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47"/>
      <c r="F556" s="47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47"/>
      <c r="F557" s="47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47"/>
      <c r="F558" s="47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47"/>
      <c r="F559" s="47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47"/>
      <c r="F560" s="47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47"/>
      <c r="F561" s="47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47"/>
      <c r="F562" s="47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47"/>
      <c r="F563" s="47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47"/>
      <c r="F564" s="47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47"/>
      <c r="F566" s="47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47"/>
      <c r="F567" s="47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47"/>
      <c r="F568" s="47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47"/>
      <c r="F569" s="47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47"/>
      <c r="F570" s="47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47"/>
      <c r="F571" s="47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47"/>
      <c r="F572" s="47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47"/>
      <c r="F573" s="47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47"/>
      <c r="F574" s="47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47"/>
      <c r="F575" s="47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47"/>
      <c r="F576" s="47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47"/>
      <c r="F577" s="47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47"/>
      <c r="F578" s="47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47"/>
      <c r="F579" s="47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47"/>
      <c r="F580" s="47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47"/>
      <c r="F581" s="47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47"/>
      <c r="F582" s="47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47"/>
      <c r="F583" s="47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47"/>
      <c r="F584" s="47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47"/>
      <c r="F586" s="47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47"/>
      <c r="F587" s="47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47"/>
      <c r="F588" s="47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47"/>
      <c r="F589" s="47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47"/>
      <c r="F590" s="47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47"/>
      <c r="F591" s="47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47"/>
      <c r="F592" s="47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47"/>
      <c r="F593" s="47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47"/>
      <c r="F594" s="47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47"/>
      <c r="F595" s="47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47"/>
      <c r="F596" s="47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47"/>
      <c r="F597" s="47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47"/>
      <c r="F598" s="47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47"/>
      <c r="F599" s="47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47"/>
      <c r="F600" s="47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47"/>
      <c r="F601" s="47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47"/>
      <c r="F602" s="47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47"/>
      <c r="F603" s="47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47"/>
      <c r="F604" s="47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47"/>
      <c r="F605" s="47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47"/>
      <c r="F606" s="47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47"/>
      <c r="F607" s="47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47"/>
      <c r="F608" s="47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47"/>
      <c r="F609" s="47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47"/>
      <c r="F610" s="47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47"/>
      <c r="F611" s="47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47"/>
      <c r="F613" s="47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47"/>
      <c r="F614" s="47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47"/>
      <c r="F615" s="47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47"/>
      <c r="F616" s="47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47"/>
      <c r="F617" s="47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47"/>
      <c r="F618" s="47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47"/>
      <c r="F619" s="47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47"/>
      <c r="F620" s="47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47"/>
      <c r="F621" s="47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47"/>
      <c r="F622" s="47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47"/>
      <c r="F623" s="47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47"/>
      <c r="F624" s="47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47"/>
      <c r="F625" s="47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47"/>
      <c r="F626" s="47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47"/>
      <c r="F627" s="47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47"/>
      <c r="F628" s="47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47"/>
      <c r="F629" s="47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47"/>
      <c r="F630" s="47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47"/>
      <c r="F631" s="47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47"/>
      <c r="F632" s="47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47"/>
      <c r="F633" s="47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47"/>
      <c r="F634" s="47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47"/>
      <c r="F635" s="47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47"/>
      <c r="F636" s="47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47"/>
      <c r="F637" s="47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47"/>
      <c r="F638" s="47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47"/>
      <c r="F639" s="47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47"/>
      <c r="F640" s="47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47"/>
      <c r="F641" s="47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47"/>
      <c r="F642" s="47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47"/>
      <c r="F643" s="47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47"/>
      <c r="F644" s="47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47"/>
      <c r="F645" s="47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47"/>
      <c r="F646" s="47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47"/>
      <c r="F647" s="47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47"/>
      <c r="F648" s="47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47"/>
      <c r="F649" s="47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47"/>
      <c r="F650" s="47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47"/>
      <c r="F651" s="47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47"/>
      <c r="F652" s="47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47"/>
      <c r="F653" s="47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47"/>
      <c r="F654" s="47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47"/>
      <c r="F655" s="47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47"/>
      <c r="F656" s="47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47"/>
      <c r="F657" s="47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47"/>
      <c r="F658" s="47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47"/>
      <c r="F659" s="4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47"/>
      <c r="F660" s="47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47"/>
      <c r="F661" s="47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47"/>
      <c r="F662" s="47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47"/>
      <c r="F663" s="47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47"/>
      <c r="F664" s="47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47"/>
      <c r="F665" s="47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47"/>
      <c r="F666" s="47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47"/>
      <c r="F667" s="47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47"/>
      <c r="F668" s="47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47"/>
      <c r="F669" s="47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47"/>
      <c r="F670" s="47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47"/>
      <c r="F671" s="47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47"/>
      <c r="F672" s="47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47"/>
      <c r="F673" s="47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47"/>
      <c r="F674" s="47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47"/>
      <c r="F675" s="47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47"/>
      <c r="F696" s="47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47"/>
      <c r="F697" s="47"/>
      <c r="BQ697" s="50"/>
      <c r="BR697" s="50"/>
      <c r="BS697" s="50"/>
      <c r="BT697" s="50"/>
      <c r="BU697" s="50"/>
    </row>
    <row r="698">
      <c r="A698" s="47"/>
      <c r="B698" s="47"/>
      <c r="C698" s="47"/>
      <c r="D698" s="47"/>
      <c r="E698" s="47"/>
      <c r="F698" s="47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47"/>
      <c r="F700" s="47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47"/>
      <c r="F701" s="47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47"/>
      <c r="F702" s="47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47"/>
      <c r="F703" s="47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47"/>
      <c r="F704" s="47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47"/>
      <c r="F705" s="47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47"/>
      <c r="F706" s="47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47"/>
      <c r="F707" s="47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47"/>
      <c r="F708" s="47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47"/>
      <c r="F709" s="47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47"/>
      <c r="F710" s="47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47"/>
      <c r="F711" s="47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47"/>
      <c r="F712" s="47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47"/>
      <c r="F713" s="47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47"/>
      <c r="F714" s="47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47"/>
      <c r="F715" s="47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47"/>
      <c r="F716" s="47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47"/>
      <c r="F717" s="47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47"/>
      <c r="F718" s="47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47"/>
      <c r="F719" s="47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47"/>
      <c r="F720" s="47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47"/>
      <c r="F721" s="47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47"/>
      <c r="F722" s="47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47"/>
      <c r="F723" s="4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47"/>
      <c r="F724" s="4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47"/>
      <c r="F725" s="4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47"/>
      <c r="F726" s="4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47"/>
      <c r="F727" s="4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47"/>
      <c r="F728" s="4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47"/>
      <c r="F729" s="4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47"/>
      <c r="F730" s="47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47"/>
      <c r="F731" s="4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47"/>
      <c r="F732" s="4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47"/>
      <c r="F733" s="47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47"/>
      <c r="F734" s="47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47"/>
      <c r="F735" s="47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47"/>
      <c r="F736" s="47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47"/>
      <c r="F737" s="47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47"/>
      <c r="F738" s="47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47"/>
      <c r="F739" s="47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47"/>
      <c r="F740" s="47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47"/>
      <c r="F741" s="47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47"/>
      <c r="F742" s="47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47"/>
      <c r="F743" s="47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47"/>
      <c r="F744" s="47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47"/>
      <c r="F745" s="47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47"/>
      <c r="F746" s="47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47"/>
      <c r="F747" s="47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47"/>
      <c r="F748" s="47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47"/>
      <c r="F749" s="47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47"/>
      <c r="F750" s="47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47"/>
      <c r="F751" s="47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47"/>
      <c r="F752" s="4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47"/>
      <c r="F753" s="4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47"/>
      <c r="F754" s="4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47"/>
      <c r="F755" s="4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47"/>
      <c r="F756" s="4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47"/>
      <c r="F757" s="4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47"/>
      <c r="F758" s="4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47"/>
      <c r="F759" s="4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47"/>
      <c r="F760" s="4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47"/>
      <c r="F761" s="4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47"/>
      <c r="F762" s="47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47"/>
      <c r="F763" s="4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47"/>
      <c r="F764" s="4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47"/>
      <c r="F765" s="4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47"/>
      <c r="F766" s="4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47"/>
      <c r="F767" s="4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47"/>
      <c r="F768" s="4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47"/>
      <c r="F769" s="47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47"/>
      <c r="F770" s="47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47"/>
      <c r="F771" s="47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47"/>
      <c r="F772" s="47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47"/>
      <c r="F773" s="47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47"/>
      <c r="F774" s="47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47"/>
      <c r="F775" s="47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47"/>
      <c r="F776" s="4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47"/>
      <c r="F777" s="47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47"/>
      <c r="F778" s="47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47"/>
      <c r="F779" s="47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47"/>
      <c r="F780" s="47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47"/>
      <c r="F781" s="4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47"/>
      <c r="F782" s="47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47"/>
      <c r="F783" s="47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47"/>
      <c r="F784" s="47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47"/>
      <c r="F785" s="47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47"/>
      <c r="F786" s="4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47"/>
      <c r="F787" s="47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47"/>
      <c r="F788" s="47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47"/>
      <c r="F789" s="47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47"/>
      <c r="F790" s="47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47"/>
      <c r="F791" s="47"/>
      <c r="BQ791" s="50"/>
      <c r="BR791" s="50"/>
      <c r="BS791" s="50"/>
      <c r="BT791" s="50"/>
      <c r="BU791" s="50"/>
    </row>
    <row r="792">
      <c r="A792" s="47"/>
      <c r="B792" s="47"/>
      <c r="C792" s="47"/>
      <c r="D792" s="47"/>
      <c r="E792" s="47"/>
      <c r="F792" s="47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47"/>
      <c r="F794" s="47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47"/>
      <c r="F795" s="47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47"/>
      <c r="F796" s="47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47"/>
      <c r="F797" s="47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47"/>
      <c r="F798" s="47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47"/>
      <c r="F799" s="47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47"/>
      <c r="F800" s="47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47"/>
      <c r="F801" s="47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47"/>
      <c r="F802" s="47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47"/>
      <c r="F803" s="47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47"/>
      <c r="F804" s="47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47"/>
      <c r="F805" s="47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47"/>
      <c r="F806" s="47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47"/>
      <c r="F807" s="47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47"/>
      <c r="F808" s="47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47"/>
      <c r="F809" s="47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47"/>
      <c r="F810" s="47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47"/>
      <c r="F811" s="47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47"/>
      <c r="F812" s="47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47"/>
      <c r="F813" s="47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47"/>
      <c r="F814" s="47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47"/>
      <c r="F815" s="47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47"/>
      <c r="F816" s="47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47"/>
      <c r="F817" s="4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47"/>
      <c r="F818" s="4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47"/>
      <c r="F819" s="4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47"/>
      <c r="F820" s="4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47"/>
      <c r="F821" s="4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47"/>
      <c r="F822" s="4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47"/>
      <c r="F823" s="4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47"/>
      <c r="F824" s="47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47"/>
      <c r="F825" s="4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47"/>
      <c r="F826" s="4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47"/>
      <c r="F827" s="47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47"/>
      <c r="F828" s="47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47"/>
      <c r="F829" s="47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47"/>
      <c r="F830" s="47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47"/>
      <c r="F831" s="47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47"/>
      <c r="F832" s="47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47"/>
      <c r="F833" s="47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47"/>
      <c r="F834" s="47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47"/>
      <c r="F835" s="47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47"/>
      <c r="F836" s="47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47"/>
      <c r="F837" s="47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47"/>
      <c r="F838" s="47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47"/>
      <c r="F839" s="47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47"/>
      <c r="F840" s="47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47"/>
      <c r="F841" s="47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47"/>
      <c r="F842" s="47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47"/>
      <c r="F843" s="47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47"/>
      <c r="F844" s="47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47"/>
      <c r="F845" s="47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47"/>
      <c r="F846" s="4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47"/>
      <c r="F847" s="4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47"/>
      <c r="F848" s="4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47"/>
      <c r="F849" s="4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47"/>
      <c r="F850" s="4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47"/>
      <c r="F851" s="4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47"/>
      <c r="F852" s="4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47"/>
      <c r="F853" s="4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47"/>
      <c r="F854" s="4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47"/>
      <c r="F855" s="4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47"/>
      <c r="F856" s="47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47"/>
      <c r="F857" s="4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47"/>
      <c r="F858" s="4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47"/>
      <c r="F859" s="4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47"/>
      <c r="F860" s="4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47"/>
      <c r="F861" s="4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47"/>
      <c r="F862" s="4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47"/>
      <c r="F863" s="47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47"/>
      <c r="F864" s="47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47"/>
      <c r="F865" s="47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47"/>
      <c r="F866" s="47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47"/>
      <c r="F867" s="47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47"/>
      <c r="F868" s="47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47"/>
      <c r="F869" s="47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47"/>
      <c r="F870" s="4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47"/>
      <c r="F871" s="47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47"/>
      <c r="F872" s="47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47"/>
      <c r="F873" s="47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47"/>
      <c r="F874" s="47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47"/>
      <c r="F875" s="4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47"/>
      <c r="F876" s="47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47"/>
      <c r="F877" s="47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47"/>
      <c r="F878" s="47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47"/>
      <c r="F879" s="47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47"/>
      <c r="F880" s="4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47"/>
      <c r="F881" s="47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47"/>
      <c r="F882" s="47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47"/>
      <c r="F883" s="47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47"/>
      <c r="F884" s="47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47"/>
      <c r="F885" s="47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13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357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760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761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9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34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6" t="str">
        <f>IFERROR(__xludf.DUMMYFUNCTION("""COMPUTED_VALUE"""),"CORTEZ")</f>
        <v>CORTEZ</v>
      </c>
      <c r="F98" s="66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69" t="str">
        <f>IFERROR(__xludf.DUMMYFUNCTION("""COMPUTED_VALUE"""),"LINGALONG")</f>
        <v>LINGALONG</v>
      </c>
      <c r="F99" s="63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14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70" t="str">
        <f>IFERROR(__xludf.DUMMYFUNCTION("""COMPUTED_VALUE"""),"FIGURACION")</f>
        <v>FIGURACION</v>
      </c>
      <c r="F119" s="70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47" t="str">
        <f>IFERROR(__xludf.DUMMYFUNCTION("""COMPUTED_VALUE"""),"SILANGAN")</f>
        <v>SILANGAN</v>
      </c>
      <c r="F120" s="47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55" t="str">
        <f>IFERROR(__xludf.DUMMYFUNCTION("""COMPUTED_VALUE"""),"CALUPAS")</f>
        <v>CALUPAS</v>
      </c>
      <c r="F121" s="55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58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74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58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23" t="str">
        <f>IFERROR(__xludf.DUMMYFUNCTION("""COMPUTED_VALUE"""),"RABINO")</f>
        <v>RABINO</v>
      </c>
      <c r="F137" s="58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58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58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5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55" t="str">
        <f>IFERROR(__xludf.DUMMYFUNCTION("""COMPUTED_VALUE"""),"CABISAY")</f>
        <v>CABISAY</v>
      </c>
      <c r="F201" s="55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58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/>
      <c r="BR232" s="137"/>
      <c r="BS232" s="137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47">
        <f>IFERROR(__xludf.DUMMYFUNCTION("""COMPUTED_VALUE"""),254.0)</f>
        <v>254</v>
      </c>
      <c r="B238" s="47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47" t="str">
        <f>IFERROR(__xludf.DUMMYFUNCTION("""COMPUTED_VALUE"""),"IBALLA")</f>
        <v>IBALLA</v>
      </c>
      <c r="F240" s="47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47"/>
      <c r="F241" s="4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47" t="str">
        <f>IFERROR(__xludf.DUMMYFUNCTION("""COMPUTED_VALUE"""),"VILLACRUSIS")</f>
        <v>VILLACRUSIS</v>
      </c>
      <c r="F242" s="4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47" t="str">
        <f>IFERROR(__xludf.DUMMYFUNCTION("""COMPUTED_VALUE"""),"IBALLA")</f>
        <v>IBALLA</v>
      </c>
      <c r="F243" s="4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47" t="str">
        <f>IFERROR(__xludf.DUMMYFUNCTION("""COMPUTED_VALUE"""),"PUZALAN")</f>
        <v>PUZALAN</v>
      </c>
      <c r="F244" s="4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47"/>
      <c r="F245" s="4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47" t="str">
        <f>IFERROR(__xludf.DUMMYFUNCTION("""COMPUTED_VALUE"""),"LOBRIDO")</f>
        <v>LOBRIDO</v>
      </c>
      <c r="F246" s="47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47" t="str">
        <f>IFERROR(__xludf.DUMMYFUNCTION("""COMPUTED_VALUE"""),"GERVACIO")</f>
        <v>GERVACIO</v>
      </c>
      <c r="F247" s="47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47"/>
      <c r="F248" s="47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47" t="str">
        <f>IFERROR(__xludf.DUMMYFUNCTION("""COMPUTED_VALUE"""),"BOLANOS")</f>
        <v>BOLANOS</v>
      </c>
      <c r="F249" s="47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47" t="str">
        <f>IFERROR(__xludf.DUMMYFUNCTION("""COMPUTED_VALUE"""),"VINLUAN FORMENTERA")</f>
        <v>VINLUAN FORMENTERA</v>
      </c>
      <c r="F250" s="47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47" t="str">
        <f>IFERROR(__xludf.DUMMYFUNCTION("""COMPUTED_VALUE"""),"VINLUAN")</f>
        <v>VINLUAN</v>
      </c>
      <c r="F251" s="47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47" t="str">
        <f>IFERROR(__xludf.DUMMYFUNCTION("""COMPUTED_VALUE"""),"VINLUAN")</f>
        <v>VINLUAN</v>
      </c>
      <c r="F252" s="47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47" t="str">
        <f>IFERROR(__xludf.DUMMYFUNCTION("""COMPUTED_VALUE"""),"VINLUAN")</f>
        <v>VINLUAN</v>
      </c>
      <c r="F253" s="47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47"/>
      <c r="F254" s="47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47" t="str">
        <f>IFERROR(__xludf.DUMMYFUNCTION("""COMPUTED_VALUE"""),"CASIN")</f>
        <v>CASIN</v>
      </c>
      <c r="F255" s="47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47" t="str">
        <f>IFERROR(__xludf.DUMMYFUNCTION("""COMPUTED_VALUE"""),"SILVERIO")</f>
        <v>SILVERIO</v>
      </c>
      <c r="F256" s="47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47"/>
      <c r="F257" s="47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47" t="str">
        <f>IFERROR(__xludf.DUMMYFUNCTION("""COMPUTED_VALUE"""),"MORALES")</f>
        <v>MORALES</v>
      </c>
      <c r="F258" s="47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47" t="str">
        <f>IFERROR(__xludf.DUMMYFUNCTION("""COMPUTED_VALUE"""),"ARROYO")</f>
        <v>ARROYO</v>
      </c>
      <c r="F259" s="47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47" t="str">
        <f>IFERROR(__xludf.DUMMYFUNCTION("""COMPUTED_VALUE"""),"ARROYO")</f>
        <v>ARROYO</v>
      </c>
      <c r="F260" s="4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47" t="str">
        <f>IFERROR(__xludf.DUMMYFUNCTION("""COMPUTED_VALUE"""),"SALINAS")</f>
        <v>SALINAS</v>
      </c>
      <c r="F261" s="4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47" t="str">
        <f>IFERROR(__xludf.DUMMYFUNCTION("""COMPUTED_VALUE"""),"ACUÑA")</f>
        <v>ACUÑA</v>
      </c>
      <c r="F262" s="47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47" t="str">
        <f>IFERROR(__xludf.DUMMYFUNCTION("""COMPUTED_VALUE"""),"ALAOIG")</f>
        <v>ALAOIG</v>
      </c>
      <c r="F263" s="4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47" t="str">
        <f>IFERROR(__xludf.DUMMYFUNCTION("""COMPUTED_VALUE"""),"ROME")</f>
        <v>ROME</v>
      </c>
      <c r="F264" s="4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47" t="str">
        <f>IFERROR(__xludf.DUMMYFUNCTION("""COMPUTED_VALUE"""),"CUDAL")</f>
        <v>CUDAL</v>
      </c>
      <c r="F265" s="47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47" t="str">
        <f>IFERROR(__xludf.DUMMYFUNCTION("""COMPUTED_VALUE"""),"CUDAL")</f>
        <v>CUDAL</v>
      </c>
      <c r="F266" s="47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47" t="str">
        <f>IFERROR(__xludf.DUMMYFUNCTION("""COMPUTED_VALUE"""),"CRUZ")</f>
        <v>CRUZ</v>
      </c>
      <c r="F267" s="47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47" t="str">
        <f>IFERROR(__xludf.DUMMYFUNCTION("""COMPUTED_VALUE"""),"ABERIN")</f>
        <v>ABERIN</v>
      </c>
      <c r="F268" s="47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47" t="str">
        <f>IFERROR(__xludf.DUMMYFUNCTION("""COMPUTED_VALUE"""),"FRANCISCO")</f>
        <v>FRANCISCO</v>
      </c>
      <c r="F269" s="47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47" t="str">
        <f>IFERROR(__xludf.DUMMYFUNCTION("""COMPUTED_VALUE"""),"AQUINO")</f>
        <v>AQUINO</v>
      </c>
      <c r="F270" s="47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47"/>
      <c r="F271" s="47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47"/>
      <c r="F272" s="47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47" t="str">
        <f>IFERROR(__xludf.DUMMYFUNCTION("""COMPUTED_VALUE"""),"ROARING")</f>
        <v>ROARING</v>
      </c>
      <c r="F273" s="47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47" t="str">
        <f>IFERROR(__xludf.DUMMYFUNCTION("""COMPUTED_VALUE"""),"ROARING")</f>
        <v>ROARING</v>
      </c>
      <c r="F274" s="47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47" t="str">
        <f>IFERROR(__xludf.DUMMYFUNCTION("""COMPUTED_VALUE"""),"PAHILA")</f>
        <v>PAHILA</v>
      </c>
      <c r="F275" s="47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47" t="str">
        <f>IFERROR(__xludf.DUMMYFUNCTION("""COMPUTED_VALUE"""),"MANUEL")</f>
        <v>MANUEL</v>
      </c>
      <c r="F276" s="47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47" t="str">
        <f>IFERROR(__xludf.DUMMYFUNCTION("""COMPUTED_VALUE"""),"COMANDA")</f>
        <v>COMANDA</v>
      </c>
      <c r="F277" s="47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47" t="str">
        <f>IFERROR(__xludf.DUMMYFUNCTION("""COMPUTED_VALUE"""),"DRIS")</f>
        <v>DRIS</v>
      </c>
      <c r="F278" s="47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47"/>
      <c r="F279" s="47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47" t="str">
        <f>IFERROR(__xludf.DUMMYFUNCTION("""COMPUTED_VALUE"""),"CALLE")</f>
        <v>CALLE</v>
      </c>
      <c r="F280" s="47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47" t="str">
        <f>IFERROR(__xludf.DUMMYFUNCTION("""COMPUTED_VALUE"""),"JUANITAS")</f>
        <v>JUANITAS</v>
      </c>
      <c r="F281" s="47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47" t="str">
        <f>IFERROR(__xludf.DUMMYFUNCTION("""COMPUTED_VALUE"""),"MATA")</f>
        <v>MATA</v>
      </c>
      <c r="F282" s="4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47" t="str">
        <f>IFERROR(__xludf.DUMMYFUNCTION("""COMPUTED_VALUE"""),"ENCARNADO")</f>
        <v>ENCARNADO</v>
      </c>
      <c r="F283" s="4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47" t="str">
        <f>IFERROR(__xludf.DUMMYFUNCTION("""COMPUTED_VALUE"""),"DE GUZMAN")</f>
        <v>DE GUZMAN</v>
      </c>
      <c r="F284" s="4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47" t="str">
        <f>IFERROR(__xludf.DUMMYFUNCTION("""COMPUTED_VALUE"""),"PADILLA")</f>
        <v>PADILLA</v>
      </c>
      <c r="F285" s="4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47"/>
      <c r="F286" s="4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47" t="str">
        <f>IFERROR(__xludf.DUMMYFUNCTION("""COMPUTED_VALUE"""),"OSIANO")</f>
        <v>OSIANO</v>
      </c>
      <c r="F287" s="4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47" t="str">
        <f>IFERROR(__xludf.DUMMYFUNCTION("""COMPUTED_VALUE"""),"DE GUZMAN TORRE")</f>
        <v>DE GUZMAN TORRE</v>
      </c>
      <c r="F288" s="4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47"/>
      <c r="F289" s="4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47" t="str">
        <f>IFERROR(__xludf.DUMMYFUNCTION("""COMPUTED_VALUE"""),"MACABENTA")</f>
        <v>MACABENTA</v>
      </c>
      <c r="F290" s="4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47" t="str">
        <f>IFERROR(__xludf.DUMMYFUNCTION("""COMPUTED_VALUE"""),"REPUNTE")</f>
        <v>REPUNTE</v>
      </c>
      <c r="F291" s="4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47" t="str">
        <f>IFERROR(__xludf.DUMMYFUNCTION("""COMPUTED_VALUE"""),"DIONIO")</f>
        <v>DIONIO</v>
      </c>
      <c r="F292" s="47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47" t="str">
        <f>IFERROR(__xludf.DUMMYFUNCTION("""COMPUTED_VALUE"""),"CABRITO")</f>
        <v>CABRITO</v>
      </c>
      <c r="F293" s="4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47" t="str">
        <f>IFERROR(__xludf.DUMMYFUNCTION("""COMPUTED_VALUE"""),"GELZA")</f>
        <v>GELZA</v>
      </c>
      <c r="F294" s="4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47" t="str">
        <f>IFERROR(__xludf.DUMMYFUNCTION("""COMPUTED_VALUE"""),"CABRITO")</f>
        <v>CABRITO</v>
      </c>
      <c r="F295" s="4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47"/>
      <c r="F296" s="4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47" t="str">
        <f>IFERROR(__xludf.DUMMYFUNCTION("""COMPUTED_VALUE"""),"CABRITO")</f>
        <v>CABRITO</v>
      </c>
      <c r="F297" s="4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47" t="str">
        <f>IFERROR(__xludf.DUMMYFUNCTION("""COMPUTED_VALUE"""),"EDUARDO")</f>
        <v>EDUARDO</v>
      </c>
      <c r="F298" s="4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47" t="str">
        <f>IFERROR(__xludf.DUMMYFUNCTION("""COMPUTED_VALUE"""),"HIDALGO")</f>
        <v>HIDALGO</v>
      </c>
      <c r="F299" s="47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47"/>
      <c r="F300" s="4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47"/>
      <c r="F301" s="47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47" t="str">
        <f>IFERROR(__xludf.DUMMYFUNCTION("""COMPUTED_VALUE"""),"TAGARDA")</f>
        <v>TAGARDA</v>
      </c>
      <c r="F302" s="47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47" t="str">
        <f>IFERROR(__xludf.DUMMYFUNCTION("""COMPUTED_VALUE"""),"SEGOVIA")</f>
        <v>SEGOVIA</v>
      </c>
      <c r="F303" s="47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47" t="str">
        <f>IFERROR(__xludf.DUMMYFUNCTION("""COMPUTED_VALUE"""),"SEGOVIA")</f>
        <v>SEGOVIA</v>
      </c>
      <c r="F304" s="4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47"/>
      <c r="F305" s="47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47" t="str">
        <f>IFERROR(__xludf.DUMMYFUNCTION("""COMPUTED_VALUE"""),"ACUNA")</f>
        <v>ACUNA</v>
      </c>
      <c r="F306" s="47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47" t="str">
        <f>IFERROR(__xludf.DUMMYFUNCTION("""COMPUTED_VALUE"""),"BAQUERIZA")</f>
        <v>BAQUERIZA</v>
      </c>
      <c r="F307" s="47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47" t="str">
        <f>IFERROR(__xludf.DUMMYFUNCTION("""COMPUTED_VALUE"""),"LEYRITANA")</f>
        <v>LEYRITANA</v>
      </c>
      <c r="F308" s="47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47" t="str">
        <f>IFERROR(__xludf.DUMMYFUNCTION("""COMPUTED_VALUE"""),"BISPO")</f>
        <v>BISPO</v>
      </c>
      <c r="F309" s="4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47" t="str">
        <f>IFERROR(__xludf.DUMMYFUNCTION("""COMPUTED_VALUE"""),"SANTOS")</f>
        <v>SANTOS</v>
      </c>
      <c r="F310" s="47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47" t="str">
        <f>IFERROR(__xludf.DUMMYFUNCTION("""COMPUTED_VALUE"""),"PASAMONTE")</f>
        <v>PASAMONTE</v>
      </c>
      <c r="F311" s="47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47" t="str">
        <f>IFERROR(__xludf.DUMMYFUNCTION("""COMPUTED_VALUE"""),"M.")</f>
        <v>M.</v>
      </c>
      <c r="F312" s="47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47"/>
      <c r="F313" s="47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47" t="str">
        <f>IFERROR(__xludf.DUMMYFUNCTION("""COMPUTED_VALUE"""),"SAGUN")</f>
        <v>SAGUN</v>
      </c>
      <c r="F314" s="47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47" t="str">
        <f>IFERROR(__xludf.DUMMYFUNCTION("""COMPUTED_VALUE"""),"PORTAS")</f>
        <v>PORTAS</v>
      </c>
      <c r="F315" s="47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47" t="str">
        <f>IFERROR(__xludf.DUMMYFUNCTION("""COMPUTED_VALUE"""),"SANGEL")</f>
        <v>SANGEL</v>
      </c>
      <c r="F316" s="47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47"/>
      <c r="F317" s="47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47" t="str">
        <f>IFERROR(__xludf.DUMMYFUNCTION("""COMPUTED_VALUE"""),"SANGEL")</f>
        <v>SANGEL</v>
      </c>
      <c r="F318" s="47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47" t="str">
        <f>IFERROR(__xludf.DUMMYFUNCTION("""COMPUTED_VALUE"""),"ALCANTARA")</f>
        <v>ALCANTARA</v>
      </c>
      <c r="F319" s="47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47" t="str">
        <f>IFERROR(__xludf.DUMMYFUNCTION("""COMPUTED_VALUE"""),"ERILLA")</f>
        <v>ERILLA</v>
      </c>
      <c r="F320" s="47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47"/>
      <c r="F321" s="47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47" t="str">
        <f>IFERROR(__xludf.DUMMYFUNCTION("""COMPUTED_VALUE"""),"SEVILLA")</f>
        <v>SEVILLA</v>
      </c>
      <c r="F322" s="47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47" t="str">
        <f>IFERROR(__xludf.DUMMYFUNCTION("""COMPUTED_VALUE"""),"LALAGUNA")</f>
        <v>LALAGUNA</v>
      </c>
      <c r="F323" s="47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47"/>
      <c r="F324" s="47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47" t="str">
        <f>IFERROR(__xludf.DUMMYFUNCTION("""COMPUTED_VALUE"""),"BALAN")</f>
        <v>BALAN</v>
      </c>
      <c r="F325" s="47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47" t="str">
        <f>IFERROR(__xludf.DUMMYFUNCTION("""COMPUTED_VALUE"""),"SOLAR")</f>
        <v>SOLAR</v>
      </c>
      <c r="F326" s="47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47" t="str">
        <f>IFERROR(__xludf.DUMMYFUNCTION("""COMPUTED_VALUE"""),"MANUEL")</f>
        <v>MANUEL</v>
      </c>
      <c r="F327" s="47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47"/>
      <c r="F328" s="47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47" t="str">
        <f>IFERROR(__xludf.DUMMYFUNCTION("""COMPUTED_VALUE"""),"SANTOS")</f>
        <v>SANTOS</v>
      </c>
      <c r="F329" s="47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47"/>
      <c r="F330" s="47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47"/>
      <c r="F331" s="47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47"/>
      <c r="F332" s="47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47"/>
      <c r="F333" s="47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47" t="str">
        <f>IFERROR(__xludf.DUMMYFUNCTION("""COMPUTED_VALUE"""),"SANTOS")</f>
        <v>SANTOS</v>
      </c>
      <c r="F334" s="47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47"/>
      <c r="F335" s="47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47" t="str">
        <f>IFERROR(__xludf.DUMMYFUNCTION("""COMPUTED_VALUE"""),"SANTOS")</f>
        <v>SANTOS</v>
      </c>
      <c r="F337" s="47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47"/>
      <c r="F338" s="47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47" t="str">
        <f>IFERROR(__xludf.DUMMYFUNCTION("""COMPUTED_VALUE"""),"BERNAL")</f>
        <v>BERNAL</v>
      </c>
      <c r="F339" s="47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47" t="str">
        <f>IFERROR(__xludf.DUMMYFUNCTION("""COMPUTED_VALUE"""),"ROMERO")</f>
        <v>ROMERO</v>
      </c>
      <c r="F340" s="47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47"/>
      <c r="F341" s="47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47" t="str">
        <f>IFERROR(__xludf.DUMMYFUNCTION("""COMPUTED_VALUE"""),"ESTANISLAO")</f>
        <v>ESTANISLAO</v>
      </c>
      <c r="F342" s="47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47" t="str">
        <f>IFERROR(__xludf.DUMMYFUNCTION("""COMPUTED_VALUE"""),"COMANDA")</f>
        <v>COMANDA</v>
      </c>
      <c r="F343" s="47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47"/>
      <c r="F344" s="47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47"/>
      <c r="F345" s="47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47" t="str">
        <f>IFERROR(__xludf.DUMMYFUNCTION("""COMPUTED_VALUE"""),"DESPOJO")</f>
        <v>DESPOJO</v>
      </c>
      <c r="F346" s="47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47"/>
      <c r="F347" s="47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47" t="str">
        <f>IFERROR(__xludf.DUMMYFUNCTION("""COMPUTED_VALUE"""),"DE LEON")</f>
        <v>DE LEON</v>
      </c>
      <c r="F348" s="47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47" t="str">
        <f>IFERROR(__xludf.DUMMYFUNCTION("""COMPUTED_VALUE"""),"PAJARITO")</f>
        <v>PAJARITO</v>
      </c>
      <c r="F349" s="47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47" t="str">
        <f>IFERROR(__xludf.DUMMYFUNCTION("""COMPUTED_VALUE"""),"BALAIS")</f>
        <v>BALAIS</v>
      </c>
      <c r="F350" s="47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47"/>
      <c r="F351" s="47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47"/>
      <c r="F352" s="47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47" t="str">
        <f>IFERROR(__xludf.DUMMYFUNCTION("""COMPUTED_VALUE"""),"MATEO")</f>
        <v>MATEO</v>
      </c>
      <c r="F353" s="47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47"/>
      <c r="F354" s="47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47" t="str">
        <f>IFERROR(__xludf.DUMMYFUNCTION("""COMPUTED_VALUE"""),"TUMANENG")</f>
        <v>TUMANENG</v>
      </c>
      <c r="F355" s="47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47"/>
      <c r="F356" s="47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47" t="str">
        <f>IFERROR(__xludf.DUMMYFUNCTION("""COMPUTED_VALUE"""),"NARCELLES")</f>
        <v>NARCELLES</v>
      </c>
      <c r="F357" s="47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47" t="str">
        <f>IFERROR(__xludf.DUMMYFUNCTION("""COMPUTED_VALUE"""),"GAPAYAO")</f>
        <v>GAPAYAO</v>
      </c>
      <c r="F358" s="47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47" t="str">
        <f>IFERROR(__xludf.DUMMYFUNCTION("""COMPUTED_VALUE"""),"TIALCO")</f>
        <v>TIALCO</v>
      </c>
      <c r="F359" s="47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47" t="str">
        <f>IFERROR(__xludf.DUMMYFUNCTION("""COMPUTED_VALUE"""),"MAGALING")</f>
        <v>MAGALING</v>
      </c>
      <c r="F360" s="47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47" t="str">
        <f>IFERROR(__xludf.DUMMYFUNCTION("""COMPUTED_VALUE"""),"TANALEON")</f>
        <v>TANALEON</v>
      </c>
      <c r="F361" s="47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47" t="str">
        <f>IFERROR(__xludf.DUMMYFUNCTION("""COMPUTED_VALUE"""),"TANALEON")</f>
        <v>TANALEON</v>
      </c>
      <c r="F362" s="47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47" t="str">
        <f>IFERROR(__xludf.DUMMYFUNCTION("""COMPUTED_VALUE"""),"DESPOJO")</f>
        <v>DESPOJO</v>
      </c>
      <c r="F363" s="47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47" t="str">
        <f>IFERROR(__xludf.DUMMYFUNCTION("""COMPUTED_VALUE"""),"DIOSDADO")</f>
        <v>DIOSDADO</v>
      </c>
      <c r="F364" s="47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47" t="str">
        <f>IFERROR(__xludf.DUMMYFUNCTION("""COMPUTED_VALUE"""),"DIWA")</f>
        <v>DIWA</v>
      </c>
      <c r="F365" s="47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47" t="str">
        <f>IFERROR(__xludf.DUMMYFUNCTION("""COMPUTED_VALUE"""),"BROZO")</f>
        <v>BROZO</v>
      </c>
      <c r="F366" s="47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47" t="str">
        <f>IFERROR(__xludf.DUMMYFUNCTION("""COMPUTED_VALUE"""),"AUSTRIA")</f>
        <v>AUSTRIA</v>
      </c>
      <c r="F367" s="47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47" t="str">
        <f>IFERROR(__xludf.DUMMYFUNCTION("""COMPUTED_VALUE"""),"UMAYAM")</f>
        <v>UMAYAM</v>
      </c>
      <c r="F368" s="47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47" t="str">
        <f>IFERROR(__xludf.DUMMYFUNCTION("""COMPUTED_VALUE"""),"ALICUMAN")</f>
        <v>ALICUMAN</v>
      </c>
      <c r="F369" s="47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47" t="str">
        <f>IFERROR(__xludf.DUMMYFUNCTION("""COMPUTED_VALUE"""),"ANACAN")</f>
        <v>ANACAN</v>
      </c>
      <c r="F370" s="47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47" t="str">
        <f>IFERROR(__xludf.DUMMYFUNCTION("""COMPUTED_VALUE"""),"BACONI")</f>
        <v>BACONI</v>
      </c>
      <c r="F371" s="47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47"/>
      <c r="F372" s="47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47" t="str">
        <f>IFERROR(__xludf.DUMMYFUNCTION("""COMPUTED_VALUE"""),"CARAMANCION")</f>
        <v>CARAMANCION</v>
      </c>
      <c r="F373" s="47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47" t="str">
        <f>IFERROR(__xludf.DUMMYFUNCTION("""COMPUTED_VALUE"""),"PANIT")</f>
        <v>PANIT</v>
      </c>
      <c r="F374" s="47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47" t="str">
        <f>IFERROR(__xludf.DUMMYFUNCTION("""COMPUTED_VALUE"""),"NAVAL")</f>
        <v>NAVAL</v>
      </c>
      <c r="F375" s="47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47"/>
      <c r="F376" s="47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47" t="str">
        <f>IFERROR(__xludf.DUMMYFUNCTION("""COMPUTED_VALUE"""),"RAMIREZ")</f>
        <v>RAMIREZ</v>
      </c>
      <c r="F377" s="47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47" t="str">
        <f>IFERROR(__xludf.DUMMYFUNCTION("""COMPUTED_VALUE"""),"DOMINGO")</f>
        <v>DOMINGO</v>
      </c>
      <c r="F379" s="47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47" t="str">
        <f>IFERROR(__xludf.DUMMYFUNCTION("""COMPUTED_VALUE"""),"AUGUSTO")</f>
        <v>AUGUSTO</v>
      </c>
      <c r="F380" s="47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47" t="str">
        <f>IFERROR(__xludf.DUMMYFUNCTION("""COMPUTED_VALUE"""),"LOPEZ")</f>
        <v>LOPEZ</v>
      </c>
      <c r="F381" s="47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47" t="str">
        <f>IFERROR(__xludf.DUMMYFUNCTION("""COMPUTED_VALUE"""),"BASTIE")</f>
        <v>BASTIE</v>
      </c>
      <c r="F382" s="47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47" t="str">
        <f>IFERROR(__xludf.DUMMYFUNCTION("""COMPUTED_VALUE"""),"ACOB")</f>
        <v>ACOB</v>
      </c>
      <c r="F383" s="47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47"/>
      <c r="F384" s="47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47"/>
      <c r="F385" s="47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47" t="str">
        <f>IFERROR(__xludf.DUMMYFUNCTION("""COMPUTED_VALUE"""),"PALERO")</f>
        <v>PALERO</v>
      </c>
      <c r="F386" s="47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47" t="str">
        <f>IFERROR(__xludf.DUMMYFUNCTION("""COMPUTED_VALUE"""),"BUYOC")</f>
        <v>BUYOC</v>
      </c>
      <c r="F387" s="47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47" t="str">
        <f>IFERROR(__xludf.DUMMYFUNCTION("""COMPUTED_VALUE"""),"PALERO")</f>
        <v>PALERO</v>
      </c>
      <c r="F388" s="47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47" t="str">
        <f>IFERROR(__xludf.DUMMYFUNCTION("""COMPUTED_VALUE"""),"TANALEON")</f>
        <v>TANALEON</v>
      </c>
      <c r="F389" s="47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47" t="str">
        <f>IFERROR(__xludf.DUMMYFUNCTION("""COMPUTED_VALUE"""),"VILLAMOR")</f>
        <v>VILLAMOR</v>
      </c>
      <c r="F390" s="47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47"/>
      <c r="F391" s="47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47" t="str">
        <f>IFERROR(__xludf.DUMMYFUNCTION("""COMPUTED_VALUE"""),"DOMINGO")</f>
        <v>DOMINGO</v>
      </c>
      <c r="F392" s="47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47" t="str">
        <f>IFERROR(__xludf.DUMMYFUNCTION("""COMPUTED_VALUE"""),"CABARDO")</f>
        <v>CABARDO</v>
      </c>
      <c r="F393" s="47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47" t="str">
        <f>IFERROR(__xludf.DUMMYFUNCTION("""COMPUTED_VALUE"""),"BUENAFLOR")</f>
        <v>BUENAFLOR</v>
      </c>
      <c r="F394" s="47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47" t="str">
        <f>IFERROR(__xludf.DUMMYFUNCTION("""COMPUTED_VALUE"""),"BAUTISTA")</f>
        <v>BAUTISTA</v>
      </c>
      <c r="F395" s="47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47" t="str">
        <f>IFERROR(__xludf.DUMMYFUNCTION("""COMPUTED_VALUE"""),"MERCATO")</f>
        <v>MERCATO</v>
      </c>
      <c r="F396" s="47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47" t="str">
        <f>IFERROR(__xludf.DUMMYFUNCTION("""COMPUTED_VALUE"""),"DRIS")</f>
        <v>DRIS</v>
      </c>
      <c r="F397" s="47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47" t="str">
        <f>IFERROR(__xludf.DUMMYFUNCTION("""COMPUTED_VALUE"""),"SEBASTIAN")</f>
        <v>SEBASTIAN</v>
      </c>
      <c r="F398" s="47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47" t="str">
        <f>IFERROR(__xludf.DUMMYFUNCTION("""COMPUTED_VALUE"""),"SELUDO")</f>
        <v>SELUDO</v>
      </c>
      <c r="F399" s="47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47" t="str">
        <f>IFERROR(__xludf.DUMMYFUNCTION("""COMPUTED_VALUE"""),"ORTEGA")</f>
        <v>ORTEGA</v>
      </c>
      <c r="F400" s="47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47" t="str">
        <f>IFERROR(__xludf.DUMMYFUNCTION("""COMPUTED_VALUE"""),"TAGARDA")</f>
        <v>TAGARDA</v>
      </c>
      <c r="F401" s="47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47" t="str">
        <f>IFERROR(__xludf.DUMMYFUNCTION("""COMPUTED_VALUE"""),"EUSEBIO")</f>
        <v>EUSEBIO</v>
      </c>
      <c r="F402" s="47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47" t="str">
        <f>IFERROR(__xludf.DUMMYFUNCTION("""COMPUTED_VALUE"""),"NAZARENO")</f>
        <v>NAZARENO</v>
      </c>
      <c r="F403" s="47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47" t="str">
        <f>IFERROR(__xludf.DUMMYFUNCTION("""COMPUTED_VALUE"""),"MORALES")</f>
        <v>MORALES</v>
      </c>
      <c r="F404" s="47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47" t="str">
        <f>IFERROR(__xludf.DUMMYFUNCTION("""COMPUTED_VALUE"""),"SELUDO")</f>
        <v>SELUDO</v>
      </c>
      <c r="F405" s="47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47" t="str">
        <f>IFERROR(__xludf.DUMMYFUNCTION("""COMPUTED_VALUE"""),"BROZO")</f>
        <v>BROZO</v>
      </c>
      <c r="F406" s="47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47" t="str">
        <f>IFERROR(__xludf.DUMMYFUNCTION("""COMPUTED_VALUE"""),"OMBAL")</f>
        <v>OMBAL</v>
      </c>
      <c r="F407" s="47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47" t="str">
        <f>IFERROR(__xludf.DUMMYFUNCTION("""COMPUTED_VALUE"""),"MENDEL")</f>
        <v>MENDEL</v>
      </c>
      <c r="F408" s="47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47" t="str">
        <f>IFERROR(__xludf.DUMMYFUNCTION("""COMPUTED_VALUE"""),"DAMASCO")</f>
        <v>DAMASCO</v>
      </c>
      <c r="F409" s="47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47" t="str">
        <f>IFERROR(__xludf.DUMMYFUNCTION("""COMPUTED_VALUE"""),"TOLENTINO")</f>
        <v>TOLENTINO</v>
      </c>
      <c r="F410" s="47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47" t="str">
        <f>IFERROR(__xludf.DUMMYFUNCTION("""COMPUTED_VALUE"""),"KEYSOR")</f>
        <v>KEYSOR</v>
      </c>
      <c r="F411" s="47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47" t="str">
        <f>IFERROR(__xludf.DUMMYFUNCTION("""COMPUTED_VALUE"""),"PANCHO")</f>
        <v>PANCHO</v>
      </c>
      <c r="F412" s="47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47" t="str">
        <f>IFERROR(__xludf.DUMMYFUNCTION("""COMPUTED_VALUE"""),"ARROYO")</f>
        <v>ARROYO</v>
      </c>
      <c r="F413" s="47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47" t="str">
        <f>IFERROR(__xludf.DUMMYFUNCTION("""COMPUTED_VALUE"""),"BERNAL")</f>
        <v>BERNAL</v>
      </c>
      <c r="F414" s="47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47" t="str">
        <f>IFERROR(__xludf.DUMMYFUNCTION("""COMPUTED_VALUE"""),"CAGAYAN")</f>
        <v>CAGAYAN</v>
      </c>
      <c r="F415" s="47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47" t="str">
        <f>IFERROR(__xludf.DUMMYFUNCTION("""COMPUTED_VALUE"""),"BAUTISTA")</f>
        <v>BAUTISTA</v>
      </c>
      <c r="F416" s="47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47" t="str">
        <f>IFERROR(__xludf.DUMMYFUNCTION("""COMPUTED_VALUE"""),"NOGUERA")</f>
        <v>NOGUERA</v>
      </c>
      <c r="F417" s="47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47" t="str">
        <f>IFERROR(__xludf.DUMMYFUNCTION("""COMPUTED_VALUE"""),"ABERIN")</f>
        <v>ABERIN</v>
      </c>
      <c r="F418" s="47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47"/>
      <c r="F419" s="47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47" t="str">
        <f>IFERROR(__xludf.DUMMYFUNCTION("""COMPUTED_VALUE"""),"PALERO")</f>
        <v>PALERO</v>
      </c>
      <c r="F420" s="47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47" t="str">
        <f>IFERROR(__xludf.DUMMYFUNCTION("""COMPUTED_VALUE"""),"SANTOS")</f>
        <v>SANTOS</v>
      </c>
      <c r="F421" s="47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47"/>
      <c r="F422" s="47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47" t="str">
        <f>IFERROR(__xludf.DUMMYFUNCTION("""COMPUTED_VALUE"""),"ABERIN")</f>
        <v>ABERIN</v>
      </c>
      <c r="F423" s="4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47" t="str">
        <f>IFERROR(__xludf.DUMMYFUNCTION("""COMPUTED_VALUE"""),"ABERIN")</f>
        <v>ABERIN</v>
      </c>
      <c r="F424" s="47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47" t="str">
        <f>IFERROR(__xludf.DUMMYFUNCTION("""COMPUTED_VALUE"""),"PANIT")</f>
        <v>PANIT</v>
      </c>
      <c r="F425" s="47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47"/>
      <c r="F426" s="47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47" t="str">
        <f>IFERROR(__xludf.DUMMYFUNCTION("""COMPUTED_VALUE"""),"ABUS")</f>
        <v>ABUS</v>
      </c>
      <c r="F427" s="47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47" t="str">
        <f>IFERROR(__xludf.DUMMYFUNCTION("""COMPUTED_VALUE"""),"ABUS")</f>
        <v>ABUS</v>
      </c>
      <c r="F428" s="47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47" t="str">
        <f>IFERROR(__xludf.DUMMYFUNCTION("""COMPUTED_VALUE"""),"CARBONEL")</f>
        <v>CARBONEL</v>
      </c>
      <c r="F429" s="47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47"/>
      <c r="F430" s="47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47" t="str">
        <f>IFERROR(__xludf.DUMMYFUNCTION("""COMPUTED_VALUE"""),"CARBO")</f>
        <v>CARBO</v>
      </c>
      <c r="F431" s="47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47" t="str">
        <f>IFERROR(__xludf.DUMMYFUNCTION("""COMPUTED_VALUE"""),"LIEGUE")</f>
        <v>LIEGUE</v>
      </c>
      <c r="F432" s="47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47" t="str">
        <f>IFERROR(__xludf.DUMMYFUNCTION("""COMPUTED_VALUE"""),"ALEGADO")</f>
        <v>ALEGADO</v>
      </c>
      <c r="F433" s="47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47" t="str">
        <f>IFERROR(__xludf.DUMMYFUNCTION("""COMPUTED_VALUE"""),"BOLIVAR")</f>
        <v>BOLIVAR</v>
      </c>
      <c r="F434" s="47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47" t="str">
        <f>IFERROR(__xludf.DUMMYFUNCTION("""COMPUTED_VALUE"""),"DELA CRUZ")</f>
        <v>DELA CRUZ</v>
      </c>
      <c r="F435" s="47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47" t="str">
        <f>IFERROR(__xludf.DUMMYFUNCTION("""COMPUTED_VALUE"""),"ESPIDIDO")</f>
        <v>ESPIDIDO</v>
      </c>
      <c r="F436" s="47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47"/>
      <c r="F437" s="47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47">
        <f>IFERROR(__xludf.DUMMYFUNCTION("""COMPUTED_VALUE"""),467.0)</f>
        <v>467</v>
      </c>
      <c r="B456" s="47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47" t="str">
        <f>IFERROR(__xludf.DUMMYFUNCTION("""COMPUTED_VALUE"""),"MENDOZA")</f>
        <v>MENDOZA</v>
      </c>
      <c r="F458" s="47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47"/>
      <c r="F459" s="47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47" t="str">
        <f>IFERROR(__xludf.DUMMYFUNCTION("""COMPUTED_VALUE"""),"BROZO")</f>
        <v>BROZO</v>
      </c>
      <c r="F460" s="47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47" t="str">
        <f>IFERROR(__xludf.DUMMYFUNCTION("""COMPUTED_VALUE"""),"BRUSELAS")</f>
        <v>BRUSELAS</v>
      </c>
      <c r="F461" s="47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47"/>
      <c r="F462" s="47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47" t="str">
        <f>IFERROR(__xludf.DUMMYFUNCTION("""COMPUTED_VALUE"""),"FIGURACION")</f>
        <v>FIGURACION</v>
      </c>
      <c r="F463" s="47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47" t="str">
        <f>IFERROR(__xludf.DUMMYFUNCTION("""COMPUTED_VALUE"""),"SALANGA")</f>
        <v>SALANGA</v>
      </c>
      <c r="F464" s="47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47" t="str">
        <f>IFERROR(__xludf.DUMMYFUNCTION("""COMPUTED_VALUE"""),"SALANGA")</f>
        <v>SALANGA</v>
      </c>
      <c r="F465" s="47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47" t="str">
        <f>IFERROR(__xludf.DUMMYFUNCTION("""COMPUTED_VALUE"""),"SALANGA")</f>
        <v>SALANGA</v>
      </c>
      <c r="F466" s="47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47" t="str">
        <f>IFERROR(__xludf.DUMMYFUNCTION("""COMPUTED_VALUE"""),"OJEDA")</f>
        <v>OJEDA</v>
      </c>
      <c r="F467" s="47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47" t="str">
        <f>IFERROR(__xludf.DUMMYFUNCTION("""COMPUTED_VALUE"""),"PRESTADO")</f>
        <v>PRESTADO</v>
      </c>
      <c r="F468" s="47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47" t="str">
        <f>IFERROR(__xludf.DUMMYFUNCTION("""COMPUTED_VALUE"""),"TIALCO")</f>
        <v>TIALCO</v>
      </c>
      <c r="F469" s="47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47"/>
      <c r="F470" s="47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47"/>
      <c r="F471" s="47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47"/>
      <c r="F472" s="47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47"/>
      <c r="F473" s="47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47" t="str">
        <f>IFERROR(__xludf.DUMMYFUNCTION("""COMPUTED_VALUE"""),"BUYOC")</f>
        <v>BUYOC</v>
      </c>
      <c r="F474" s="47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47"/>
      <c r="F475" s="47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47" t="str">
        <f>IFERROR(__xludf.DUMMYFUNCTION("""COMPUTED_VALUE"""),"ARROYO")</f>
        <v>ARROYO</v>
      </c>
      <c r="F476" s="47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47" t="str">
        <f>IFERROR(__xludf.DUMMYFUNCTION("""COMPUTED_VALUE"""),"CRUZ")</f>
        <v>CRUZ</v>
      </c>
      <c r="F477" s="47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47" t="str">
        <f>IFERROR(__xludf.DUMMYFUNCTION("""COMPUTED_VALUE"""),"DRIS")</f>
        <v>DRIS</v>
      </c>
      <c r="F478" s="47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47" t="str">
        <f>IFERROR(__xludf.DUMMYFUNCTION("""COMPUTED_VALUE"""),"ROME")</f>
        <v>ROME</v>
      </c>
      <c r="F479" s="47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47" t="str">
        <f>IFERROR(__xludf.DUMMYFUNCTION("""COMPUTED_VALUE"""),"MORALES")</f>
        <v>MORALES</v>
      </c>
      <c r="F480" s="47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47" t="str">
        <f>IFERROR(__xludf.DUMMYFUNCTION("""COMPUTED_VALUE"""),"ABUS")</f>
        <v>ABUS</v>
      </c>
      <c r="F481" s="4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47" t="str">
        <f>IFERROR(__xludf.DUMMYFUNCTION("""COMPUTED_VALUE"""),"DE VILLA")</f>
        <v>DE VILLA</v>
      </c>
      <c r="F482" s="4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47" t="str">
        <f>IFERROR(__xludf.DUMMYFUNCTION("""COMPUTED_VALUE"""),"COREA")</f>
        <v>COREA</v>
      </c>
      <c r="F483" s="4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47" t="str">
        <f>IFERROR(__xludf.DUMMYFUNCTION("""COMPUTED_VALUE"""),"ACUNA")</f>
        <v>ACUNA</v>
      </c>
      <c r="F484" s="4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47" t="str">
        <f>IFERROR(__xludf.DUMMYFUNCTION("""COMPUTED_VALUE"""),"TAGARDA")</f>
        <v>TAGARDA</v>
      </c>
      <c r="F485" s="4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47" t="str">
        <f>IFERROR(__xludf.DUMMYFUNCTION("""COMPUTED_VALUE"""),"CALIBSO")</f>
        <v>CALIBSO</v>
      </c>
      <c r="F486" s="4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47" t="str">
        <f>IFERROR(__xludf.DUMMYFUNCTION("""COMPUTED_VALUE"""),"JASMIN")</f>
        <v>JASMIN</v>
      </c>
      <c r="F487" s="4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47"/>
      <c r="F488" s="47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47" t="str">
        <f>IFERROR(__xludf.DUMMYFUNCTION("""COMPUTED_VALUE"""),"CUDAL")</f>
        <v>CUDAL</v>
      </c>
      <c r="F489" s="4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47" t="str">
        <f>IFERROR(__xludf.DUMMYFUNCTION("""COMPUTED_VALUE"""),"ABERIN")</f>
        <v>ABERIN</v>
      </c>
      <c r="F490" s="4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47" t="str">
        <f>IFERROR(__xludf.DUMMYFUNCTION("""COMPUTED_VALUE"""),"CALIBSO")</f>
        <v>CALIBSO</v>
      </c>
      <c r="F491" s="47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47" t="str">
        <f>IFERROR(__xludf.DUMMYFUNCTION("""COMPUTED_VALUE"""),"CORPUZ")</f>
        <v>CORPUZ</v>
      </c>
      <c r="F492" s="47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47" t="str">
        <f>IFERROR(__xludf.DUMMYFUNCTION("""COMPUTED_VALUE"""),"SANTOS")</f>
        <v>SANTOS</v>
      </c>
      <c r="F493" s="47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47" t="str">
        <f>IFERROR(__xludf.DUMMYFUNCTION("""COMPUTED_VALUE"""),"DE GUZMAN")</f>
        <v>DE GUZMAN</v>
      </c>
      <c r="F494" s="47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47" t="str">
        <f>IFERROR(__xludf.DUMMYFUNCTION("""COMPUTED_VALUE"""),"BUENAFLOR")</f>
        <v>BUENAFLOR</v>
      </c>
      <c r="F495" s="47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47" t="str">
        <f>IFERROR(__xludf.DUMMYFUNCTION("""COMPUTED_VALUE"""),"LACONSAY")</f>
        <v>LACONSAY</v>
      </c>
      <c r="F496" s="47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47"/>
      <c r="F497" s="47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47"/>
      <c r="F498" s="47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47" t="str">
        <f>IFERROR(__xludf.DUMMYFUNCTION("""COMPUTED_VALUE"""),"SALES")</f>
        <v>SALES</v>
      </c>
      <c r="F499" s="47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47" t="str">
        <f>IFERROR(__xludf.DUMMYFUNCTION("""COMPUTED_VALUE"""),"TOLEDO")</f>
        <v>TOLEDO</v>
      </c>
      <c r="F500" s="47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47"/>
      <c r="F501" s="47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47" t="str">
        <f>IFERROR(__xludf.DUMMYFUNCTION("""COMPUTED_VALUE"""),"DE GUZMAN")</f>
        <v>DE GUZMAN</v>
      </c>
      <c r="F502" s="47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47" t="str">
        <f>IFERROR(__xludf.DUMMYFUNCTION("""COMPUTED_VALUE"""),"PARAGAS")</f>
        <v>PARAGAS</v>
      </c>
      <c r="F503" s="47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47" t="str">
        <f>IFERROR(__xludf.DUMMYFUNCTION("""COMPUTED_VALUE"""),"MONTESA")</f>
        <v>MONTESA</v>
      </c>
      <c r="F504" s="47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47"/>
      <c r="F505" s="47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47" t="str">
        <f>IFERROR(__xludf.DUMMYFUNCTION("""COMPUTED_VALUE"""),"DE GUZMAN")</f>
        <v>DE GUZMAN</v>
      </c>
      <c r="F506" s="47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47" t="str">
        <f>IFERROR(__xludf.DUMMYFUNCTION("""COMPUTED_VALUE"""),"PARAGAS")</f>
        <v>PARAGAS</v>
      </c>
      <c r="F507" s="47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47" t="str">
        <f>IFERROR(__xludf.DUMMYFUNCTION("""COMPUTED_VALUE"""),"MONTESA")</f>
        <v>MONTESA</v>
      </c>
      <c r="F508" s="4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47"/>
      <c r="F509" s="4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47" t="str">
        <f>IFERROR(__xludf.DUMMYFUNCTION("""COMPUTED_VALUE"""),"DE GUZMAN")</f>
        <v>DE GUZMAN</v>
      </c>
      <c r="F510" s="4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47" t="str">
        <f>IFERROR(__xludf.DUMMYFUNCTION("""COMPUTED_VALUE"""),"PARAGAS")</f>
        <v>PARAGAS</v>
      </c>
      <c r="F511" s="4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47" t="str">
        <f>IFERROR(__xludf.DUMMYFUNCTION("""COMPUTED_VALUE"""),"MONTESA")</f>
        <v>MONTESA</v>
      </c>
      <c r="F512" s="47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47"/>
      <c r="F513" s="4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47"/>
      <c r="F514" s="4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47"/>
      <c r="F515" s="4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47"/>
      <c r="F516" s="4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47"/>
      <c r="F517" s="4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47"/>
      <c r="F518" s="4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47"/>
      <c r="F519" s="47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47"/>
      <c r="F520" s="47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47"/>
      <c r="F521" s="47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47"/>
      <c r="F522" s="47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47"/>
      <c r="F523" s="47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47"/>
      <c r="F524" s="4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47"/>
      <c r="F525" s="47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47"/>
      <c r="F526" s="47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47"/>
      <c r="F527" s="47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47"/>
      <c r="F528" s="47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47"/>
      <c r="F529" s="4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47"/>
      <c r="F530" s="47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47"/>
      <c r="F531" s="47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47"/>
      <c r="F532" s="47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47"/>
      <c r="F533" s="47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47"/>
      <c r="F534" s="4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47"/>
      <c r="F535" s="47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47"/>
      <c r="F536" s="47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47"/>
      <c r="F537" s="47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47"/>
      <c r="F538" s="47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47"/>
      <c r="F539" s="47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47"/>
      <c r="F540" s="47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47"/>
      <c r="F541" s="47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47"/>
      <c r="F542" s="47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47"/>
      <c r="F543" s="47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47"/>
      <c r="F544" s="47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47"/>
      <c r="F545" s="47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47"/>
      <c r="F546" s="47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47"/>
      <c r="F547" s="47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47"/>
      <c r="F548" s="47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47"/>
      <c r="F549" s="47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47"/>
      <c r="F550" s="47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47"/>
      <c r="F551" s="47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47"/>
      <c r="F552" s="47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47"/>
      <c r="F553" s="47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47"/>
      <c r="F554" s="47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47"/>
      <c r="F555" s="47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47"/>
      <c r="F556" s="47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47"/>
      <c r="F557" s="47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47"/>
      <c r="F558" s="47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47"/>
      <c r="F559" s="47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47"/>
      <c r="F560" s="47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47"/>
      <c r="F561" s="47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47"/>
      <c r="F562" s="47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47"/>
      <c r="F563" s="47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47"/>
      <c r="F564" s="47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47"/>
      <c r="F566" s="47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47"/>
      <c r="F567" s="47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47"/>
      <c r="F568" s="47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47"/>
      <c r="F569" s="47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47"/>
      <c r="F570" s="47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47"/>
      <c r="F571" s="47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47"/>
      <c r="F572" s="47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47"/>
      <c r="F573" s="47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47"/>
      <c r="F574" s="47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47"/>
      <c r="F575" s="47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47"/>
      <c r="F576" s="47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47"/>
      <c r="F577" s="47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47"/>
      <c r="F578" s="47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47"/>
      <c r="F579" s="47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47"/>
      <c r="F580" s="47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47"/>
      <c r="F581" s="47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47"/>
      <c r="F582" s="47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47"/>
      <c r="F583" s="47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47"/>
      <c r="F584" s="47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47"/>
      <c r="F586" s="47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47"/>
      <c r="F587" s="47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47"/>
      <c r="F588" s="47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47"/>
      <c r="F589" s="47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47"/>
      <c r="F590" s="47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47"/>
      <c r="F591" s="47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47"/>
      <c r="F592" s="47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47"/>
      <c r="F593" s="47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47"/>
      <c r="F594" s="47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47"/>
      <c r="F595" s="47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47"/>
      <c r="F596" s="47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47"/>
      <c r="F597" s="47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47"/>
      <c r="F598" s="47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47"/>
      <c r="F599" s="47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47"/>
      <c r="F600" s="47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47"/>
      <c r="F601" s="47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47"/>
      <c r="F602" s="47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47"/>
      <c r="F603" s="47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47"/>
      <c r="F604" s="47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47"/>
      <c r="F605" s="47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47"/>
      <c r="F606" s="47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47"/>
      <c r="F607" s="47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47"/>
      <c r="F608" s="47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47"/>
      <c r="F609" s="47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47"/>
      <c r="F610" s="47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47"/>
      <c r="F611" s="47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47"/>
      <c r="F613" s="47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47"/>
      <c r="F614" s="47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47"/>
      <c r="F615" s="47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47"/>
      <c r="F616" s="47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47"/>
      <c r="F617" s="47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47"/>
      <c r="F618" s="47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47"/>
      <c r="F619" s="47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47"/>
      <c r="F620" s="47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47"/>
      <c r="F621" s="47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47"/>
      <c r="F622" s="47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47"/>
      <c r="F623" s="47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47"/>
      <c r="F624" s="47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47"/>
      <c r="F625" s="47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47"/>
      <c r="F626" s="47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47"/>
      <c r="F627" s="47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47"/>
      <c r="F628" s="47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47"/>
      <c r="F629" s="47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47"/>
      <c r="F630" s="47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47"/>
      <c r="F631" s="47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47"/>
      <c r="F632" s="47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47"/>
      <c r="F633" s="47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47"/>
      <c r="F634" s="47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47"/>
      <c r="F635" s="47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47"/>
      <c r="F636" s="47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47"/>
      <c r="F637" s="47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47"/>
      <c r="F638" s="47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47"/>
      <c r="F639" s="47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47"/>
      <c r="F640" s="47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47"/>
      <c r="F641" s="47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47"/>
      <c r="F642" s="47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47"/>
      <c r="F643" s="47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47"/>
      <c r="F644" s="47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47"/>
      <c r="F645" s="47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47"/>
      <c r="F646" s="47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47"/>
      <c r="F647" s="47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47"/>
      <c r="F648" s="47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47"/>
      <c r="F649" s="47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47"/>
      <c r="F650" s="47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47"/>
      <c r="F651" s="47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47"/>
      <c r="F652" s="47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47"/>
      <c r="F653" s="47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47"/>
      <c r="F654" s="47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47"/>
      <c r="F655" s="47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47"/>
      <c r="F656" s="47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47"/>
      <c r="F657" s="47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47"/>
      <c r="F658" s="47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47"/>
      <c r="F659" s="4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47"/>
      <c r="F660" s="47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47"/>
      <c r="F661" s="47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47"/>
      <c r="F662" s="47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47"/>
      <c r="F663" s="47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47"/>
      <c r="F664" s="47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47"/>
      <c r="F665" s="47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47"/>
      <c r="F666" s="47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47"/>
      <c r="F667" s="47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47"/>
      <c r="F668" s="47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47"/>
      <c r="F669" s="47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47"/>
      <c r="F670" s="47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47"/>
      <c r="F671" s="47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47"/>
      <c r="F672" s="47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47"/>
      <c r="F673" s="47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47"/>
      <c r="F674" s="47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47"/>
      <c r="F675" s="47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47"/>
      <c r="F696" s="47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47"/>
      <c r="F697" s="47"/>
      <c r="BQ697" s="50"/>
      <c r="BR697" s="50"/>
      <c r="BS697" s="50"/>
      <c r="BT697" s="50"/>
      <c r="BU697" s="50"/>
    </row>
    <row r="698">
      <c r="A698" s="47"/>
      <c r="B698" s="47"/>
      <c r="C698" s="47"/>
      <c r="D698" s="47"/>
      <c r="E698" s="47"/>
      <c r="F698" s="47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47"/>
      <c r="F700" s="47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47"/>
      <c r="F701" s="47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47"/>
      <c r="F702" s="47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47"/>
      <c r="F703" s="47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47"/>
      <c r="F704" s="47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47"/>
      <c r="F705" s="47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47"/>
      <c r="F706" s="47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47"/>
      <c r="F707" s="47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47"/>
      <c r="F708" s="47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47"/>
      <c r="F709" s="47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47"/>
      <c r="F710" s="47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47"/>
      <c r="F711" s="47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47"/>
      <c r="F712" s="47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47"/>
      <c r="F713" s="47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47"/>
      <c r="F714" s="47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47"/>
      <c r="F715" s="47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47"/>
      <c r="F716" s="47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47"/>
      <c r="F717" s="47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47"/>
      <c r="F718" s="47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47"/>
      <c r="F719" s="47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47"/>
      <c r="F720" s="47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47"/>
      <c r="F721" s="47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47"/>
      <c r="F722" s="47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47"/>
      <c r="F723" s="4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47"/>
      <c r="F724" s="4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47"/>
      <c r="F725" s="4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47"/>
      <c r="F726" s="4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47"/>
      <c r="F727" s="4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47"/>
      <c r="F728" s="4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47"/>
      <c r="F729" s="4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47"/>
      <c r="F730" s="47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47"/>
      <c r="F731" s="4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47"/>
      <c r="F732" s="4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47"/>
      <c r="F733" s="47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47"/>
      <c r="F734" s="47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47"/>
      <c r="F735" s="47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47"/>
      <c r="F736" s="47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47"/>
      <c r="F737" s="47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47"/>
      <c r="F738" s="47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47"/>
      <c r="F739" s="47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47"/>
      <c r="F740" s="47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47"/>
      <c r="F741" s="47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47"/>
      <c r="F742" s="47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47"/>
      <c r="F743" s="47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47"/>
      <c r="F744" s="47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47"/>
      <c r="F745" s="47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47"/>
      <c r="F746" s="47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47"/>
      <c r="F747" s="47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47"/>
      <c r="F748" s="47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47"/>
      <c r="F749" s="47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47"/>
      <c r="F750" s="47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47"/>
      <c r="F751" s="47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47"/>
      <c r="F752" s="4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47"/>
      <c r="F753" s="4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47"/>
      <c r="F754" s="4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47"/>
      <c r="F755" s="4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47"/>
      <c r="F756" s="4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47"/>
      <c r="F757" s="4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47"/>
      <c r="F758" s="4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47"/>
      <c r="F759" s="4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47"/>
      <c r="F760" s="4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47"/>
      <c r="F761" s="4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47"/>
      <c r="F762" s="47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47"/>
      <c r="F763" s="4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47"/>
      <c r="F764" s="4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47"/>
      <c r="F765" s="4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47"/>
      <c r="F766" s="4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47"/>
      <c r="F767" s="4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47"/>
      <c r="F768" s="4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47"/>
      <c r="F769" s="47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47"/>
      <c r="F770" s="47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47"/>
      <c r="F771" s="47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47"/>
      <c r="F772" s="47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47"/>
      <c r="F773" s="47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47"/>
      <c r="F774" s="47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47"/>
      <c r="F775" s="47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47"/>
      <c r="F776" s="4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47"/>
      <c r="F777" s="47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47"/>
      <c r="F778" s="47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47"/>
      <c r="F779" s="47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47"/>
      <c r="F780" s="47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47"/>
      <c r="F781" s="4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47"/>
      <c r="F782" s="47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47"/>
      <c r="F783" s="47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47"/>
      <c r="F784" s="47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47"/>
      <c r="F785" s="47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47"/>
      <c r="F786" s="4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47"/>
      <c r="F787" s="47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47"/>
      <c r="F788" s="47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47"/>
      <c r="F789" s="47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47"/>
      <c r="F790" s="47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47"/>
      <c r="F791" s="47"/>
      <c r="BQ791" s="50"/>
      <c r="BR791" s="50"/>
      <c r="BS791" s="50"/>
      <c r="BT791" s="50"/>
      <c r="BU791" s="50"/>
    </row>
    <row r="792">
      <c r="A792" s="47"/>
      <c r="B792" s="47"/>
      <c r="C792" s="47"/>
      <c r="D792" s="47"/>
      <c r="E792" s="47"/>
      <c r="F792" s="47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47"/>
      <c r="F794" s="47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47"/>
      <c r="F795" s="47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47"/>
      <c r="F796" s="47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47"/>
      <c r="F797" s="47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47"/>
      <c r="F798" s="47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47"/>
      <c r="F799" s="47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47"/>
      <c r="F800" s="47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47"/>
      <c r="F801" s="47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47"/>
      <c r="F802" s="47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47"/>
      <c r="F803" s="47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47"/>
      <c r="F804" s="47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47"/>
      <c r="F805" s="47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47"/>
      <c r="F806" s="47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47"/>
      <c r="F807" s="47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47"/>
      <c r="F808" s="47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47"/>
      <c r="F809" s="47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47"/>
      <c r="F810" s="47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47"/>
      <c r="F811" s="47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47"/>
      <c r="F812" s="47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47"/>
      <c r="F813" s="47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47"/>
      <c r="F814" s="47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47"/>
      <c r="F815" s="47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47"/>
      <c r="F816" s="47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47"/>
      <c r="F817" s="4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47"/>
      <c r="F818" s="4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47"/>
      <c r="F819" s="4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47"/>
      <c r="F820" s="4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47"/>
      <c r="F821" s="4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47"/>
      <c r="F822" s="4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47"/>
      <c r="F823" s="4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47"/>
      <c r="F824" s="47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47"/>
      <c r="F825" s="4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47"/>
      <c r="F826" s="4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47"/>
      <c r="F827" s="47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47"/>
      <c r="F828" s="47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47"/>
      <c r="F829" s="47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47"/>
      <c r="F830" s="47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47"/>
      <c r="F831" s="47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47"/>
      <c r="F832" s="47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47"/>
      <c r="F833" s="47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47"/>
      <c r="F834" s="47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47"/>
      <c r="F835" s="47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47"/>
      <c r="F836" s="47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47"/>
      <c r="F837" s="47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47"/>
      <c r="F838" s="47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47"/>
      <c r="F839" s="47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47"/>
      <c r="F840" s="47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47"/>
      <c r="F841" s="47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47"/>
      <c r="F842" s="47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47"/>
      <c r="F843" s="47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47"/>
      <c r="F844" s="47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47"/>
      <c r="F845" s="47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47"/>
      <c r="F846" s="4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47"/>
      <c r="F847" s="4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47"/>
      <c r="F848" s="4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47"/>
      <c r="F849" s="4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47"/>
      <c r="F850" s="4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47"/>
      <c r="F851" s="4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47"/>
      <c r="F852" s="4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47"/>
      <c r="F853" s="4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47"/>
      <c r="F854" s="4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47"/>
      <c r="F855" s="4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47"/>
      <c r="F856" s="47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47"/>
      <c r="F857" s="4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47"/>
      <c r="F858" s="4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47"/>
      <c r="F859" s="4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47"/>
      <c r="F860" s="4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47"/>
      <c r="F861" s="4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47"/>
      <c r="F862" s="4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47"/>
      <c r="F863" s="47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47"/>
      <c r="F864" s="47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47"/>
      <c r="F865" s="47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47"/>
      <c r="F866" s="47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47"/>
      <c r="F867" s="47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47"/>
      <c r="F868" s="47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47"/>
      <c r="F869" s="47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47"/>
      <c r="F870" s="4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47"/>
      <c r="F871" s="47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47"/>
      <c r="F872" s="47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47"/>
      <c r="F873" s="47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47"/>
      <c r="F874" s="47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47"/>
      <c r="F875" s="4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47"/>
      <c r="F876" s="47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47"/>
      <c r="F877" s="47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47"/>
      <c r="F878" s="47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47"/>
      <c r="F879" s="47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47"/>
      <c r="F880" s="4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47"/>
      <c r="F881" s="47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47"/>
      <c r="F882" s="47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47"/>
      <c r="F883" s="47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47"/>
      <c r="F884" s="47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47"/>
      <c r="F885" s="47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13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371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760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761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9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34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6" t="str">
        <f>IFERROR(__xludf.DUMMYFUNCTION("""COMPUTED_VALUE"""),"CORTEZ")</f>
        <v>CORTEZ</v>
      </c>
      <c r="F98" s="66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69" t="str">
        <f>IFERROR(__xludf.DUMMYFUNCTION("""COMPUTED_VALUE"""),"LINGALONG")</f>
        <v>LINGALONG</v>
      </c>
      <c r="F99" s="63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70" t="str">
        <f>IFERROR(__xludf.DUMMYFUNCTION("""COMPUTED_VALUE"""),"FIGURACION")</f>
        <v>FIGURACION</v>
      </c>
      <c r="F119" s="70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47" t="str">
        <f>IFERROR(__xludf.DUMMYFUNCTION("""COMPUTED_VALUE"""),"SILANGAN")</f>
        <v>SILANGAN</v>
      </c>
      <c r="F120" s="47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55" t="str">
        <f>IFERROR(__xludf.DUMMYFUNCTION("""COMPUTED_VALUE"""),"CALUPAS")</f>
        <v>CALUPAS</v>
      </c>
      <c r="F121" s="55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58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74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58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23" t="str">
        <f>IFERROR(__xludf.DUMMYFUNCTION("""COMPUTED_VALUE"""),"RABINO")</f>
        <v>RABINO</v>
      </c>
      <c r="F137" s="58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58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58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5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55" t="str">
        <f>IFERROR(__xludf.DUMMYFUNCTION("""COMPUTED_VALUE"""),"CABISAY")</f>
        <v>CABISAY</v>
      </c>
      <c r="F201" s="55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58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/>
      <c r="BR232" s="137"/>
      <c r="BS232" s="137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47">
        <f>IFERROR(__xludf.DUMMYFUNCTION("""COMPUTED_VALUE"""),254.0)</f>
        <v>254</v>
      </c>
      <c r="B238" s="47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47" t="str">
        <f>IFERROR(__xludf.DUMMYFUNCTION("""COMPUTED_VALUE"""),"IBALLA")</f>
        <v>IBALLA</v>
      </c>
      <c r="F240" s="47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47"/>
      <c r="F241" s="4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47" t="str">
        <f>IFERROR(__xludf.DUMMYFUNCTION("""COMPUTED_VALUE"""),"VILLACRUSIS")</f>
        <v>VILLACRUSIS</v>
      </c>
      <c r="F242" s="4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47" t="str">
        <f>IFERROR(__xludf.DUMMYFUNCTION("""COMPUTED_VALUE"""),"IBALLA")</f>
        <v>IBALLA</v>
      </c>
      <c r="F243" s="4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47" t="str">
        <f>IFERROR(__xludf.DUMMYFUNCTION("""COMPUTED_VALUE"""),"PUZALAN")</f>
        <v>PUZALAN</v>
      </c>
      <c r="F244" s="4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47"/>
      <c r="F245" s="4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47" t="str">
        <f>IFERROR(__xludf.DUMMYFUNCTION("""COMPUTED_VALUE"""),"LOBRIDO")</f>
        <v>LOBRIDO</v>
      </c>
      <c r="F246" s="47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47" t="str">
        <f>IFERROR(__xludf.DUMMYFUNCTION("""COMPUTED_VALUE"""),"GERVACIO")</f>
        <v>GERVACIO</v>
      </c>
      <c r="F247" s="47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47"/>
      <c r="F248" s="47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47" t="str">
        <f>IFERROR(__xludf.DUMMYFUNCTION("""COMPUTED_VALUE"""),"BOLANOS")</f>
        <v>BOLANOS</v>
      </c>
      <c r="F249" s="47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47" t="str">
        <f>IFERROR(__xludf.DUMMYFUNCTION("""COMPUTED_VALUE"""),"VINLUAN FORMENTERA")</f>
        <v>VINLUAN FORMENTERA</v>
      </c>
      <c r="F250" s="47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47" t="str">
        <f>IFERROR(__xludf.DUMMYFUNCTION("""COMPUTED_VALUE"""),"VINLUAN")</f>
        <v>VINLUAN</v>
      </c>
      <c r="F251" s="47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47" t="str">
        <f>IFERROR(__xludf.DUMMYFUNCTION("""COMPUTED_VALUE"""),"VINLUAN")</f>
        <v>VINLUAN</v>
      </c>
      <c r="F252" s="47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47" t="str">
        <f>IFERROR(__xludf.DUMMYFUNCTION("""COMPUTED_VALUE"""),"VINLUAN")</f>
        <v>VINLUAN</v>
      </c>
      <c r="F253" s="47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47"/>
      <c r="F254" s="47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47" t="str">
        <f>IFERROR(__xludf.DUMMYFUNCTION("""COMPUTED_VALUE"""),"CASIN")</f>
        <v>CASIN</v>
      </c>
      <c r="F255" s="47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47" t="str">
        <f>IFERROR(__xludf.DUMMYFUNCTION("""COMPUTED_VALUE"""),"SILVERIO")</f>
        <v>SILVERIO</v>
      </c>
      <c r="F256" s="47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47"/>
      <c r="F257" s="47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47" t="str">
        <f>IFERROR(__xludf.DUMMYFUNCTION("""COMPUTED_VALUE"""),"MORALES")</f>
        <v>MORALES</v>
      </c>
      <c r="F258" s="47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47" t="str">
        <f>IFERROR(__xludf.DUMMYFUNCTION("""COMPUTED_VALUE"""),"ARROYO")</f>
        <v>ARROYO</v>
      </c>
      <c r="F259" s="47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47" t="str">
        <f>IFERROR(__xludf.DUMMYFUNCTION("""COMPUTED_VALUE"""),"ARROYO")</f>
        <v>ARROYO</v>
      </c>
      <c r="F260" s="4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47" t="str">
        <f>IFERROR(__xludf.DUMMYFUNCTION("""COMPUTED_VALUE"""),"SALINAS")</f>
        <v>SALINAS</v>
      </c>
      <c r="F261" s="4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47" t="str">
        <f>IFERROR(__xludf.DUMMYFUNCTION("""COMPUTED_VALUE"""),"ACUÑA")</f>
        <v>ACUÑA</v>
      </c>
      <c r="F262" s="47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47" t="str">
        <f>IFERROR(__xludf.DUMMYFUNCTION("""COMPUTED_VALUE"""),"ALAOIG")</f>
        <v>ALAOIG</v>
      </c>
      <c r="F263" s="4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47" t="str">
        <f>IFERROR(__xludf.DUMMYFUNCTION("""COMPUTED_VALUE"""),"ROME")</f>
        <v>ROME</v>
      </c>
      <c r="F264" s="4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47" t="str">
        <f>IFERROR(__xludf.DUMMYFUNCTION("""COMPUTED_VALUE"""),"CUDAL")</f>
        <v>CUDAL</v>
      </c>
      <c r="F265" s="47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47" t="str">
        <f>IFERROR(__xludf.DUMMYFUNCTION("""COMPUTED_VALUE"""),"CUDAL")</f>
        <v>CUDAL</v>
      </c>
      <c r="F266" s="47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47" t="str">
        <f>IFERROR(__xludf.DUMMYFUNCTION("""COMPUTED_VALUE"""),"CRUZ")</f>
        <v>CRUZ</v>
      </c>
      <c r="F267" s="47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47" t="str">
        <f>IFERROR(__xludf.DUMMYFUNCTION("""COMPUTED_VALUE"""),"ABERIN")</f>
        <v>ABERIN</v>
      </c>
      <c r="F268" s="47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47" t="str">
        <f>IFERROR(__xludf.DUMMYFUNCTION("""COMPUTED_VALUE"""),"FRANCISCO")</f>
        <v>FRANCISCO</v>
      </c>
      <c r="F269" s="47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47" t="str">
        <f>IFERROR(__xludf.DUMMYFUNCTION("""COMPUTED_VALUE"""),"AQUINO")</f>
        <v>AQUINO</v>
      </c>
      <c r="F270" s="47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47"/>
      <c r="F271" s="47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47"/>
      <c r="F272" s="47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47" t="str">
        <f>IFERROR(__xludf.DUMMYFUNCTION("""COMPUTED_VALUE"""),"ROARING")</f>
        <v>ROARING</v>
      </c>
      <c r="F273" s="47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47" t="str">
        <f>IFERROR(__xludf.DUMMYFUNCTION("""COMPUTED_VALUE"""),"ROARING")</f>
        <v>ROARING</v>
      </c>
      <c r="F274" s="47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47" t="str">
        <f>IFERROR(__xludf.DUMMYFUNCTION("""COMPUTED_VALUE"""),"PAHILA")</f>
        <v>PAHILA</v>
      </c>
      <c r="F275" s="47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47" t="str">
        <f>IFERROR(__xludf.DUMMYFUNCTION("""COMPUTED_VALUE"""),"MANUEL")</f>
        <v>MANUEL</v>
      </c>
      <c r="F276" s="47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47" t="str">
        <f>IFERROR(__xludf.DUMMYFUNCTION("""COMPUTED_VALUE"""),"COMANDA")</f>
        <v>COMANDA</v>
      </c>
      <c r="F277" s="47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47" t="str">
        <f>IFERROR(__xludf.DUMMYFUNCTION("""COMPUTED_VALUE"""),"DRIS")</f>
        <v>DRIS</v>
      </c>
      <c r="F278" s="47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47"/>
      <c r="F279" s="47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47" t="str">
        <f>IFERROR(__xludf.DUMMYFUNCTION("""COMPUTED_VALUE"""),"CALLE")</f>
        <v>CALLE</v>
      </c>
      <c r="F280" s="47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47" t="str">
        <f>IFERROR(__xludf.DUMMYFUNCTION("""COMPUTED_VALUE"""),"JUANITAS")</f>
        <v>JUANITAS</v>
      </c>
      <c r="F281" s="47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47" t="str">
        <f>IFERROR(__xludf.DUMMYFUNCTION("""COMPUTED_VALUE"""),"MATA")</f>
        <v>MATA</v>
      </c>
      <c r="F282" s="4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47" t="str">
        <f>IFERROR(__xludf.DUMMYFUNCTION("""COMPUTED_VALUE"""),"ENCARNADO")</f>
        <v>ENCARNADO</v>
      </c>
      <c r="F283" s="4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47" t="str">
        <f>IFERROR(__xludf.DUMMYFUNCTION("""COMPUTED_VALUE"""),"DE GUZMAN")</f>
        <v>DE GUZMAN</v>
      </c>
      <c r="F284" s="4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47" t="str">
        <f>IFERROR(__xludf.DUMMYFUNCTION("""COMPUTED_VALUE"""),"PADILLA")</f>
        <v>PADILLA</v>
      </c>
      <c r="F285" s="4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47"/>
      <c r="F286" s="4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47" t="str">
        <f>IFERROR(__xludf.DUMMYFUNCTION("""COMPUTED_VALUE"""),"OSIANO")</f>
        <v>OSIANO</v>
      </c>
      <c r="F287" s="4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47" t="str">
        <f>IFERROR(__xludf.DUMMYFUNCTION("""COMPUTED_VALUE"""),"DE GUZMAN TORRE")</f>
        <v>DE GUZMAN TORRE</v>
      </c>
      <c r="F288" s="4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47"/>
      <c r="F289" s="4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47" t="str">
        <f>IFERROR(__xludf.DUMMYFUNCTION("""COMPUTED_VALUE"""),"MACABENTA")</f>
        <v>MACABENTA</v>
      </c>
      <c r="F290" s="4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47" t="str">
        <f>IFERROR(__xludf.DUMMYFUNCTION("""COMPUTED_VALUE"""),"REPUNTE")</f>
        <v>REPUNTE</v>
      </c>
      <c r="F291" s="4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47" t="str">
        <f>IFERROR(__xludf.DUMMYFUNCTION("""COMPUTED_VALUE"""),"DIONIO")</f>
        <v>DIONIO</v>
      </c>
      <c r="F292" s="47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47" t="str">
        <f>IFERROR(__xludf.DUMMYFUNCTION("""COMPUTED_VALUE"""),"CABRITO")</f>
        <v>CABRITO</v>
      </c>
      <c r="F293" s="4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47" t="str">
        <f>IFERROR(__xludf.DUMMYFUNCTION("""COMPUTED_VALUE"""),"GELZA")</f>
        <v>GELZA</v>
      </c>
      <c r="F294" s="4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47" t="str">
        <f>IFERROR(__xludf.DUMMYFUNCTION("""COMPUTED_VALUE"""),"CABRITO")</f>
        <v>CABRITO</v>
      </c>
      <c r="F295" s="4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47"/>
      <c r="F296" s="4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47" t="str">
        <f>IFERROR(__xludf.DUMMYFUNCTION("""COMPUTED_VALUE"""),"CABRITO")</f>
        <v>CABRITO</v>
      </c>
      <c r="F297" s="4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47" t="str">
        <f>IFERROR(__xludf.DUMMYFUNCTION("""COMPUTED_VALUE"""),"EDUARDO")</f>
        <v>EDUARDO</v>
      </c>
      <c r="F298" s="4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47" t="str">
        <f>IFERROR(__xludf.DUMMYFUNCTION("""COMPUTED_VALUE"""),"HIDALGO")</f>
        <v>HIDALGO</v>
      </c>
      <c r="F299" s="47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47"/>
      <c r="F300" s="4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47"/>
      <c r="F301" s="47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47" t="str">
        <f>IFERROR(__xludf.DUMMYFUNCTION("""COMPUTED_VALUE"""),"TAGARDA")</f>
        <v>TAGARDA</v>
      </c>
      <c r="F302" s="47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47" t="str">
        <f>IFERROR(__xludf.DUMMYFUNCTION("""COMPUTED_VALUE"""),"SEGOVIA")</f>
        <v>SEGOVIA</v>
      </c>
      <c r="F303" s="47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47" t="str">
        <f>IFERROR(__xludf.DUMMYFUNCTION("""COMPUTED_VALUE"""),"SEGOVIA")</f>
        <v>SEGOVIA</v>
      </c>
      <c r="F304" s="4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47"/>
      <c r="F305" s="47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47" t="str">
        <f>IFERROR(__xludf.DUMMYFUNCTION("""COMPUTED_VALUE"""),"ACUNA")</f>
        <v>ACUNA</v>
      </c>
      <c r="F306" s="47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47" t="str">
        <f>IFERROR(__xludf.DUMMYFUNCTION("""COMPUTED_VALUE"""),"BAQUERIZA")</f>
        <v>BAQUERIZA</v>
      </c>
      <c r="F307" s="47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47" t="str">
        <f>IFERROR(__xludf.DUMMYFUNCTION("""COMPUTED_VALUE"""),"LEYRITANA")</f>
        <v>LEYRITANA</v>
      </c>
      <c r="F308" s="47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47" t="str">
        <f>IFERROR(__xludf.DUMMYFUNCTION("""COMPUTED_VALUE"""),"BISPO")</f>
        <v>BISPO</v>
      </c>
      <c r="F309" s="4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47" t="str">
        <f>IFERROR(__xludf.DUMMYFUNCTION("""COMPUTED_VALUE"""),"SANTOS")</f>
        <v>SANTOS</v>
      </c>
      <c r="F310" s="47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47" t="str">
        <f>IFERROR(__xludf.DUMMYFUNCTION("""COMPUTED_VALUE"""),"PASAMONTE")</f>
        <v>PASAMONTE</v>
      </c>
      <c r="F311" s="47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47" t="str">
        <f>IFERROR(__xludf.DUMMYFUNCTION("""COMPUTED_VALUE"""),"M.")</f>
        <v>M.</v>
      </c>
      <c r="F312" s="47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47"/>
      <c r="F313" s="47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47" t="str">
        <f>IFERROR(__xludf.DUMMYFUNCTION("""COMPUTED_VALUE"""),"SAGUN")</f>
        <v>SAGUN</v>
      </c>
      <c r="F314" s="47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47" t="str">
        <f>IFERROR(__xludf.DUMMYFUNCTION("""COMPUTED_VALUE"""),"PORTAS")</f>
        <v>PORTAS</v>
      </c>
      <c r="F315" s="47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47" t="str">
        <f>IFERROR(__xludf.DUMMYFUNCTION("""COMPUTED_VALUE"""),"SANGEL")</f>
        <v>SANGEL</v>
      </c>
      <c r="F316" s="47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47"/>
      <c r="F317" s="47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47" t="str">
        <f>IFERROR(__xludf.DUMMYFUNCTION("""COMPUTED_VALUE"""),"SANGEL")</f>
        <v>SANGEL</v>
      </c>
      <c r="F318" s="47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47" t="str">
        <f>IFERROR(__xludf.DUMMYFUNCTION("""COMPUTED_VALUE"""),"ALCANTARA")</f>
        <v>ALCANTARA</v>
      </c>
      <c r="F319" s="47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47" t="str">
        <f>IFERROR(__xludf.DUMMYFUNCTION("""COMPUTED_VALUE"""),"ERILLA")</f>
        <v>ERILLA</v>
      </c>
      <c r="F320" s="47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47"/>
      <c r="F321" s="47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47" t="str">
        <f>IFERROR(__xludf.DUMMYFUNCTION("""COMPUTED_VALUE"""),"SEVILLA")</f>
        <v>SEVILLA</v>
      </c>
      <c r="F322" s="47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47" t="str">
        <f>IFERROR(__xludf.DUMMYFUNCTION("""COMPUTED_VALUE"""),"LALAGUNA")</f>
        <v>LALAGUNA</v>
      </c>
      <c r="F323" s="47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47"/>
      <c r="F324" s="47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47" t="str">
        <f>IFERROR(__xludf.DUMMYFUNCTION("""COMPUTED_VALUE"""),"BALAN")</f>
        <v>BALAN</v>
      </c>
      <c r="F325" s="47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47" t="str">
        <f>IFERROR(__xludf.DUMMYFUNCTION("""COMPUTED_VALUE"""),"SOLAR")</f>
        <v>SOLAR</v>
      </c>
      <c r="F326" s="47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47" t="str">
        <f>IFERROR(__xludf.DUMMYFUNCTION("""COMPUTED_VALUE"""),"MANUEL")</f>
        <v>MANUEL</v>
      </c>
      <c r="F327" s="47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47"/>
      <c r="F328" s="47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47" t="str">
        <f>IFERROR(__xludf.DUMMYFUNCTION("""COMPUTED_VALUE"""),"SANTOS")</f>
        <v>SANTOS</v>
      </c>
      <c r="F329" s="47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47"/>
      <c r="F330" s="47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47"/>
      <c r="F331" s="47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47"/>
      <c r="F332" s="47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47"/>
      <c r="F333" s="47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47" t="str">
        <f>IFERROR(__xludf.DUMMYFUNCTION("""COMPUTED_VALUE"""),"SANTOS")</f>
        <v>SANTOS</v>
      </c>
      <c r="F334" s="47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47"/>
      <c r="F335" s="47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47" t="str">
        <f>IFERROR(__xludf.DUMMYFUNCTION("""COMPUTED_VALUE"""),"SANTOS")</f>
        <v>SANTOS</v>
      </c>
      <c r="F337" s="47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47"/>
      <c r="F338" s="47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47" t="str">
        <f>IFERROR(__xludf.DUMMYFUNCTION("""COMPUTED_VALUE"""),"BERNAL")</f>
        <v>BERNAL</v>
      </c>
      <c r="F339" s="47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47" t="str">
        <f>IFERROR(__xludf.DUMMYFUNCTION("""COMPUTED_VALUE"""),"ROMERO")</f>
        <v>ROMERO</v>
      </c>
      <c r="F340" s="47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47"/>
      <c r="F341" s="47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47" t="str">
        <f>IFERROR(__xludf.DUMMYFUNCTION("""COMPUTED_VALUE"""),"ESTANISLAO")</f>
        <v>ESTANISLAO</v>
      </c>
      <c r="F342" s="47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47" t="str">
        <f>IFERROR(__xludf.DUMMYFUNCTION("""COMPUTED_VALUE"""),"COMANDA")</f>
        <v>COMANDA</v>
      </c>
      <c r="F343" s="47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47"/>
      <c r="F344" s="47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47"/>
      <c r="F345" s="47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47" t="str">
        <f>IFERROR(__xludf.DUMMYFUNCTION("""COMPUTED_VALUE"""),"DESPOJO")</f>
        <v>DESPOJO</v>
      </c>
      <c r="F346" s="47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47"/>
      <c r="F347" s="47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47" t="str">
        <f>IFERROR(__xludf.DUMMYFUNCTION("""COMPUTED_VALUE"""),"DE LEON")</f>
        <v>DE LEON</v>
      </c>
      <c r="F348" s="47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47" t="str">
        <f>IFERROR(__xludf.DUMMYFUNCTION("""COMPUTED_VALUE"""),"PAJARITO")</f>
        <v>PAJARITO</v>
      </c>
      <c r="F349" s="47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47" t="str">
        <f>IFERROR(__xludf.DUMMYFUNCTION("""COMPUTED_VALUE"""),"BALAIS")</f>
        <v>BALAIS</v>
      </c>
      <c r="F350" s="47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47"/>
      <c r="F351" s="47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47"/>
      <c r="F352" s="47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47" t="str">
        <f>IFERROR(__xludf.DUMMYFUNCTION("""COMPUTED_VALUE"""),"MATEO")</f>
        <v>MATEO</v>
      </c>
      <c r="F353" s="47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47"/>
      <c r="F354" s="47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47" t="str">
        <f>IFERROR(__xludf.DUMMYFUNCTION("""COMPUTED_VALUE"""),"TUMANENG")</f>
        <v>TUMANENG</v>
      </c>
      <c r="F355" s="47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47"/>
      <c r="F356" s="47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47" t="str">
        <f>IFERROR(__xludf.DUMMYFUNCTION("""COMPUTED_VALUE"""),"NARCELLES")</f>
        <v>NARCELLES</v>
      </c>
      <c r="F357" s="47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47" t="str">
        <f>IFERROR(__xludf.DUMMYFUNCTION("""COMPUTED_VALUE"""),"GAPAYAO")</f>
        <v>GAPAYAO</v>
      </c>
      <c r="F358" s="47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47" t="str">
        <f>IFERROR(__xludf.DUMMYFUNCTION("""COMPUTED_VALUE"""),"TIALCO")</f>
        <v>TIALCO</v>
      </c>
      <c r="F359" s="47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47" t="str">
        <f>IFERROR(__xludf.DUMMYFUNCTION("""COMPUTED_VALUE"""),"MAGALING")</f>
        <v>MAGALING</v>
      </c>
      <c r="F360" s="47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47" t="str">
        <f>IFERROR(__xludf.DUMMYFUNCTION("""COMPUTED_VALUE"""),"TANALEON")</f>
        <v>TANALEON</v>
      </c>
      <c r="F361" s="47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47" t="str">
        <f>IFERROR(__xludf.DUMMYFUNCTION("""COMPUTED_VALUE"""),"TANALEON")</f>
        <v>TANALEON</v>
      </c>
      <c r="F362" s="47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47" t="str">
        <f>IFERROR(__xludf.DUMMYFUNCTION("""COMPUTED_VALUE"""),"DESPOJO")</f>
        <v>DESPOJO</v>
      </c>
      <c r="F363" s="47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47" t="str">
        <f>IFERROR(__xludf.DUMMYFUNCTION("""COMPUTED_VALUE"""),"DIOSDADO")</f>
        <v>DIOSDADO</v>
      </c>
      <c r="F364" s="47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47" t="str">
        <f>IFERROR(__xludf.DUMMYFUNCTION("""COMPUTED_VALUE"""),"DIWA")</f>
        <v>DIWA</v>
      </c>
      <c r="F365" s="47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47" t="str">
        <f>IFERROR(__xludf.DUMMYFUNCTION("""COMPUTED_VALUE"""),"BROZO")</f>
        <v>BROZO</v>
      </c>
      <c r="F366" s="47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47" t="str">
        <f>IFERROR(__xludf.DUMMYFUNCTION("""COMPUTED_VALUE"""),"AUSTRIA")</f>
        <v>AUSTRIA</v>
      </c>
      <c r="F367" s="47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47" t="str">
        <f>IFERROR(__xludf.DUMMYFUNCTION("""COMPUTED_VALUE"""),"UMAYAM")</f>
        <v>UMAYAM</v>
      </c>
      <c r="F368" s="47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47" t="str">
        <f>IFERROR(__xludf.DUMMYFUNCTION("""COMPUTED_VALUE"""),"ALICUMAN")</f>
        <v>ALICUMAN</v>
      </c>
      <c r="F369" s="47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47" t="str">
        <f>IFERROR(__xludf.DUMMYFUNCTION("""COMPUTED_VALUE"""),"ANACAN")</f>
        <v>ANACAN</v>
      </c>
      <c r="F370" s="47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47" t="str">
        <f>IFERROR(__xludf.DUMMYFUNCTION("""COMPUTED_VALUE"""),"BACONI")</f>
        <v>BACONI</v>
      </c>
      <c r="F371" s="47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47"/>
      <c r="F372" s="47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47" t="str">
        <f>IFERROR(__xludf.DUMMYFUNCTION("""COMPUTED_VALUE"""),"CARAMANCION")</f>
        <v>CARAMANCION</v>
      </c>
      <c r="F373" s="47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47" t="str">
        <f>IFERROR(__xludf.DUMMYFUNCTION("""COMPUTED_VALUE"""),"PANIT")</f>
        <v>PANIT</v>
      </c>
      <c r="F374" s="47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47" t="str">
        <f>IFERROR(__xludf.DUMMYFUNCTION("""COMPUTED_VALUE"""),"NAVAL")</f>
        <v>NAVAL</v>
      </c>
      <c r="F375" s="47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47"/>
      <c r="F376" s="47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47" t="str">
        <f>IFERROR(__xludf.DUMMYFUNCTION("""COMPUTED_VALUE"""),"RAMIREZ")</f>
        <v>RAMIREZ</v>
      </c>
      <c r="F377" s="47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47" t="str">
        <f>IFERROR(__xludf.DUMMYFUNCTION("""COMPUTED_VALUE"""),"DOMINGO")</f>
        <v>DOMINGO</v>
      </c>
      <c r="F379" s="47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47" t="str">
        <f>IFERROR(__xludf.DUMMYFUNCTION("""COMPUTED_VALUE"""),"AUGUSTO")</f>
        <v>AUGUSTO</v>
      </c>
      <c r="F380" s="47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47" t="str">
        <f>IFERROR(__xludf.DUMMYFUNCTION("""COMPUTED_VALUE"""),"LOPEZ")</f>
        <v>LOPEZ</v>
      </c>
      <c r="F381" s="47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47" t="str">
        <f>IFERROR(__xludf.DUMMYFUNCTION("""COMPUTED_VALUE"""),"BASTIE")</f>
        <v>BASTIE</v>
      </c>
      <c r="F382" s="47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47" t="str">
        <f>IFERROR(__xludf.DUMMYFUNCTION("""COMPUTED_VALUE"""),"ACOB")</f>
        <v>ACOB</v>
      </c>
      <c r="F383" s="47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47"/>
      <c r="F384" s="47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47"/>
      <c r="F385" s="47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47" t="str">
        <f>IFERROR(__xludf.DUMMYFUNCTION("""COMPUTED_VALUE"""),"PALERO")</f>
        <v>PALERO</v>
      </c>
      <c r="F386" s="47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47" t="str">
        <f>IFERROR(__xludf.DUMMYFUNCTION("""COMPUTED_VALUE"""),"BUYOC")</f>
        <v>BUYOC</v>
      </c>
      <c r="F387" s="47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47" t="str">
        <f>IFERROR(__xludf.DUMMYFUNCTION("""COMPUTED_VALUE"""),"PALERO")</f>
        <v>PALERO</v>
      </c>
      <c r="F388" s="47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47" t="str">
        <f>IFERROR(__xludf.DUMMYFUNCTION("""COMPUTED_VALUE"""),"TANALEON")</f>
        <v>TANALEON</v>
      </c>
      <c r="F389" s="47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47" t="str">
        <f>IFERROR(__xludf.DUMMYFUNCTION("""COMPUTED_VALUE"""),"VILLAMOR")</f>
        <v>VILLAMOR</v>
      </c>
      <c r="F390" s="47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47"/>
      <c r="F391" s="47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47" t="str">
        <f>IFERROR(__xludf.DUMMYFUNCTION("""COMPUTED_VALUE"""),"DOMINGO")</f>
        <v>DOMINGO</v>
      </c>
      <c r="F392" s="47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47" t="str">
        <f>IFERROR(__xludf.DUMMYFUNCTION("""COMPUTED_VALUE"""),"CABARDO")</f>
        <v>CABARDO</v>
      </c>
      <c r="F393" s="47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47" t="str">
        <f>IFERROR(__xludf.DUMMYFUNCTION("""COMPUTED_VALUE"""),"BUENAFLOR")</f>
        <v>BUENAFLOR</v>
      </c>
      <c r="F394" s="47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47" t="str">
        <f>IFERROR(__xludf.DUMMYFUNCTION("""COMPUTED_VALUE"""),"BAUTISTA")</f>
        <v>BAUTISTA</v>
      </c>
      <c r="F395" s="47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47" t="str">
        <f>IFERROR(__xludf.DUMMYFUNCTION("""COMPUTED_VALUE"""),"MERCATO")</f>
        <v>MERCATO</v>
      </c>
      <c r="F396" s="47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47" t="str">
        <f>IFERROR(__xludf.DUMMYFUNCTION("""COMPUTED_VALUE"""),"DRIS")</f>
        <v>DRIS</v>
      </c>
      <c r="F397" s="47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47" t="str">
        <f>IFERROR(__xludf.DUMMYFUNCTION("""COMPUTED_VALUE"""),"SEBASTIAN")</f>
        <v>SEBASTIAN</v>
      </c>
      <c r="F398" s="47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47" t="str">
        <f>IFERROR(__xludf.DUMMYFUNCTION("""COMPUTED_VALUE"""),"SELUDO")</f>
        <v>SELUDO</v>
      </c>
      <c r="F399" s="47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47" t="str">
        <f>IFERROR(__xludf.DUMMYFUNCTION("""COMPUTED_VALUE"""),"ORTEGA")</f>
        <v>ORTEGA</v>
      </c>
      <c r="F400" s="47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47" t="str">
        <f>IFERROR(__xludf.DUMMYFUNCTION("""COMPUTED_VALUE"""),"TAGARDA")</f>
        <v>TAGARDA</v>
      </c>
      <c r="F401" s="47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47" t="str">
        <f>IFERROR(__xludf.DUMMYFUNCTION("""COMPUTED_VALUE"""),"EUSEBIO")</f>
        <v>EUSEBIO</v>
      </c>
      <c r="F402" s="47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47" t="str">
        <f>IFERROR(__xludf.DUMMYFUNCTION("""COMPUTED_VALUE"""),"NAZARENO")</f>
        <v>NAZARENO</v>
      </c>
      <c r="F403" s="47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47" t="str">
        <f>IFERROR(__xludf.DUMMYFUNCTION("""COMPUTED_VALUE"""),"MORALES")</f>
        <v>MORALES</v>
      </c>
      <c r="F404" s="47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47" t="str">
        <f>IFERROR(__xludf.DUMMYFUNCTION("""COMPUTED_VALUE"""),"SELUDO")</f>
        <v>SELUDO</v>
      </c>
      <c r="F405" s="47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47" t="str">
        <f>IFERROR(__xludf.DUMMYFUNCTION("""COMPUTED_VALUE"""),"BROZO")</f>
        <v>BROZO</v>
      </c>
      <c r="F406" s="47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47" t="str">
        <f>IFERROR(__xludf.DUMMYFUNCTION("""COMPUTED_VALUE"""),"OMBAL")</f>
        <v>OMBAL</v>
      </c>
      <c r="F407" s="47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47" t="str">
        <f>IFERROR(__xludf.DUMMYFUNCTION("""COMPUTED_VALUE"""),"MENDEL")</f>
        <v>MENDEL</v>
      </c>
      <c r="F408" s="47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47" t="str">
        <f>IFERROR(__xludf.DUMMYFUNCTION("""COMPUTED_VALUE"""),"DAMASCO")</f>
        <v>DAMASCO</v>
      </c>
      <c r="F409" s="47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47" t="str">
        <f>IFERROR(__xludf.DUMMYFUNCTION("""COMPUTED_VALUE"""),"TOLENTINO")</f>
        <v>TOLENTINO</v>
      </c>
      <c r="F410" s="47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47" t="str">
        <f>IFERROR(__xludf.DUMMYFUNCTION("""COMPUTED_VALUE"""),"KEYSOR")</f>
        <v>KEYSOR</v>
      </c>
      <c r="F411" s="47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47" t="str">
        <f>IFERROR(__xludf.DUMMYFUNCTION("""COMPUTED_VALUE"""),"PANCHO")</f>
        <v>PANCHO</v>
      </c>
      <c r="F412" s="47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47" t="str">
        <f>IFERROR(__xludf.DUMMYFUNCTION("""COMPUTED_VALUE"""),"ARROYO")</f>
        <v>ARROYO</v>
      </c>
      <c r="F413" s="47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47" t="str">
        <f>IFERROR(__xludf.DUMMYFUNCTION("""COMPUTED_VALUE"""),"BERNAL")</f>
        <v>BERNAL</v>
      </c>
      <c r="F414" s="47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47" t="str">
        <f>IFERROR(__xludf.DUMMYFUNCTION("""COMPUTED_VALUE"""),"CAGAYAN")</f>
        <v>CAGAYAN</v>
      </c>
      <c r="F415" s="47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47" t="str">
        <f>IFERROR(__xludf.DUMMYFUNCTION("""COMPUTED_VALUE"""),"BAUTISTA")</f>
        <v>BAUTISTA</v>
      </c>
      <c r="F416" s="47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47" t="str">
        <f>IFERROR(__xludf.DUMMYFUNCTION("""COMPUTED_VALUE"""),"NOGUERA")</f>
        <v>NOGUERA</v>
      </c>
      <c r="F417" s="47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47" t="str">
        <f>IFERROR(__xludf.DUMMYFUNCTION("""COMPUTED_VALUE"""),"ABERIN")</f>
        <v>ABERIN</v>
      </c>
      <c r="F418" s="47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47"/>
      <c r="F419" s="47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47" t="str">
        <f>IFERROR(__xludf.DUMMYFUNCTION("""COMPUTED_VALUE"""),"PALERO")</f>
        <v>PALERO</v>
      </c>
      <c r="F420" s="47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47" t="str">
        <f>IFERROR(__xludf.DUMMYFUNCTION("""COMPUTED_VALUE"""),"SANTOS")</f>
        <v>SANTOS</v>
      </c>
      <c r="F421" s="47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47"/>
      <c r="F422" s="47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47" t="str">
        <f>IFERROR(__xludf.DUMMYFUNCTION("""COMPUTED_VALUE"""),"ABERIN")</f>
        <v>ABERIN</v>
      </c>
      <c r="F423" s="4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47" t="str">
        <f>IFERROR(__xludf.DUMMYFUNCTION("""COMPUTED_VALUE"""),"ABERIN")</f>
        <v>ABERIN</v>
      </c>
      <c r="F424" s="47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47" t="str">
        <f>IFERROR(__xludf.DUMMYFUNCTION("""COMPUTED_VALUE"""),"PANIT")</f>
        <v>PANIT</v>
      </c>
      <c r="F425" s="47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47"/>
      <c r="F426" s="47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47" t="str">
        <f>IFERROR(__xludf.DUMMYFUNCTION("""COMPUTED_VALUE"""),"ABUS")</f>
        <v>ABUS</v>
      </c>
      <c r="F427" s="47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47" t="str">
        <f>IFERROR(__xludf.DUMMYFUNCTION("""COMPUTED_VALUE"""),"ABUS")</f>
        <v>ABUS</v>
      </c>
      <c r="F428" s="47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47" t="str">
        <f>IFERROR(__xludf.DUMMYFUNCTION("""COMPUTED_VALUE"""),"CARBONEL")</f>
        <v>CARBONEL</v>
      </c>
      <c r="F429" s="47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47"/>
      <c r="F430" s="47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47" t="str">
        <f>IFERROR(__xludf.DUMMYFUNCTION("""COMPUTED_VALUE"""),"CARBO")</f>
        <v>CARBO</v>
      </c>
      <c r="F431" s="47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47" t="str">
        <f>IFERROR(__xludf.DUMMYFUNCTION("""COMPUTED_VALUE"""),"LIEGUE")</f>
        <v>LIEGUE</v>
      </c>
      <c r="F432" s="47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47" t="str">
        <f>IFERROR(__xludf.DUMMYFUNCTION("""COMPUTED_VALUE"""),"ALEGADO")</f>
        <v>ALEGADO</v>
      </c>
      <c r="F433" s="47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47" t="str">
        <f>IFERROR(__xludf.DUMMYFUNCTION("""COMPUTED_VALUE"""),"BOLIVAR")</f>
        <v>BOLIVAR</v>
      </c>
      <c r="F434" s="47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47" t="str">
        <f>IFERROR(__xludf.DUMMYFUNCTION("""COMPUTED_VALUE"""),"DELA CRUZ")</f>
        <v>DELA CRUZ</v>
      </c>
      <c r="F435" s="47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47" t="str">
        <f>IFERROR(__xludf.DUMMYFUNCTION("""COMPUTED_VALUE"""),"ESPIDIDO")</f>
        <v>ESPIDIDO</v>
      </c>
      <c r="F436" s="47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47"/>
      <c r="F437" s="47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47">
        <f>IFERROR(__xludf.DUMMYFUNCTION("""COMPUTED_VALUE"""),467.0)</f>
        <v>467</v>
      </c>
      <c r="B456" s="47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47" t="str">
        <f>IFERROR(__xludf.DUMMYFUNCTION("""COMPUTED_VALUE"""),"MENDOZA")</f>
        <v>MENDOZA</v>
      </c>
      <c r="F458" s="47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47"/>
      <c r="F459" s="47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47" t="str">
        <f>IFERROR(__xludf.DUMMYFUNCTION("""COMPUTED_VALUE"""),"BROZO")</f>
        <v>BROZO</v>
      </c>
      <c r="F460" s="47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47" t="str">
        <f>IFERROR(__xludf.DUMMYFUNCTION("""COMPUTED_VALUE"""),"BRUSELAS")</f>
        <v>BRUSELAS</v>
      </c>
      <c r="F461" s="47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47"/>
      <c r="F462" s="47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47" t="str">
        <f>IFERROR(__xludf.DUMMYFUNCTION("""COMPUTED_VALUE"""),"FIGURACION")</f>
        <v>FIGURACION</v>
      </c>
      <c r="F463" s="47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47" t="str">
        <f>IFERROR(__xludf.DUMMYFUNCTION("""COMPUTED_VALUE"""),"SALANGA")</f>
        <v>SALANGA</v>
      </c>
      <c r="F464" s="47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47" t="str">
        <f>IFERROR(__xludf.DUMMYFUNCTION("""COMPUTED_VALUE"""),"SALANGA")</f>
        <v>SALANGA</v>
      </c>
      <c r="F465" s="47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47" t="str">
        <f>IFERROR(__xludf.DUMMYFUNCTION("""COMPUTED_VALUE"""),"SALANGA")</f>
        <v>SALANGA</v>
      </c>
      <c r="F466" s="47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47" t="str">
        <f>IFERROR(__xludf.DUMMYFUNCTION("""COMPUTED_VALUE"""),"OJEDA")</f>
        <v>OJEDA</v>
      </c>
      <c r="F467" s="47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47" t="str">
        <f>IFERROR(__xludf.DUMMYFUNCTION("""COMPUTED_VALUE"""),"PRESTADO")</f>
        <v>PRESTADO</v>
      </c>
      <c r="F468" s="47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47" t="str">
        <f>IFERROR(__xludf.DUMMYFUNCTION("""COMPUTED_VALUE"""),"TIALCO")</f>
        <v>TIALCO</v>
      </c>
      <c r="F469" s="47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47"/>
      <c r="F470" s="47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47"/>
      <c r="F471" s="47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47"/>
      <c r="F472" s="47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47"/>
      <c r="F473" s="47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47" t="str">
        <f>IFERROR(__xludf.DUMMYFUNCTION("""COMPUTED_VALUE"""),"BUYOC")</f>
        <v>BUYOC</v>
      </c>
      <c r="F474" s="47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47"/>
      <c r="F475" s="47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47" t="str">
        <f>IFERROR(__xludf.DUMMYFUNCTION("""COMPUTED_VALUE"""),"ARROYO")</f>
        <v>ARROYO</v>
      </c>
      <c r="F476" s="47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47" t="str">
        <f>IFERROR(__xludf.DUMMYFUNCTION("""COMPUTED_VALUE"""),"CRUZ")</f>
        <v>CRUZ</v>
      </c>
      <c r="F477" s="47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47" t="str">
        <f>IFERROR(__xludf.DUMMYFUNCTION("""COMPUTED_VALUE"""),"DRIS")</f>
        <v>DRIS</v>
      </c>
      <c r="F478" s="47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47" t="str">
        <f>IFERROR(__xludf.DUMMYFUNCTION("""COMPUTED_VALUE"""),"ROME")</f>
        <v>ROME</v>
      </c>
      <c r="F479" s="47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47" t="str">
        <f>IFERROR(__xludf.DUMMYFUNCTION("""COMPUTED_VALUE"""),"MORALES")</f>
        <v>MORALES</v>
      </c>
      <c r="F480" s="47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47" t="str">
        <f>IFERROR(__xludf.DUMMYFUNCTION("""COMPUTED_VALUE"""),"ABUS")</f>
        <v>ABUS</v>
      </c>
      <c r="F481" s="4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47" t="str">
        <f>IFERROR(__xludf.DUMMYFUNCTION("""COMPUTED_VALUE"""),"DE VILLA")</f>
        <v>DE VILLA</v>
      </c>
      <c r="F482" s="4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47" t="str">
        <f>IFERROR(__xludf.DUMMYFUNCTION("""COMPUTED_VALUE"""),"COREA")</f>
        <v>COREA</v>
      </c>
      <c r="F483" s="4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47" t="str">
        <f>IFERROR(__xludf.DUMMYFUNCTION("""COMPUTED_VALUE"""),"ACUNA")</f>
        <v>ACUNA</v>
      </c>
      <c r="F484" s="4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47" t="str">
        <f>IFERROR(__xludf.DUMMYFUNCTION("""COMPUTED_VALUE"""),"TAGARDA")</f>
        <v>TAGARDA</v>
      </c>
      <c r="F485" s="4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47" t="str">
        <f>IFERROR(__xludf.DUMMYFUNCTION("""COMPUTED_VALUE"""),"CALIBSO")</f>
        <v>CALIBSO</v>
      </c>
      <c r="F486" s="4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47" t="str">
        <f>IFERROR(__xludf.DUMMYFUNCTION("""COMPUTED_VALUE"""),"JASMIN")</f>
        <v>JASMIN</v>
      </c>
      <c r="F487" s="4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47"/>
      <c r="F488" s="47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47" t="str">
        <f>IFERROR(__xludf.DUMMYFUNCTION("""COMPUTED_VALUE"""),"CUDAL")</f>
        <v>CUDAL</v>
      </c>
      <c r="F489" s="4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47" t="str">
        <f>IFERROR(__xludf.DUMMYFUNCTION("""COMPUTED_VALUE"""),"ABERIN")</f>
        <v>ABERIN</v>
      </c>
      <c r="F490" s="4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47" t="str">
        <f>IFERROR(__xludf.DUMMYFUNCTION("""COMPUTED_VALUE"""),"CALIBSO")</f>
        <v>CALIBSO</v>
      </c>
      <c r="F491" s="47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47" t="str">
        <f>IFERROR(__xludf.DUMMYFUNCTION("""COMPUTED_VALUE"""),"CORPUZ")</f>
        <v>CORPUZ</v>
      </c>
      <c r="F492" s="47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47" t="str">
        <f>IFERROR(__xludf.DUMMYFUNCTION("""COMPUTED_VALUE"""),"SANTOS")</f>
        <v>SANTOS</v>
      </c>
      <c r="F493" s="47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47" t="str">
        <f>IFERROR(__xludf.DUMMYFUNCTION("""COMPUTED_VALUE"""),"DE GUZMAN")</f>
        <v>DE GUZMAN</v>
      </c>
      <c r="F494" s="47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47" t="str">
        <f>IFERROR(__xludf.DUMMYFUNCTION("""COMPUTED_VALUE"""),"BUENAFLOR")</f>
        <v>BUENAFLOR</v>
      </c>
      <c r="F495" s="47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47" t="str">
        <f>IFERROR(__xludf.DUMMYFUNCTION("""COMPUTED_VALUE"""),"LACONSAY")</f>
        <v>LACONSAY</v>
      </c>
      <c r="F496" s="47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47"/>
      <c r="F497" s="47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47"/>
      <c r="F498" s="47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47" t="str">
        <f>IFERROR(__xludf.DUMMYFUNCTION("""COMPUTED_VALUE"""),"SALES")</f>
        <v>SALES</v>
      </c>
      <c r="F499" s="47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47" t="str">
        <f>IFERROR(__xludf.DUMMYFUNCTION("""COMPUTED_VALUE"""),"TOLEDO")</f>
        <v>TOLEDO</v>
      </c>
      <c r="F500" s="47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47"/>
      <c r="F501" s="47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47" t="str">
        <f>IFERROR(__xludf.DUMMYFUNCTION("""COMPUTED_VALUE"""),"DE GUZMAN")</f>
        <v>DE GUZMAN</v>
      </c>
      <c r="F502" s="47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47" t="str">
        <f>IFERROR(__xludf.DUMMYFUNCTION("""COMPUTED_VALUE"""),"PARAGAS")</f>
        <v>PARAGAS</v>
      </c>
      <c r="F503" s="47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47" t="str">
        <f>IFERROR(__xludf.DUMMYFUNCTION("""COMPUTED_VALUE"""),"MONTESA")</f>
        <v>MONTESA</v>
      </c>
      <c r="F504" s="47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47"/>
      <c r="F505" s="47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47" t="str">
        <f>IFERROR(__xludf.DUMMYFUNCTION("""COMPUTED_VALUE"""),"DE GUZMAN")</f>
        <v>DE GUZMAN</v>
      </c>
      <c r="F506" s="47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47" t="str">
        <f>IFERROR(__xludf.DUMMYFUNCTION("""COMPUTED_VALUE"""),"PARAGAS")</f>
        <v>PARAGAS</v>
      </c>
      <c r="F507" s="47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47" t="str">
        <f>IFERROR(__xludf.DUMMYFUNCTION("""COMPUTED_VALUE"""),"MONTESA")</f>
        <v>MONTESA</v>
      </c>
      <c r="F508" s="4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47"/>
      <c r="F509" s="4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47" t="str">
        <f>IFERROR(__xludf.DUMMYFUNCTION("""COMPUTED_VALUE"""),"DE GUZMAN")</f>
        <v>DE GUZMAN</v>
      </c>
      <c r="F510" s="4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47" t="str">
        <f>IFERROR(__xludf.DUMMYFUNCTION("""COMPUTED_VALUE"""),"PARAGAS")</f>
        <v>PARAGAS</v>
      </c>
      <c r="F511" s="4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47" t="str">
        <f>IFERROR(__xludf.DUMMYFUNCTION("""COMPUTED_VALUE"""),"MONTESA")</f>
        <v>MONTESA</v>
      </c>
      <c r="F512" s="47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47"/>
      <c r="F513" s="4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47"/>
      <c r="F514" s="4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47"/>
      <c r="F515" s="4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47"/>
      <c r="F516" s="4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47"/>
      <c r="F517" s="4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47"/>
      <c r="F518" s="4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47"/>
      <c r="F519" s="47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47"/>
      <c r="F520" s="47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47"/>
      <c r="F521" s="47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47"/>
      <c r="F522" s="47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47"/>
      <c r="F523" s="47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47"/>
      <c r="F524" s="4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47"/>
      <c r="F525" s="47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47"/>
      <c r="F526" s="47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47"/>
      <c r="F527" s="47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47"/>
      <c r="F528" s="47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47"/>
      <c r="F529" s="4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47"/>
      <c r="F530" s="47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47"/>
      <c r="F531" s="47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47"/>
      <c r="F532" s="47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47"/>
      <c r="F533" s="47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47"/>
      <c r="F534" s="4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47"/>
      <c r="F535" s="47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47"/>
      <c r="F536" s="47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47"/>
      <c r="F537" s="47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47"/>
      <c r="F538" s="47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47"/>
      <c r="F539" s="47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47"/>
      <c r="F540" s="47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47"/>
      <c r="F541" s="47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47"/>
      <c r="F542" s="47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47"/>
      <c r="F543" s="47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47"/>
      <c r="F544" s="47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47"/>
      <c r="F545" s="47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47"/>
      <c r="F546" s="47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47"/>
      <c r="F547" s="47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47"/>
      <c r="F548" s="47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47"/>
      <c r="F549" s="47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47"/>
      <c r="F550" s="47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47"/>
      <c r="F551" s="47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47"/>
      <c r="F552" s="47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47"/>
      <c r="F553" s="47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47"/>
      <c r="F554" s="47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47"/>
      <c r="F555" s="47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47"/>
      <c r="F556" s="47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47"/>
      <c r="F557" s="47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47"/>
      <c r="F558" s="47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47"/>
      <c r="F559" s="47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47"/>
      <c r="F560" s="47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47"/>
      <c r="F561" s="47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47"/>
      <c r="F562" s="47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47"/>
      <c r="F563" s="47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47"/>
      <c r="F564" s="47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47"/>
      <c r="F566" s="47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47"/>
      <c r="F567" s="47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47"/>
      <c r="F568" s="47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47"/>
      <c r="F569" s="47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47"/>
      <c r="F570" s="47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47"/>
      <c r="F571" s="47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47"/>
      <c r="F572" s="47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47"/>
      <c r="F573" s="47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47"/>
      <c r="F574" s="47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47"/>
      <c r="F575" s="47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47"/>
      <c r="F576" s="47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47"/>
      <c r="F577" s="47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47"/>
      <c r="F578" s="47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47"/>
      <c r="F579" s="47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47"/>
      <c r="F580" s="47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47"/>
      <c r="F581" s="47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47"/>
      <c r="F582" s="47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47"/>
      <c r="F583" s="47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47"/>
      <c r="F584" s="47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47"/>
      <c r="F586" s="47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47"/>
      <c r="F587" s="47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47"/>
      <c r="F588" s="47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47"/>
      <c r="F589" s="47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47"/>
      <c r="F590" s="47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47"/>
      <c r="F591" s="47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47"/>
      <c r="F592" s="47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47"/>
      <c r="F593" s="47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47"/>
      <c r="F594" s="47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47"/>
      <c r="F595" s="47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47"/>
      <c r="F596" s="47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47"/>
      <c r="F597" s="47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47"/>
      <c r="F598" s="47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47"/>
      <c r="F599" s="47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47"/>
      <c r="F600" s="47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47"/>
      <c r="F601" s="47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47"/>
      <c r="F602" s="47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47"/>
      <c r="F603" s="47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47"/>
      <c r="F604" s="47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47"/>
      <c r="F605" s="47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47"/>
      <c r="F606" s="47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47"/>
      <c r="F607" s="47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47"/>
      <c r="F608" s="47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47"/>
      <c r="F609" s="47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47"/>
      <c r="F610" s="47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47"/>
      <c r="F611" s="47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47"/>
      <c r="F613" s="47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47"/>
      <c r="F614" s="47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47"/>
      <c r="F615" s="47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47"/>
      <c r="F616" s="47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47"/>
      <c r="F617" s="47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47"/>
      <c r="F618" s="47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47"/>
      <c r="F619" s="47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47"/>
      <c r="F620" s="47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47"/>
      <c r="F621" s="47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47"/>
      <c r="F622" s="47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47"/>
      <c r="F623" s="47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47"/>
      <c r="F624" s="47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47"/>
      <c r="F625" s="47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47"/>
      <c r="F626" s="47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47"/>
      <c r="F627" s="47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47"/>
      <c r="F628" s="47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47"/>
      <c r="F629" s="47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47"/>
      <c r="F630" s="47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47"/>
      <c r="F631" s="47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47"/>
      <c r="F632" s="47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47"/>
      <c r="F633" s="47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47"/>
      <c r="F634" s="47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47"/>
      <c r="F635" s="47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47"/>
      <c r="F636" s="47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47"/>
      <c r="F637" s="47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47"/>
      <c r="F638" s="47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47"/>
      <c r="F639" s="47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47"/>
      <c r="F640" s="47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47"/>
      <c r="F641" s="47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47"/>
      <c r="F642" s="47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47"/>
      <c r="F643" s="47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47"/>
      <c r="F644" s="47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47"/>
      <c r="F645" s="47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47"/>
      <c r="F646" s="47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47"/>
      <c r="F647" s="47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47"/>
      <c r="F648" s="47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47"/>
      <c r="F649" s="47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47"/>
      <c r="F650" s="47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47"/>
      <c r="F651" s="47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47"/>
      <c r="F652" s="47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47"/>
      <c r="F653" s="47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47"/>
      <c r="F654" s="47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47"/>
      <c r="F655" s="47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47"/>
      <c r="F656" s="47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47"/>
      <c r="F657" s="47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47"/>
      <c r="F658" s="47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47"/>
      <c r="F659" s="4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47"/>
      <c r="F660" s="47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47"/>
      <c r="F661" s="47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47"/>
      <c r="F662" s="47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47"/>
      <c r="F663" s="47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47"/>
      <c r="F664" s="47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47"/>
      <c r="F665" s="47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47"/>
      <c r="F666" s="47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47"/>
      <c r="F667" s="47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47"/>
      <c r="F668" s="47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47"/>
      <c r="F669" s="47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47"/>
      <c r="F670" s="47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47"/>
      <c r="F671" s="47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47"/>
      <c r="F672" s="47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47"/>
      <c r="F673" s="47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47"/>
      <c r="F674" s="47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47"/>
      <c r="F675" s="47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47"/>
      <c r="F696" s="47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47"/>
      <c r="F697" s="47"/>
      <c r="BQ697" s="50"/>
      <c r="BR697" s="50"/>
      <c r="BS697" s="50"/>
      <c r="BT697" s="50"/>
      <c r="BU697" s="50"/>
    </row>
    <row r="698">
      <c r="A698" s="47"/>
      <c r="B698" s="47"/>
      <c r="C698" s="47"/>
      <c r="D698" s="47"/>
      <c r="E698" s="47"/>
      <c r="F698" s="47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47"/>
      <c r="F700" s="47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47"/>
      <c r="F701" s="47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47"/>
      <c r="F702" s="47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47"/>
      <c r="F703" s="47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47"/>
      <c r="F704" s="47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47"/>
      <c r="F705" s="47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47"/>
      <c r="F706" s="47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47"/>
      <c r="F707" s="47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47"/>
      <c r="F708" s="47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47"/>
      <c r="F709" s="47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47"/>
      <c r="F710" s="47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47"/>
      <c r="F711" s="47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47"/>
      <c r="F712" s="47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47"/>
      <c r="F713" s="47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47"/>
      <c r="F714" s="47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47"/>
      <c r="F715" s="47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47"/>
      <c r="F716" s="47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47"/>
      <c r="F717" s="47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47"/>
      <c r="F718" s="47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47"/>
      <c r="F719" s="47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47"/>
      <c r="F720" s="47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47"/>
      <c r="F721" s="47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47"/>
      <c r="F722" s="47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47"/>
      <c r="F723" s="4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47"/>
      <c r="F724" s="4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47"/>
      <c r="F725" s="4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47"/>
      <c r="F726" s="4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47"/>
      <c r="F727" s="4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47"/>
      <c r="F728" s="4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47"/>
      <c r="F729" s="4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47"/>
      <c r="F730" s="47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47"/>
      <c r="F731" s="4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47"/>
      <c r="F732" s="4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47"/>
      <c r="F733" s="47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47"/>
      <c r="F734" s="47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47"/>
      <c r="F735" s="47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47"/>
      <c r="F736" s="47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47"/>
      <c r="F737" s="47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47"/>
      <c r="F738" s="47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47"/>
      <c r="F739" s="47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47"/>
      <c r="F740" s="47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47"/>
      <c r="F741" s="47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47"/>
      <c r="F742" s="47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47"/>
      <c r="F743" s="47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47"/>
      <c r="F744" s="47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47"/>
      <c r="F745" s="47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47"/>
      <c r="F746" s="47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47"/>
      <c r="F747" s="47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47"/>
      <c r="F748" s="47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47"/>
      <c r="F749" s="47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47"/>
      <c r="F750" s="47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47"/>
      <c r="F751" s="47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47"/>
      <c r="F752" s="4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47"/>
      <c r="F753" s="4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47"/>
      <c r="F754" s="4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47"/>
      <c r="F755" s="4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47"/>
      <c r="F756" s="4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47"/>
      <c r="F757" s="4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47"/>
      <c r="F758" s="4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47"/>
      <c r="F759" s="4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47"/>
      <c r="F760" s="4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47"/>
      <c r="F761" s="4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47"/>
      <c r="F762" s="47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47"/>
      <c r="F763" s="4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47"/>
      <c r="F764" s="4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47"/>
      <c r="F765" s="4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47"/>
      <c r="F766" s="4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47"/>
      <c r="F767" s="4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47"/>
      <c r="F768" s="4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47"/>
      <c r="F769" s="47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47"/>
      <c r="F770" s="47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47"/>
      <c r="F771" s="47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47"/>
      <c r="F772" s="47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47"/>
      <c r="F773" s="47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47"/>
      <c r="F774" s="47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47"/>
      <c r="F775" s="47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47"/>
      <c r="F776" s="4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47"/>
      <c r="F777" s="47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47"/>
      <c r="F778" s="47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47"/>
      <c r="F779" s="47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47"/>
      <c r="F780" s="47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47"/>
      <c r="F781" s="4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47"/>
      <c r="F782" s="47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47"/>
      <c r="F783" s="47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47"/>
      <c r="F784" s="47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47"/>
      <c r="F785" s="47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47"/>
      <c r="F786" s="4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47"/>
      <c r="F787" s="47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47"/>
      <c r="F788" s="47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47"/>
      <c r="F789" s="47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47"/>
      <c r="F790" s="47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47"/>
      <c r="F791" s="47"/>
      <c r="BQ791" s="50"/>
      <c r="BR791" s="50"/>
      <c r="BS791" s="50"/>
      <c r="BT791" s="50"/>
      <c r="BU791" s="50"/>
    </row>
    <row r="792">
      <c r="A792" s="47"/>
      <c r="B792" s="47"/>
      <c r="C792" s="47"/>
      <c r="D792" s="47"/>
      <c r="E792" s="47"/>
      <c r="F792" s="47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47"/>
      <c r="F794" s="47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47"/>
      <c r="F795" s="47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47"/>
      <c r="F796" s="47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47"/>
      <c r="F797" s="47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47"/>
      <c r="F798" s="47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47"/>
      <c r="F799" s="47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47"/>
      <c r="F800" s="47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47"/>
      <c r="F801" s="47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47"/>
      <c r="F802" s="47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47"/>
      <c r="F803" s="47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47"/>
      <c r="F804" s="47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47"/>
      <c r="F805" s="47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47"/>
      <c r="F806" s="47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47"/>
      <c r="F807" s="47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47"/>
      <c r="F808" s="47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47"/>
      <c r="F809" s="47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47"/>
      <c r="F810" s="47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47"/>
      <c r="F811" s="47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47"/>
      <c r="F812" s="47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47"/>
      <c r="F813" s="47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47"/>
      <c r="F814" s="47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47"/>
      <c r="F815" s="47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47"/>
      <c r="F816" s="47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47"/>
      <c r="F817" s="4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47"/>
      <c r="F818" s="4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47"/>
      <c r="F819" s="4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47"/>
      <c r="F820" s="4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47"/>
      <c r="F821" s="4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47"/>
      <c r="F822" s="4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47"/>
      <c r="F823" s="4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47"/>
      <c r="F824" s="47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47"/>
      <c r="F825" s="4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47"/>
      <c r="F826" s="4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47"/>
      <c r="F827" s="47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47"/>
      <c r="F828" s="47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47"/>
      <c r="F829" s="47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47"/>
      <c r="F830" s="47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47"/>
      <c r="F831" s="47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47"/>
      <c r="F832" s="47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47"/>
      <c r="F833" s="47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47"/>
      <c r="F834" s="47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47"/>
      <c r="F835" s="47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47"/>
      <c r="F836" s="47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47"/>
      <c r="F837" s="47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47"/>
      <c r="F838" s="47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47"/>
      <c r="F839" s="47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47"/>
      <c r="F840" s="47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47"/>
      <c r="F841" s="47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47"/>
      <c r="F842" s="47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47"/>
      <c r="F843" s="47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47"/>
      <c r="F844" s="47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47"/>
      <c r="F845" s="47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47"/>
      <c r="F846" s="4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47"/>
      <c r="F847" s="4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47"/>
      <c r="F848" s="4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47"/>
      <c r="F849" s="4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47"/>
      <c r="F850" s="4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47"/>
      <c r="F851" s="4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47"/>
      <c r="F852" s="4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47"/>
      <c r="F853" s="4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47"/>
      <c r="F854" s="4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47"/>
      <c r="F855" s="4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47"/>
      <c r="F856" s="47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47"/>
      <c r="F857" s="4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47"/>
      <c r="F858" s="4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47"/>
      <c r="F859" s="4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47"/>
      <c r="F860" s="4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47"/>
      <c r="F861" s="4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47"/>
      <c r="F862" s="4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47"/>
      <c r="F863" s="47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47"/>
      <c r="F864" s="47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47"/>
      <c r="F865" s="47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47"/>
      <c r="F866" s="47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47"/>
      <c r="F867" s="47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47"/>
      <c r="F868" s="47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47"/>
      <c r="F869" s="47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47"/>
      <c r="F870" s="4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47"/>
      <c r="F871" s="47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47"/>
      <c r="F872" s="47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47"/>
      <c r="F873" s="47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47"/>
      <c r="F874" s="47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47"/>
      <c r="F875" s="4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47"/>
      <c r="F876" s="47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47"/>
      <c r="F877" s="47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47"/>
      <c r="F878" s="47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47"/>
      <c r="F879" s="47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47"/>
      <c r="F880" s="4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47"/>
      <c r="F881" s="47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47"/>
      <c r="F882" s="47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47"/>
      <c r="F883" s="47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47"/>
      <c r="F884" s="47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47"/>
      <c r="F885" s="47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13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386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58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58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5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/>
      <c r="BR232" s="137"/>
      <c r="BS232" s="137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47">
        <f>IFERROR(__xludf.DUMMYFUNCTION("""COMPUTED_VALUE"""),254.0)</f>
        <v>254</v>
      </c>
      <c r="B238" s="47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47" t="str">
        <f>IFERROR(__xludf.DUMMYFUNCTION("""COMPUTED_VALUE"""),"IBALLA")</f>
        <v>IBALLA</v>
      </c>
      <c r="F240" s="47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47"/>
      <c r="F241" s="4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47" t="str">
        <f>IFERROR(__xludf.DUMMYFUNCTION("""COMPUTED_VALUE"""),"VILLACRUSIS")</f>
        <v>VILLACRUSIS</v>
      </c>
      <c r="F242" s="4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47" t="str">
        <f>IFERROR(__xludf.DUMMYFUNCTION("""COMPUTED_VALUE"""),"IBALLA")</f>
        <v>IBALLA</v>
      </c>
      <c r="F243" s="4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9" t="str">
        <f>IFERROR(__xludf.DUMMYFUNCTION("""COMPUTED_VALUE"""),"PUZALAN")</f>
        <v>PUZALAN</v>
      </c>
      <c r="F244" s="19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19"/>
      <c r="F245" s="19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L456" s="7"/>
      <c r="Q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22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  <mergeCell ref="L792:P792"/>
    <mergeCell ref="Q792:W792"/>
    <mergeCell ref="G456:K456"/>
    <mergeCell ref="L456:P456"/>
    <mergeCell ref="Q456:W456"/>
    <mergeCell ref="G698:K698"/>
    <mergeCell ref="L698:P698"/>
    <mergeCell ref="Q698:W698"/>
    <mergeCell ref="G792:K79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404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73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73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3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/>
      <c r="BR232" s="137"/>
      <c r="BS232" s="137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2">
        <f>IFERROR(__xludf.DUMMYFUNCTION("""COMPUTED_VALUE"""),254.0)</f>
        <v>254</v>
      </c>
      <c r="B238" s="4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2"/>
      <c r="R238" s="12"/>
      <c r="S238" s="12"/>
      <c r="T238" s="12"/>
      <c r="U238" s="12"/>
      <c r="V238" s="12"/>
      <c r="W238" s="12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15" t="str">
        <f>IFERROR(__xludf.DUMMYFUNCTION("""COMPUTED_VALUE"""),"IBALLA")</f>
        <v>IBALLA</v>
      </c>
      <c r="F240" s="15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17"/>
      <c r="F241" s="1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17" t="str">
        <f>IFERROR(__xludf.DUMMYFUNCTION("""COMPUTED_VALUE"""),"VILLACRUSIS")</f>
        <v>VILLACRUSIS</v>
      </c>
      <c r="F242" s="1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17" t="str">
        <f>IFERROR(__xludf.DUMMYFUNCTION("""COMPUTED_VALUE"""),"IBALLA")</f>
        <v>IBALLA</v>
      </c>
      <c r="F243" s="1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7" t="str">
        <f>IFERROR(__xludf.DUMMYFUNCTION("""COMPUTED_VALUE"""),"PUZALAN")</f>
        <v>PUZALAN</v>
      </c>
      <c r="F244" s="1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47"/>
      <c r="F245" s="4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L456" s="7"/>
      <c r="Q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22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  <mergeCell ref="L792:P792"/>
    <mergeCell ref="Q792:W792"/>
    <mergeCell ref="G456:K456"/>
    <mergeCell ref="L456:P456"/>
    <mergeCell ref="Q456:W456"/>
    <mergeCell ref="G698:K698"/>
    <mergeCell ref="L698:P698"/>
    <mergeCell ref="Q698:W698"/>
    <mergeCell ref="G792:K79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423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144"/>
      <c r="BR3" s="144"/>
      <c r="BS3" s="144"/>
      <c r="BT3" s="137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137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73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73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3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/>
      <c r="BR232" s="137"/>
      <c r="BS232" s="137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2">
        <f>IFERROR(__xludf.DUMMYFUNCTION("""COMPUTED_VALUE"""),254.0)</f>
        <v>254</v>
      </c>
      <c r="B238" s="4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2"/>
      <c r="R238" s="12"/>
      <c r="S238" s="12"/>
      <c r="T238" s="12"/>
      <c r="U238" s="12"/>
      <c r="V238" s="12"/>
      <c r="W238" s="12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15" t="str">
        <f>IFERROR(__xludf.DUMMYFUNCTION("""COMPUTED_VALUE"""),"IBALLA")</f>
        <v>IBALLA</v>
      </c>
      <c r="F240" s="15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17"/>
      <c r="F241" s="1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17" t="str">
        <f>IFERROR(__xludf.DUMMYFUNCTION("""COMPUTED_VALUE"""),"VILLACRUSIS")</f>
        <v>VILLACRUSIS</v>
      </c>
      <c r="F242" s="1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17" t="str">
        <f>IFERROR(__xludf.DUMMYFUNCTION("""COMPUTED_VALUE"""),"IBALLA")</f>
        <v>IBALLA</v>
      </c>
      <c r="F243" s="1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7" t="str">
        <f>IFERROR(__xludf.DUMMYFUNCTION("""COMPUTED_VALUE"""),"PUZALAN")</f>
        <v>PUZALAN</v>
      </c>
      <c r="F244" s="1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17"/>
      <c r="F245" s="1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H456" s="7"/>
      <c r="I456" s="7"/>
      <c r="J456" s="11"/>
      <c r="K456" s="7"/>
      <c r="L456" s="7"/>
      <c r="M456" s="7"/>
      <c r="N456" s="7"/>
      <c r="O456" s="7"/>
      <c r="P456" s="7"/>
      <c r="Q456" s="12"/>
      <c r="R456" s="12"/>
      <c r="S456" s="12"/>
      <c r="T456" s="12"/>
      <c r="U456" s="12"/>
      <c r="V456" s="12"/>
      <c r="W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19">
    <mergeCell ref="AR1:AV1"/>
    <mergeCell ref="AW1:BA1"/>
    <mergeCell ref="BB1:BF1"/>
    <mergeCell ref="BG1:BK1"/>
    <mergeCell ref="BL1:BP1"/>
    <mergeCell ref="BQ1:BU1"/>
    <mergeCell ref="G698:K698"/>
    <mergeCell ref="L698:P698"/>
    <mergeCell ref="Q698:W698"/>
    <mergeCell ref="G792:K792"/>
    <mergeCell ref="L792:P792"/>
    <mergeCell ref="Q792:W792"/>
    <mergeCell ref="G1:K1"/>
    <mergeCell ref="L1:P1"/>
    <mergeCell ref="Q1:W1"/>
    <mergeCell ref="X1:AB1"/>
    <mergeCell ref="AC1:AG1"/>
    <mergeCell ref="AH1:AL1"/>
    <mergeCell ref="AM1:AQ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437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8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33" t="s">
        <v>127</v>
      </c>
      <c r="BR2" s="33" t="s">
        <v>128</v>
      </c>
      <c r="BS2" s="33" t="s">
        <v>129</v>
      </c>
      <c r="BT2" s="33" t="s">
        <v>130</v>
      </c>
      <c r="BU2" s="33" t="s">
        <v>131</v>
      </c>
    </row>
    <row r="3" ht="21.75" customHeight="1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144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137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137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73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73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3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137"/>
      <c r="BR232" s="137"/>
      <c r="BS232" s="137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2">
        <f>IFERROR(__xludf.DUMMYFUNCTION("""COMPUTED_VALUE"""),254.0)</f>
        <v>254</v>
      </c>
      <c r="B238" s="4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2"/>
      <c r="R238" s="12"/>
      <c r="S238" s="12"/>
      <c r="T238" s="12"/>
      <c r="U238" s="12"/>
      <c r="V238" s="12"/>
      <c r="W238" s="12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15" t="str">
        <f>IFERROR(__xludf.DUMMYFUNCTION("""COMPUTED_VALUE"""),"IBALLA")</f>
        <v>IBALLA</v>
      </c>
      <c r="F240" s="15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17"/>
      <c r="F241" s="1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17" t="str">
        <f>IFERROR(__xludf.DUMMYFUNCTION("""COMPUTED_VALUE"""),"VILLACRUSIS")</f>
        <v>VILLACRUSIS</v>
      </c>
      <c r="F242" s="1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17" t="str">
        <f>IFERROR(__xludf.DUMMYFUNCTION("""COMPUTED_VALUE"""),"IBALLA")</f>
        <v>IBALLA</v>
      </c>
      <c r="F243" s="1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7" t="str">
        <f>IFERROR(__xludf.DUMMYFUNCTION("""COMPUTED_VALUE"""),"PUZALAN")</f>
        <v>PUZALAN</v>
      </c>
      <c r="F244" s="1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17"/>
      <c r="F245" s="1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L456" s="7"/>
      <c r="Q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22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  <mergeCell ref="L792:P792"/>
    <mergeCell ref="Q792:W792"/>
    <mergeCell ref="G456:K456"/>
    <mergeCell ref="L456:P456"/>
    <mergeCell ref="Q456:W456"/>
    <mergeCell ref="G698:K698"/>
    <mergeCell ref="L698:P698"/>
    <mergeCell ref="Q698:W698"/>
    <mergeCell ref="G792:K79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448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45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146" t="s">
        <v>127</v>
      </c>
      <c r="BR2" s="146" t="s">
        <v>128</v>
      </c>
      <c r="BS2" s="146" t="s">
        <v>129</v>
      </c>
      <c r="BT2" s="146" t="s">
        <v>130</v>
      </c>
      <c r="BU2" s="146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73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73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3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50"/>
      <c r="BR232" s="50"/>
      <c r="BS232" s="50"/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2">
        <f>IFERROR(__xludf.DUMMYFUNCTION("""COMPUTED_VALUE"""),254.0)</f>
        <v>254</v>
      </c>
      <c r="B238" s="4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2"/>
      <c r="R238" s="12"/>
      <c r="S238" s="12"/>
      <c r="T238" s="12"/>
      <c r="U238" s="12"/>
      <c r="V238" s="12"/>
      <c r="W238" s="12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15" t="str">
        <f>IFERROR(__xludf.DUMMYFUNCTION("""COMPUTED_VALUE"""),"IBALLA")</f>
        <v>IBALLA</v>
      </c>
      <c r="F240" s="15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17"/>
      <c r="F241" s="1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17" t="str">
        <f>IFERROR(__xludf.DUMMYFUNCTION("""COMPUTED_VALUE"""),"VILLACRUSIS")</f>
        <v>VILLACRUSIS</v>
      </c>
      <c r="F242" s="1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17" t="str">
        <f>IFERROR(__xludf.DUMMYFUNCTION("""COMPUTED_VALUE"""),"IBALLA")</f>
        <v>IBALLA</v>
      </c>
      <c r="F243" s="1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7" t="str">
        <f>IFERROR(__xludf.DUMMYFUNCTION("""COMPUTED_VALUE"""),"PUZALAN")</f>
        <v>PUZALAN</v>
      </c>
      <c r="F244" s="1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17"/>
      <c r="F245" s="1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G357" s="13"/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I410" s="13"/>
      <c r="L410" s="13" t="b">
        <v>0</v>
      </c>
      <c r="N410" s="13" t="b">
        <v>0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I411" s="13"/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I412" s="13"/>
      <c r="Q412" s="13"/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L456" s="7"/>
      <c r="Q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22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  <mergeCell ref="L792:P792"/>
    <mergeCell ref="Q792:W792"/>
    <mergeCell ref="G456:K456"/>
    <mergeCell ref="L456:P456"/>
    <mergeCell ref="Q456:W456"/>
    <mergeCell ref="G698:K698"/>
    <mergeCell ref="L698:P698"/>
    <mergeCell ref="Q698:W698"/>
    <mergeCell ref="G792:K79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456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45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146" t="s">
        <v>127</v>
      </c>
      <c r="BR2" s="146" t="s">
        <v>128</v>
      </c>
      <c r="BS2" s="146" t="s">
        <v>129</v>
      </c>
      <c r="BT2" s="146" t="s">
        <v>130</v>
      </c>
      <c r="BU2" s="146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73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73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3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50" t="s">
        <v>720</v>
      </c>
      <c r="BR232" s="50" t="s">
        <v>722</v>
      </c>
      <c r="BS232" s="50" t="s">
        <v>724</v>
      </c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2">
        <f>IFERROR(__xludf.DUMMYFUNCTION("""COMPUTED_VALUE"""),254.0)</f>
        <v>254</v>
      </c>
      <c r="B238" s="4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2"/>
      <c r="R238" s="12"/>
      <c r="S238" s="12"/>
      <c r="T238" s="12"/>
      <c r="U238" s="12"/>
      <c r="V238" s="12"/>
      <c r="W238" s="12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15" t="str">
        <f>IFERROR(__xludf.DUMMYFUNCTION("""COMPUTED_VALUE"""),"IBALLA")</f>
        <v>IBALLA</v>
      </c>
      <c r="F240" s="15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17"/>
      <c r="F241" s="1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17" t="str">
        <f>IFERROR(__xludf.DUMMYFUNCTION("""COMPUTED_VALUE"""),"VILLACRUSIS")</f>
        <v>VILLACRUSIS</v>
      </c>
      <c r="F242" s="1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17" t="str">
        <f>IFERROR(__xludf.DUMMYFUNCTION("""COMPUTED_VALUE"""),"IBALLA")</f>
        <v>IBALLA</v>
      </c>
      <c r="F243" s="1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7" t="str">
        <f>IFERROR(__xludf.DUMMYFUNCTION("""COMPUTED_VALUE"""),"PUZALAN")</f>
        <v>PUZALAN</v>
      </c>
      <c r="F244" s="1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17"/>
      <c r="F245" s="1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L456" s="7"/>
      <c r="Q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Q457" s="13"/>
      <c r="R457" s="13"/>
      <c r="S457" s="13"/>
      <c r="T457" s="13"/>
      <c r="U457" s="13"/>
      <c r="V457" s="13"/>
      <c r="W457" s="13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Q699" s="13"/>
      <c r="R699" s="13"/>
      <c r="S699" s="13"/>
      <c r="T699" s="13"/>
      <c r="U699" s="13"/>
      <c r="V699" s="13"/>
      <c r="W699" s="13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22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  <mergeCell ref="L792:P792"/>
    <mergeCell ref="Q792:W792"/>
    <mergeCell ref="G456:K456"/>
    <mergeCell ref="L456:P456"/>
    <mergeCell ref="Q456:W456"/>
    <mergeCell ref="G698:K698"/>
    <mergeCell ref="L698:P698"/>
    <mergeCell ref="Q698:W698"/>
    <mergeCell ref="G792:K79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466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45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146" t="s">
        <v>127</v>
      </c>
      <c r="BR2" s="146" t="s">
        <v>128</v>
      </c>
      <c r="BS2" s="146" t="s">
        <v>129</v>
      </c>
      <c r="BT2" s="146" t="s">
        <v>130</v>
      </c>
      <c r="BU2" s="146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X77" s="13"/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73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73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3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50" t="s">
        <v>720</v>
      </c>
      <c r="BR232" s="50" t="s">
        <v>722</v>
      </c>
      <c r="BS232" s="50" t="s">
        <v>724</v>
      </c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2">
        <f>IFERROR(__xludf.DUMMYFUNCTION("""COMPUTED_VALUE"""),254.0)</f>
        <v>254</v>
      </c>
      <c r="B238" s="4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2"/>
      <c r="R238" s="12"/>
      <c r="S238" s="12"/>
      <c r="T238" s="12"/>
      <c r="U238" s="12"/>
      <c r="V238" s="12"/>
      <c r="W238" s="12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15" t="str">
        <f>IFERROR(__xludf.DUMMYFUNCTION("""COMPUTED_VALUE"""),"IBALLA")</f>
        <v>IBALLA</v>
      </c>
      <c r="F240" s="15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17"/>
      <c r="F241" s="1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17" t="str">
        <f>IFERROR(__xludf.DUMMYFUNCTION("""COMPUTED_VALUE"""),"VILLACRUSIS")</f>
        <v>VILLACRUSIS</v>
      </c>
      <c r="F242" s="1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17" t="str">
        <f>IFERROR(__xludf.DUMMYFUNCTION("""COMPUTED_VALUE"""),"IBALLA")</f>
        <v>IBALLA</v>
      </c>
      <c r="F243" s="1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7" t="str">
        <f>IFERROR(__xludf.DUMMYFUNCTION("""COMPUTED_VALUE"""),"PUZALAN")</f>
        <v>PUZALAN</v>
      </c>
      <c r="F244" s="1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17"/>
      <c r="F245" s="1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L456" s="7"/>
      <c r="Q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Q457" s="13"/>
      <c r="R457" s="13"/>
      <c r="S457" s="13"/>
      <c r="T457" s="13"/>
      <c r="U457" s="13"/>
      <c r="V457" s="13"/>
      <c r="W457" s="13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Q699" s="13"/>
      <c r="R699" s="13"/>
      <c r="S699" s="13"/>
      <c r="T699" s="13"/>
      <c r="U699" s="13"/>
      <c r="V699" s="13"/>
      <c r="W699" s="13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22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  <mergeCell ref="L792:P792"/>
    <mergeCell ref="Q792:W792"/>
    <mergeCell ref="G456:K456"/>
    <mergeCell ref="L456:P456"/>
    <mergeCell ref="Q456:W456"/>
    <mergeCell ref="G698:K698"/>
    <mergeCell ref="L698:P698"/>
    <mergeCell ref="Q698:W698"/>
    <mergeCell ref="G792:K79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2" max="22" width="16.29"/>
    <col customWidth="1" min="23" max="23" width="16.14"/>
  </cols>
  <sheetData>
    <row r="1">
      <c r="A1" s="2" t="s">
        <v>2</v>
      </c>
      <c r="B1" s="4" t="s">
        <v>480</v>
      </c>
      <c r="G1" s="8" t="s">
        <v>9</v>
      </c>
      <c r="H1" s="9"/>
      <c r="I1" s="9"/>
      <c r="J1" s="9"/>
      <c r="K1" s="10"/>
      <c r="L1" s="8" t="s">
        <v>18</v>
      </c>
      <c r="M1" s="9"/>
      <c r="N1" s="9"/>
      <c r="O1" s="9"/>
      <c r="P1" s="10"/>
      <c r="Q1" s="14" t="s">
        <v>19</v>
      </c>
      <c r="R1" s="9"/>
      <c r="S1" s="9"/>
      <c r="T1" s="9"/>
      <c r="U1" s="9"/>
      <c r="V1" s="9"/>
      <c r="W1" s="10"/>
      <c r="X1" s="18" t="s">
        <v>21</v>
      </c>
      <c r="Y1" s="9"/>
      <c r="Z1" s="9"/>
      <c r="AA1" s="9"/>
      <c r="AB1" s="10"/>
      <c r="AC1" s="18" t="s">
        <v>24</v>
      </c>
      <c r="AD1" s="9"/>
      <c r="AE1" s="9"/>
      <c r="AF1" s="9"/>
      <c r="AG1" s="10"/>
      <c r="AH1" s="18" t="s">
        <v>27</v>
      </c>
      <c r="AI1" s="9"/>
      <c r="AJ1" s="9"/>
      <c r="AK1" s="9"/>
      <c r="AL1" s="10"/>
      <c r="AM1" s="18" t="s">
        <v>28</v>
      </c>
      <c r="AN1" s="9"/>
      <c r="AO1" s="9"/>
      <c r="AP1" s="9"/>
      <c r="AQ1" s="10"/>
      <c r="AR1" s="18" t="s">
        <v>29</v>
      </c>
      <c r="AS1" s="9"/>
      <c r="AT1" s="9"/>
      <c r="AU1" s="9"/>
      <c r="AV1" s="10"/>
      <c r="AW1" s="18" t="s">
        <v>30</v>
      </c>
      <c r="AX1" s="9"/>
      <c r="AY1" s="9"/>
      <c r="AZ1" s="9"/>
      <c r="BA1" s="10"/>
      <c r="BB1" s="18" t="s">
        <v>31</v>
      </c>
      <c r="BC1" s="9"/>
      <c r="BD1" s="9"/>
      <c r="BE1" s="9"/>
      <c r="BF1" s="10"/>
      <c r="BG1" s="18" t="s">
        <v>33</v>
      </c>
      <c r="BH1" s="9"/>
      <c r="BI1" s="9"/>
      <c r="BJ1" s="9"/>
      <c r="BK1" s="10"/>
      <c r="BL1" s="18" t="s">
        <v>36</v>
      </c>
      <c r="BM1" s="9"/>
      <c r="BN1" s="9"/>
      <c r="BO1" s="9"/>
      <c r="BP1" s="10"/>
      <c r="BQ1" s="145" t="s">
        <v>40</v>
      </c>
      <c r="BR1" s="9"/>
      <c r="BS1" s="9"/>
      <c r="BT1" s="9"/>
      <c r="BU1" s="10"/>
    </row>
    <row r="2">
      <c r="A2" s="13" t="s">
        <v>0</v>
      </c>
      <c r="B2" s="13" t="s">
        <v>20</v>
      </c>
      <c r="C2" s="13" t="s">
        <v>22</v>
      </c>
      <c r="D2" s="13" t="s">
        <v>23</v>
      </c>
      <c r="E2" s="13" t="s">
        <v>1</v>
      </c>
      <c r="F2" s="13" t="s">
        <v>3</v>
      </c>
      <c r="G2" s="26" t="s">
        <v>46</v>
      </c>
      <c r="H2" s="29" t="s">
        <v>49</v>
      </c>
      <c r="I2" s="29" t="s">
        <v>50</v>
      </c>
      <c r="J2" s="31" t="s">
        <v>53</v>
      </c>
      <c r="K2" s="31" t="s">
        <v>54</v>
      </c>
      <c r="L2" s="33" t="s">
        <v>55</v>
      </c>
      <c r="M2" s="31" t="s">
        <v>58</v>
      </c>
      <c r="N2" s="31" t="s">
        <v>59</v>
      </c>
      <c r="O2" s="31" t="s">
        <v>60</v>
      </c>
      <c r="P2" s="35" t="s">
        <v>61</v>
      </c>
      <c r="Q2" s="36" t="s">
        <v>64</v>
      </c>
      <c r="R2" s="37" t="s">
        <v>65</v>
      </c>
      <c r="S2" s="37" t="s">
        <v>66</v>
      </c>
      <c r="T2" s="37" t="s">
        <v>68</v>
      </c>
      <c r="U2" s="37" t="s">
        <v>69</v>
      </c>
      <c r="V2" s="37" t="s">
        <v>70</v>
      </c>
      <c r="W2" s="40" t="s">
        <v>71</v>
      </c>
      <c r="X2" s="33" t="s">
        <v>72</v>
      </c>
      <c r="Y2" s="33" t="s">
        <v>74</v>
      </c>
      <c r="Z2" s="33" t="s">
        <v>76</v>
      </c>
      <c r="AA2" s="33" t="s">
        <v>77</v>
      </c>
      <c r="AB2" s="33" t="s">
        <v>78</v>
      </c>
      <c r="AC2" s="33" t="s">
        <v>79</v>
      </c>
      <c r="AD2" s="33" t="s">
        <v>80</v>
      </c>
      <c r="AE2" s="33" t="s">
        <v>81</v>
      </c>
      <c r="AF2" s="33" t="s">
        <v>82</v>
      </c>
      <c r="AG2" s="33" t="s">
        <v>83</v>
      </c>
      <c r="AH2" s="33" t="s">
        <v>84</v>
      </c>
      <c r="AI2" s="33" t="s">
        <v>85</v>
      </c>
      <c r="AJ2" s="33" t="s">
        <v>87</v>
      </c>
      <c r="AK2" s="33" t="s">
        <v>89</v>
      </c>
      <c r="AL2" s="33" t="s">
        <v>90</v>
      </c>
      <c r="AM2" s="33" t="s">
        <v>91</v>
      </c>
      <c r="AN2" s="33" t="s">
        <v>92</v>
      </c>
      <c r="AO2" s="33" t="s">
        <v>93</v>
      </c>
      <c r="AP2" s="33" t="s">
        <v>94</v>
      </c>
      <c r="AQ2" s="33" t="s">
        <v>95</v>
      </c>
      <c r="AR2" s="33" t="s">
        <v>96</v>
      </c>
      <c r="AS2" s="33" t="s">
        <v>98</v>
      </c>
      <c r="AT2" s="33" t="s">
        <v>100</v>
      </c>
      <c r="AU2" s="33" t="s">
        <v>101</v>
      </c>
      <c r="AV2" s="33" t="s">
        <v>102</v>
      </c>
      <c r="AW2" s="33" t="s">
        <v>103</v>
      </c>
      <c r="AX2" s="33" t="s">
        <v>104</v>
      </c>
      <c r="AY2" s="33" t="s">
        <v>105</v>
      </c>
      <c r="AZ2" s="33" t="s">
        <v>106</v>
      </c>
      <c r="BA2" s="33" t="s">
        <v>108</v>
      </c>
      <c r="BB2" s="33" t="s">
        <v>109</v>
      </c>
      <c r="BC2" s="33" t="s">
        <v>111</v>
      </c>
      <c r="BD2" s="33" t="s">
        <v>112</v>
      </c>
      <c r="BE2" s="33" t="s">
        <v>113</v>
      </c>
      <c r="BF2" s="33" t="s">
        <v>114</v>
      </c>
      <c r="BG2" s="33" t="s">
        <v>115</v>
      </c>
      <c r="BH2" s="33" t="s">
        <v>116</v>
      </c>
      <c r="BI2" s="33" t="s">
        <v>117</v>
      </c>
      <c r="BJ2" s="33" t="s">
        <v>119</v>
      </c>
      <c r="BK2" s="33" t="s">
        <v>121</v>
      </c>
      <c r="BL2" s="33" t="s">
        <v>122</v>
      </c>
      <c r="BM2" s="33" t="s">
        <v>123</v>
      </c>
      <c r="BN2" s="33" t="s">
        <v>124</v>
      </c>
      <c r="BO2" s="33" t="s">
        <v>125</v>
      </c>
      <c r="BP2" s="33" t="s">
        <v>126</v>
      </c>
      <c r="BQ2" s="146" t="s">
        <v>127</v>
      </c>
      <c r="BR2" s="146" t="s">
        <v>128</v>
      </c>
      <c r="BS2" s="146" t="s">
        <v>129</v>
      </c>
      <c r="BT2" s="146" t="s">
        <v>130</v>
      </c>
      <c r="BU2" s="146" t="s">
        <v>131</v>
      </c>
    </row>
    <row r="3">
      <c r="A3" s="47">
        <f>IFERROR(__xludf.DUMMYFUNCTION("QUERY(MASTERLIST!A3:F943, ""SELECT *"", 0)"),1.0)</f>
        <v>1</v>
      </c>
      <c r="B3" s="47"/>
      <c r="C3" s="47">
        <f>IFERROR(__xludf.DUMMYFUNCTION("""COMPUTED_VALUE"""),1.0)</f>
        <v>1</v>
      </c>
      <c r="D3" s="47" t="b">
        <f>IFERROR(__xludf.DUMMYFUNCTION("""COMPUTED_VALUE"""),TRUE)</f>
        <v>1</v>
      </c>
      <c r="E3" s="15" t="str">
        <f>IFERROR(__xludf.DUMMYFUNCTION("""COMPUTED_VALUE"""),"SELUDO")</f>
        <v>SELUDO</v>
      </c>
      <c r="F3" s="15" t="str">
        <f>IFERROR(__xludf.DUMMYFUNCTION("""COMPUTED_VALUE"""),"MAYLA")</f>
        <v>MAYLA</v>
      </c>
      <c r="BQ3" s="49"/>
      <c r="BR3" s="49"/>
      <c r="BS3" s="49"/>
      <c r="BT3" s="50"/>
      <c r="BU3" s="50"/>
    </row>
    <row r="4">
      <c r="A4" s="47">
        <f>IFERROR(__xludf.DUMMYFUNCTION("""COMPUTED_VALUE"""),2.0)</f>
        <v>2</v>
      </c>
      <c r="B4" s="47"/>
      <c r="C4" s="47">
        <f>IFERROR(__xludf.DUMMYFUNCTION("""COMPUTED_VALUE"""),1.0)</f>
        <v>1</v>
      </c>
      <c r="D4" s="47"/>
      <c r="E4" s="17" t="str">
        <f>IFERROR(__xludf.DUMMYFUNCTION("""COMPUTED_VALUE"""),"TIALCO")</f>
        <v>TIALCO</v>
      </c>
      <c r="F4" s="19" t="str">
        <f>IFERROR(__xludf.DUMMYFUNCTION("""COMPUTED_VALUE"""),"TESS")</f>
        <v>TESS</v>
      </c>
      <c r="BQ4" s="50"/>
      <c r="BR4" s="50"/>
      <c r="BS4" s="50"/>
      <c r="BT4" s="50"/>
      <c r="BU4" s="50"/>
    </row>
    <row r="5">
      <c r="A5" s="47">
        <f>IFERROR(__xludf.DUMMYFUNCTION("""COMPUTED_VALUE"""),3.0)</f>
        <v>3</v>
      </c>
      <c r="B5" s="47"/>
      <c r="C5" s="47">
        <f>IFERROR(__xludf.DUMMYFUNCTION("""COMPUTED_VALUE"""),1.0)</f>
        <v>1</v>
      </c>
      <c r="D5" s="47"/>
      <c r="E5" s="17" t="str">
        <f>IFERROR(__xludf.DUMMYFUNCTION("""COMPUTED_VALUE"""),"TOLENTINO")</f>
        <v>TOLENTINO</v>
      </c>
      <c r="F5" s="19" t="str">
        <f>IFERROR(__xludf.DUMMYFUNCTION("""COMPUTED_VALUE"""),"JANET")</f>
        <v>JANET</v>
      </c>
      <c r="BQ5" s="50"/>
      <c r="BR5" s="50"/>
      <c r="BS5" s="50"/>
      <c r="BT5" s="50"/>
      <c r="BU5" s="50"/>
    </row>
    <row r="6">
      <c r="A6" s="47">
        <f>IFERROR(__xludf.DUMMYFUNCTION("""COMPUTED_VALUE"""),4.0)</f>
        <v>4</v>
      </c>
      <c r="B6" s="47"/>
      <c r="C6" s="47">
        <f>IFERROR(__xludf.DUMMYFUNCTION("""COMPUTED_VALUE"""),1.0)</f>
        <v>1</v>
      </c>
      <c r="D6" s="47"/>
      <c r="E6" s="19" t="str">
        <f>IFERROR(__xludf.DUMMYFUNCTION("""COMPUTED_VALUE"""),"PRESTADO")</f>
        <v>PRESTADO</v>
      </c>
      <c r="F6" s="19" t="str">
        <f>IFERROR(__xludf.DUMMYFUNCTION("""COMPUTED_VALUE"""),"JOSEA")</f>
        <v>JOSEA</v>
      </c>
      <c r="BQ6" s="50"/>
      <c r="BR6" s="50"/>
      <c r="BS6" s="50"/>
      <c r="BT6" s="50"/>
      <c r="BU6" s="50"/>
    </row>
    <row r="7">
      <c r="A7" s="47">
        <f>IFERROR(__xludf.DUMMYFUNCTION("""COMPUTED_VALUE"""),5.0)</f>
        <v>5</v>
      </c>
      <c r="B7" s="47"/>
      <c r="C7" s="47">
        <f>IFERROR(__xludf.DUMMYFUNCTION("""COMPUTED_VALUE"""),1.0)</f>
        <v>1</v>
      </c>
      <c r="D7" s="47"/>
      <c r="E7" s="19" t="str">
        <f>IFERROR(__xludf.DUMMYFUNCTION("""COMPUTED_VALUE"""),"OJEDA")</f>
        <v>OJEDA</v>
      </c>
      <c r="F7" s="19" t="str">
        <f>IFERROR(__xludf.DUMMYFUNCTION("""COMPUTED_VALUE"""),"GEMMA")</f>
        <v>GEMMA</v>
      </c>
      <c r="BQ7" s="50"/>
      <c r="BR7" s="50"/>
      <c r="BS7" s="50"/>
      <c r="BT7" s="50"/>
      <c r="BU7" s="50"/>
    </row>
    <row r="8">
      <c r="A8" s="47">
        <f>IFERROR(__xludf.DUMMYFUNCTION("""COMPUTED_VALUE"""),6.0)</f>
        <v>6</v>
      </c>
      <c r="B8" s="47"/>
      <c r="C8" s="47">
        <f>IFERROR(__xludf.DUMMYFUNCTION("""COMPUTED_VALUE"""),1.0)</f>
        <v>1</v>
      </c>
      <c r="D8" s="47"/>
      <c r="E8" s="19" t="str">
        <f>IFERROR(__xludf.DUMMYFUNCTION("""COMPUTED_VALUE"""),"SANTOS")</f>
        <v>SANTOS</v>
      </c>
      <c r="F8" s="19" t="str">
        <f>IFERROR(__xludf.DUMMYFUNCTION("""COMPUTED_VALUE"""),"LOTLOT")</f>
        <v>LOTLOT</v>
      </c>
      <c r="BQ8" s="50"/>
      <c r="BR8" s="50"/>
      <c r="BS8" s="50"/>
      <c r="BT8" s="50"/>
      <c r="BU8" s="50"/>
    </row>
    <row r="9">
      <c r="A9" s="47">
        <f>IFERROR(__xludf.DUMMYFUNCTION("""COMPUTED_VALUE"""),7.0)</f>
        <v>7</v>
      </c>
      <c r="B9" s="47"/>
      <c r="C9" s="47">
        <f>IFERROR(__xludf.DUMMYFUNCTION("""COMPUTED_VALUE"""),1.0)</f>
        <v>1</v>
      </c>
      <c r="D9" s="47"/>
      <c r="E9" s="19" t="str">
        <f>IFERROR(__xludf.DUMMYFUNCTION("""COMPUTED_VALUE"""),"LETABAN")</f>
        <v>LETABAN</v>
      </c>
      <c r="F9" s="19" t="str">
        <f>IFERROR(__xludf.DUMMYFUNCTION("""COMPUTED_VALUE"""),"RACHEL")</f>
        <v>RACHEL</v>
      </c>
      <c r="BQ9" s="50"/>
      <c r="BR9" s="50"/>
      <c r="BS9" s="50"/>
      <c r="BT9" s="50"/>
      <c r="BU9" s="50"/>
    </row>
    <row r="10">
      <c r="A10" s="47">
        <f>IFERROR(__xludf.DUMMYFUNCTION("""COMPUTED_VALUE"""),8.0)</f>
        <v>8</v>
      </c>
      <c r="B10" s="47"/>
      <c r="C10" s="47">
        <f>IFERROR(__xludf.DUMMYFUNCTION("""COMPUTED_VALUE"""),1.0)</f>
        <v>1</v>
      </c>
      <c r="D10" s="47"/>
      <c r="E10" s="19" t="str">
        <f>IFERROR(__xludf.DUMMYFUNCTION("""COMPUTED_VALUE"""),"MOSTAIRO")</f>
        <v>MOSTAIRO</v>
      </c>
      <c r="F10" s="19" t="str">
        <f>IFERROR(__xludf.DUMMYFUNCTION("""COMPUTED_VALUE"""),"LOURDES")</f>
        <v>LOURDES</v>
      </c>
      <c r="BQ10" s="50"/>
      <c r="BR10" s="50"/>
      <c r="BS10" s="50"/>
      <c r="BT10" s="50"/>
      <c r="BU10" s="50"/>
    </row>
    <row r="11">
      <c r="A11" s="47">
        <f>IFERROR(__xludf.DUMMYFUNCTION("""COMPUTED_VALUE"""),9.0)</f>
        <v>9</v>
      </c>
      <c r="B11" s="47"/>
      <c r="C11" s="47">
        <f>IFERROR(__xludf.DUMMYFUNCTION("""COMPUTED_VALUE"""),1.0)</f>
        <v>1</v>
      </c>
      <c r="D11" s="47"/>
      <c r="E11" s="19" t="str">
        <f>IFERROR(__xludf.DUMMYFUNCTION("""COMPUTED_VALUE"""),"SANTOS")</f>
        <v>SANTOS</v>
      </c>
      <c r="F11" s="19" t="str">
        <f>IFERROR(__xludf.DUMMYFUNCTION("""COMPUTED_VALUE"""),"JACKIE")</f>
        <v>JACKIE</v>
      </c>
      <c r="BQ11" s="50"/>
      <c r="BR11" s="50"/>
      <c r="BS11" s="50"/>
      <c r="BT11" s="50"/>
      <c r="BU11" s="50"/>
    </row>
    <row r="12">
      <c r="A12" s="47">
        <f>IFERROR(__xludf.DUMMYFUNCTION("""COMPUTED_VALUE"""),10.0)</f>
        <v>10</v>
      </c>
      <c r="B12" s="47"/>
      <c r="C12" s="47">
        <f>IFERROR(__xludf.DUMMYFUNCTION("""COMPUTED_VALUE"""),1.0)</f>
        <v>1</v>
      </c>
      <c r="D12" s="47"/>
      <c r="E12" s="19" t="str">
        <f>IFERROR(__xludf.DUMMYFUNCTION("""COMPUTED_VALUE"""),"PADEL")</f>
        <v>PADEL</v>
      </c>
      <c r="F12" s="19" t="str">
        <f>IFERROR(__xludf.DUMMYFUNCTION("""COMPUTED_VALUE"""),"ANA")</f>
        <v>ANA</v>
      </c>
      <c r="BQ12" s="50"/>
      <c r="BR12" s="50"/>
      <c r="BS12" s="50"/>
      <c r="BT12" s="50"/>
      <c r="BU12" s="50"/>
    </row>
    <row r="13">
      <c r="A13" s="47">
        <f>IFERROR(__xludf.DUMMYFUNCTION("""COMPUTED_VALUE"""),11.0)</f>
        <v>11</v>
      </c>
      <c r="B13" s="47"/>
      <c r="C13" s="47">
        <f>IFERROR(__xludf.DUMMYFUNCTION("""COMPUTED_VALUE"""),1.0)</f>
        <v>1</v>
      </c>
      <c r="D13" s="47"/>
      <c r="E13" s="19" t="str">
        <f>IFERROR(__xludf.DUMMYFUNCTION("""COMPUTED_VALUE"""),"AUGUSTO")</f>
        <v>AUGUSTO</v>
      </c>
      <c r="F13" s="19" t="str">
        <f>IFERROR(__xludf.DUMMYFUNCTION("""COMPUTED_VALUE"""),"LEONOR")</f>
        <v>LEONOR</v>
      </c>
      <c r="BQ13" s="50"/>
      <c r="BR13" s="50"/>
      <c r="BS13" s="50"/>
      <c r="BT13" s="50"/>
      <c r="BU13" s="50"/>
    </row>
    <row r="14">
      <c r="A14" s="47">
        <f>IFERROR(__xludf.DUMMYFUNCTION("""COMPUTED_VALUE"""),12.0)</f>
        <v>12</v>
      </c>
      <c r="B14" s="47"/>
      <c r="C14" s="47">
        <f>IFERROR(__xludf.DUMMYFUNCTION("""COMPUTED_VALUE"""),1.0)</f>
        <v>1</v>
      </c>
      <c r="D14" s="47"/>
      <c r="E14" s="19" t="str">
        <f>IFERROR(__xludf.DUMMYFUNCTION("""COMPUTED_VALUE"""),"CAGALO")</f>
        <v>CAGALO</v>
      </c>
      <c r="F14" s="19" t="str">
        <f>IFERROR(__xludf.DUMMYFUNCTION("""COMPUTED_VALUE"""),"MARLYN")</f>
        <v>MARLYN</v>
      </c>
      <c r="BQ14" s="50"/>
      <c r="BR14" s="50"/>
      <c r="BS14" s="50"/>
      <c r="BT14" s="50"/>
      <c r="BU14" s="50"/>
    </row>
    <row r="15">
      <c r="A15" s="47">
        <f>IFERROR(__xludf.DUMMYFUNCTION("""COMPUTED_VALUE"""),13.0)</f>
        <v>13</v>
      </c>
      <c r="B15" s="47"/>
      <c r="C15" s="47">
        <f>IFERROR(__xludf.DUMMYFUNCTION("""COMPUTED_VALUE"""),1.0)</f>
        <v>1</v>
      </c>
      <c r="D15" s="47"/>
      <c r="E15" s="19" t="str">
        <f>IFERROR(__xludf.DUMMYFUNCTION("""COMPUTED_VALUE"""),"CORTEZ")</f>
        <v>CORTEZ</v>
      </c>
      <c r="F15" s="19" t="str">
        <f>IFERROR(__xludf.DUMMYFUNCTION("""COMPUTED_VALUE"""),"MIRANI")</f>
        <v>MIRANI</v>
      </c>
      <c r="BQ15" s="50"/>
      <c r="BR15" s="50"/>
      <c r="BS15" s="50"/>
      <c r="BT15" s="50"/>
      <c r="BU15" s="50"/>
    </row>
    <row r="16">
      <c r="A16" s="47">
        <f>IFERROR(__xludf.DUMMYFUNCTION("""COMPUTED_VALUE"""),14.0)</f>
        <v>14</v>
      </c>
      <c r="B16" s="47"/>
      <c r="C16" s="47">
        <f>IFERROR(__xludf.DUMMYFUNCTION("""COMPUTED_VALUE"""),1.0)</f>
        <v>1</v>
      </c>
      <c r="D16" s="47"/>
      <c r="E16" s="19" t="str">
        <f>IFERROR(__xludf.DUMMYFUNCTION("""COMPUTED_VALUE"""),"ACOB")</f>
        <v>ACOB</v>
      </c>
      <c r="F16" s="19" t="str">
        <f>IFERROR(__xludf.DUMMYFUNCTION("""COMPUTED_VALUE"""),"BENJIE")</f>
        <v>BENJIE</v>
      </c>
      <c r="BQ16" s="50"/>
      <c r="BR16" s="50"/>
      <c r="BS16" s="50"/>
      <c r="BT16" s="50"/>
      <c r="BU16" s="50"/>
    </row>
    <row r="17">
      <c r="A17" s="47">
        <f>IFERROR(__xludf.DUMMYFUNCTION("""COMPUTED_VALUE"""),15.0)</f>
        <v>15</v>
      </c>
      <c r="B17" s="47"/>
      <c r="C17" s="47">
        <f>IFERROR(__xludf.DUMMYFUNCTION("""COMPUTED_VALUE"""),1.0)</f>
        <v>1</v>
      </c>
      <c r="D17" s="47"/>
      <c r="E17" s="21" t="str">
        <f>IFERROR(__xludf.DUMMYFUNCTION("""COMPUTED_VALUE"""),"SALANGA")</f>
        <v>SALANGA</v>
      </c>
      <c r="F17" s="21" t="str">
        <f>IFERROR(__xludf.DUMMYFUNCTION("""COMPUTED_VALUE"""),"GINA")</f>
        <v>GINA</v>
      </c>
      <c r="BQ17" s="50"/>
      <c r="BR17" s="50"/>
      <c r="BS17" s="50"/>
      <c r="BT17" s="50"/>
      <c r="BU17" s="50"/>
    </row>
    <row r="18">
      <c r="A18" s="47">
        <f>IFERROR(__xludf.DUMMYFUNCTION("""COMPUTED_VALUE"""),16.0)</f>
        <v>16</v>
      </c>
      <c r="B18" s="47"/>
      <c r="C18" s="47">
        <f>IFERROR(__xludf.DUMMYFUNCTION("""COMPUTED_VALUE"""),1.0)</f>
        <v>1</v>
      </c>
      <c r="D18" s="47"/>
      <c r="E18" s="19" t="str">
        <f>IFERROR(__xludf.DUMMYFUNCTION("""COMPUTED_VALUE"""),"BERNAL")</f>
        <v>BERNAL</v>
      </c>
      <c r="F18" s="19" t="str">
        <f>IFERROR(__xludf.DUMMYFUNCTION("""COMPUTED_VALUE"""),"HELEN")</f>
        <v>HELEN</v>
      </c>
      <c r="BQ18" s="50"/>
      <c r="BR18" s="50"/>
      <c r="BS18" s="50"/>
      <c r="BT18" s="50"/>
      <c r="BU18" s="50"/>
    </row>
    <row r="19">
      <c r="A19" s="47">
        <f>IFERROR(__xludf.DUMMYFUNCTION("""COMPUTED_VALUE"""),17.0)</f>
        <v>17</v>
      </c>
      <c r="B19" s="47"/>
      <c r="C19" s="47">
        <f>IFERROR(__xludf.DUMMYFUNCTION("""COMPUTED_VALUE"""),1.0)</f>
        <v>1</v>
      </c>
      <c r="D19" s="47"/>
      <c r="E19" s="19" t="str">
        <f>IFERROR(__xludf.DUMMYFUNCTION("""COMPUTED_VALUE"""),"ORTEGA")</f>
        <v>ORTEGA</v>
      </c>
      <c r="F19" s="19" t="str">
        <f>IFERROR(__xludf.DUMMYFUNCTION("""COMPUTED_VALUE"""),"MARIA")</f>
        <v>MARIA</v>
      </c>
      <c r="BQ19" s="50"/>
      <c r="BR19" s="50"/>
      <c r="BS19" s="50"/>
      <c r="BT19" s="50"/>
      <c r="BU19" s="50"/>
    </row>
    <row r="20">
      <c r="A20" s="47">
        <f>IFERROR(__xludf.DUMMYFUNCTION("""COMPUTED_VALUE"""),19.0)</f>
        <v>19</v>
      </c>
      <c r="B20" s="47"/>
      <c r="C20" s="47">
        <f>IFERROR(__xludf.DUMMYFUNCTION("""COMPUTED_VALUE"""),19.0)</f>
        <v>19</v>
      </c>
      <c r="D20" s="47" t="b">
        <f>IFERROR(__xludf.DUMMYFUNCTION("""COMPUTED_VALUE"""),TRUE)</f>
        <v>1</v>
      </c>
      <c r="E20" s="19" t="str">
        <f>IFERROR(__xludf.DUMMYFUNCTION("""COMPUTED_VALUE"""),"DOMINGO")</f>
        <v>DOMINGO</v>
      </c>
      <c r="F20" s="19" t="str">
        <f>IFERROR(__xludf.DUMMYFUNCTION("""COMPUTED_VALUE"""),"PEARL")</f>
        <v>PEARL</v>
      </c>
      <c r="BQ20" s="50"/>
      <c r="BR20" s="50"/>
      <c r="BS20" s="50"/>
      <c r="BT20" s="50"/>
      <c r="BU20" s="50"/>
    </row>
    <row r="21">
      <c r="A21" s="47">
        <f>IFERROR(__xludf.DUMMYFUNCTION("""COMPUTED_VALUE"""),20.0)</f>
        <v>20</v>
      </c>
      <c r="B21" s="47"/>
      <c r="C21" s="47">
        <f>IFERROR(__xludf.DUMMYFUNCTION("""COMPUTED_VALUE"""),19.0)</f>
        <v>19</v>
      </c>
      <c r="D21" s="47"/>
      <c r="E21" s="19" t="str">
        <f>IFERROR(__xludf.DUMMYFUNCTION("""COMPUTED_VALUE"""),"SELUDO")</f>
        <v>SELUDO</v>
      </c>
      <c r="F21" s="19" t="str">
        <f>IFERROR(__xludf.DUMMYFUNCTION("""COMPUTED_VALUE"""),"RUTH")</f>
        <v>RUTH</v>
      </c>
      <c r="BQ21" s="50"/>
      <c r="BR21" s="50"/>
      <c r="BS21" s="50"/>
      <c r="BT21" s="50"/>
      <c r="BU21" s="50"/>
    </row>
    <row r="22">
      <c r="A22" s="47">
        <f>IFERROR(__xludf.DUMMYFUNCTION("""COMPUTED_VALUE"""),22.0)</f>
        <v>22</v>
      </c>
      <c r="B22" s="47"/>
      <c r="C22" s="47">
        <f>IFERROR(__xludf.DUMMYFUNCTION("""COMPUTED_VALUE"""),19.0)</f>
        <v>19</v>
      </c>
      <c r="D22" s="47"/>
      <c r="E22" s="19" t="str">
        <f>IFERROR(__xludf.DUMMYFUNCTION("""COMPUTED_VALUE"""),"NOGUERA")</f>
        <v>NOGUERA</v>
      </c>
      <c r="F22" s="19" t="str">
        <f>IFERROR(__xludf.DUMMYFUNCTION("""COMPUTED_VALUE"""),"JEAN VALERIE")</f>
        <v>JEAN VALERIE</v>
      </c>
      <c r="BQ22" s="50"/>
      <c r="BR22" s="50"/>
      <c r="BS22" s="50"/>
      <c r="BT22" s="50"/>
      <c r="BU22" s="50"/>
    </row>
    <row r="23">
      <c r="A23" s="47">
        <f>IFERROR(__xludf.DUMMYFUNCTION("""COMPUTED_VALUE"""),23.0)</f>
        <v>23</v>
      </c>
      <c r="B23" s="47"/>
      <c r="C23" s="47">
        <f>IFERROR(__xludf.DUMMYFUNCTION("""COMPUTED_VALUE"""),19.0)</f>
        <v>19</v>
      </c>
      <c r="D23" s="47"/>
      <c r="E23" s="23" t="str">
        <f>IFERROR(__xludf.DUMMYFUNCTION("""COMPUTED_VALUE"""),"BEJAR")</f>
        <v>BEJAR</v>
      </c>
      <c r="F23" s="19" t="str">
        <f>IFERROR(__xludf.DUMMYFUNCTION("""COMPUTED_VALUE"""),"MARY EMERALD")</f>
        <v>MARY EMERALD</v>
      </c>
      <c r="BQ23" s="50"/>
      <c r="BR23" s="50"/>
      <c r="BS23" s="50"/>
      <c r="BT23" s="50"/>
      <c r="BU23" s="50"/>
    </row>
    <row r="24">
      <c r="A24" s="47">
        <f>IFERROR(__xludf.DUMMYFUNCTION("""COMPUTED_VALUE"""),24.0)</f>
        <v>24</v>
      </c>
      <c r="B24" s="47"/>
      <c r="C24" s="47">
        <f>IFERROR(__xludf.DUMMYFUNCTION("""COMPUTED_VALUE"""),19.0)</f>
        <v>19</v>
      </c>
      <c r="D24" s="47"/>
      <c r="E24" s="24" t="str">
        <f>IFERROR(__xludf.DUMMYFUNCTION("""COMPUTED_VALUE"""),"VARGAS")</f>
        <v>VARGAS</v>
      </c>
      <c r="F24" s="24" t="str">
        <f>IFERROR(__xludf.DUMMYFUNCTION("""COMPUTED_VALUE"""),"KATHRIZ ELAINE")</f>
        <v>KATHRIZ ELAINE</v>
      </c>
      <c r="G24" s="13"/>
      <c r="L24" s="13" t="b">
        <v>0</v>
      </c>
      <c r="AR24" s="13"/>
      <c r="BQ24" s="50"/>
      <c r="BR24" s="50"/>
      <c r="BS24" s="50"/>
      <c r="BT24" s="50"/>
      <c r="BU24" s="50"/>
    </row>
    <row r="25">
      <c r="A25" s="47">
        <f>IFERROR(__xludf.DUMMYFUNCTION("""COMPUTED_VALUE"""),26.0)</f>
        <v>26</v>
      </c>
      <c r="B25" s="47"/>
      <c r="C25" s="47">
        <f>IFERROR(__xludf.DUMMYFUNCTION("""COMPUTED_VALUE"""),19.0)</f>
        <v>19</v>
      </c>
      <c r="D25" s="47"/>
      <c r="E25" s="27" t="str">
        <f>IFERROR(__xludf.DUMMYFUNCTION("""COMPUTED_VALUE"""),"ACUNA")</f>
        <v>ACUNA</v>
      </c>
      <c r="F25" s="27" t="str">
        <f>IFERROR(__xludf.DUMMYFUNCTION("""COMPUTED_VALUE"""),"PATRICIA")</f>
        <v>PATRICIA</v>
      </c>
      <c r="L25" s="13" t="b">
        <v>0</v>
      </c>
      <c r="BQ25" s="50"/>
      <c r="BR25" s="50"/>
      <c r="BS25" s="50"/>
      <c r="BT25" s="50"/>
      <c r="BU25" s="50"/>
    </row>
    <row r="26">
      <c r="A26" s="47">
        <f>IFERROR(__xludf.DUMMYFUNCTION("""COMPUTED_VALUE"""),28.0)</f>
        <v>28</v>
      </c>
      <c r="B26" s="47"/>
      <c r="C26" s="47">
        <f>IFERROR(__xludf.DUMMYFUNCTION("""COMPUTED_VALUE"""),19.0)</f>
        <v>19</v>
      </c>
      <c r="D26" s="47"/>
      <c r="E26" s="27" t="str">
        <f>IFERROR(__xludf.DUMMYFUNCTION("""COMPUTED_VALUE"""),"MORALES")</f>
        <v>MORALES</v>
      </c>
      <c r="F26" s="27" t="str">
        <f>IFERROR(__xludf.DUMMYFUNCTION("""COMPUTED_VALUE"""),"YSAY")</f>
        <v>YSAY</v>
      </c>
      <c r="BQ26" s="50"/>
      <c r="BR26" s="50"/>
      <c r="BS26" s="50"/>
      <c r="BT26" s="50"/>
      <c r="BU26" s="50"/>
    </row>
    <row r="27">
      <c r="A27" s="47">
        <f>IFERROR(__xludf.DUMMYFUNCTION("""COMPUTED_VALUE"""),30.0)</f>
        <v>30</v>
      </c>
      <c r="B27" s="47"/>
      <c r="C27" s="47">
        <f>IFERROR(__xludf.DUMMYFUNCTION("""COMPUTED_VALUE"""),19.0)</f>
        <v>19</v>
      </c>
      <c r="D27" s="47"/>
      <c r="E27" s="27" t="str">
        <f>IFERROR(__xludf.DUMMYFUNCTION("""COMPUTED_VALUE"""),"ACUNA")</f>
        <v>ACUNA</v>
      </c>
      <c r="F27" s="27" t="str">
        <f>IFERROR(__xludf.DUMMYFUNCTION("""COMPUTED_VALUE"""),"SOPHIE")</f>
        <v>SOPHIE</v>
      </c>
      <c r="BQ27" s="50"/>
      <c r="BR27" s="50"/>
      <c r="BS27" s="50"/>
      <c r="BT27" s="50"/>
      <c r="BU27" s="50"/>
    </row>
    <row r="28">
      <c r="A28" s="47">
        <f>IFERROR(__xludf.DUMMYFUNCTION("""COMPUTED_VALUE"""),31.0)</f>
        <v>31</v>
      </c>
      <c r="B28" s="47"/>
      <c r="C28" s="47">
        <f>IFERROR(__xludf.DUMMYFUNCTION("""COMPUTED_VALUE"""),19.0)</f>
        <v>19</v>
      </c>
      <c r="D28" s="47"/>
      <c r="E28" s="27" t="str">
        <f>IFERROR(__xludf.DUMMYFUNCTION("""COMPUTED_VALUE"""),"ROME")</f>
        <v>ROME</v>
      </c>
      <c r="F28" s="27" t="str">
        <f>IFERROR(__xludf.DUMMYFUNCTION("""COMPUTED_VALUE"""),"RD")</f>
        <v>RD</v>
      </c>
      <c r="BQ28" s="50"/>
      <c r="BR28" s="50"/>
      <c r="BS28" s="50"/>
      <c r="BT28" s="50"/>
      <c r="BU28" s="50"/>
    </row>
    <row r="29">
      <c r="A29" s="47">
        <f>IFERROR(__xludf.DUMMYFUNCTION("""COMPUTED_VALUE"""),32.0)</f>
        <v>32</v>
      </c>
      <c r="B29" s="47"/>
      <c r="C29" s="47">
        <f>IFERROR(__xludf.DUMMYFUNCTION("""COMPUTED_VALUE"""),19.0)</f>
        <v>19</v>
      </c>
      <c r="D29" s="47"/>
      <c r="E29" s="27" t="str">
        <f>IFERROR(__xludf.DUMMYFUNCTION("""COMPUTED_VALUE"""),"PRESTADO")</f>
        <v>PRESTADO</v>
      </c>
      <c r="F29" s="27" t="str">
        <f>IFERROR(__xludf.DUMMYFUNCTION("""COMPUTED_VALUE"""),"SAM")</f>
        <v>SAM</v>
      </c>
      <c r="BQ29" s="50"/>
      <c r="BR29" s="50"/>
      <c r="BS29" s="50"/>
      <c r="BT29" s="50"/>
      <c r="BU29" s="50"/>
    </row>
    <row r="30">
      <c r="A30" s="47">
        <f>IFERROR(__xludf.DUMMYFUNCTION("""COMPUTED_VALUE"""),34.0)</f>
        <v>34</v>
      </c>
      <c r="B30" s="47"/>
      <c r="C30" s="47">
        <f>IFERROR(__xludf.DUMMYFUNCTION("""COMPUTED_VALUE"""),19.0)</f>
        <v>19</v>
      </c>
      <c r="D30" s="47"/>
      <c r="E30" s="27" t="str">
        <f>IFERROR(__xludf.DUMMYFUNCTION("""COMPUTED_VALUE"""),"VELASCO")</f>
        <v>VELASCO</v>
      </c>
      <c r="F30" s="27" t="str">
        <f>IFERROR(__xludf.DUMMYFUNCTION("""COMPUTED_VALUE"""),"HAILEY")</f>
        <v>HAILEY</v>
      </c>
      <c r="BQ30" s="50"/>
      <c r="BR30" s="50"/>
      <c r="BS30" s="50"/>
      <c r="BT30" s="50"/>
      <c r="BU30" s="50"/>
    </row>
    <row r="31">
      <c r="A31" s="47">
        <f>IFERROR(__xludf.DUMMYFUNCTION("""COMPUTED_VALUE"""),35.0)</f>
        <v>35</v>
      </c>
      <c r="B31" s="47"/>
      <c r="C31" s="47">
        <f>IFERROR(__xludf.DUMMYFUNCTION("""COMPUTED_VALUE"""),19.0)</f>
        <v>19</v>
      </c>
      <c r="D31" s="47"/>
      <c r="E31" s="27" t="str">
        <f>IFERROR(__xludf.DUMMYFUNCTION("""COMPUTED_VALUE"""),"COMANDA")</f>
        <v>COMANDA</v>
      </c>
      <c r="F31" s="27" t="str">
        <f>IFERROR(__xludf.DUMMYFUNCTION("""COMPUTED_VALUE"""),"AMERY")</f>
        <v>AMERY</v>
      </c>
      <c r="BQ31" s="50"/>
      <c r="BR31" s="50"/>
      <c r="BS31" s="50"/>
      <c r="BT31" s="50"/>
      <c r="BU31" s="50"/>
    </row>
    <row r="32">
      <c r="A32" s="47">
        <f>IFERROR(__xludf.DUMMYFUNCTION("""COMPUTED_VALUE"""),36.0)</f>
        <v>36</v>
      </c>
      <c r="B32" s="47"/>
      <c r="C32" s="47">
        <f>IFERROR(__xludf.DUMMYFUNCTION("""COMPUTED_VALUE"""),19.0)</f>
        <v>19</v>
      </c>
      <c r="D32" s="47"/>
      <c r="E32" s="34" t="str">
        <f>IFERROR(__xludf.DUMMYFUNCTION("""COMPUTED_VALUE"""),"SERRANA")</f>
        <v>SERRANA</v>
      </c>
      <c r="F32" s="34" t="str">
        <f>IFERROR(__xludf.DUMMYFUNCTION("""COMPUTED_VALUE"""),"PAULA")</f>
        <v>PAULA</v>
      </c>
      <c r="BQ32" s="50"/>
      <c r="BR32" s="50"/>
      <c r="BS32" s="50"/>
      <c r="BT32" s="50"/>
      <c r="BU32" s="50"/>
    </row>
    <row r="33">
      <c r="A33" s="47">
        <f>IFERROR(__xludf.DUMMYFUNCTION("""COMPUTED_VALUE"""),38.0)</f>
        <v>38</v>
      </c>
      <c r="B33" s="47"/>
      <c r="C33" s="47">
        <f>IFERROR(__xludf.DUMMYFUNCTION("""COMPUTED_VALUE"""),19.0)</f>
        <v>19</v>
      </c>
      <c r="D33" s="47"/>
      <c r="E33" s="27" t="str">
        <f>IFERROR(__xludf.DUMMYFUNCTION("""COMPUTED_VALUE"""),"ORTEGA")</f>
        <v>ORTEGA</v>
      </c>
      <c r="F33" s="27" t="str">
        <f>IFERROR(__xludf.DUMMYFUNCTION("""COMPUTED_VALUE"""),"STEPH")</f>
        <v>STEPH</v>
      </c>
      <c r="BQ33" s="50"/>
      <c r="BR33" s="50"/>
      <c r="BS33" s="50"/>
      <c r="BT33" s="50"/>
      <c r="BU33" s="50"/>
    </row>
    <row r="34">
      <c r="A34" s="47">
        <f>IFERROR(__xludf.DUMMYFUNCTION("""COMPUTED_VALUE"""),39.0)</f>
        <v>39</v>
      </c>
      <c r="B34" s="47"/>
      <c r="C34" s="47">
        <f>IFERROR(__xludf.DUMMYFUNCTION("""COMPUTED_VALUE"""),19.0)</f>
        <v>19</v>
      </c>
      <c r="D34" s="47"/>
      <c r="E34" s="27" t="str">
        <f>IFERROR(__xludf.DUMMYFUNCTION("""COMPUTED_VALUE"""),"MARCELO")</f>
        <v>MARCELO</v>
      </c>
      <c r="F34" s="27" t="str">
        <f>IFERROR(__xludf.DUMMYFUNCTION("""COMPUTED_VALUE"""),"JESSICA")</f>
        <v>JESSICA</v>
      </c>
      <c r="BQ34" s="50"/>
      <c r="BR34" s="50"/>
      <c r="BS34" s="50"/>
      <c r="BT34" s="50"/>
      <c r="BU34" s="50"/>
    </row>
    <row r="35">
      <c r="A35" s="47">
        <f>IFERROR(__xludf.DUMMYFUNCTION("""COMPUTED_VALUE"""),40.0)</f>
        <v>40</v>
      </c>
      <c r="B35" s="47"/>
      <c r="C35" s="47">
        <f>IFERROR(__xludf.DUMMYFUNCTION("""COMPUTED_VALUE"""),19.0)</f>
        <v>19</v>
      </c>
      <c r="D35" s="47"/>
      <c r="E35" s="38" t="str">
        <f>IFERROR(__xludf.DUMMYFUNCTION("""COMPUTED_VALUE"""),"ARROYO")</f>
        <v>ARROYO</v>
      </c>
      <c r="F35" s="38" t="str">
        <f>IFERROR(__xludf.DUMMYFUNCTION("""COMPUTED_VALUE"""),"PRECIOUS")</f>
        <v>PRECIOUS</v>
      </c>
      <c r="BQ35" s="50"/>
      <c r="BR35" s="50"/>
      <c r="BS35" s="50"/>
      <c r="BT35" s="50"/>
      <c r="BU35" s="50"/>
    </row>
    <row r="36">
      <c r="A36" s="47">
        <f>IFERROR(__xludf.DUMMYFUNCTION("""COMPUTED_VALUE"""),41.0)</f>
        <v>41</v>
      </c>
      <c r="B36" s="47"/>
      <c r="C36" s="47">
        <f>IFERROR(__xludf.DUMMYFUNCTION("""COMPUTED_VALUE"""),19.0)</f>
        <v>19</v>
      </c>
      <c r="D36" s="47"/>
      <c r="E36" s="39" t="str">
        <f>IFERROR(__xludf.DUMMYFUNCTION("""COMPUTED_VALUE"""),"SANGEL")</f>
        <v>SANGEL</v>
      </c>
      <c r="F36" s="39" t="str">
        <f>IFERROR(__xludf.DUMMYFUNCTION("""COMPUTED_VALUE"""),"MICA")</f>
        <v>MICA</v>
      </c>
      <c r="BQ36" s="50"/>
      <c r="BR36" s="50"/>
      <c r="BS36" s="50"/>
      <c r="BT36" s="50"/>
      <c r="BU36" s="50"/>
    </row>
    <row r="37">
      <c r="A37" s="47">
        <f>IFERROR(__xludf.DUMMYFUNCTION("""COMPUTED_VALUE"""),43.0)</f>
        <v>43</v>
      </c>
      <c r="B37" s="47"/>
      <c r="C37" s="47">
        <f>IFERROR(__xludf.DUMMYFUNCTION("""COMPUTED_VALUE"""),19.0)</f>
        <v>19</v>
      </c>
      <c r="D37" s="47"/>
      <c r="E37" s="39" t="str">
        <f>IFERROR(__xludf.DUMMYFUNCTION("""COMPUTED_VALUE"""),"BUENAFLOR")</f>
        <v>BUENAFLOR</v>
      </c>
      <c r="F37" s="39" t="str">
        <f>IFERROR(__xludf.DUMMYFUNCTION("""COMPUTED_VALUE"""),"GWEN")</f>
        <v>GWEN</v>
      </c>
      <c r="BQ37" s="50"/>
      <c r="BR37" s="50"/>
      <c r="BS37" s="50"/>
      <c r="BT37" s="50"/>
      <c r="BU37" s="50"/>
    </row>
    <row r="38">
      <c r="A38" s="47">
        <f>IFERROR(__xludf.DUMMYFUNCTION("""COMPUTED_VALUE"""),44.0)</f>
        <v>44</v>
      </c>
      <c r="B38" s="47"/>
      <c r="C38" s="47">
        <f>IFERROR(__xludf.DUMMYFUNCTION("""COMPUTED_VALUE"""),19.0)</f>
        <v>19</v>
      </c>
      <c r="D38" s="47"/>
      <c r="E38" s="38" t="str">
        <f>IFERROR(__xludf.DUMMYFUNCTION("""COMPUTED_VALUE"""),"KEZEAH")</f>
        <v>KEZEAH</v>
      </c>
      <c r="F38" s="39"/>
      <c r="BQ38" s="50"/>
      <c r="BR38" s="50"/>
      <c r="BS38" s="50"/>
      <c r="BT38" s="50"/>
      <c r="BU38" s="50"/>
    </row>
    <row r="39">
      <c r="A39" s="47">
        <f>IFERROR(__xludf.DUMMYFUNCTION("""COMPUTED_VALUE"""),45.0)</f>
        <v>45</v>
      </c>
      <c r="B39" s="47"/>
      <c r="C39" s="47">
        <f>IFERROR(__xludf.DUMMYFUNCTION("""COMPUTED_VALUE"""),19.0)</f>
        <v>19</v>
      </c>
      <c r="D39" s="47"/>
      <c r="E39" s="39" t="str">
        <f>IFERROR(__xludf.DUMMYFUNCTION("""COMPUTED_VALUE"""),"RODRIGUEZA")</f>
        <v>RODRIGUEZA</v>
      </c>
      <c r="F39" s="39" t="str">
        <f>IFERROR(__xludf.DUMMYFUNCTION("""COMPUTED_VALUE"""),"GRACIELA")</f>
        <v>GRACIELA</v>
      </c>
      <c r="BQ39" s="50"/>
      <c r="BR39" s="50"/>
      <c r="BS39" s="50"/>
      <c r="BT39" s="50"/>
      <c r="BU39" s="50"/>
    </row>
    <row r="40">
      <c r="A40" s="47">
        <f>IFERROR(__xludf.DUMMYFUNCTION("""COMPUTED_VALUE"""),46.0)</f>
        <v>46</v>
      </c>
      <c r="B40" s="47"/>
      <c r="C40" s="47">
        <f>IFERROR(__xludf.DUMMYFUNCTION("""COMPUTED_VALUE"""),19.0)</f>
        <v>19</v>
      </c>
      <c r="D40" s="47"/>
      <c r="E40" s="39" t="str">
        <f>IFERROR(__xludf.DUMMYFUNCTION("""COMPUTED_VALUE"""),"RODRIGUEZA")</f>
        <v>RODRIGUEZA</v>
      </c>
      <c r="F40" s="39" t="str">
        <f>IFERROR(__xludf.DUMMYFUNCTION("""COMPUTED_VALUE"""),"KIM")</f>
        <v>KIM</v>
      </c>
      <c r="BQ40" s="50"/>
      <c r="BR40" s="50"/>
      <c r="BS40" s="50"/>
      <c r="BT40" s="50"/>
      <c r="BU40" s="50"/>
    </row>
    <row r="41">
      <c r="A41" s="47">
        <f>IFERROR(__xludf.DUMMYFUNCTION("""COMPUTED_VALUE"""),48.0)</f>
        <v>48</v>
      </c>
      <c r="B41" s="47"/>
      <c r="C41" s="47">
        <f>IFERROR(__xludf.DUMMYFUNCTION("""COMPUTED_VALUE"""),19.0)</f>
        <v>19</v>
      </c>
      <c r="D41" s="47"/>
      <c r="E41" s="39" t="str">
        <f>IFERROR(__xludf.DUMMYFUNCTION("""COMPUTED_VALUE"""),"EUSEBIO")</f>
        <v>EUSEBIO</v>
      </c>
      <c r="F41" s="39" t="str">
        <f>IFERROR(__xludf.DUMMYFUNCTION("""COMPUTED_VALUE"""),"LEEAn")</f>
        <v>LEEAn</v>
      </c>
      <c r="BQ41" s="50"/>
      <c r="BR41" s="50"/>
      <c r="BS41" s="50"/>
      <c r="BT41" s="50"/>
      <c r="BU41" s="50"/>
    </row>
    <row r="42">
      <c r="A42" s="47">
        <f>IFERROR(__xludf.DUMMYFUNCTION("""COMPUTED_VALUE"""),49.0)</f>
        <v>49</v>
      </c>
      <c r="B42" s="47"/>
      <c r="C42" s="47">
        <f>IFERROR(__xludf.DUMMYFUNCTION("""COMPUTED_VALUE"""),19.0)</f>
        <v>19</v>
      </c>
      <c r="D42" s="47"/>
      <c r="E42" s="39" t="str">
        <f>IFERROR(__xludf.DUMMYFUNCTION("""COMPUTED_VALUE"""),"VILLAMOR")</f>
        <v>VILLAMOR</v>
      </c>
      <c r="F42" s="39" t="str">
        <f>IFERROR(__xludf.DUMMYFUNCTION("""COMPUTED_VALUE"""),"ALESSIA")</f>
        <v>ALESSIA</v>
      </c>
      <c r="BQ42" s="50"/>
      <c r="BR42" s="50"/>
      <c r="BS42" s="50"/>
      <c r="BT42" s="50"/>
      <c r="BU42" s="50"/>
    </row>
    <row r="43">
      <c r="A43" s="47">
        <f>IFERROR(__xludf.DUMMYFUNCTION("""COMPUTED_VALUE"""),50.0)</f>
        <v>50</v>
      </c>
      <c r="B43" s="47"/>
      <c r="C43" s="47">
        <f>IFERROR(__xludf.DUMMYFUNCTION("""COMPUTED_VALUE"""),19.0)</f>
        <v>19</v>
      </c>
      <c r="D43" s="47"/>
      <c r="E43" s="39" t="str">
        <f>IFERROR(__xludf.DUMMYFUNCTION("""COMPUTED_VALUE"""),"LAZARO")</f>
        <v>LAZARO</v>
      </c>
      <c r="F43" s="39" t="str">
        <f>IFERROR(__xludf.DUMMYFUNCTION("""COMPUTED_VALUE"""),"ALYSSA")</f>
        <v>ALYSSA</v>
      </c>
      <c r="BQ43" s="50"/>
      <c r="BR43" s="50"/>
      <c r="BS43" s="50"/>
      <c r="BT43" s="50"/>
      <c r="BU43" s="50"/>
    </row>
    <row r="44">
      <c r="A44" s="47">
        <f>IFERROR(__xludf.DUMMYFUNCTION("""COMPUTED_VALUE"""),52.0)</f>
        <v>52</v>
      </c>
      <c r="B44" s="47"/>
      <c r="C44" s="47">
        <f>IFERROR(__xludf.DUMMYFUNCTION("""COMPUTED_VALUE"""),19.0)</f>
        <v>19</v>
      </c>
      <c r="D44" s="47"/>
      <c r="E44" s="39" t="str">
        <f>IFERROR(__xludf.DUMMYFUNCTION("""COMPUTED_VALUE"""),"GUEVARRA")</f>
        <v>GUEVARRA</v>
      </c>
      <c r="F44" s="39" t="str">
        <f>IFERROR(__xludf.DUMMYFUNCTION("""COMPUTED_VALUE"""),"CASSY")</f>
        <v>CASSY</v>
      </c>
      <c r="BQ44" s="50"/>
      <c r="BR44" s="50"/>
      <c r="BS44" s="50"/>
      <c r="BT44" s="50"/>
      <c r="BU44" s="50"/>
    </row>
    <row r="45">
      <c r="A45" s="47">
        <f>IFERROR(__xludf.DUMMYFUNCTION("""COMPUTED_VALUE"""),53.0)</f>
        <v>53</v>
      </c>
      <c r="B45" s="47"/>
      <c r="C45" s="47">
        <f>IFERROR(__xludf.DUMMYFUNCTION("""COMPUTED_VALUE"""),19.0)</f>
        <v>19</v>
      </c>
      <c r="D45" s="47"/>
      <c r="E45" s="39" t="str">
        <f>IFERROR(__xludf.DUMMYFUNCTION("""COMPUTED_VALUE"""),"BILBAO")</f>
        <v>BILBAO</v>
      </c>
      <c r="F45" s="39" t="str">
        <f>IFERROR(__xludf.DUMMYFUNCTION("""COMPUTED_VALUE"""),"CHLOE")</f>
        <v>CHLOE</v>
      </c>
      <c r="BQ45" s="50"/>
      <c r="BR45" s="50"/>
      <c r="BS45" s="50"/>
      <c r="BT45" s="50"/>
      <c r="BU45" s="50"/>
    </row>
    <row r="46">
      <c r="A46" s="47">
        <f>IFERROR(__xludf.DUMMYFUNCTION("""COMPUTED_VALUE"""),54.0)</f>
        <v>54</v>
      </c>
      <c r="B46" s="47"/>
      <c r="C46" s="47">
        <f>IFERROR(__xludf.DUMMYFUNCTION("""COMPUTED_VALUE"""),19.0)</f>
        <v>19</v>
      </c>
      <c r="D46" s="47"/>
      <c r="E46" s="39" t="str">
        <f>IFERROR(__xludf.DUMMYFUNCTION("""COMPUTED_VALUE"""),"PERDIGON")</f>
        <v>PERDIGON</v>
      </c>
      <c r="F46" s="39" t="str">
        <f>IFERROR(__xludf.DUMMYFUNCTION("""COMPUTED_VALUE"""),"HANNAH")</f>
        <v>HANNAH</v>
      </c>
      <c r="BQ46" s="50"/>
      <c r="BR46" s="50"/>
      <c r="BS46" s="50"/>
      <c r="BT46" s="50"/>
      <c r="BU46" s="50"/>
    </row>
    <row r="47">
      <c r="A47" s="47">
        <f>IFERROR(__xludf.DUMMYFUNCTION("""COMPUTED_VALUE"""),56.0)</f>
        <v>56</v>
      </c>
      <c r="B47" s="47"/>
      <c r="C47" s="47">
        <f>IFERROR(__xludf.DUMMYFUNCTION("""COMPUTED_VALUE"""),19.0)</f>
        <v>19</v>
      </c>
      <c r="D47" s="47"/>
      <c r="E47" s="39" t="str">
        <f>IFERROR(__xludf.DUMMYFUNCTION("""COMPUTED_VALUE"""),"PERDIGON")</f>
        <v>PERDIGON</v>
      </c>
      <c r="F47" s="39" t="str">
        <f>IFERROR(__xludf.DUMMYFUNCTION("""COMPUTED_VALUE"""),"SHILLOH")</f>
        <v>SHILLOH</v>
      </c>
      <c r="BQ47" s="50"/>
      <c r="BR47" s="50"/>
      <c r="BS47" s="50"/>
      <c r="BT47" s="50"/>
      <c r="BU47" s="50"/>
    </row>
    <row r="48">
      <c r="A48" s="47">
        <f>IFERROR(__xludf.DUMMYFUNCTION("""COMPUTED_VALUE"""),57.0)</f>
        <v>57</v>
      </c>
      <c r="B48" s="47"/>
      <c r="C48" s="47">
        <f>IFERROR(__xludf.DUMMYFUNCTION("""COMPUTED_VALUE"""),19.0)</f>
        <v>19</v>
      </c>
      <c r="D48" s="47"/>
      <c r="E48" s="39" t="str">
        <f>IFERROR(__xludf.DUMMYFUNCTION("""COMPUTED_VALUE"""),"DE ASIN")</f>
        <v>DE ASIN</v>
      </c>
      <c r="F48" s="39" t="str">
        <f>IFERROR(__xludf.DUMMYFUNCTION("""COMPUTED_VALUE"""),"ASHLEY YVONNE")</f>
        <v>ASHLEY YVONNE</v>
      </c>
      <c r="BQ48" s="50"/>
      <c r="BR48" s="50"/>
      <c r="BS48" s="50"/>
      <c r="BT48" s="50"/>
      <c r="BU48" s="50"/>
    </row>
    <row r="49">
      <c r="A49" s="47">
        <f>IFERROR(__xludf.DUMMYFUNCTION("""COMPUTED_VALUE"""),58.0)</f>
        <v>58</v>
      </c>
      <c r="B49" s="47"/>
      <c r="C49" s="47">
        <f>IFERROR(__xludf.DUMMYFUNCTION("""COMPUTED_VALUE"""),19.0)</f>
        <v>19</v>
      </c>
      <c r="D49" s="47"/>
      <c r="E49" s="39" t="str">
        <f>IFERROR(__xludf.DUMMYFUNCTION("""COMPUTED_VALUE"""),"MONTECASTRO")</f>
        <v>MONTECASTRO</v>
      </c>
      <c r="F49" s="39" t="str">
        <f>IFERROR(__xludf.DUMMYFUNCTION("""COMPUTED_VALUE"""),"DANIELA")</f>
        <v>DANIELA</v>
      </c>
      <c r="BQ49" s="50"/>
      <c r="BR49" s="50"/>
      <c r="BS49" s="50"/>
      <c r="BT49" s="50"/>
      <c r="BU49" s="50"/>
    </row>
    <row r="50">
      <c r="A50" s="47">
        <f>IFERROR(__xludf.DUMMYFUNCTION("""COMPUTED_VALUE"""),59.0)</f>
        <v>59</v>
      </c>
      <c r="B50" s="47"/>
      <c r="C50" s="47">
        <f>IFERROR(__xludf.DUMMYFUNCTION("""COMPUTED_VALUE"""),19.0)</f>
        <v>19</v>
      </c>
      <c r="D50" s="47"/>
      <c r="E50" s="39" t="str">
        <f>IFERROR(__xludf.DUMMYFUNCTION("""COMPUTED_VALUE"""),"SELUDO")</f>
        <v>SELUDO</v>
      </c>
      <c r="F50" s="39" t="str">
        <f>IFERROR(__xludf.DUMMYFUNCTION("""COMPUTED_VALUE"""),"DEBORAH")</f>
        <v>DEBORAH</v>
      </c>
      <c r="BQ50" s="50"/>
      <c r="BR50" s="50"/>
      <c r="BS50" s="50"/>
      <c r="BT50" s="50"/>
      <c r="BU50" s="50"/>
    </row>
    <row r="51">
      <c r="A51" s="47">
        <f>IFERROR(__xludf.DUMMYFUNCTION("""COMPUTED_VALUE"""),61.0)</f>
        <v>61</v>
      </c>
      <c r="B51" s="47"/>
      <c r="C51" s="47">
        <f>IFERROR(__xludf.DUMMYFUNCTION("""COMPUTED_VALUE"""),19.0)</f>
        <v>19</v>
      </c>
      <c r="D51" s="47"/>
      <c r="E51" s="39" t="str">
        <f>IFERROR(__xludf.DUMMYFUNCTION("""COMPUTED_VALUE"""),"PON")</f>
        <v>PON</v>
      </c>
      <c r="F51" s="39" t="str">
        <f>IFERROR(__xludf.DUMMYFUNCTION("""COMPUTED_VALUE"""),"RHEA")</f>
        <v>RHEA</v>
      </c>
      <c r="BQ51" s="50"/>
      <c r="BR51" s="50"/>
      <c r="BS51" s="50"/>
      <c r="BT51" s="50"/>
      <c r="BU51" s="50"/>
    </row>
    <row r="52">
      <c r="A52" s="47">
        <f>IFERROR(__xludf.DUMMYFUNCTION("""COMPUTED_VALUE"""),62.0)</f>
        <v>62</v>
      </c>
      <c r="B52" s="47"/>
      <c r="C52" s="47">
        <f>IFERROR(__xludf.DUMMYFUNCTION("""COMPUTED_VALUE"""),19.0)</f>
        <v>19</v>
      </c>
      <c r="D52" s="47"/>
      <c r="E52" s="39" t="str">
        <f>IFERROR(__xludf.DUMMYFUNCTION("""COMPUTED_VALUE"""),"CHEUNG")</f>
        <v>CHEUNG</v>
      </c>
      <c r="F52" s="39" t="str">
        <f>IFERROR(__xludf.DUMMYFUNCTION("""COMPUTED_VALUE"""),"DAPHNE")</f>
        <v>DAPHNE</v>
      </c>
      <c r="BQ52" s="50"/>
      <c r="BR52" s="50"/>
      <c r="BS52" s="50"/>
      <c r="BT52" s="50"/>
      <c r="BU52" s="50"/>
    </row>
    <row r="53">
      <c r="A53" s="47">
        <f>IFERROR(__xludf.DUMMYFUNCTION("""COMPUTED_VALUE"""),63.0)</f>
        <v>63</v>
      </c>
      <c r="B53" s="47"/>
      <c r="C53" s="47">
        <f>IFERROR(__xludf.DUMMYFUNCTION("""COMPUTED_VALUE"""),19.0)</f>
        <v>19</v>
      </c>
      <c r="D53" s="47"/>
      <c r="E53" s="24" t="str">
        <f>IFERROR(__xludf.DUMMYFUNCTION("""COMPUTED_VALUE"""),"CARBONEL")</f>
        <v>CARBONEL</v>
      </c>
      <c r="F53" s="24" t="str">
        <f>IFERROR(__xludf.DUMMYFUNCTION("""COMPUTED_VALUE"""),"SHANE")</f>
        <v>SHANE</v>
      </c>
      <c r="BQ53" s="50"/>
      <c r="BR53" s="50"/>
      <c r="BS53" s="50"/>
      <c r="BT53" s="50"/>
      <c r="BU53" s="50"/>
    </row>
    <row r="54">
      <c r="A54" s="47">
        <f>IFERROR(__xludf.DUMMYFUNCTION("""COMPUTED_VALUE"""),64.0)</f>
        <v>64</v>
      </c>
      <c r="B54" s="47"/>
      <c r="C54" s="47">
        <f>IFERROR(__xludf.DUMMYFUNCTION("""COMPUTED_VALUE"""),19.0)</f>
        <v>19</v>
      </c>
      <c r="D54" s="47"/>
      <c r="E54" s="27" t="str">
        <f>IFERROR(__xludf.DUMMYFUNCTION("""COMPUTED_VALUE"""),"BIAG")</f>
        <v>BIAG</v>
      </c>
      <c r="F54" s="27" t="str">
        <f>IFERROR(__xludf.DUMMYFUNCTION("""COMPUTED_VALUE"""),"MA. CHRISTINA")</f>
        <v>MA. CHRISTINA</v>
      </c>
      <c r="BQ54" s="50"/>
      <c r="BR54" s="50"/>
      <c r="BS54" s="50"/>
      <c r="BT54" s="50"/>
      <c r="BU54" s="50"/>
    </row>
    <row r="55">
      <c r="A55" s="47">
        <f>IFERROR(__xludf.DUMMYFUNCTION("""COMPUTED_VALUE"""),65.0)</f>
        <v>65</v>
      </c>
      <c r="B55" s="47"/>
      <c r="C55" s="47">
        <f>IFERROR(__xludf.DUMMYFUNCTION("""COMPUTED_VALUE"""),19.0)</f>
        <v>19</v>
      </c>
      <c r="D55" s="47"/>
      <c r="E55" s="27" t="str">
        <f>IFERROR(__xludf.DUMMYFUNCTION("""COMPUTED_VALUE"""),"CARBONEL")</f>
        <v>CARBONEL</v>
      </c>
      <c r="F55" s="27" t="str">
        <f>IFERROR(__xludf.DUMMYFUNCTION("""COMPUTED_VALUE"""),"ROBY")</f>
        <v>ROBY</v>
      </c>
      <c r="BQ55" s="50"/>
      <c r="BR55" s="50"/>
      <c r="BS55" s="50"/>
      <c r="BT55" s="50"/>
      <c r="BU55" s="50"/>
    </row>
    <row r="56">
      <c r="A56" s="47">
        <f>IFERROR(__xludf.DUMMYFUNCTION("""COMPUTED_VALUE"""),66.0)</f>
        <v>66</v>
      </c>
      <c r="B56" s="47"/>
      <c r="C56" s="47">
        <f>IFERROR(__xludf.DUMMYFUNCTION("""COMPUTED_VALUE"""),19.0)</f>
        <v>19</v>
      </c>
      <c r="D56" s="47"/>
      <c r="E56" s="27" t="str">
        <f>IFERROR(__xludf.DUMMYFUNCTION("""COMPUTED_VALUE"""),"LAZARO")</f>
        <v>LAZARO</v>
      </c>
      <c r="F56" s="27" t="str">
        <f>IFERROR(__xludf.DUMMYFUNCTION("""COMPUTED_VALUE"""),"MIKAELA")</f>
        <v>MIKAELA</v>
      </c>
      <c r="BQ56" s="50"/>
      <c r="BR56" s="50"/>
      <c r="BS56" s="50"/>
      <c r="BT56" s="50"/>
      <c r="BU56" s="50"/>
    </row>
    <row r="57">
      <c r="A57" s="47">
        <f>IFERROR(__xludf.DUMMYFUNCTION("""COMPUTED_VALUE"""),67.0)</f>
        <v>67</v>
      </c>
      <c r="B57" s="47"/>
      <c r="C57" s="47">
        <f>IFERROR(__xludf.DUMMYFUNCTION("""COMPUTED_VALUE"""),19.0)</f>
        <v>19</v>
      </c>
      <c r="D57" s="47"/>
      <c r="E57" s="27" t="str">
        <f>IFERROR(__xludf.DUMMYFUNCTION("""COMPUTED_VALUE"""),"SANTOS")</f>
        <v>SANTOS</v>
      </c>
      <c r="F57" s="27" t="str">
        <f>IFERROR(__xludf.DUMMYFUNCTION("""COMPUTED_VALUE"""),"MICHAELA")</f>
        <v>MICHAELA</v>
      </c>
      <c r="BQ57" s="50"/>
      <c r="BR57" s="50"/>
      <c r="BS57" s="50"/>
      <c r="BT57" s="50"/>
      <c r="BU57" s="50"/>
    </row>
    <row r="58">
      <c r="A58" s="47">
        <f>IFERROR(__xludf.DUMMYFUNCTION("""COMPUTED_VALUE"""),69.0)</f>
        <v>69</v>
      </c>
      <c r="B58" s="47"/>
      <c r="C58" s="47">
        <f>IFERROR(__xludf.DUMMYFUNCTION("""COMPUTED_VALUE"""),19.0)</f>
        <v>19</v>
      </c>
      <c r="D58" s="47"/>
      <c r="E58" s="27" t="str">
        <f>IFERROR(__xludf.DUMMYFUNCTION("""COMPUTED_VALUE"""),"SIANOYA")</f>
        <v>SIANOYA</v>
      </c>
      <c r="F58" s="27" t="str">
        <f>IFERROR(__xludf.DUMMYFUNCTION("""COMPUTED_VALUE"""),"ANGELICA")</f>
        <v>ANGELICA</v>
      </c>
      <c r="BQ58" s="50"/>
      <c r="BR58" s="50"/>
      <c r="BS58" s="50"/>
      <c r="BT58" s="50"/>
      <c r="BU58" s="50"/>
    </row>
    <row r="59">
      <c r="A59" s="47">
        <f>IFERROR(__xludf.DUMMYFUNCTION("""COMPUTED_VALUE"""),70.0)</f>
        <v>70</v>
      </c>
      <c r="B59" s="47"/>
      <c r="C59" s="47">
        <f>IFERROR(__xludf.DUMMYFUNCTION("""COMPUTED_VALUE"""),70.0)</f>
        <v>70</v>
      </c>
      <c r="D59" s="47" t="b">
        <f>IFERROR(__xludf.DUMMYFUNCTION("""COMPUTED_VALUE"""),TRUE)</f>
        <v>1</v>
      </c>
      <c r="E59" s="27" t="str">
        <f>IFERROR(__xludf.DUMMYFUNCTION("""COMPUTED_VALUE"""),"BUENAFLOR")</f>
        <v>BUENAFLOR</v>
      </c>
      <c r="F59" s="27" t="str">
        <f>IFERROR(__xludf.DUMMYFUNCTION("""COMPUTED_VALUE"""),"JOVIAN")</f>
        <v>JOVIAN</v>
      </c>
      <c r="BQ59" s="50"/>
      <c r="BR59" s="50"/>
      <c r="BS59" s="50"/>
      <c r="BT59" s="50"/>
      <c r="BU59" s="50"/>
    </row>
    <row r="60">
      <c r="A60" s="47">
        <f>IFERROR(__xludf.DUMMYFUNCTION("""COMPUTED_VALUE"""),71.0)</f>
        <v>71</v>
      </c>
      <c r="B60" s="47"/>
      <c r="C60" s="47">
        <f>IFERROR(__xludf.DUMMYFUNCTION("""COMPUTED_VALUE"""),70.0)</f>
        <v>70</v>
      </c>
      <c r="D60" s="47"/>
      <c r="E60" s="27" t="str">
        <f>IFERROR(__xludf.DUMMYFUNCTION("""COMPUTED_VALUE"""),"AGGACID")</f>
        <v>AGGACID</v>
      </c>
      <c r="F60" s="27" t="str">
        <f>IFERROR(__xludf.DUMMYFUNCTION("""COMPUTED_VALUE"""),"GRACE")</f>
        <v>GRACE</v>
      </c>
      <c r="BQ60" s="50"/>
      <c r="BR60" s="50"/>
      <c r="BS60" s="50"/>
      <c r="BT60" s="50"/>
      <c r="BU60" s="50"/>
    </row>
    <row r="61">
      <c r="A61" s="47">
        <f>IFERROR(__xludf.DUMMYFUNCTION("""COMPUTED_VALUE"""),72.0)</f>
        <v>72</v>
      </c>
      <c r="B61" s="47"/>
      <c r="C61" s="47">
        <f>IFERROR(__xludf.DUMMYFUNCTION("""COMPUTED_VALUE"""),70.0)</f>
        <v>70</v>
      </c>
      <c r="D61" s="47"/>
      <c r="E61" s="27" t="str">
        <f>IFERROR(__xludf.DUMMYFUNCTION("""COMPUTED_VALUE"""),"CAROLIPIO")</f>
        <v>CAROLIPIO</v>
      </c>
      <c r="F61" s="27" t="str">
        <f>IFERROR(__xludf.DUMMYFUNCTION("""COMPUTED_VALUE"""),"GRACE")</f>
        <v>GRACE</v>
      </c>
      <c r="BQ61" s="50"/>
      <c r="BR61" s="50"/>
      <c r="BS61" s="50"/>
      <c r="BT61" s="50"/>
      <c r="BU61" s="50"/>
    </row>
    <row r="62">
      <c r="A62" s="47">
        <f>IFERROR(__xludf.DUMMYFUNCTION("""COMPUTED_VALUE"""),73.0)</f>
        <v>73</v>
      </c>
      <c r="B62" s="47"/>
      <c r="C62" s="47">
        <f>IFERROR(__xludf.DUMMYFUNCTION("""COMPUTED_VALUE"""),70.0)</f>
        <v>70</v>
      </c>
      <c r="D62" s="47"/>
      <c r="E62" s="27" t="str">
        <f>IFERROR(__xludf.DUMMYFUNCTION("""COMPUTED_VALUE"""),"DAGUIO GAPAYAO")</f>
        <v>DAGUIO GAPAYAO</v>
      </c>
      <c r="F62" s="27" t="str">
        <f>IFERROR(__xludf.DUMMYFUNCTION("""COMPUTED_VALUE"""),"AMY")</f>
        <v>AMY</v>
      </c>
      <c r="BQ62" s="50"/>
      <c r="BR62" s="50"/>
      <c r="BS62" s="50"/>
      <c r="BT62" s="50"/>
      <c r="BU62" s="50"/>
    </row>
    <row r="63">
      <c r="A63" s="47">
        <f>IFERROR(__xludf.DUMMYFUNCTION("""COMPUTED_VALUE"""),74.0)</f>
        <v>74</v>
      </c>
      <c r="B63" s="47"/>
      <c r="C63" s="47">
        <f>IFERROR(__xludf.DUMMYFUNCTION("""COMPUTED_VALUE"""),70.0)</f>
        <v>70</v>
      </c>
      <c r="D63" s="47"/>
      <c r="E63" s="27" t="str">
        <f>IFERROR(__xludf.DUMMYFUNCTION("""COMPUTED_VALUE"""),"ADARLO")</f>
        <v>ADARLO</v>
      </c>
      <c r="F63" s="27" t="str">
        <f>IFERROR(__xludf.DUMMYFUNCTION("""COMPUTED_VALUE"""),"JANETTE")</f>
        <v>JANETTE</v>
      </c>
      <c r="BQ63" s="50"/>
      <c r="BR63" s="50"/>
      <c r="BS63" s="50"/>
      <c r="BT63" s="50"/>
      <c r="BU63" s="50"/>
    </row>
    <row r="64">
      <c r="A64" s="47">
        <f>IFERROR(__xludf.DUMMYFUNCTION("""COMPUTED_VALUE"""),75.0)</f>
        <v>75</v>
      </c>
      <c r="B64" s="47"/>
      <c r="C64" s="47">
        <f>IFERROR(__xludf.DUMMYFUNCTION("""COMPUTED_VALUE"""),70.0)</f>
        <v>70</v>
      </c>
      <c r="D64" s="47"/>
      <c r="E64" s="24" t="str">
        <f>IFERROR(__xludf.DUMMYFUNCTION("""COMPUTED_VALUE"""),"NOGUERA")</f>
        <v>NOGUERA</v>
      </c>
      <c r="F64" s="24" t="str">
        <f>IFERROR(__xludf.DUMMYFUNCTION("""COMPUTED_VALUE"""),"SHIELA")</f>
        <v>SHIELA</v>
      </c>
      <c r="BQ64" s="50"/>
      <c r="BR64" s="50"/>
      <c r="BS64" s="50"/>
      <c r="BT64" s="50"/>
      <c r="BU64" s="50"/>
    </row>
    <row r="65">
      <c r="A65" s="47">
        <f>IFERROR(__xludf.DUMMYFUNCTION("""COMPUTED_VALUE"""),76.0)</f>
        <v>76</v>
      </c>
      <c r="B65" s="47"/>
      <c r="C65" s="47">
        <f>IFERROR(__xludf.DUMMYFUNCTION("""COMPUTED_VALUE"""),70.0)</f>
        <v>70</v>
      </c>
      <c r="D65" s="47"/>
      <c r="E65" s="27" t="str">
        <f>IFERROR(__xludf.DUMMYFUNCTION("""COMPUTED_VALUE"""),"ABUS")</f>
        <v>ABUS</v>
      </c>
      <c r="F65" s="27" t="str">
        <f>IFERROR(__xludf.DUMMYFUNCTION("""COMPUTED_VALUE"""),"VANESSA")</f>
        <v>VANESSA</v>
      </c>
      <c r="BQ65" s="50"/>
      <c r="BR65" s="50"/>
      <c r="BS65" s="50"/>
      <c r="BT65" s="50"/>
      <c r="BU65" s="50"/>
    </row>
    <row r="66">
      <c r="A66" s="47">
        <f>IFERROR(__xludf.DUMMYFUNCTION("""COMPUTED_VALUE"""),77.0)</f>
        <v>77</v>
      </c>
      <c r="B66" s="47"/>
      <c r="C66" s="47">
        <f>IFERROR(__xludf.DUMMYFUNCTION("""COMPUTED_VALUE"""),70.0)</f>
        <v>70</v>
      </c>
      <c r="D66" s="47"/>
      <c r="E66" s="27" t="str">
        <f>IFERROR(__xludf.DUMMYFUNCTION("""COMPUTED_VALUE"""),"BATAG")</f>
        <v>BATAG</v>
      </c>
      <c r="F66" s="27" t="str">
        <f>IFERROR(__xludf.DUMMYFUNCTION("""COMPUTED_VALUE"""),"ESTHER")</f>
        <v>ESTHER</v>
      </c>
      <c r="BQ66" s="50"/>
      <c r="BR66" s="50"/>
      <c r="BS66" s="50"/>
      <c r="BT66" s="50"/>
      <c r="BU66" s="50"/>
    </row>
    <row r="67">
      <c r="A67" s="47">
        <f>IFERROR(__xludf.DUMMYFUNCTION("""COMPUTED_VALUE"""),78.0)</f>
        <v>78</v>
      </c>
      <c r="B67" s="47"/>
      <c r="C67" s="47">
        <f>IFERROR(__xludf.DUMMYFUNCTION("""COMPUTED_VALUE"""),70.0)</f>
        <v>70</v>
      </c>
      <c r="D67" s="47"/>
      <c r="E67" s="27" t="str">
        <f>IFERROR(__xludf.DUMMYFUNCTION("""COMPUTED_VALUE"""),"FAJARDO")</f>
        <v>FAJARDO</v>
      </c>
      <c r="F67" s="27" t="str">
        <f>IFERROR(__xludf.DUMMYFUNCTION("""COMPUTED_VALUE"""),"REMY")</f>
        <v>REMY</v>
      </c>
      <c r="BQ67" s="50"/>
      <c r="BR67" s="50"/>
      <c r="BS67" s="50"/>
      <c r="BT67" s="50"/>
      <c r="BU67" s="50"/>
    </row>
    <row r="68">
      <c r="A68" s="47">
        <f>IFERROR(__xludf.DUMMYFUNCTION("""COMPUTED_VALUE"""),79.0)</f>
        <v>79</v>
      </c>
      <c r="B68" s="47"/>
      <c r="C68" s="47">
        <f>IFERROR(__xludf.DUMMYFUNCTION("""COMPUTED_VALUE"""),70.0)</f>
        <v>70</v>
      </c>
      <c r="D68" s="47"/>
      <c r="E68" s="27" t="str">
        <f>IFERROR(__xludf.DUMMYFUNCTION("""COMPUTED_VALUE"""),"SANTOS")</f>
        <v>SANTOS</v>
      </c>
      <c r="F68" s="27" t="str">
        <f>IFERROR(__xludf.DUMMYFUNCTION("""COMPUTED_VALUE"""),"SARAH A.")</f>
        <v>SARAH A.</v>
      </c>
      <c r="BQ68" s="50"/>
      <c r="BR68" s="50"/>
      <c r="BS68" s="50"/>
      <c r="BT68" s="50"/>
      <c r="BU68" s="50"/>
    </row>
    <row r="69">
      <c r="A69" s="47">
        <f>IFERROR(__xludf.DUMMYFUNCTION("""COMPUTED_VALUE"""),80.0)</f>
        <v>80</v>
      </c>
      <c r="B69" s="47"/>
      <c r="C69" s="47">
        <f>IFERROR(__xludf.DUMMYFUNCTION("""COMPUTED_VALUE"""),70.0)</f>
        <v>70</v>
      </c>
      <c r="D69" s="47"/>
      <c r="E69" s="27" t="str">
        <f>IFERROR(__xludf.DUMMYFUNCTION("""COMPUTED_VALUE"""),"AGGACID")</f>
        <v>AGGACID</v>
      </c>
      <c r="F69" s="27" t="str">
        <f>IFERROR(__xludf.DUMMYFUNCTION("""COMPUTED_VALUE"""),"GRACE")</f>
        <v>GRACE</v>
      </c>
      <c r="BQ69" s="50"/>
      <c r="BR69" s="50"/>
      <c r="BS69" s="50"/>
      <c r="BT69" s="50"/>
      <c r="BU69" s="50"/>
    </row>
    <row r="70">
      <c r="A70" s="47">
        <f>IFERROR(__xludf.DUMMYFUNCTION("""COMPUTED_VALUE"""),81.0)</f>
        <v>81</v>
      </c>
      <c r="B70" s="47"/>
      <c r="C70" s="47">
        <f>IFERROR(__xludf.DUMMYFUNCTION("""COMPUTED_VALUE"""),70.0)</f>
        <v>70</v>
      </c>
      <c r="D70" s="47"/>
      <c r="E70" s="27" t="str">
        <f>IFERROR(__xludf.DUMMYFUNCTION("""COMPUTED_VALUE"""),"ABUS")</f>
        <v>ABUS</v>
      </c>
      <c r="F70" s="27" t="str">
        <f>IFERROR(__xludf.DUMMYFUNCTION("""COMPUTED_VALUE"""),"JENELYN")</f>
        <v>JENELYN</v>
      </c>
      <c r="BQ70" s="50"/>
      <c r="BR70" s="50"/>
      <c r="BS70" s="50"/>
      <c r="BT70" s="50"/>
      <c r="BU70" s="50"/>
    </row>
    <row r="71">
      <c r="A71" s="47">
        <f>IFERROR(__xludf.DUMMYFUNCTION("""COMPUTED_VALUE"""),82.0)</f>
        <v>82</v>
      </c>
      <c r="B71" s="47"/>
      <c r="C71" s="47">
        <f>IFERROR(__xludf.DUMMYFUNCTION("""COMPUTED_VALUE"""),70.0)</f>
        <v>70</v>
      </c>
      <c r="D71" s="47"/>
      <c r="E71" s="34" t="str">
        <f>IFERROR(__xludf.DUMMYFUNCTION("""COMPUTED_VALUE"""),"BUYOC")</f>
        <v>BUYOC</v>
      </c>
      <c r="F71" s="34" t="str">
        <f>IFERROR(__xludf.DUMMYFUNCTION("""COMPUTED_VALUE"""),"IVY")</f>
        <v>IVY</v>
      </c>
      <c r="BQ71" s="50"/>
      <c r="BR71" s="50"/>
      <c r="BS71" s="50"/>
      <c r="BT71" s="50"/>
      <c r="BU71" s="50"/>
    </row>
    <row r="72">
      <c r="A72" s="47">
        <f>IFERROR(__xludf.DUMMYFUNCTION("""COMPUTED_VALUE"""),83.0)</f>
        <v>83</v>
      </c>
      <c r="B72" s="47"/>
      <c r="C72" s="47">
        <f>IFERROR(__xludf.DUMMYFUNCTION("""COMPUTED_VALUE"""),70.0)</f>
        <v>70</v>
      </c>
      <c r="D72" s="47"/>
      <c r="E72" s="34" t="str">
        <f>IFERROR(__xludf.DUMMYFUNCTION("""COMPUTED_VALUE"""),"GERONIMO")</f>
        <v>GERONIMO</v>
      </c>
      <c r="F72" s="52" t="str">
        <f>IFERROR(__xludf.DUMMYFUNCTION("""COMPUTED_VALUE"""),"MANILYN")</f>
        <v>MANILYN</v>
      </c>
      <c r="BQ72" s="50"/>
      <c r="BR72" s="50"/>
      <c r="BS72" s="50"/>
      <c r="BT72" s="50"/>
      <c r="BU72" s="50"/>
    </row>
    <row r="73">
      <c r="A73" s="47">
        <f>IFERROR(__xludf.DUMMYFUNCTION("""COMPUTED_VALUE"""),84.0)</f>
        <v>84</v>
      </c>
      <c r="B73" s="47"/>
      <c r="C73" s="47">
        <f>IFERROR(__xludf.DUMMYFUNCTION("""COMPUTED_VALUE"""),70.0)</f>
        <v>70</v>
      </c>
      <c r="D73" s="47"/>
      <c r="E73" s="34" t="str">
        <f>IFERROR(__xludf.DUMMYFUNCTION("""COMPUTED_VALUE"""),"SETIAS")</f>
        <v>SETIAS</v>
      </c>
      <c r="F73" s="34" t="str">
        <f>IFERROR(__xludf.DUMMYFUNCTION("""COMPUTED_VALUE"""),"CHENNY")</f>
        <v>CHENNY</v>
      </c>
      <c r="BQ73" s="50"/>
      <c r="BR73" s="50"/>
      <c r="BS73" s="50"/>
      <c r="BT73" s="50"/>
      <c r="BU73" s="50"/>
    </row>
    <row r="74">
      <c r="A74" s="47">
        <f>IFERROR(__xludf.DUMMYFUNCTION("""COMPUTED_VALUE"""),85.0)</f>
        <v>85</v>
      </c>
      <c r="B74" s="47"/>
      <c r="C74" s="47">
        <f>IFERROR(__xludf.DUMMYFUNCTION("""COMPUTED_VALUE"""),70.0)</f>
        <v>70</v>
      </c>
      <c r="D74" s="47"/>
      <c r="E74" s="34" t="str">
        <f>IFERROR(__xludf.DUMMYFUNCTION("""COMPUTED_VALUE"""),"CAPULONG")</f>
        <v>CAPULONG</v>
      </c>
      <c r="F74" s="34" t="str">
        <f>IFERROR(__xludf.DUMMYFUNCTION("""COMPUTED_VALUE"""),"PRECIOUS")</f>
        <v>PRECIOUS</v>
      </c>
      <c r="BQ74" s="50"/>
      <c r="BR74" s="50"/>
      <c r="BS74" s="50"/>
      <c r="BT74" s="50"/>
      <c r="BU74" s="50"/>
    </row>
    <row r="75">
      <c r="A75" s="47">
        <f>IFERROR(__xludf.DUMMYFUNCTION("""COMPUTED_VALUE"""),86.0)</f>
        <v>86</v>
      </c>
      <c r="B75" s="47"/>
      <c r="C75" s="47">
        <f>IFERROR(__xludf.DUMMYFUNCTION("""COMPUTED_VALUE"""),70.0)</f>
        <v>70</v>
      </c>
      <c r="D75" s="47"/>
      <c r="E75" s="34" t="str">
        <f>IFERROR(__xludf.DUMMYFUNCTION("""COMPUTED_VALUE"""),"PASCUAL")</f>
        <v>PASCUAL</v>
      </c>
      <c r="F75" s="34" t="str">
        <f>IFERROR(__xludf.DUMMYFUNCTION("""COMPUTED_VALUE"""),"CHARITY R.")</f>
        <v>CHARITY R.</v>
      </c>
      <c r="BQ75" s="50"/>
      <c r="BR75" s="50"/>
      <c r="BS75" s="50"/>
      <c r="BT75" s="50"/>
      <c r="BU75" s="50"/>
    </row>
    <row r="76">
      <c r="A76" s="47">
        <f>IFERROR(__xludf.DUMMYFUNCTION("""COMPUTED_VALUE"""),87.0)</f>
        <v>87</v>
      </c>
      <c r="B76" s="47"/>
      <c r="C76" s="47">
        <f>IFERROR(__xludf.DUMMYFUNCTION("""COMPUTED_VALUE"""),70.0)</f>
        <v>70</v>
      </c>
      <c r="D76" s="47"/>
      <c r="E76" s="34" t="str">
        <f>IFERROR(__xludf.DUMMYFUNCTION("""COMPUTED_VALUE"""),"ABUS")</f>
        <v>ABUS</v>
      </c>
      <c r="F76" s="34" t="str">
        <f>IFERROR(__xludf.DUMMYFUNCTION("""COMPUTED_VALUE"""),"ANGIE")</f>
        <v>ANGIE</v>
      </c>
      <c r="BQ76" s="50"/>
      <c r="BR76" s="50"/>
      <c r="BS76" s="50"/>
      <c r="BT76" s="50"/>
      <c r="BU76" s="50"/>
    </row>
    <row r="77">
      <c r="A77" s="47">
        <f>IFERROR(__xludf.DUMMYFUNCTION("""COMPUTED_VALUE"""),88.0)</f>
        <v>88</v>
      </c>
      <c r="B77" s="47"/>
      <c r="C77" s="47">
        <f>IFERROR(__xludf.DUMMYFUNCTION("""COMPUTED_VALUE"""),70.0)</f>
        <v>70</v>
      </c>
      <c r="D77" s="47"/>
      <c r="E77" s="55" t="str">
        <f>IFERROR(__xludf.DUMMYFUNCTION("""COMPUTED_VALUE"""),"EVANGELISTA")</f>
        <v>EVANGELISTA</v>
      </c>
      <c r="F77" s="55" t="str">
        <f>IFERROR(__xludf.DUMMYFUNCTION("""COMPUTED_VALUE"""),"ESTHER C.")</f>
        <v>ESTHER C.</v>
      </c>
      <c r="BQ77" s="50"/>
      <c r="BR77" s="50"/>
      <c r="BS77" s="50"/>
      <c r="BT77" s="50"/>
      <c r="BU77" s="50"/>
    </row>
    <row r="78">
      <c r="A78" s="47">
        <f>IFERROR(__xludf.DUMMYFUNCTION("""COMPUTED_VALUE"""),89.0)</f>
        <v>89</v>
      </c>
      <c r="B78" s="47"/>
      <c r="C78" s="47">
        <f>IFERROR(__xludf.DUMMYFUNCTION("""COMPUTED_VALUE"""),70.0)</f>
        <v>70</v>
      </c>
      <c r="D78" s="47"/>
      <c r="E78" s="57" t="str">
        <f>IFERROR(__xludf.DUMMYFUNCTION("""COMPUTED_VALUE"""),"SETIAS")</f>
        <v>SETIAS</v>
      </c>
      <c r="F78" s="57" t="str">
        <f>IFERROR(__xludf.DUMMYFUNCTION("""COMPUTED_VALUE"""),"CHENNY")</f>
        <v>CHENNY</v>
      </c>
      <c r="BQ78" s="50"/>
      <c r="BR78" s="50"/>
      <c r="BS78" s="50"/>
      <c r="BT78" s="50"/>
      <c r="BU78" s="50"/>
    </row>
    <row r="79">
      <c r="A79" s="47">
        <f>IFERROR(__xludf.DUMMYFUNCTION("""COMPUTED_VALUE"""),90.0)</f>
        <v>90</v>
      </c>
      <c r="B79" s="47"/>
      <c r="C79" s="47">
        <f>IFERROR(__xludf.DUMMYFUNCTION("""COMPUTED_VALUE"""),70.0)</f>
        <v>70</v>
      </c>
      <c r="D79" s="47"/>
      <c r="E79" s="58" t="str">
        <f>IFERROR(__xludf.DUMMYFUNCTION("""COMPUTED_VALUE"""),"BERNARTE")</f>
        <v>BERNARTE</v>
      </c>
      <c r="F79" s="58" t="str">
        <f>IFERROR(__xludf.DUMMYFUNCTION("""COMPUTED_VALUE"""),"JEAN")</f>
        <v>JEAN</v>
      </c>
      <c r="BQ79" s="50"/>
      <c r="BR79" s="50"/>
      <c r="BS79" s="50"/>
      <c r="BT79" s="50"/>
      <c r="BU79" s="50"/>
    </row>
    <row r="80">
      <c r="A80" s="47">
        <f>IFERROR(__xludf.DUMMYFUNCTION("""COMPUTED_VALUE"""),91.0)</f>
        <v>91</v>
      </c>
      <c r="B80" s="47"/>
      <c r="C80" s="47">
        <f>IFERROR(__xludf.DUMMYFUNCTION("""COMPUTED_VALUE"""),70.0)</f>
        <v>70</v>
      </c>
      <c r="D80" s="47"/>
      <c r="E80" s="58" t="str">
        <f>IFERROR(__xludf.DUMMYFUNCTION("""COMPUTED_VALUE"""),"SALANGA")</f>
        <v>SALANGA</v>
      </c>
      <c r="F80" s="58" t="str">
        <f>IFERROR(__xludf.DUMMYFUNCTION("""COMPUTED_VALUE"""),"DIANNE")</f>
        <v>DIANNE</v>
      </c>
      <c r="BQ80" s="50"/>
      <c r="BR80" s="50"/>
      <c r="BS80" s="50"/>
      <c r="BT80" s="50"/>
      <c r="BU80" s="50"/>
    </row>
    <row r="81">
      <c r="A81" s="47">
        <f>IFERROR(__xludf.DUMMYFUNCTION("""COMPUTED_VALUE"""),92.0)</f>
        <v>92</v>
      </c>
      <c r="B81" s="47"/>
      <c r="C81" s="47">
        <f>IFERROR(__xludf.DUMMYFUNCTION("""COMPUTED_VALUE"""),70.0)</f>
        <v>70</v>
      </c>
      <c r="D81" s="47"/>
      <c r="E81" s="60" t="str">
        <f>IFERROR(__xludf.DUMMYFUNCTION("""COMPUTED_VALUE"""),"MONTECASTRO")</f>
        <v>MONTECASTRO</v>
      </c>
      <c r="F81" s="60" t="str">
        <f>IFERROR(__xludf.DUMMYFUNCTION("""COMPUTED_VALUE"""),"ZENAIDA")</f>
        <v>ZENAIDA</v>
      </c>
      <c r="BQ81" s="50"/>
      <c r="BR81" s="50"/>
      <c r="BS81" s="50"/>
      <c r="BT81" s="50"/>
      <c r="BU81" s="50"/>
    </row>
    <row r="82">
      <c r="A82" s="47">
        <f>IFERROR(__xludf.DUMMYFUNCTION("""COMPUTED_VALUE"""),94.0)</f>
        <v>94</v>
      </c>
      <c r="B82" s="47"/>
      <c r="C82" s="47">
        <f>IFERROR(__xludf.DUMMYFUNCTION("""COMPUTED_VALUE"""),70.0)</f>
        <v>70</v>
      </c>
      <c r="D82" s="47"/>
      <c r="E82" s="58" t="str">
        <f>IFERROR(__xludf.DUMMYFUNCTION("""COMPUTED_VALUE"""),"FIGURACION")</f>
        <v>FIGURACION</v>
      </c>
      <c r="F82" s="58" t="str">
        <f>IFERROR(__xludf.DUMMYFUNCTION("""COMPUTED_VALUE"""),"JOSELIN JOY")</f>
        <v>JOSELIN JOY</v>
      </c>
      <c r="BQ82" s="50"/>
      <c r="BR82" s="50"/>
      <c r="BS82" s="50"/>
      <c r="BT82" s="50"/>
      <c r="BU82" s="50"/>
    </row>
    <row r="83">
      <c r="A83" s="47">
        <f>IFERROR(__xludf.DUMMYFUNCTION("""COMPUTED_VALUE"""),95.0)</f>
        <v>95</v>
      </c>
      <c r="B83" s="47"/>
      <c r="C83" s="47">
        <f>IFERROR(__xludf.DUMMYFUNCTION("""COMPUTED_VALUE"""),70.0)</f>
        <v>70</v>
      </c>
      <c r="D83" s="47"/>
      <c r="E83" s="57" t="str">
        <f>IFERROR(__xludf.DUMMYFUNCTION("""COMPUTED_VALUE"""),"MAGALING")</f>
        <v>MAGALING</v>
      </c>
      <c r="F83" s="57" t="str">
        <f>IFERROR(__xludf.DUMMYFUNCTION("""COMPUTED_VALUE"""),"VICKY")</f>
        <v>VICKY</v>
      </c>
      <c r="BQ83" s="50"/>
      <c r="BR83" s="50"/>
      <c r="BS83" s="50"/>
      <c r="BT83" s="50"/>
      <c r="BU83" s="50"/>
    </row>
    <row r="84">
      <c r="A84" s="47">
        <f>IFERROR(__xludf.DUMMYFUNCTION("""COMPUTED_VALUE"""),96.0)</f>
        <v>96</v>
      </c>
      <c r="B84" s="47"/>
      <c r="C84" s="47">
        <f>IFERROR(__xludf.DUMMYFUNCTION("""COMPUTED_VALUE"""),70.0)</f>
        <v>70</v>
      </c>
      <c r="D84" s="47"/>
      <c r="E84" s="58" t="str">
        <f>IFERROR(__xludf.DUMMYFUNCTION("""COMPUTED_VALUE"""),"BUYOC")</f>
        <v>BUYOC</v>
      </c>
      <c r="F84" s="58" t="str">
        <f>IFERROR(__xludf.DUMMYFUNCTION("""COMPUTED_VALUE"""),"EVER")</f>
        <v>EVER</v>
      </c>
      <c r="BQ84" s="50"/>
      <c r="BR84" s="50"/>
      <c r="BS84" s="50"/>
      <c r="BT84" s="50"/>
      <c r="BU84" s="50"/>
    </row>
    <row r="85">
      <c r="A85" s="47">
        <f>IFERROR(__xludf.DUMMYFUNCTION("""COMPUTED_VALUE"""),97.0)</f>
        <v>97</v>
      </c>
      <c r="B85" s="47"/>
      <c r="C85" s="47">
        <f>IFERROR(__xludf.DUMMYFUNCTION("""COMPUTED_VALUE"""),70.0)</f>
        <v>70</v>
      </c>
      <c r="D85" s="47"/>
      <c r="E85" s="58"/>
      <c r="F85" s="58"/>
      <c r="BQ85" s="50"/>
      <c r="BR85" s="50"/>
      <c r="BS85" s="50"/>
      <c r="BT85" s="50"/>
      <c r="BU85" s="50"/>
    </row>
    <row r="86">
      <c r="A86" s="47">
        <f>IFERROR(__xludf.DUMMYFUNCTION("""COMPUTED_VALUE"""),99.0)</f>
        <v>99</v>
      </c>
      <c r="B86" s="47"/>
      <c r="C86" s="47">
        <f>IFERROR(__xludf.DUMMYFUNCTION("""COMPUTED_VALUE"""),70.0)</f>
        <v>70</v>
      </c>
      <c r="D86" s="47"/>
      <c r="E86" s="58" t="str">
        <f>IFERROR(__xludf.DUMMYFUNCTION("""COMPUTED_VALUE"""),"TIALCO")</f>
        <v>TIALCO</v>
      </c>
      <c r="F86" s="58" t="str">
        <f>IFERROR(__xludf.DUMMYFUNCTION("""COMPUTED_VALUE"""),"FAITH LOUISE")</f>
        <v>FAITH LOUISE</v>
      </c>
      <c r="BQ86" s="50"/>
      <c r="BR86" s="50"/>
      <c r="BS86" s="50"/>
      <c r="BT86" s="50"/>
      <c r="BU86" s="50"/>
    </row>
    <row r="87">
      <c r="A87" s="47">
        <f>IFERROR(__xludf.DUMMYFUNCTION("""COMPUTED_VALUE"""),100.0)</f>
        <v>100</v>
      </c>
      <c r="B87" s="47"/>
      <c r="C87" s="47">
        <f>IFERROR(__xludf.DUMMYFUNCTION("""COMPUTED_VALUE"""),70.0)</f>
        <v>70</v>
      </c>
      <c r="D87" s="47"/>
      <c r="E87" s="58" t="str">
        <f>IFERROR(__xludf.DUMMYFUNCTION("""COMPUTED_VALUE"""),"CRISOSTOMO")</f>
        <v>CRISOSTOMO</v>
      </c>
      <c r="F87" s="58" t="str">
        <f>IFERROR(__xludf.DUMMYFUNCTION("""COMPUTED_VALUE"""),"NICOLE")</f>
        <v>NICOLE</v>
      </c>
      <c r="BQ87" s="50"/>
      <c r="BR87" s="50"/>
      <c r="BS87" s="50"/>
      <c r="BT87" s="50"/>
      <c r="BU87" s="50"/>
    </row>
    <row r="88">
      <c r="A88" s="47">
        <f>IFERROR(__xludf.DUMMYFUNCTION("""COMPUTED_VALUE"""),101.0)</f>
        <v>101</v>
      </c>
      <c r="B88" s="47"/>
      <c r="C88" s="47">
        <f>IFERROR(__xludf.DUMMYFUNCTION("""COMPUTED_VALUE"""),70.0)</f>
        <v>70</v>
      </c>
      <c r="D88" s="47"/>
      <c r="E88" s="57" t="str">
        <f>IFERROR(__xludf.DUMMYFUNCTION("""COMPUTED_VALUE"""),"BATAG")</f>
        <v>BATAG</v>
      </c>
      <c r="F88" s="57" t="str">
        <f>IFERROR(__xludf.DUMMYFUNCTION("""COMPUTED_VALUE"""),"JAYLYN")</f>
        <v>JAYLYN</v>
      </c>
      <c r="BQ88" s="50"/>
      <c r="BR88" s="50"/>
      <c r="BS88" s="50"/>
      <c r="BT88" s="50"/>
      <c r="BU88" s="50"/>
    </row>
    <row r="89">
      <c r="A89" s="47">
        <f>IFERROR(__xludf.DUMMYFUNCTION("""COMPUTED_VALUE"""),102.0)</f>
        <v>102</v>
      </c>
      <c r="B89" s="47"/>
      <c r="C89" s="47">
        <f>IFERROR(__xludf.DUMMYFUNCTION("""COMPUTED_VALUE"""),70.0)</f>
        <v>70</v>
      </c>
      <c r="D89" s="47"/>
      <c r="E89" s="58" t="str">
        <f>IFERROR(__xludf.DUMMYFUNCTION("""COMPUTED_VALUE"""),"DELA CUADRA")</f>
        <v>DELA CUADRA</v>
      </c>
      <c r="F89" s="58" t="str">
        <f>IFERROR(__xludf.DUMMYFUNCTION("""COMPUTED_VALUE"""),"JOCELYN")</f>
        <v>JOCELYN</v>
      </c>
      <c r="BQ89" s="50"/>
      <c r="BR89" s="50"/>
      <c r="BS89" s="50"/>
      <c r="BT89" s="50"/>
      <c r="BU89" s="50"/>
    </row>
    <row r="90">
      <c r="A90" s="47">
        <f>IFERROR(__xludf.DUMMYFUNCTION("""COMPUTED_VALUE"""),103.0)</f>
        <v>103</v>
      </c>
      <c r="B90" s="47"/>
      <c r="C90" s="47">
        <f>IFERROR(__xludf.DUMMYFUNCTION("""COMPUTED_VALUE"""),70.0)</f>
        <v>70</v>
      </c>
      <c r="D90" s="47"/>
      <c r="E90" s="62" t="str">
        <f>IFERROR(__xludf.DUMMYFUNCTION("""COMPUTED_VALUE"""),"ROXAS")</f>
        <v>ROXAS</v>
      </c>
      <c r="F90" s="62" t="str">
        <f>IFERROR(__xludf.DUMMYFUNCTION("""COMPUTED_VALUE"""),"ANGELU")</f>
        <v>ANGELU</v>
      </c>
      <c r="BQ90" s="50"/>
      <c r="BR90" s="50"/>
      <c r="BS90" s="50"/>
      <c r="BT90" s="50"/>
      <c r="BU90" s="50"/>
    </row>
    <row r="91">
      <c r="A91" s="47">
        <f>IFERROR(__xludf.DUMMYFUNCTION("""COMPUTED_VALUE"""),104.0)</f>
        <v>104</v>
      </c>
      <c r="B91" s="47"/>
      <c r="C91" s="47">
        <f>IFERROR(__xludf.DUMMYFUNCTION("""COMPUTED_VALUE"""),70.0)</f>
        <v>70</v>
      </c>
      <c r="D91" s="47"/>
      <c r="E91" s="63" t="str">
        <f>IFERROR(__xludf.DUMMYFUNCTION("""COMPUTED_VALUE"""),"FONTANILLA")</f>
        <v>FONTANILLA</v>
      </c>
      <c r="F91" s="63" t="str">
        <f>IFERROR(__xludf.DUMMYFUNCTION("""COMPUTED_VALUE"""),"GAZLE")</f>
        <v>GAZLE</v>
      </c>
      <c r="BQ91" s="50"/>
      <c r="BR91" s="50"/>
      <c r="BS91" s="50"/>
      <c r="BT91" s="50"/>
      <c r="BU91" s="50"/>
    </row>
    <row r="92">
      <c r="A92" s="47">
        <f>IFERROR(__xludf.DUMMYFUNCTION("""COMPUTED_VALUE"""),105.0)</f>
        <v>105</v>
      </c>
      <c r="B92" s="47"/>
      <c r="C92" s="47">
        <f>IFERROR(__xludf.DUMMYFUNCTION("""COMPUTED_VALUE"""),70.0)</f>
        <v>70</v>
      </c>
      <c r="D92" s="47"/>
      <c r="E92" s="63" t="str">
        <f>IFERROR(__xludf.DUMMYFUNCTION("""COMPUTED_VALUE"""),"GLORIANA")</f>
        <v>GLORIANA</v>
      </c>
      <c r="F92" s="63" t="str">
        <f>IFERROR(__xludf.DUMMYFUNCTION("""COMPUTED_VALUE"""),"JOAN MAE")</f>
        <v>JOAN MAE</v>
      </c>
      <c r="BQ92" s="50"/>
      <c r="BR92" s="50"/>
      <c r="BS92" s="50"/>
      <c r="BT92" s="50"/>
      <c r="BU92" s="50"/>
    </row>
    <row r="93">
      <c r="A93" s="47">
        <f>IFERROR(__xludf.DUMMYFUNCTION("""COMPUTED_VALUE"""),106.0)</f>
        <v>106</v>
      </c>
      <c r="B93" s="47"/>
      <c r="C93" s="47">
        <f>IFERROR(__xludf.DUMMYFUNCTION("""COMPUTED_VALUE"""),70.0)</f>
        <v>70</v>
      </c>
      <c r="D93" s="47"/>
      <c r="E93" s="64" t="str">
        <f>IFERROR(__xludf.DUMMYFUNCTION("""COMPUTED_VALUE"""),"LETABAN")</f>
        <v>LETABAN</v>
      </c>
      <c r="F93" s="64" t="str">
        <f>IFERROR(__xludf.DUMMYFUNCTION("""COMPUTED_VALUE"""),"MICAH")</f>
        <v>MICAH</v>
      </c>
      <c r="BQ93" s="50"/>
      <c r="BR93" s="50"/>
      <c r="BS93" s="50"/>
      <c r="BT93" s="50"/>
      <c r="BU93" s="50"/>
    </row>
    <row r="94">
      <c r="A94" s="47">
        <f>IFERROR(__xludf.DUMMYFUNCTION("""COMPUTED_VALUE"""),107.0)</f>
        <v>107</v>
      </c>
      <c r="B94" s="47"/>
      <c r="C94" s="47">
        <f>IFERROR(__xludf.DUMMYFUNCTION("""COMPUTED_VALUE"""),70.0)</f>
        <v>70</v>
      </c>
      <c r="D94" s="47"/>
      <c r="E94" s="66" t="str">
        <f>IFERROR(__xludf.DUMMYFUNCTION("""COMPUTED_VALUE"""),"SANTILLAN")</f>
        <v>SANTILLAN</v>
      </c>
      <c r="F94" s="66" t="str">
        <f>IFERROR(__xludf.DUMMYFUNCTION("""COMPUTED_VALUE"""),"NICOLE")</f>
        <v>NICOLE</v>
      </c>
      <c r="BQ94" s="50"/>
      <c r="BR94" s="50"/>
      <c r="BS94" s="50"/>
      <c r="BT94" s="50"/>
      <c r="BU94" s="50"/>
    </row>
    <row r="95">
      <c r="A95" s="47">
        <f>IFERROR(__xludf.DUMMYFUNCTION("""COMPUTED_VALUE"""),108.0)</f>
        <v>108</v>
      </c>
      <c r="B95" s="47"/>
      <c r="C95" s="47">
        <f>IFERROR(__xludf.DUMMYFUNCTION("""COMPUTED_VALUE"""),70.0)</f>
        <v>70</v>
      </c>
      <c r="D95" s="47"/>
      <c r="E95" s="66" t="str">
        <f>IFERROR(__xludf.DUMMYFUNCTION("""COMPUTED_VALUE"""),"BATAG")</f>
        <v>BATAG</v>
      </c>
      <c r="F95" s="66" t="str">
        <f>IFERROR(__xludf.DUMMYFUNCTION("""COMPUTED_VALUE"""),"JULIA")</f>
        <v>JULIA</v>
      </c>
      <c r="BQ95" s="50"/>
      <c r="BR95" s="50"/>
      <c r="BS95" s="50"/>
      <c r="BT95" s="50"/>
      <c r="BU95" s="50"/>
    </row>
    <row r="96">
      <c r="A96" s="47">
        <f>IFERROR(__xludf.DUMMYFUNCTION("""COMPUTED_VALUE"""),109.0)</f>
        <v>109</v>
      </c>
      <c r="B96" s="47"/>
      <c r="C96" s="47">
        <f>IFERROR(__xludf.DUMMYFUNCTION("""COMPUTED_VALUE"""),70.0)</f>
        <v>70</v>
      </c>
      <c r="D96" s="47"/>
      <c r="E96" s="66" t="str">
        <f>IFERROR(__xludf.DUMMYFUNCTION("""COMPUTED_VALUE"""),"OBRERO")</f>
        <v>OBRERO</v>
      </c>
      <c r="F96" s="66" t="str">
        <f>IFERROR(__xludf.DUMMYFUNCTION("""COMPUTED_VALUE"""),"SHERL")</f>
        <v>SHERL</v>
      </c>
      <c r="BQ96" s="50"/>
      <c r="BR96" s="50"/>
      <c r="BS96" s="50"/>
      <c r="BT96" s="50"/>
      <c r="BU96" s="50"/>
    </row>
    <row r="97">
      <c r="A97" s="47">
        <f>IFERROR(__xludf.DUMMYFUNCTION("""COMPUTED_VALUE"""),111.0)</f>
        <v>111</v>
      </c>
      <c r="B97" s="47"/>
      <c r="C97" s="47">
        <f>IFERROR(__xludf.DUMMYFUNCTION("""COMPUTED_VALUE"""),70.0)</f>
        <v>70</v>
      </c>
      <c r="D97" s="47"/>
      <c r="E97" s="66" t="str">
        <f>IFERROR(__xludf.DUMMYFUNCTION("""COMPUTED_VALUE"""),"AGGACID")</f>
        <v>AGGACID</v>
      </c>
      <c r="F97" s="66" t="str">
        <f>IFERROR(__xludf.DUMMYFUNCTION("""COMPUTED_VALUE"""),"GRACE")</f>
        <v>GRACE</v>
      </c>
      <c r="BQ97" s="50"/>
      <c r="BR97" s="50"/>
      <c r="BS97" s="50"/>
      <c r="BT97" s="50"/>
      <c r="BU97" s="50"/>
    </row>
    <row r="98">
      <c r="A98" s="47">
        <f>IFERROR(__xludf.DUMMYFUNCTION("""COMPUTED_VALUE"""),112.0)</f>
        <v>112</v>
      </c>
      <c r="B98" s="47"/>
      <c r="C98" s="47">
        <f>IFERROR(__xludf.DUMMYFUNCTION("""COMPUTED_VALUE"""),70.0)</f>
        <v>70</v>
      </c>
      <c r="D98" s="47"/>
      <c r="E98" s="69" t="str">
        <f>IFERROR(__xludf.DUMMYFUNCTION("""COMPUTED_VALUE"""),"CORTEZ")</f>
        <v>CORTEZ</v>
      </c>
      <c r="F98" s="63" t="str">
        <f>IFERROR(__xludf.DUMMYFUNCTION("""COMPUTED_VALUE"""),"JLO")</f>
        <v>JLO</v>
      </c>
      <c r="BQ98" s="50"/>
      <c r="BR98" s="50"/>
      <c r="BS98" s="50"/>
      <c r="BT98" s="50"/>
      <c r="BU98" s="50"/>
    </row>
    <row r="99">
      <c r="A99" s="47">
        <f>IFERROR(__xludf.DUMMYFUNCTION("""COMPUTED_VALUE"""),113.0)</f>
        <v>113</v>
      </c>
      <c r="B99" s="47"/>
      <c r="C99" s="47">
        <f>IFERROR(__xludf.DUMMYFUNCTION("""COMPUTED_VALUE"""),70.0)</f>
        <v>70</v>
      </c>
      <c r="D99" s="47"/>
      <c r="E99" s="70" t="str">
        <f>IFERROR(__xludf.DUMMYFUNCTION("""COMPUTED_VALUE"""),"LINGALONG")</f>
        <v>LINGALONG</v>
      </c>
      <c r="F99" s="70" t="str">
        <f>IFERROR(__xludf.DUMMYFUNCTION("""COMPUTED_VALUE"""),"RACHEL")</f>
        <v>RACHEL</v>
      </c>
      <c r="BQ99" s="50"/>
      <c r="BR99" s="50"/>
      <c r="BS99" s="50"/>
      <c r="BT99" s="50"/>
      <c r="BU99" s="50"/>
    </row>
    <row r="100">
      <c r="A100" s="47">
        <f>IFERROR(__xludf.DUMMYFUNCTION("""COMPUTED_VALUE"""),114.0)</f>
        <v>114</v>
      </c>
      <c r="B100" s="47"/>
      <c r="C100" s="47">
        <f>IFERROR(__xludf.DUMMYFUNCTION("""COMPUTED_VALUE"""),70.0)</f>
        <v>70</v>
      </c>
      <c r="D100" s="47"/>
      <c r="E100" s="70" t="str">
        <f>IFERROR(__xludf.DUMMYFUNCTION("""COMPUTED_VALUE"""),"MANINGDING")</f>
        <v>MANINGDING</v>
      </c>
      <c r="F100" s="70" t="str">
        <f>IFERROR(__xludf.DUMMYFUNCTION("""COMPUTED_VALUE"""),"GERLY")</f>
        <v>GERLY</v>
      </c>
      <c r="BQ100" s="50"/>
      <c r="BR100" s="50"/>
      <c r="BS100" s="50"/>
      <c r="BT100" s="50"/>
      <c r="BU100" s="50"/>
    </row>
    <row r="101">
      <c r="A101" s="47">
        <f>IFERROR(__xludf.DUMMYFUNCTION("""COMPUTED_VALUE"""),115.0)</f>
        <v>115</v>
      </c>
      <c r="B101" s="47"/>
      <c r="C101" s="47">
        <f>IFERROR(__xludf.DUMMYFUNCTION("""COMPUTED_VALUE"""),70.0)</f>
        <v>70</v>
      </c>
      <c r="D101" s="47"/>
      <c r="E101" s="70" t="str">
        <f>IFERROR(__xludf.DUMMYFUNCTION("""COMPUTED_VALUE"""),"GLORIANA")</f>
        <v>GLORIANA</v>
      </c>
      <c r="F101" s="70" t="str">
        <f>IFERROR(__xludf.DUMMYFUNCTION("""COMPUTED_VALUE"""),"JOANNE")</f>
        <v>JOANNE</v>
      </c>
      <c r="BQ101" s="50"/>
      <c r="BR101" s="50"/>
      <c r="BS101" s="50"/>
      <c r="BT101" s="50"/>
      <c r="BU101" s="50"/>
    </row>
    <row r="102">
      <c r="A102" s="47">
        <f>IFERROR(__xludf.DUMMYFUNCTION("""COMPUTED_VALUE"""),116.0)</f>
        <v>116</v>
      </c>
      <c r="B102" s="47"/>
      <c r="C102" s="47">
        <f>IFERROR(__xludf.DUMMYFUNCTION("""COMPUTED_VALUE"""),70.0)</f>
        <v>70</v>
      </c>
      <c r="D102" s="47"/>
      <c r="E102" s="70" t="str">
        <f>IFERROR(__xludf.DUMMYFUNCTION("""COMPUTED_VALUE"""),"SALUMBIDES")</f>
        <v>SALUMBIDES</v>
      </c>
      <c r="F102" s="70" t="str">
        <f>IFERROR(__xludf.DUMMYFUNCTION("""COMPUTED_VALUE"""),"ROCHELLE")</f>
        <v>ROCHELLE</v>
      </c>
      <c r="BQ102" s="50"/>
      <c r="BR102" s="50"/>
      <c r="BS102" s="50"/>
      <c r="BT102" s="50"/>
      <c r="BU102" s="50"/>
    </row>
    <row r="103">
      <c r="A103" s="47">
        <f>IFERROR(__xludf.DUMMYFUNCTION("""COMPUTED_VALUE"""),117.0)</f>
        <v>117</v>
      </c>
      <c r="B103" s="47"/>
      <c r="C103" s="47">
        <f>IFERROR(__xludf.DUMMYFUNCTION("""COMPUTED_VALUE"""),70.0)</f>
        <v>70</v>
      </c>
      <c r="D103" s="47"/>
      <c r="E103" s="70" t="str">
        <f>IFERROR(__xludf.DUMMYFUNCTION("""COMPUTED_VALUE"""),"BITUG")</f>
        <v>BITUG</v>
      </c>
      <c r="F103" s="70" t="str">
        <f>IFERROR(__xludf.DUMMYFUNCTION("""COMPUTED_VALUE"""),"JANE")</f>
        <v>JANE</v>
      </c>
      <c r="BQ103" s="50"/>
      <c r="BR103" s="50"/>
      <c r="BS103" s="50"/>
      <c r="BT103" s="50"/>
      <c r="BU103" s="50"/>
    </row>
    <row r="104">
      <c r="A104" s="47">
        <f>IFERROR(__xludf.DUMMYFUNCTION("""COMPUTED_VALUE"""),119.0)</f>
        <v>119</v>
      </c>
      <c r="B104" s="47"/>
      <c r="C104" s="47">
        <f>IFERROR(__xludf.DUMMYFUNCTION("""COMPUTED_VALUE"""),70.0)</f>
        <v>70</v>
      </c>
      <c r="D104" s="47"/>
      <c r="E104" s="70" t="str">
        <f>IFERROR(__xludf.DUMMYFUNCTION("""COMPUTED_VALUE"""),"MATIAS")</f>
        <v>MATIAS</v>
      </c>
      <c r="F104" s="70" t="str">
        <f>IFERROR(__xludf.DUMMYFUNCTION("""COMPUTED_VALUE"""),"JENNA MAE")</f>
        <v>JENNA MAE</v>
      </c>
      <c r="BQ104" s="50"/>
      <c r="BR104" s="50"/>
      <c r="BS104" s="50"/>
      <c r="BT104" s="50"/>
      <c r="BU104" s="50"/>
    </row>
    <row r="105">
      <c r="A105" s="47">
        <f>IFERROR(__xludf.DUMMYFUNCTION("""COMPUTED_VALUE"""),120.0)</f>
        <v>120</v>
      </c>
      <c r="B105" s="47"/>
      <c r="C105" s="47">
        <f>IFERROR(__xludf.DUMMYFUNCTION("""COMPUTED_VALUE"""),70.0)</f>
        <v>70</v>
      </c>
      <c r="D105" s="47"/>
      <c r="E105" s="70" t="str">
        <f>IFERROR(__xludf.DUMMYFUNCTION("""COMPUTED_VALUE"""),"MARQUESES")</f>
        <v>MARQUESES</v>
      </c>
      <c r="F105" s="70" t="str">
        <f>IFERROR(__xludf.DUMMYFUNCTION("""COMPUTED_VALUE"""),"CZARINA")</f>
        <v>CZARINA</v>
      </c>
      <c r="BQ105" s="50"/>
      <c r="BR105" s="50"/>
      <c r="BS105" s="50"/>
      <c r="BT105" s="50"/>
      <c r="BU105" s="50"/>
    </row>
    <row r="106">
      <c r="A106" s="47">
        <f>IFERROR(__xludf.DUMMYFUNCTION("""COMPUTED_VALUE"""),121.0)</f>
        <v>121</v>
      </c>
      <c r="B106" s="47"/>
      <c r="C106" s="47">
        <f>IFERROR(__xludf.DUMMYFUNCTION("""COMPUTED_VALUE"""),70.0)</f>
        <v>70</v>
      </c>
      <c r="D106" s="47"/>
      <c r="E106" s="70" t="str">
        <f>IFERROR(__xludf.DUMMYFUNCTION("""COMPUTED_VALUE"""),"INGALLA")</f>
        <v>INGALLA</v>
      </c>
      <c r="F106" s="70" t="str">
        <f>IFERROR(__xludf.DUMMYFUNCTION("""COMPUTED_VALUE"""),"CRISUCHEL")</f>
        <v>CRISUCHEL</v>
      </c>
      <c r="BQ106" s="50"/>
      <c r="BR106" s="50"/>
      <c r="BS106" s="50"/>
      <c r="BT106" s="50"/>
      <c r="BU106" s="50"/>
    </row>
    <row r="107">
      <c r="A107" s="47">
        <f>IFERROR(__xludf.DUMMYFUNCTION("""COMPUTED_VALUE"""),124.0)</f>
        <v>124</v>
      </c>
      <c r="B107" s="47"/>
      <c r="C107" s="47">
        <f>IFERROR(__xludf.DUMMYFUNCTION("""COMPUTED_VALUE"""),70.0)</f>
        <v>70</v>
      </c>
      <c r="D107" s="47"/>
      <c r="E107" s="70" t="str">
        <f>IFERROR(__xludf.DUMMYFUNCTION("""COMPUTED_VALUE"""),"ANA")</f>
        <v>ANA</v>
      </c>
      <c r="F107" s="70"/>
      <c r="BQ107" s="50"/>
      <c r="BR107" s="50"/>
      <c r="BS107" s="50"/>
      <c r="BT107" s="50"/>
      <c r="BU107" s="50"/>
    </row>
    <row r="108">
      <c r="A108" s="47">
        <f>IFERROR(__xludf.DUMMYFUNCTION("""COMPUTED_VALUE"""),125.0)</f>
        <v>125</v>
      </c>
      <c r="B108" s="47"/>
      <c r="C108" s="47">
        <f>IFERROR(__xludf.DUMMYFUNCTION("""COMPUTED_VALUE"""),125.0)</f>
        <v>125</v>
      </c>
      <c r="D108" s="47" t="b">
        <f>IFERROR(__xludf.DUMMYFUNCTION("""COMPUTED_VALUE"""),TRUE)</f>
        <v>1</v>
      </c>
      <c r="E108" s="70" t="str">
        <f>IFERROR(__xludf.DUMMYFUNCTION("""COMPUTED_VALUE"""),"BUYOC")</f>
        <v>BUYOC</v>
      </c>
      <c r="F108" s="70" t="str">
        <f>IFERROR(__xludf.DUMMYFUNCTION("""COMPUTED_VALUE"""),"LIEZL")</f>
        <v>LIEZL</v>
      </c>
      <c r="BQ108" s="50"/>
      <c r="BR108" s="50"/>
      <c r="BS108" s="50"/>
      <c r="BT108" s="50"/>
      <c r="BU108" s="50"/>
    </row>
    <row r="109">
      <c r="A109" s="47"/>
      <c r="B109" s="47"/>
      <c r="C109" s="47"/>
      <c r="D109" s="47"/>
      <c r="E109" s="70"/>
      <c r="F109" s="70"/>
      <c r="BQ109" s="50"/>
      <c r="BR109" s="50"/>
      <c r="BS109" s="50"/>
      <c r="BT109" s="50"/>
      <c r="BU109" s="50"/>
    </row>
    <row r="110">
      <c r="A110" s="47">
        <f>IFERROR(__xludf.DUMMYFUNCTION("""COMPUTED_VALUE"""),127.0)</f>
        <v>127</v>
      </c>
      <c r="B110" s="47"/>
      <c r="C110" s="47">
        <f>IFERROR(__xludf.DUMMYFUNCTION("""COMPUTED_VALUE"""),125.0)</f>
        <v>125</v>
      </c>
      <c r="D110" s="47"/>
      <c r="E110" s="70" t="str">
        <f>IFERROR(__xludf.DUMMYFUNCTION("""COMPUTED_VALUE"""),"NARCELLES")</f>
        <v>NARCELLES</v>
      </c>
      <c r="F110" s="70" t="str">
        <f>IFERROR(__xludf.DUMMYFUNCTION("""COMPUTED_VALUE"""),"GIEZL")</f>
        <v>GIEZL</v>
      </c>
      <c r="BQ110" s="50"/>
      <c r="BR110" s="50"/>
      <c r="BS110" s="50"/>
      <c r="BT110" s="50"/>
      <c r="BU110" s="50"/>
    </row>
    <row r="111">
      <c r="A111" s="47">
        <f>IFERROR(__xludf.DUMMYFUNCTION("""COMPUTED_VALUE"""),128.0)</f>
        <v>128</v>
      </c>
      <c r="B111" s="47"/>
      <c r="C111" s="47">
        <f>IFERROR(__xludf.DUMMYFUNCTION("""COMPUTED_VALUE"""),125.0)</f>
        <v>125</v>
      </c>
      <c r="D111" s="47"/>
      <c r="E111" s="70" t="str">
        <f>IFERROR(__xludf.DUMMYFUNCTION("""COMPUTED_VALUE"""),"VALENCIA-PANIT")</f>
        <v>VALENCIA-PANIT</v>
      </c>
      <c r="F111" s="70" t="str">
        <f>IFERROR(__xludf.DUMMYFUNCTION("""COMPUTED_VALUE"""),"RUTH")</f>
        <v>RUTH</v>
      </c>
      <c r="BQ111" s="50"/>
      <c r="BR111" s="50"/>
      <c r="BS111" s="50"/>
      <c r="BT111" s="50"/>
      <c r="BU111" s="50"/>
    </row>
    <row r="112">
      <c r="A112" s="47">
        <f>IFERROR(__xludf.DUMMYFUNCTION("""COMPUTED_VALUE"""),129.0)</f>
        <v>129</v>
      </c>
      <c r="B112" s="47"/>
      <c r="C112" s="47">
        <f>IFERROR(__xludf.DUMMYFUNCTION("""COMPUTED_VALUE"""),125.0)</f>
        <v>125</v>
      </c>
      <c r="D112" s="47"/>
      <c r="E112" s="70" t="str">
        <f>IFERROR(__xludf.DUMMYFUNCTION("""COMPUTED_VALUE"""),"RECAD")</f>
        <v>RECAD</v>
      </c>
      <c r="F112" s="70" t="str">
        <f>IFERROR(__xludf.DUMMYFUNCTION("""COMPUTED_VALUE"""),"KATHLEEN")</f>
        <v>KATHLEEN</v>
      </c>
      <c r="BQ112" s="50"/>
      <c r="BR112" s="50"/>
      <c r="BS112" s="50"/>
      <c r="BT112" s="50"/>
      <c r="BU112" s="50"/>
    </row>
    <row r="113">
      <c r="A113" s="47">
        <f>IFERROR(__xludf.DUMMYFUNCTION("""COMPUTED_VALUE"""),130.0)</f>
        <v>130</v>
      </c>
      <c r="B113" s="47"/>
      <c r="C113" s="47">
        <f>IFERROR(__xludf.DUMMYFUNCTION("""COMPUTED_VALUE"""),125.0)</f>
        <v>125</v>
      </c>
      <c r="D113" s="47"/>
      <c r="E113" s="70" t="str">
        <f>IFERROR(__xludf.DUMMYFUNCTION("""COMPUTED_VALUE"""),"CAPERLAC")</f>
        <v>CAPERLAC</v>
      </c>
      <c r="F113" s="70" t="str">
        <f>IFERROR(__xludf.DUMMYFUNCTION("""COMPUTED_VALUE"""),"ALYSSA QUEEN")</f>
        <v>ALYSSA QUEEN</v>
      </c>
      <c r="BQ113" s="50"/>
      <c r="BR113" s="50"/>
      <c r="BS113" s="50"/>
      <c r="BT113" s="50"/>
      <c r="BU113" s="50"/>
    </row>
    <row r="114">
      <c r="A114" s="47">
        <f>IFERROR(__xludf.DUMMYFUNCTION("""COMPUTED_VALUE"""),131.0)</f>
        <v>131</v>
      </c>
      <c r="B114" s="47"/>
      <c r="C114" s="47">
        <f>IFERROR(__xludf.DUMMYFUNCTION("""COMPUTED_VALUE"""),125.0)</f>
        <v>125</v>
      </c>
      <c r="D114" s="47"/>
      <c r="E114" s="70" t="str">
        <f>IFERROR(__xludf.DUMMYFUNCTION("""COMPUTED_VALUE"""),"DE VILLA")</f>
        <v>DE VILLA</v>
      </c>
      <c r="F114" s="70" t="str">
        <f>IFERROR(__xludf.DUMMYFUNCTION("""COMPUTED_VALUE"""),"LIBBY")</f>
        <v>LIBBY</v>
      </c>
      <c r="BQ114" s="50"/>
      <c r="BR114" s="50"/>
      <c r="BS114" s="50"/>
      <c r="BT114" s="50"/>
      <c r="BU114" s="50"/>
    </row>
    <row r="115">
      <c r="A115" s="47">
        <f>IFERROR(__xludf.DUMMYFUNCTION("""COMPUTED_VALUE"""),132.0)</f>
        <v>132</v>
      </c>
      <c r="B115" s="47"/>
      <c r="C115" s="47">
        <f>IFERROR(__xludf.DUMMYFUNCTION("""COMPUTED_VALUE"""),125.0)</f>
        <v>125</v>
      </c>
      <c r="D115" s="47"/>
      <c r="E115" s="70" t="str">
        <f>IFERROR(__xludf.DUMMYFUNCTION("""COMPUTED_VALUE"""),"JASMIN")</f>
        <v>JASMIN</v>
      </c>
      <c r="F115" s="70" t="str">
        <f>IFERROR(__xludf.DUMMYFUNCTION("""COMPUTED_VALUE"""),"CAREN")</f>
        <v>CAREN</v>
      </c>
      <c r="BQ115" s="50"/>
      <c r="BR115" s="50"/>
      <c r="BS115" s="50"/>
      <c r="BT115" s="50"/>
      <c r="BU115" s="50"/>
    </row>
    <row r="116">
      <c r="A116" s="47">
        <f>IFERROR(__xludf.DUMMYFUNCTION("""COMPUTED_VALUE"""),133.0)</f>
        <v>133</v>
      </c>
      <c r="B116" s="47"/>
      <c r="C116" s="47">
        <f>IFERROR(__xludf.DUMMYFUNCTION("""COMPUTED_VALUE"""),125.0)</f>
        <v>125</v>
      </c>
      <c r="D116" s="47"/>
      <c r="E116" s="70" t="str">
        <f>IFERROR(__xludf.DUMMYFUNCTION("""COMPUTED_VALUE"""),"ROSARIO")</f>
        <v>ROSARIO</v>
      </c>
      <c r="F116" s="70" t="str">
        <f>IFERROR(__xludf.DUMMYFUNCTION("""COMPUTED_VALUE"""),"GRACE")</f>
        <v>GRACE</v>
      </c>
      <c r="BQ116" s="50"/>
      <c r="BR116" s="50"/>
      <c r="BS116" s="50"/>
      <c r="BT116" s="50"/>
      <c r="BU116" s="50"/>
    </row>
    <row r="117">
      <c r="A117" s="47">
        <f>IFERROR(__xludf.DUMMYFUNCTION("""COMPUTED_VALUE"""),134.0)</f>
        <v>134</v>
      </c>
      <c r="B117" s="47"/>
      <c r="C117" s="47">
        <f>IFERROR(__xludf.DUMMYFUNCTION("""COMPUTED_VALUE"""),125.0)</f>
        <v>125</v>
      </c>
      <c r="D117" s="47"/>
      <c r="E117" s="70" t="str">
        <f>IFERROR(__xludf.DUMMYFUNCTION("""COMPUTED_VALUE"""),"GUEVARRA")</f>
        <v>GUEVARRA</v>
      </c>
      <c r="F117" s="70" t="str">
        <f>IFERROR(__xludf.DUMMYFUNCTION("""COMPUTED_VALUE"""),"JESSA")</f>
        <v>JESSA</v>
      </c>
      <c r="BQ117" s="50"/>
      <c r="BR117" s="50"/>
      <c r="BS117" s="50"/>
      <c r="BT117" s="50"/>
      <c r="BU117" s="50"/>
    </row>
    <row r="118">
      <c r="A118" s="47"/>
      <c r="B118" s="47"/>
      <c r="C118" s="47"/>
      <c r="D118" s="47"/>
      <c r="E118" s="70"/>
      <c r="F118" s="70"/>
      <c r="BQ118" s="50"/>
      <c r="BR118" s="50"/>
      <c r="BS118" s="50"/>
      <c r="BT118" s="50"/>
      <c r="BU118" s="50"/>
    </row>
    <row r="119">
      <c r="A119" s="47">
        <f>IFERROR(__xludf.DUMMYFUNCTION("""COMPUTED_VALUE"""),136.0)</f>
        <v>136</v>
      </c>
      <c r="B119" s="47"/>
      <c r="C119" s="47">
        <f>IFERROR(__xludf.DUMMYFUNCTION("""COMPUTED_VALUE"""),125.0)</f>
        <v>125</v>
      </c>
      <c r="D119" s="47"/>
      <c r="E119" s="47" t="str">
        <f>IFERROR(__xludf.DUMMYFUNCTION("""COMPUTED_VALUE"""),"FIGURACION")</f>
        <v>FIGURACION</v>
      </c>
      <c r="F119" s="47" t="str">
        <f>IFERROR(__xludf.DUMMYFUNCTION("""COMPUTED_VALUE"""),"ALEX")</f>
        <v>ALEX</v>
      </c>
      <c r="BQ119" s="50"/>
      <c r="BR119" s="50"/>
      <c r="BS119" s="50"/>
      <c r="BT119" s="50"/>
      <c r="BU119" s="50"/>
    </row>
    <row r="120">
      <c r="A120" s="47">
        <f>IFERROR(__xludf.DUMMYFUNCTION("""COMPUTED_VALUE"""),137.0)</f>
        <v>137</v>
      </c>
      <c r="B120" s="47"/>
      <c r="C120" s="47">
        <f>IFERROR(__xludf.DUMMYFUNCTION("""COMPUTED_VALUE"""),125.0)</f>
        <v>125</v>
      </c>
      <c r="D120" s="47"/>
      <c r="E120" s="55" t="str">
        <f>IFERROR(__xludf.DUMMYFUNCTION("""COMPUTED_VALUE"""),"SILANGAN")</f>
        <v>SILANGAN</v>
      </c>
      <c r="F120" s="55" t="str">
        <f>IFERROR(__xludf.DUMMYFUNCTION("""COMPUTED_VALUE"""),"CHRISTY")</f>
        <v>CHRISTY</v>
      </c>
      <c r="BQ120" s="50"/>
      <c r="BR120" s="50"/>
      <c r="BS120" s="50"/>
      <c r="BT120" s="50"/>
      <c r="BU120" s="50"/>
    </row>
    <row r="121">
      <c r="A121" s="47">
        <f>IFERROR(__xludf.DUMMYFUNCTION("""COMPUTED_VALUE"""),138.0)</f>
        <v>138</v>
      </c>
      <c r="B121" s="47"/>
      <c r="C121" s="47">
        <f>IFERROR(__xludf.DUMMYFUNCTION("""COMPUTED_VALUE"""),125.0)</f>
        <v>125</v>
      </c>
      <c r="D121" s="47"/>
      <c r="E121" s="73" t="str">
        <f>IFERROR(__xludf.DUMMYFUNCTION("""COMPUTED_VALUE"""),"CALUPAS")</f>
        <v>CALUPAS</v>
      </c>
      <c r="F121" s="58" t="str">
        <f>IFERROR(__xludf.DUMMYFUNCTION("""COMPUTED_VALUE"""),"LANIE")</f>
        <v>LANIE</v>
      </c>
      <c r="BQ121" s="50"/>
      <c r="BR121" s="50"/>
      <c r="BS121" s="50"/>
      <c r="BT121" s="50"/>
      <c r="BU121" s="50"/>
    </row>
    <row r="122">
      <c r="A122" s="47">
        <f>IFERROR(__xludf.DUMMYFUNCTION("""COMPUTED_VALUE"""),139.0)</f>
        <v>139</v>
      </c>
      <c r="B122" s="47"/>
      <c r="C122" s="47">
        <f>IFERROR(__xludf.DUMMYFUNCTION("""COMPUTED_VALUE"""),125.0)</f>
        <v>125</v>
      </c>
      <c r="D122" s="47"/>
      <c r="E122" s="74"/>
      <c r="F122" s="58"/>
      <c r="BQ122" s="50"/>
      <c r="BR122" s="50"/>
      <c r="BS122" s="50"/>
      <c r="BT122" s="50"/>
      <c r="BU122" s="50"/>
    </row>
    <row r="123">
      <c r="A123" s="47"/>
      <c r="B123" s="47"/>
      <c r="C123" s="47"/>
      <c r="D123" s="47"/>
      <c r="E123" s="58"/>
      <c r="F123" s="58"/>
      <c r="BQ123" s="50"/>
      <c r="BR123" s="50"/>
      <c r="BS123" s="50"/>
      <c r="BT123" s="50"/>
      <c r="BU123" s="50"/>
    </row>
    <row r="124">
      <c r="A124" s="47">
        <f>IFERROR(__xludf.DUMMYFUNCTION("""COMPUTED_VALUE"""),141.0)</f>
        <v>141</v>
      </c>
      <c r="B124" s="47"/>
      <c r="C124" s="47">
        <f>IFERROR(__xludf.DUMMYFUNCTION("""COMPUTED_VALUE"""),125.0)</f>
        <v>125</v>
      </c>
      <c r="D124" s="47"/>
      <c r="E124" s="58" t="str">
        <f>IFERROR(__xludf.DUMMYFUNCTION("""COMPUTED_VALUE"""),"SABIJON")</f>
        <v>SABIJON</v>
      </c>
      <c r="F124" s="58" t="str">
        <f>IFERROR(__xludf.DUMMYFUNCTION("""COMPUTED_VALUE"""),"MARIANE")</f>
        <v>MARIANE</v>
      </c>
      <c r="BQ124" s="50"/>
      <c r="BR124" s="50"/>
      <c r="BS124" s="50"/>
      <c r="BT124" s="50"/>
      <c r="BU124" s="50"/>
    </row>
    <row r="125">
      <c r="A125" s="47">
        <f>IFERROR(__xludf.DUMMYFUNCTION("""COMPUTED_VALUE"""),142.0)</f>
        <v>142</v>
      </c>
      <c r="B125" s="47"/>
      <c r="C125" s="47">
        <f>IFERROR(__xludf.DUMMYFUNCTION("""COMPUTED_VALUE"""),125.0)</f>
        <v>125</v>
      </c>
      <c r="D125" s="47"/>
      <c r="E125" s="58" t="str">
        <f>IFERROR(__xludf.DUMMYFUNCTION("""COMPUTED_VALUE"""),"BRAZA")</f>
        <v>BRAZA</v>
      </c>
      <c r="F125" s="58" t="str">
        <f>IFERROR(__xludf.DUMMYFUNCTION("""COMPUTED_VALUE"""),"RACHELLE")</f>
        <v>RACHELLE</v>
      </c>
      <c r="BQ125" s="50"/>
      <c r="BR125" s="50"/>
      <c r="BS125" s="50"/>
      <c r="BT125" s="50"/>
      <c r="BU125" s="50"/>
    </row>
    <row r="126">
      <c r="A126" s="47">
        <f>IFERROR(__xludf.DUMMYFUNCTION("""COMPUTED_VALUE"""),143.0)</f>
        <v>143</v>
      </c>
      <c r="B126" s="47"/>
      <c r="C126" s="47">
        <f>IFERROR(__xludf.DUMMYFUNCTION("""COMPUTED_VALUE"""),125.0)</f>
        <v>125</v>
      </c>
      <c r="D126" s="47"/>
      <c r="E126" s="58" t="str">
        <f>IFERROR(__xludf.DUMMYFUNCTION("""COMPUTED_VALUE"""),"CARAMANCION")</f>
        <v>CARAMANCION</v>
      </c>
      <c r="F126" s="58" t="str">
        <f>IFERROR(__xludf.DUMMYFUNCTION("""COMPUTED_VALUE"""),"OLIVIA")</f>
        <v>OLIVIA</v>
      </c>
      <c r="BQ126" s="50"/>
      <c r="BR126" s="50"/>
      <c r="BS126" s="50"/>
      <c r="BT126" s="50"/>
      <c r="BU126" s="50"/>
    </row>
    <row r="127">
      <c r="A127" s="47"/>
      <c r="B127" s="47"/>
      <c r="C127" s="47"/>
      <c r="D127" s="47"/>
      <c r="E127" s="58"/>
      <c r="F127" s="58"/>
      <c r="BQ127" s="50"/>
      <c r="BR127" s="50"/>
      <c r="BS127" s="50"/>
      <c r="BT127" s="50"/>
      <c r="BU127" s="50"/>
    </row>
    <row r="128">
      <c r="A128" s="47">
        <f>IFERROR(__xludf.DUMMYFUNCTION("""COMPUTED_VALUE"""),145.0)</f>
        <v>145</v>
      </c>
      <c r="B128" s="47"/>
      <c r="C128" s="47">
        <f>IFERROR(__xludf.DUMMYFUNCTION("""COMPUTED_VALUE"""),125.0)</f>
        <v>125</v>
      </c>
      <c r="D128" s="47"/>
      <c r="E128" s="58" t="str">
        <f>IFERROR(__xludf.DUMMYFUNCTION("""COMPUTED_VALUE"""),"TOLEDO")</f>
        <v>TOLEDO</v>
      </c>
      <c r="F128" s="58" t="str">
        <f>IFERROR(__xludf.DUMMYFUNCTION("""COMPUTED_VALUE"""),"KHEYE")</f>
        <v>KHEYE</v>
      </c>
      <c r="BQ128" s="50"/>
      <c r="BR128" s="50"/>
      <c r="BS128" s="50"/>
      <c r="BT128" s="50"/>
      <c r="BU128" s="50"/>
    </row>
    <row r="129">
      <c r="A129" s="47">
        <f>IFERROR(__xludf.DUMMYFUNCTION("""COMPUTED_VALUE"""),146.0)</f>
        <v>146</v>
      </c>
      <c r="B129" s="47"/>
      <c r="C129" s="47">
        <f>IFERROR(__xludf.DUMMYFUNCTION("""COMPUTED_VALUE"""),146.0)</f>
        <v>146</v>
      </c>
      <c r="D129" s="47" t="b">
        <f>IFERROR(__xludf.DUMMYFUNCTION("""COMPUTED_VALUE"""),TRUE)</f>
        <v>1</v>
      </c>
      <c r="E129" s="58" t="str">
        <f>IFERROR(__xludf.DUMMYFUNCTION("""COMPUTED_VALUE"""),"DESPOJO")</f>
        <v>DESPOJO</v>
      </c>
      <c r="F129" s="58" t="str">
        <f>IFERROR(__xludf.DUMMYFUNCTION("""COMPUTED_VALUE"""),"JOZY")</f>
        <v>JOZY</v>
      </c>
      <c r="BQ129" s="50"/>
      <c r="BR129" s="50"/>
      <c r="BS129" s="50"/>
      <c r="BT129" s="50"/>
      <c r="BU129" s="50"/>
    </row>
    <row r="130">
      <c r="A130" s="47">
        <f>IFERROR(__xludf.DUMMYFUNCTION("""COMPUTED_VALUE"""),147.0)</f>
        <v>147</v>
      </c>
      <c r="B130" s="47"/>
      <c r="C130" s="47">
        <f>IFERROR(__xludf.DUMMYFUNCTION("""COMPUTED_VALUE"""),146.0)</f>
        <v>146</v>
      </c>
      <c r="D130" s="47"/>
      <c r="E130" s="58" t="str">
        <f>IFERROR(__xludf.DUMMYFUNCTION("""COMPUTED_VALUE"""),"BROZO")</f>
        <v>BROZO</v>
      </c>
      <c r="F130" s="58" t="str">
        <f>IFERROR(__xludf.DUMMYFUNCTION("""COMPUTED_VALUE"""),"EDEL A.")</f>
        <v>EDEL A.</v>
      </c>
      <c r="BQ130" s="50"/>
      <c r="BR130" s="50"/>
      <c r="BS130" s="50"/>
      <c r="BT130" s="50"/>
      <c r="BU130" s="50"/>
    </row>
    <row r="131">
      <c r="A131" s="47">
        <f>IFERROR(__xludf.DUMMYFUNCTION("""COMPUTED_VALUE"""),148.0)</f>
        <v>148</v>
      </c>
      <c r="B131" s="47"/>
      <c r="C131" s="47">
        <f>IFERROR(__xludf.DUMMYFUNCTION("""COMPUTED_VALUE"""),146.0)</f>
        <v>146</v>
      </c>
      <c r="D131" s="47"/>
      <c r="E131" s="58" t="str">
        <f>IFERROR(__xludf.DUMMYFUNCTION("""COMPUTED_VALUE"""),"SORIANO")</f>
        <v>SORIANO</v>
      </c>
      <c r="F131" s="58" t="str">
        <f>IFERROR(__xludf.DUMMYFUNCTION("""COMPUTED_VALUE"""),"VILMA")</f>
        <v>VILMA</v>
      </c>
      <c r="BQ131" s="50"/>
      <c r="BR131" s="50"/>
      <c r="BS131" s="50"/>
      <c r="BT131" s="50"/>
      <c r="BU131" s="50"/>
    </row>
    <row r="132">
      <c r="A132" s="47">
        <f>IFERROR(__xludf.DUMMYFUNCTION("""COMPUTED_VALUE"""),149.0)</f>
        <v>149</v>
      </c>
      <c r="B132" s="47"/>
      <c r="C132" s="47">
        <f>IFERROR(__xludf.DUMMYFUNCTION("""COMPUTED_VALUE"""),146.0)</f>
        <v>146</v>
      </c>
      <c r="D132" s="47"/>
      <c r="E132" s="58" t="str">
        <f>IFERROR(__xludf.DUMMYFUNCTION("""COMPUTED_VALUE"""),"MAMPORTE")</f>
        <v>MAMPORTE</v>
      </c>
      <c r="F132" s="58" t="str">
        <f>IFERROR(__xludf.DUMMYFUNCTION("""COMPUTED_VALUE"""),"CANDELARIA")</f>
        <v>CANDELARIA</v>
      </c>
      <c r="BQ132" s="50"/>
      <c r="BR132" s="50"/>
      <c r="BS132" s="50"/>
      <c r="BT132" s="50"/>
      <c r="BU132" s="50"/>
    </row>
    <row r="133">
      <c r="A133" s="47">
        <f>IFERROR(__xludf.DUMMYFUNCTION("""COMPUTED_VALUE"""),150.0)</f>
        <v>150</v>
      </c>
      <c r="B133" s="47"/>
      <c r="C133" s="47">
        <f>IFERROR(__xludf.DUMMYFUNCTION("""COMPUTED_VALUE"""),146.0)</f>
        <v>146</v>
      </c>
      <c r="D133" s="47"/>
      <c r="E133" s="58" t="str">
        <f>IFERROR(__xludf.DUMMYFUNCTION("""COMPUTED_VALUE"""),"TUPAL")</f>
        <v>TUPAL</v>
      </c>
      <c r="F133" s="58" t="str">
        <f>IFERROR(__xludf.DUMMYFUNCTION("""COMPUTED_VALUE"""),"NIDA")</f>
        <v>NIDA</v>
      </c>
      <c r="BQ133" s="50"/>
      <c r="BR133" s="50"/>
      <c r="BS133" s="50"/>
      <c r="BT133" s="50"/>
      <c r="BU133" s="50"/>
    </row>
    <row r="134">
      <c r="A134" s="47">
        <f>IFERROR(__xludf.DUMMYFUNCTION("""COMPUTED_VALUE"""),151.0)</f>
        <v>151</v>
      </c>
      <c r="B134" s="47"/>
      <c r="C134" s="47">
        <f>IFERROR(__xludf.DUMMYFUNCTION("""COMPUTED_VALUE"""),146.0)</f>
        <v>146</v>
      </c>
      <c r="D134" s="47"/>
      <c r="E134" s="58" t="str">
        <f>IFERROR(__xludf.DUMMYFUNCTION("""COMPUTED_VALUE"""),"HINAL")</f>
        <v>HINAL</v>
      </c>
      <c r="F134" s="58" t="str">
        <f>IFERROR(__xludf.DUMMYFUNCTION("""COMPUTED_VALUE"""),"JANE")</f>
        <v>JANE</v>
      </c>
      <c r="BQ134" s="50"/>
      <c r="BR134" s="50"/>
      <c r="BS134" s="50"/>
      <c r="BT134" s="50"/>
      <c r="BU134" s="50"/>
    </row>
    <row r="135">
      <c r="A135" s="47"/>
      <c r="B135" s="47"/>
      <c r="C135" s="47"/>
      <c r="D135" s="47"/>
      <c r="E135" s="58"/>
      <c r="F135" s="58"/>
      <c r="BQ135" s="50"/>
      <c r="BR135" s="50"/>
      <c r="BS135" s="50"/>
      <c r="BT135" s="50"/>
      <c r="BU135" s="50"/>
    </row>
    <row r="136">
      <c r="A136" s="47">
        <f>IFERROR(__xludf.DUMMYFUNCTION("""COMPUTED_VALUE"""),153.0)</f>
        <v>153</v>
      </c>
      <c r="B136" s="47"/>
      <c r="C136" s="47">
        <f>IFERROR(__xludf.DUMMYFUNCTION("""COMPUTED_VALUE"""),146.0)</f>
        <v>146</v>
      </c>
      <c r="D136" s="47"/>
      <c r="E136" s="23" t="str">
        <f>IFERROR(__xludf.DUMMYFUNCTION("""COMPUTED_VALUE"""),"BARICAN")</f>
        <v>BARICAN</v>
      </c>
      <c r="F136" s="58" t="str">
        <f>IFERROR(__xludf.DUMMYFUNCTION("""COMPUTED_VALUE"""),"LORENZA R.")</f>
        <v>LORENZA R.</v>
      </c>
      <c r="BQ136" s="50"/>
      <c r="BR136" s="50"/>
      <c r="BS136" s="50"/>
      <c r="BT136" s="50"/>
      <c r="BU136" s="50"/>
    </row>
    <row r="137">
      <c r="A137" s="47">
        <f>IFERROR(__xludf.DUMMYFUNCTION("""COMPUTED_VALUE"""),154.0)</f>
        <v>154</v>
      </c>
      <c r="B137" s="47"/>
      <c r="C137" s="47">
        <f>IFERROR(__xludf.DUMMYFUNCTION("""COMPUTED_VALUE"""),146.0)</f>
        <v>146</v>
      </c>
      <c r="D137" s="47"/>
      <c r="E137" s="47" t="str">
        <f>IFERROR(__xludf.DUMMYFUNCTION("""COMPUTED_VALUE"""),"RABINO")</f>
        <v>RABINO</v>
      </c>
      <c r="F137" s="47" t="str">
        <f>IFERROR(__xludf.DUMMYFUNCTION("""COMPUTED_VALUE"""),"WILMA S.")</f>
        <v>WILMA S.</v>
      </c>
      <c r="BQ137" s="50"/>
      <c r="BR137" s="50"/>
      <c r="BS137" s="50"/>
      <c r="BT137" s="50"/>
      <c r="BU137" s="50"/>
    </row>
    <row r="138">
      <c r="A138" s="47">
        <f>IFERROR(__xludf.DUMMYFUNCTION("""COMPUTED_VALUE"""),155.0)</f>
        <v>155</v>
      </c>
      <c r="B138" s="47"/>
      <c r="C138" s="47">
        <f>IFERROR(__xludf.DUMMYFUNCTION("""COMPUTED_VALUE"""),146.0)</f>
        <v>146</v>
      </c>
      <c r="D138" s="47"/>
      <c r="E138" s="55" t="str">
        <f>IFERROR(__xludf.DUMMYFUNCTION("""COMPUTED_VALUE"""),"ALMONARES")</f>
        <v>ALMONARES</v>
      </c>
      <c r="F138" s="55" t="str">
        <f>IFERROR(__xludf.DUMMYFUNCTION("""COMPUTED_VALUE"""),"FHEM S.")</f>
        <v>FHEM S.</v>
      </c>
      <c r="BQ138" s="50"/>
      <c r="BR138" s="50"/>
      <c r="BS138" s="50"/>
      <c r="BT138" s="50"/>
      <c r="BU138" s="50"/>
    </row>
    <row r="139">
      <c r="A139" s="47"/>
      <c r="B139" s="47"/>
      <c r="C139" s="47"/>
      <c r="D139" s="47"/>
      <c r="E139" s="62"/>
      <c r="F139" s="62"/>
      <c r="BQ139" s="50"/>
      <c r="BR139" s="50"/>
      <c r="BS139" s="50"/>
      <c r="BT139" s="50"/>
      <c r="BU139" s="50"/>
    </row>
    <row r="140">
      <c r="A140" s="47">
        <f>IFERROR(__xludf.DUMMYFUNCTION("""COMPUTED_VALUE"""),157.0)</f>
        <v>157</v>
      </c>
      <c r="B140" s="47"/>
      <c r="C140" s="47">
        <f>IFERROR(__xludf.DUMMYFUNCTION("""COMPUTED_VALUE"""),146.0)</f>
        <v>146</v>
      </c>
      <c r="D140" s="47"/>
      <c r="E140" s="62" t="str">
        <f>IFERROR(__xludf.DUMMYFUNCTION("""COMPUTED_VALUE"""),"DE LEON")</f>
        <v>DE LEON</v>
      </c>
      <c r="F140" s="62" t="str">
        <f>IFERROR(__xludf.DUMMYFUNCTION("""COMPUTED_VALUE"""),"MELCHORA")</f>
        <v>MELCHORA</v>
      </c>
      <c r="BQ140" s="50"/>
      <c r="BR140" s="50"/>
      <c r="BS140" s="50"/>
      <c r="BT140" s="50"/>
      <c r="BU140" s="50"/>
    </row>
    <row r="141">
      <c r="A141" s="47">
        <f>IFERROR(__xludf.DUMMYFUNCTION("""COMPUTED_VALUE"""),158.0)</f>
        <v>158</v>
      </c>
      <c r="B141" s="47"/>
      <c r="C141" s="47">
        <f>IFERROR(__xludf.DUMMYFUNCTION("""COMPUTED_VALUE"""),146.0)</f>
        <v>146</v>
      </c>
      <c r="D141" s="47"/>
      <c r="E141" s="62" t="str">
        <f>IFERROR(__xludf.DUMMYFUNCTION("""COMPUTED_VALUE"""),"GAMAY")</f>
        <v>GAMAY</v>
      </c>
      <c r="F141" s="62" t="str">
        <f>IFERROR(__xludf.DUMMYFUNCTION("""COMPUTED_VALUE"""),"ESTELA")</f>
        <v>ESTELA</v>
      </c>
      <c r="BQ141" s="50"/>
      <c r="BR141" s="50"/>
      <c r="BS141" s="50"/>
      <c r="BT141" s="50"/>
      <c r="BU141" s="50"/>
    </row>
    <row r="142">
      <c r="A142" s="47">
        <f>IFERROR(__xludf.DUMMYFUNCTION("""COMPUTED_VALUE"""),159.0)</f>
        <v>159</v>
      </c>
      <c r="B142" s="47"/>
      <c r="C142" s="47">
        <f>IFERROR(__xludf.DUMMYFUNCTION("""COMPUTED_VALUE"""),146.0)</f>
        <v>146</v>
      </c>
      <c r="D142" s="47"/>
      <c r="E142" s="62" t="str">
        <f>IFERROR(__xludf.DUMMYFUNCTION("""COMPUTED_VALUE"""),"BUERGO")</f>
        <v>BUERGO</v>
      </c>
      <c r="F142" s="62" t="str">
        <f>IFERROR(__xludf.DUMMYFUNCTION("""COMPUTED_VALUE"""),"EVALYN")</f>
        <v>EVALYN</v>
      </c>
      <c r="BQ142" s="50"/>
      <c r="BR142" s="50"/>
      <c r="BS142" s="50"/>
      <c r="BT142" s="50"/>
      <c r="BU142" s="50"/>
    </row>
    <row r="143">
      <c r="A143" s="47"/>
      <c r="B143" s="47"/>
      <c r="C143" s="47"/>
      <c r="D143" s="47"/>
      <c r="E143" s="62"/>
      <c r="F143" s="62"/>
      <c r="BQ143" s="50"/>
      <c r="BR143" s="50"/>
      <c r="BS143" s="50"/>
      <c r="BT143" s="50"/>
      <c r="BU143" s="50"/>
    </row>
    <row r="144">
      <c r="A144" s="47">
        <f>IFERROR(__xludf.DUMMYFUNCTION("""COMPUTED_VALUE"""),161.0)</f>
        <v>161</v>
      </c>
      <c r="B144" s="47"/>
      <c r="C144" s="47">
        <f>IFERROR(__xludf.DUMMYFUNCTION("""COMPUTED_VALUE"""),146.0)</f>
        <v>146</v>
      </c>
      <c r="D144" s="47"/>
      <c r="E144" s="62" t="str">
        <f>IFERROR(__xludf.DUMMYFUNCTION("""COMPUTED_VALUE"""),"RABINO")</f>
        <v>RABINO</v>
      </c>
      <c r="F144" s="62" t="str">
        <f>IFERROR(__xludf.DUMMYFUNCTION("""COMPUTED_VALUE"""),"WILMA")</f>
        <v>WILMA</v>
      </c>
      <c r="BQ144" s="50"/>
      <c r="BR144" s="50"/>
      <c r="BS144" s="50"/>
      <c r="BT144" s="50"/>
      <c r="BU144" s="50"/>
    </row>
    <row r="145">
      <c r="A145" s="47">
        <f>IFERROR(__xludf.DUMMYFUNCTION("""COMPUTED_VALUE"""),162.0)</f>
        <v>162</v>
      </c>
      <c r="B145" s="47"/>
      <c r="C145" s="47">
        <f>IFERROR(__xludf.DUMMYFUNCTION("""COMPUTED_VALUE"""),146.0)</f>
        <v>146</v>
      </c>
      <c r="D145" s="47"/>
      <c r="E145" s="62" t="str">
        <f>IFERROR(__xludf.DUMMYFUNCTION("""COMPUTED_VALUE"""),"FRANCISCO")</f>
        <v>FRANCISCO</v>
      </c>
      <c r="F145" s="62" t="str">
        <f>IFERROR(__xludf.DUMMYFUNCTION("""COMPUTED_VALUE"""),"AIGEN")</f>
        <v>AIGEN</v>
      </c>
      <c r="BQ145" s="50"/>
      <c r="BR145" s="50"/>
      <c r="BS145" s="50"/>
      <c r="BT145" s="50"/>
      <c r="BU145" s="50"/>
    </row>
    <row r="146">
      <c r="A146" s="47">
        <f>IFERROR(__xludf.DUMMYFUNCTION("""COMPUTED_VALUE"""),163.0)</f>
        <v>163</v>
      </c>
      <c r="B146" s="47"/>
      <c r="C146" s="47">
        <f>IFERROR(__xludf.DUMMYFUNCTION("""COMPUTED_VALUE"""),163.0)</f>
        <v>163</v>
      </c>
      <c r="D146" s="47" t="b">
        <f>IFERROR(__xludf.DUMMYFUNCTION("""COMPUTED_VALUE"""),TRUE)</f>
        <v>1</v>
      </c>
      <c r="E146" s="62" t="str">
        <f>IFERROR(__xludf.DUMMYFUNCTION("""COMPUTED_VALUE"""),"RAMIREZ")</f>
        <v>RAMIREZ</v>
      </c>
      <c r="F146" s="62" t="str">
        <f>IFERROR(__xludf.DUMMYFUNCTION("""COMPUTED_VALUE"""),"ROSE")</f>
        <v>ROSE</v>
      </c>
      <c r="BQ146" s="50"/>
      <c r="BR146" s="50"/>
      <c r="BS146" s="50"/>
      <c r="BT146" s="50"/>
      <c r="BU146" s="50"/>
    </row>
    <row r="147">
      <c r="A147" s="47">
        <f>IFERROR(__xludf.DUMMYFUNCTION("""COMPUTED_VALUE"""),164.0)</f>
        <v>164</v>
      </c>
      <c r="B147" s="47"/>
      <c r="C147" s="47">
        <f>IFERROR(__xludf.DUMMYFUNCTION("""COMPUTED_VALUE"""),163.0)</f>
        <v>163</v>
      </c>
      <c r="D147" s="47"/>
      <c r="E147" s="62" t="str">
        <f>IFERROR(__xludf.DUMMYFUNCTION("""COMPUTED_VALUE"""),"SANTOS")</f>
        <v>SANTOS</v>
      </c>
      <c r="F147" s="62" t="str">
        <f>IFERROR(__xludf.DUMMYFUNCTION("""COMPUTED_VALUE"""),"LIZA")</f>
        <v>LIZA</v>
      </c>
      <c r="BQ147" s="50"/>
      <c r="BR147" s="50"/>
      <c r="BS147" s="50"/>
      <c r="BT147" s="50"/>
      <c r="BU147" s="50"/>
    </row>
    <row r="148">
      <c r="A148" s="47">
        <f>IFERROR(__xludf.DUMMYFUNCTION("""COMPUTED_VALUE"""),165.0)</f>
        <v>165</v>
      </c>
      <c r="B148" s="47"/>
      <c r="C148" s="47">
        <f>IFERROR(__xludf.DUMMYFUNCTION("""COMPUTED_VALUE"""),163.0)</f>
        <v>163</v>
      </c>
      <c r="D148" s="47"/>
      <c r="E148" s="62" t="str">
        <f>IFERROR(__xludf.DUMMYFUNCTION("""COMPUTED_VALUE"""),"SANTOS")</f>
        <v>SANTOS</v>
      </c>
      <c r="F148" s="62" t="str">
        <f>IFERROR(__xludf.DUMMYFUNCTION("""COMPUTED_VALUE"""),"LIZA")</f>
        <v>LIZA</v>
      </c>
      <c r="BQ148" s="50"/>
      <c r="BR148" s="50"/>
      <c r="BS148" s="50"/>
      <c r="BT148" s="50"/>
      <c r="BU148" s="50"/>
    </row>
    <row r="149">
      <c r="A149" s="47">
        <f>IFERROR(__xludf.DUMMYFUNCTION("""COMPUTED_VALUE"""),166.0)</f>
        <v>166</v>
      </c>
      <c r="B149" s="47"/>
      <c r="C149" s="47">
        <f>IFERROR(__xludf.DUMMYFUNCTION("""COMPUTED_VALUE"""),163.0)</f>
        <v>163</v>
      </c>
      <c r="D149" s="47"/>
      <c r="E149" s="62" t="str">
        <f>IFERROR(__xludf.DUMMYFUNCTION("""COMPUTED_VALUE"""),"NICOLAS")</f>
        <v>NICOLAS</v>
      </c>
      <c r="F149" s="62" t="str">
        <f>IFERROR(__xludf.DUMMYFUNCTION("""COMPUTED_VALUE"""),"SUSAN")</f>
        <v>SUSAN</v>
      </c>
      <c r="BQ149" s="50"/>
      <c r="BR149" s="50"/>
      <c r="BS149" s="50"/>
      <c r="BT149" s="50"/>
      <c r="BU149" s="50"/>
    </row>
    <row r="150">
      <c r="A150" s="47">
        <f>IFERROR(__xludf.DUMMYFUNCTION("""COMPUTED_VALUE"""),167.0)</f>
        <v>167</v>
      </c>
      <c r="B150" s="47"/>
      <c r="C150" s="47">
        <f>IFERROR(__xludf.DUMMYFUNCTION("""COMPUTED_VALUE"""),163.0)</f>
        <v>163</v>
      </c>
      <c r="D150" s="47"/>
      <c r="E150" s="62" t="str">
        <f>IFERROR(__xludf.DUMMYFUNCTION("""COMPUTED_VALUE"""),"CARIGA")</f>
        <v>CARIGA</v>
      </c>
      <c r="F150" s="62" t="str">
        <f>IFERROR(__xludf.DUMMYFUNCTION("""COMPUTED_VALUE"""),"SHIELA")</f>
        <v>SHIELA</v>
      </c>
      <c r="BQ150" s="50"/>
      <c r="BR150" s="50"/>
      <c r="BS150" s="50"/>
      <c r="BT150" s="50"/>
      <c r="BU150" s="50"/>
    </row>
    <row r="151">
      <c r="A151" s="47">
        <f>IFERROR(__xludf.DUMMYFUNCTION("""COMPUTED_VALUE"""),168.0)</f>
        <v>168</v>
      </c>
      <c r="B151" s="47"/>
      <c r="C151" s="47">
        <f>IFERROR(__xludf.DUMMYFUNCTION("""COMPUTED_VALUE"""),163.0)</f>
        <v>163</v>
      </c>
      <c r="D151" s="47"/>
      <c r="E151" s="62" t="str">
        <f>IFERROR(__xludf.DUMMYFUNCTION("""COMPUTED_VALUE"""),"CIRIACO")</f>
        <v>CIRIACO</v>
      </c>
      <c r="F151" s="62" t="str">
        <f>IFERROR(__xludf.DUMMYFUNCTION("""COMPUTED_VALUE"""),"MILA")</f>
        <v>MILA</v>
      </c>
      <c r="BQ151" s="50"/>
      <c r="BR151" s="50"/>
      <c r="BS151" s="50"/>
      <c r="BT151" s="50"/>
      <c r="BU151" s="50"/>
    </row>
    <row r="152">
      <c r="A152" s="47">
        <f>IFERROR(__xludf.DUMMYFUNCTION("""COMPUTED_VALUE"""),169.0)</f>
        <v>169</v>
      </c>
      <c r="B152" s="47"/>
      <c r="C152" s="47">
        <f>IFERROR(__xludf.DUMMYFUNCTION("""COMPUTED_VALUE"""),163.0)</f>
        <v>163</v>
      </c>
      <c r="D152" s="47"/>
      <c r="E152" s="62" t="str">
        <f>IFERROR(__xludf.DUMMYFUNCTION("""COMPUTED_VALUE"""),"NOFIEL")</f>
        <v>NOFIEL</v>
      </c>
      <c r="F152" s="62" t="str">
        <f>IFERROR(__xludf.DUMMYFUNCTION("""COMPUTED_VALUE"""),"REMY")</f>
        <v>REMY</v>
      </c>
      <c r="BQ152" s="50"/>
      <c r="BR152" s="50"/>
      <c r="BS152" s="50"/>
      <c r="BT152" s="50"/>
      <c r="BU152" s="50"/>
    </row>
    <row r="153">
      <c r="A153" s="47">
        <f>IFERROR(__xludf.DUMMYFUNCTION("""COMPUTED_VALUE"""),170.0)</f>
        <v>170</v>
      </c>
      <c r="B153" s="47"/>
      <c r="C153" s="47">
        <f>IFERROR(__xludf.DUMMYFUNCTION("""COMPUTED_VALUE"""),163.0)</f>
        <v>163</v>
      </c>
      <c r="D153" s="47"/>
      <c r="E153" s="62" t="str">
        <f>IFERROR(__xludf.DUMMYFUNCTION("""COMPUTED_VALUE"""),"RAPALES BACUÑO")</f>
        <v>RAPALES BACUÑO</v>
      </c>
      <c r="F153" s="62" t="str">
        <f>IFERROR(__xludf.DUMMYFUNCTION("""COMPUTED_VALUE"""),"CARMELITA")</f>
        <v>CARMELITA</v>
      </c>
      <c r="BQ153" s="50"/>
      <c r="BR153" s="50"/>
      <c r="BS153" s="50"/>
      <c r="BT153" s="50"/>
      <c r="BU153" s="50"/>
    </row>
    <row r="154">
      <c r="A154" s="47">
        <f>IFERROR(__xludf.DUMMYFUNCTION("""COMPUTED_VALUE"""),171.0)</f>
        <v>171</v>
      </c>
      <c r="B154" s="47"/>
      <c r="C154" s="47">
        <f>IFERROR(__xludf.DUMMYFUNCTION("""COMPUTED_VALUE"""),163.0)</f>
        <v>163</v>
      </c>
      <c r="D154" s="47"/>
      <c r="E154" s="47" t="str">
        <f>IFERROR(__xludf.DUMMYFUNCTION("""COMPUTED_VALUE"""),"BRIDGEMAN")</f>
        <v>BRIDGEMAN</v>
      </c>
      <c r="F154" s="47" t="str">
        <f>IFERROR(__xludf.DUMMYFUNCTION("""COMPUTED_VALUE"""),"JENELYN")</f>
        <v>JENELYN</v>
      </c>
      <c r="BQ154" s="50"/>
      <c r="BR154" s="50"/>
      <c r="BS154" s="50"/>
      <c r="BT154" s="50"/>
      <c r="BU154" s="50"/>
    </row>
    <row r="155">
      <c r="A155" s="47">
        <f>IFERROR(__xludf.DUMMYFUNCTION("""COMPUTED_VALUE"""),172.0)</f>
        <v>172</v>
      </c>
      <c r="B155" s="47"/>
      <c r="C155" s="47">
        <f>IFERROR(__xludf.DUMMYFUNCTION("""COMPUTED_VALUE"""),163.0)</f>
        <v>163</v>
      </c>
      <c r="D155" s="47"/>
      <c r="E155" s="55" t="str">
        <f>IFERROR(__xludf.DUMMYFUNCTION("""COMPUTED_VALUE"""),"TUMANONG")</f>
        <v>TUMANONG</v>
      </c>
      <c r="F155" s="55" t="str">
        <f>IFERROR(__xludf.DUMMYFUNCTION("""COMPUTED_VALUE"""),"TERESITA")</f>
        <v>TERESITA</v>
      </c>
      <c r="BQ155" s="50"/>
      <c r="BR155" s="50"/>
      <c r="BS155" s="50"/>
      <c r="BT155" s="50"/>
      <c r="BU155" s="50"/>
    </row>
    <row r="156">
      <c r="A156" s="47">
        <f>IFERROR(__xludf.DUMMYFUNCTION("""COMPUTED_VALUE"""),173.0)</f>
        <v>173</v>
      </c>
      <c r="B156" s="47"/>
      <c r="C156" s="47">
        <f>IFERROR(__xludf.DUMMYFUNCTION("""COMPUTED_VALUE"""),163.0)</f>
        <v>163</v>
      </c>
      <c r="D156" s="47"/>
      <c r="E156" s="58" t="str">
        <f>IFERROR(__xludf.DUMMYFUNCTION("""COMPUTED_VALUE"""),"MOJICA")</f>
        <v>MOJICA</v>
      </c>
      <c r="F156" s="58" t="str">
        <f>IFERROR(__xludf.DUMMYFUNCTION("""COMPUTED_VALUE"""),"ROMYLYN")</f>
        <v>ROMYLYN</v>
      </c>
      <c r="BQ156" s="50"/>
      <c r="BR156" s="50"/>
      <c r="BS156" s="50"/>
      <c r="BT156" s="50"/>
      <c r="BU156" s="50"/>
    </row>
    <row r="157">
      <c r="A157" s="47">
        <f>IFERROR(__xludf.DUMMYFUNCTION("""COMPUTED_VALUE"""),174.0)</f>
        <v>174</v>
      </c>
      <c r="B157" s="47"/>
      <c r="C157" s="47">
        <f>IFERROR(__xludf.DUMMYFUNCTION("""COMPUTED_VALUE"""),163.0)</f>
        <v>163</v>
      </c>
      <c r="D157" s="47"/>
      <c r="E157" s="58" t="str">
        <f>IFERROR(__xludf.DUMMYFUNCTION("""COMPUTED_VALUE"""),"PALOMER")</f>
        <v>PALOMER</v>
      </c>
      <c r="F157" s="58" t="str">
        <f>IFERROR(__xludf.DUMMYFUNCTION("""COMPUTED_VALUE"""),"MARIVIC")</f>
        <v>MARIVIC</v>
      </c>
      <c r="BQ157" s="50"/>
      <c r="BR157" s="50"/>
      <c r="BS157" s="50"/>
      <c r="BT157" s="50"/>
      <c r="BU157" s="50"/>
    </row>
    <row r="158">
      <c r="A158" s="47">
        <f>IFERROR(__xludf.DUMMYFUNCTION("""COMPUTED_VALUE"""),175.0)</f>
        <v>175</v>
      </c>
      <c r="B158" s="47"/>
      <c r="C158" s="47">
        <f>IFERROR(__xludf.DUMMYFUNCTION("""COMPUTED_VALUE"""),163.0)</f>
        <v>163</v>
      </c>
      <c r="D158" s="47"/>
      <c r="E158" s="58" t="str">
        <f>IFERROR(__xludf.DUMMYFUNCTION("""COMPUTED_VALUE"""),"MATEO")</f>
        <v>MATEO</v>
      </c>
      <c r="F158" s="58" t="str">
        <f>IFERROR(__xludf.DUMMYFUNCTION("""COMPUTED_VALUE"""),"MERCEDES")</f>
        <v>MERCEDES</v>
      </c>
      <c r="BQ158" s="50"/>
      <c r="BR158" s="50"/>
      <c r="BS158" s="50"/>
      <c r="BT158" s="50"/>
      <c r="BU158" s="50"/>
    </row>
    <row r="159">
      <c r="A159" s="47">
        <f>IFERROR(__xludf.DUMMYFUNCTION("""COMPUTED_VALUE"""),176.0)</f>
        <v>176</v>
      </c>
      <c r="B159" s="47"/>
      <c r="C159" s="47">
        <f>IFERROR(__xludf.DUMMYFUNCTION("""COMPUTED_VALUE"""),163.0)</f>
        <v>163</v>
      </c>
      <c r="D159" s="47"/>
      <c r="E159" s="58" t="str">
        <f>IFERROR(__xludf.DUMMYFUNCTION("""COMPUTED_VALUE"""),"LAZARO")</f>
        <v>LAZARO</v>
      </c>
      <c r="F159" s="58" t="str">
        <f>IFERROR(__xludf.DUMMYFUNCTION("""COMPUTED_VALUE"""),"JANE")</f>
        <v>JANE</v>
      </c>
      <c r="BQ159" s="50"/>
      <c r="BR159" s="50"/>
      <c r="BS159" s="50"/>
      <c r="BT159" s="50"/>
      <c r="BU159" s="50"/>
    </row>
    <row r="160">
      <c r="A160" s="47">
        <f>IFERROR(__xludf.DUMMYFUNCTION("""COMPUTED_VALUE"""),177.0)</f>
        <v>177</v>
      </c>
      <c r="B160" s="47"/>
      <c r="C160" s="47">
        <f>IFERROR(__xludf.DUMMYFUNCTION("""COMPUTED_VALUE"""),163.0)</f>
        <v>163</v>
      </c>
      <c r="D160" s="47"/>
      <c r="E160" s="58" t="str">
        <f>IFERROR(__xludf.DUMMYFUNCTION("""COMPUTED_VALUE"""),"NOBLE")</f>
        <v>NOBLE</v>
      </c>
      <c r="F160" s="58" t="str">
        <f>IFERROR(__xludf.DUMMYFUNCTION("""COMPUTED_VALUE"""),"ROSEMARIE")</f>
        <v>ROSEMARIE</v>
      </c>
      <c r="BQ160" s="50"/>
      <c r="BR160" s="50"/>
      <c r="BS160" s="50"/>
      <c r="BT160" s="50"/>
      <c r="BU160" s="50"/>
    </row>
    <row r="161">
      <c r="A161" s="47">
        <f>IFERROR(__xludf.DUMMYFUNCTION("""COMPUTED_VALUE"""),178.0)</f>
        <v>178</v>
      </c>
      <c r="B161" s="47"/>
      <c r="C161" s="47">
        <f>IFERROR(__xludf.DUMMYFUNCTION("""COMPUTED_VALUE"""),163.0)</f>
        <v>163</v>
      </c>
      <c r="D161" s="47"/>
      <c r="E161" s="58" t="str">
        <f>IFERROR(__xludf.DUMMYFUNCTION("""COMPUTED_VALUE"""),"SANTOS")</f>
        <v>SANTOS</v>
      </c>
      <c r="F161" s="58" t="str">
        <f>IFERROR(__xludf.DUMMYFUNCTION("""COMPUTED_VALUE"""),"TERESITA")</f>
        <v>TERESITA</v>
      </c>
      <c r="BQ161" s="50"/>
      <c r="BR161" s="50"/>
      <c r="BS161" s="50"/>
      <c r="BT161" s="50"/>
      <c r="BU161" s="50"/>
    </row>
    <row r="162">
      <c r="A162" s="47">
        <f>IFERROR(__xludf.DUMMYFUNCTION("""COMPUTED_VALUE"""),179.0)</f>
        <v>179</v>
      </c>
      <c r="B162" s="47"/>
      <c r="C162" s="47">
        <f>IFERROR(__xludf.DUMMYFUNCTION("""COMPUTED_VALUE"""),163.0)</f>
        <v>163</v>
      </c>
      <c r="D162" s="47"/>
      <c r="E162" s="58" t="str">
        <f>IFERROR(__xludf.DUMMYFUNCTION("""COMPUTED_VALUE"""),"BALDAGO")</f>
        <v>BALDAGO</v>
      </c>
      <c r="F162" s="58" t="str">
        <f>IFERROR(__xludf.DUMMYFUNCTION("""COMPUTED_VALUE"""),"ANIELYN")</f>
        <v>ANIELYN</v>
      </c>
      <c r="BQ162" s="50"/>
      <c r="BR162" s="50"/>
      <c r="BS162" s="50"/>
      <c r="BT162" s="50"/>
      <c r="BU162" s="50"/>
    </row>
    <row r="163">
      <c r="A163" s="47">
        <f>IFERROR(__xludf.DUMMYFUNCTION("""COMPUTED_VALUE"""),180.0)</f>
        <v>180</v>
      </c>
      <c r="B163" s="47"/>
      <c r="C163" s="47">
        <f>IFERROR(__xludf.DUMMYFUNCTION("""COMPUTED_VALUE"""),163.0)</f>
        <v>163</v>
      </c>
      <c r="D163" s="47"/>
      <c r="E163" s="58" t="str">
        <f>IFERROR(__xludf.DUMMYFUNCTION("""COMPUTED_VALUE"""),"REYES")</f>
        <v>REYES</v>
      </c>
      <c r="F163" s="58" t="str">
        <f>IFERROR(__xludf.DUMMYFUNCTION("""COMPUTED_VALUE"""),"REINA ELISA")</f>
        <v>REINA ELISA</v>
      </c>
      <c r="BQ163" s="50"/>
      <c r="BR163" s="50"/>
      <c r="BS163" s="50"/>
      <c r="BT163" s="50"/>
      <c r="BU163" s="50"/>
    </row>
    <row r="164">
      <c r="A164" s="47">
        <f>IFERROR(__xludf.DUMMYFUNCTION("""COMPUTED_VALUE"""),181.0)</f>
        <v>181</v>
      </c>
      <c r="B164" s="47"/>
      <c r="C164" s="47">
        <f>IFERROR(__xludf.DUMMYFUNCTION("""COMPUTED_VALUE"""),163.0)</f>
        <v>163</v>
      </c>
      <c r="D164" s="47"/>
      <c r="E164" s="58" t="str">
        <f>IFERROR(__xludf.DUMMYFUNCTION("""COMPUTED_VALUE"""),"CARBONEL")</f>
        <v>CARBONEL</v>
      </c>
      <c r="F164" s="58" t="str">
        <f>IFERROR(__xludf.DUMMYFUNCTION("""COMPUTED_VALUE"""),"FE")</f>
        <v>FE</v>
      </c>
      <c r="BQ164" s="50"/>
      <c r="BR164" s="50"/>
      <c r="BS164" s="50"/>
      <c r="BT164" s="50"/>
      <c r="BU164" s="50"/>
    </row>
    <row r="165">
      <c r="A165" s="47">
        <f>IFERROR(__xludf.DUMMYFUNCTION("""COMPUTED_VALUE"""),182.0)</f>
        <v>182</v>
      </c>
      <c r="B165" s="47"/>
      <c r="C165" s="47">
        <f>IFERROR(__xludf.DUMMYFUNCTION("""COMPUTED_VALUE"""),163.0)</f>
        <v>163</v>
      </c>
      <c r="D165" s="47"/>
      <c r="E165" s="58" t="str">
        <f>IFERROR(__xludf.DUMMYFUNCTION("""COMPUTED_VALUE"""),"FERRER BORRES")</f>
        <v>FERRER BORRES</v>
      </c>
      <c r="F165" s="58" t="str">
        <f>IFERROR(__xludf.DUMMYFUNCTION("""COMPUTED_VALUE"""),"HELEN")</f>
        <v>HELEN</v>
      </c>
      <c r="BQ165" s="50"/>
      <c r="BR165" s="50"/>
      <c r="BS165" s="50"/>
      <c r="BT165" s="50"/>
      <c r="BU165" s="50"/>
    </row>
    <row r="166">
      <c r="A166" s="47">
        <f>IFERROR(__xludf.DUMMYFUNCTION("""COMPUTED_VALUE"""),183.0)</f>
        <v>183</v>
      </c>
      <c r="B166" s="47"/>
      <c r="C166" s="47">
        <f>IFERROR(__xludf.DUMMYFUNCTION("""COMPUTED_VALUE"""),163.0)</f>
        <v>163</v>
      </c>
      <c r="D166" s="47"/>
      <c r="E166" s="58" t="str">
        <f>IFERROR(__xludf.DUMMYFUNCTION("""COMPUTED_VALUE"""),"TRINIDAD")</f>
        <v>TRINIDAD</v>
      </c>
      <c r="F166" s="58" t="str">
        <f>IFERROR(__xludf.DUMMYFUNCTION("""COMPUTED_VALUE"""),"SONIA")</f>
        <v>SONIA</v>
      </c>
      <c r="BQ166" s="50"/>
      <c r="BR166" s="50"/>
      <c r="BS166" s="50"/>
      <c r="BT166" s="50"/>
      <c r="BU166" s="50"/>
    </row>
    <row r="167">
      <c r="A167" s="47">
        <f>IFERROR(__xludf.DUMMYFUNCTION("""COMPUTED_VALUE"""),184.0)</f>
        <v>184</v>
      </c>
      <c r="B167" s="47"/>
      <c r="C167" s="47">
        <f>IFERROR(__xludf.DUMMYFUNCTION("""COMPUTED_VALUE"""),163.0)</f>
        <v>163</v>
      </c>
      <c r="D167" s="47"/>
      <c r="E167" s="58" t="str">
        <f>IFERROR(__xludf.DUMMYFUNCTION("""COMPUTED_VALUE"""),"CARBONEL")</f>
        <v>CARBONEL</v>
      </c>
      <c r="F167" s="58" t="str">
        <f>IFERROR(__xludf.DUMMYFUNCTION("""COMPUTED_VALUE"""),"ANA")</f>
        <v>ANA</v>
      </c>
      <c r="BQ167" s="50"/>
      <c r="BR167" s="50"/>
      <c r="BS167" s="50"/>
      <c r="BT167" s="50"/>
      <c r="BU167" s="50"/>
    </row>
    <row r="168">
      <c r="A168" s="47">
        <f>IFERROR(__xludf.DUMMYFUNCTION("""COMPUTED_VALUE"""),185.0)</f>
        <v>185</v>
      </c>
      <c r="B168" s="47"/>
      <c r="C168" s="47">
        <f>IFERROR(__xludf.DUMMYFUNCTION("""COMPUTED_VALUE"""),163.0)</f>
        <v>163</v>
      </c>
      <c r="D168" s="47"/>
      <c r="E168" s="58" t="str">
        <f>IFERROR(__xludf.DUMMYFUNCTION("""COMPUTED_VALUE"""),"RAFAEL")</f>
        <v>RAFAEL</v>
      </c>
      <c r="F168" s="58" t="str">
        <f>IFERROR(__xludf.DUMMYFUNCTION("""COMPUTED_VALUE"""),"GAUDENCIA")</f>
        <v>GAUDENCIA</v>
      </c>
      <c r="BQ168" s="50"/>
      <c r="BR168" s="50"/>
      <c r="BS168" s="50"/>
      <c r="BT168" s="50"/>
      <c r="BU168" s="50"/>
    </row>
    <row r="169">
      <c r="A169" s="47">
        <f>IFERROR(__xludf.DUMMYFUNCTION("""COMPUTED_VALUE"""),186.0)</f>
        <v>186</v>
      </c>
      <c r="B169" s="47"/>
      <c r="C169" s="47">
        <f>IFERROR(__xludf.DUMMYFUNCTION("""COMPUTED_VALUE"""),163.0)</f>
        <v>163</v>
      </c>
      <c r="D169" s="47"/>
      <c r="E169" s="58" t="str">
        <f>IFERROR(__xludf.DUMMYFUNCTION("""COMPUTED_VALUE"""),"COM")</f>
        <v>COM</v>
      </c>
      <c r="F169" s="58" t="str">
        <f>IFERROR(__xludf.DUMMYFUNCTION("""COMPUTED_VALUE"""),"PATRICIA")</f>
        <v>PATRICIA</v>
      </c>
      <c r="BQ169" s="50"/>
      <c r="BR169" s="50"/>
      <c r="BS169" s="50"/>
      <c r="BT169" s="50"/>
      <c r="BU169" s="50"/>
    </row>
    <row r="170">
      <c r="A170" s="47">
        <f>IFERROR(__xludf.DUMMYFUNCTION("""COMPUTED_VALUE"""),187.0)</f>
        <v>187</v>
      </c>
      <c r="B170" s="47"/>
      <c r="C170" s="47">
        <f>IFERROR(__xludf.DUMMYFUNCTION("""COMPUTED_VALUE"""),163.0)</f>
        <v>163</v>
      </c>
      <c r="D170" s="47"/>
      <c r="E170" s="58" t="str">
        <f>IFERROR(__xludf.DUMMYFUNCTION("""COMPUTED_VALUE"""),"PASIS")</f>
        <v>PASIS</v>
      </c>
      <c r="F170" s="58" t="str">
        <f>IFERROR(__xludf.DUMMYFUNCTION("""COMPUTED_VALUE"""),"MILA")</f>
        <v>MILA</v>
      </c>
      <c r="BQ170" s="50"/>
      <c r="BR170" s="50"/>
      <c r="BS170" s="50"/>
      <c r="BT170" s="50"/>
      <c r="BU170" s="50"/>
    </row>
    <row r="171">
      <c r="A171" s="47">
        <f>IFERROR(__xludf.DUMMYFUNCTION("""COMPUTED_VALUE"""),188.0)</f>
        <v>188</v>
      </c>
      <c r="B171" s="47"/>
      <c r="C171" s="47">
        <f>IFERROR(__xludf.DUMMYFUNCTION("""COMPUTED_VALUE"""),163.0)</f>
        <v>163</v>
      </c>
      <c r="D171" s="47"/>
      <c r="E171" s="58" t="str">
        <f>IFERROR(__xludf.DUMMYFUNCTION("""COMPUTED_VALUE"""),"CAPERLAC")</f>
        <v>CAPERLAC</v>
      </c>
      <c r="F171" s="58" t="str">
        <f>IFERROR(__xludf.DUMMYFUNCTION("""COMPUTED_VALUE"""),"TESS")</f>
        <v>TESS</v>
      </c>
      <c r="BQ171" s="50"/>
      <c r="BR171" s="50"/>
      <c r="BS171" s="50"/>
      <c r="BT171" s="50"/>
      <c r="BU171" s="50"/>
    </row>
    <row r="172">
      <c r="A172" s="47">
        <f>IFERROR(__xludf.DUMMYFUNCTION("""COMPUTED_VALUE"""),189.0)</f>
        <v>189</v>
      </c>
      <c r="B172" s="47"/>
      <c r="C172" s="47">
        <f>IFERROR(__xludf.DUMMYFUNCTION("""COMPUTED_VALUE"""),163.0)</f>
        <v>163</v>
      </c>
      <c r="D172" s="47"/>
      <c r="E172" s="58" t="str">
        <f>IFERROR(__xludf.DUMMYFUNCTION("""COMPUTED_VALUE"""),"CAPERLAC")</f>
        <v>CAPERLAC</v>
      </c>
      <c r="F172" s="58" t="str">
        <f>IFERROR(__xludf.DUMMYFUNCTION("""COMPUTED_VALUE"""),"TESS")</f>
        <v>TESS</v>
      </c>
      <c r="BQ172" s="50"/>
      <c r="BR172" s="50"/>
      <c r="BS172" s="50"/>
      <c r="BT172" s="50"/>
      <c r="BU172" s="50"/>
    </row>
    <row r="173">
      <c r="A173" s="47">
        <f>IFERROR(__xludf.DUMMYFUNCTION("""COMPUTED_VALUE"""),190.0)</f>
        <v>190</v>
      </c>
      <c r="B173" s="47"/>
      <c r="C173" s="47">
        <f>IFERROR(__xludf.DUMMYFUNCTION("""COMPUTED_VALUE"""),163.0)</f>
        <v>163</v>
      </c>
      <c r="D173" s="47"/>
      <c r="E173" s="58" t="str">
        <f>IFERROR(__xludf.DUMMYFUNCTION("""COMPUTED_VALUE"""),"TOLOSA")</f>
        <v>TOLOSA</v>
      </c>
      <c r="F173" s="58" t="str">
        <f>IFERROR(__xludf.DUMMYFUNCTION("""COMPUTED_VALUE"""),"MYLENE")</f>
        <v>MYLENE</v>
      </c>
      <c r="BQ173" s="50"/>
      <c r="BR173" s="50"/>
      <c r="BS173" s="50"/>
      <c r="BT173" s="50"/>
      <c r="BU173" s="50"/>
    </row>
    <row r="174">
      <c r="A174" s="47">
        <f>IFERROR(__xludf.DUMMYFUNCTION("""COMPUTED_VALUE"""),191.0)</f>
        <v>191</v>
      </c>
      <c r="B174" s="47"/>
      <c r="C174" s="47">
        <f>IFERROR(__xludf.DUMMYFUNCTION("""COMPUTED_VALUE"""),163.0)</f>
        <v>163</v>
      </c>
      <c r="D174" s="47"/>
      <c r="E174" s="58" t="str">
        <f>IFERROR(__xludf.DUMMYFUNCTION("""COMPUTED_VALUE"""),"DELA PENA")</f>
        <v>DELA PENA</v>
      </c>
      <c r="F174" s="58" t="str">
        <f>IFERROR(__xludf.DUMMYFUNCTION("""COMPUTED_VALUE"""),"SHIELA")</f>
        <v>SHIELA</v>
      </c>
      <c r="BQ174" s="50"/>
      <c r="BR174" s="50"/>
      <c r="BS174" s="50"/>
      <c r="BT174" s="50"/>
      <c r="BU174" s="50"/>
    </row>
    <row r="175">
      <c r="A175" s="47">
        <f>IFERROR(__xludf.DUMMYFUNCTION("""COMPUTED_VALUE"""),192.0)</f>
        <v>192</v>
      </c>
      <c r="B175" s="47"/>
      <c r="C175" s="47">
        <f>IFERROR(__xludf.DUMMYFUNCTION("""COMPUTED_VALUE"""),163.0)</f>
        <v>163</v>
      </c>
      <c r="D175" s="47"/>
      <c r="E175" s="58" t="str">
        <f>IFERROR(__xludf.DUMMYFUNCTION("""COMPUTED_VALUE"""),"RAMOS")</f>
        <v>RAMOS</v>
      </c>
      <c r="F175" s="58" t="str">
        <f>IFERROR(__xludf.DUMMYFUNCTION("""COMPUTED_VALUE"""),"MYRNA")</f>
        <v>MYRNA</v>
      </c>
      <c r="BQ175" s="50"/>
      <c r="BR175" s="50"/>
      <c r="BS175" s="50"/>
      <c r="BT175" s="50"/>
      <c r="BU175" s="50"/>
    </row>
    <row r="176">
      <c r="A176" s="47">
        <f>IFERROR(__xludf.DUMMYFUNCTION("""COMPUTED_VALUE"""),193.0)</f>
        <v>193</v>
      </c>
      <c r="B176" s="47"/>
      <c r="C176" s="47">
        <f>IFERROR(__xludf.DUMMYFUNCTION("""COMPUTED_VALUE"""),163.0)</f>
        <v>163</v>
      </c>
      <c r="D176" s="47"/>
      <c r="E176" s="58" t="str">
        <f>IFERROR(__xludf.DUMMYFUNCTION("""COMPUTED_VALUE"""),"CALERICO")</f>
        <v>CALERICO</v>
      </c>
      <c r="F176" s="58" t="str">
        <f>IFERROR(__xludf.DUMMYFUNCTION("""COMPUTED_VALUE"""),"ROSEMARY")</f>
        <v>ROSEMARY</v>
      </c>
      <c r="BQ176" s="50"/>
      <c r="BR176" s="50"/>
      <c r="BS176" s="50"/>
      <c r="BT176" s="50"/>
      <c r="BU176" s="50"/>
    </row>
    <row r="177">
      <c r="A177" s="47">
        <f>IFERROR(__xludf.DUMMYFUNCTION("""COMPUTED_VALUE"""),194.0)</f>
        <v>194</v>
      </c>
      <c r="B177" s="47"/>
      <c r="C177" s="47">
        <f>IFERROR(__xludf.DUMMYFUNCTION("""COMPUTED_VALUE"""),163.0)</f>
        <v>163</v>
      </c>
      <c r="D177" s="47"/>
      <c r="E177" s="58" t="str">
        <f>IFERROR(__xludf.DUMMYFUNCTION("""COMPUTED_VALUE"""),"SORIAO")</f>
        <v>SORIAO</v>
      </c>
      <c r="F177" s="58" t="str">
        <f>IFERROR(__xludf.DUMMYFUNCTION("""COMPUTED_VALUE"""),"ROSE")</f>
        <v>ROSE</v>
      </c>
      <c r="BQ177" s="50"/>
      <c r="BR177" s="50"/>
      <c r="BS177" s="50"/>
      <c r="BT177" s="50"/>
      <c r="BU177" s="50"/>
    </row>
    <row r="178">
      <c r="A178" s="47">
        <f>IFERROR(__xludf.DUMMYFUNCTION("""COMPUTED_VALUE"""),195.0)</f>
        <v>195</v>
      </c>
      <c r="B178" s="47"/>
      <c r="C178" s="47">
        <f>IFERROR(__xludf.DUMMYFUNCTION("""COMPUTED_VALUE"""),163.0)</f>
        <v>163</v>
      </c>
      <c r="D178" s="47"/>
      <c r="E178" s="58" t="str">
        <f>IFERROR(__xludf.DUMMYFUNCTION("""COMPUTED_VALUE"""),"FIGURACION")</f>
        <v>FIGURACION</v>
      </c>
      <c r="F178" s="58" t="str">
        <f>IFERROR(__xludf.DUMMYFUNCTION("""COMPUTED_VALUE"""),"MARISSA")</f>
        <v>MARISSA</v>
      </c>
      <c r="BQ178" s="50"/>
      <c r="BR178" s="50"/>
      <c r="BS178" s="50"/>
      <c r="BT178" s="50"/>
      <c r="BU178" s="50"/>
    </row>
    <row r="179">
      <c r="A179" s="47">
        <f>IFERROR(__xludf.DUMMYFUNCTION("""COMPUTED_VALUE"""),196.0)</f>
        <v>196</v>
      </c>
      <c r="B179" s="47"/>
      <c r="C179" s="47">
        <f>IFERROR(__xludf.DUMMYFUNCTION("""COMPUTED_VALUE"""),163.0)</f>
        <v>163</v>
      </c>
      <c r="D179" s="47"/>
      <c r="E179" s="58" t="str">
        <f>IFERROR(__xludf.DUMMYFUNCTION("""COMPUTED_VALUE"""),"FIGURACION")</f>
        <v>FIGURACION</v>
      </c>
      <c r="F179" s="58" t="str">
        <f>IFERROR(__xludf.DUMMYFUNCTION("""COMPUTED_VALUE"""),"MARISSA")</f>
        <v>MARISSA</v>
      </c>
      <c r="BQ179" s="50"/>
      <c r="BR179" s="50"/>
      <c r="BS179" s="50"/>
      <c r="BT179" s="50"/>
      <c r="BU179" s="50"/>
    </row>
    <row r="180">
      <c r="A180" s="47">
        <f>IFERROR(__xludf.DUMMYFUNCTION("""COMPUTED_VALUE"""),197.0)</f>
        <v>197</v>
      </c>
      <c r="B180" s="47"/>
      <c r="C180" s="47">
        <f>IFERROR(__xludf.DUMMYFUNCTION("""COMPUTED_VALUE"""),163.0)</f>
        <v>163</v>
      </c>
      <c r="D180" s="47"/>
      <c r="E180" s="58" t="str">
        <f>IFERROR(__xludf.DUMMYFUNCTION("""COMPUTED_VALUE"""),"TOBOG")</f>
        <v>TOBOG</v>
      </c>
      <c r="F180" s="58" t="str">
        <f>IFERROR(__xludf.DUMMYFUNCTION("""COMPUTED_VALUE"""),"JENNIFER")</f>
        <v>JENNIFER</v>
      </c>
      <c r="BQ180" s="50"/>
      <c r="BR180" s="50"/>
      <c r="BS180" s="50"/>
      <c r="BT180" s="50"/>
      <c r="BU180" s="50"/>
    </row>
    <row r="181">
      <c r="A181" s="47">
        <f>IFERROR(__xludf.DUMMYFUNCTION("""COMPUTED_VALUE"""),198.0)</f>
        <v>198</v>
      </c>
      <c r="B181" s="47"/>
      <c r="C181" s="47">
        <f>IFERROR(__xludf.DUMMYFUNCTION("""COMPUTED_VALUE"""),163.0)</f>
        <v>163</v>
      </c>
      <c r="D181" s="47"/>
      <c r="E181" s="58" t="str">
        <f>IFERROR(__xludf.DUMMYFUNCTION("""COMPUTED_VALUE"""),"BENESUELA")</f>
        <v>BENESUELA</v>
      </c>
      <c r="F181" s="58" t="str">
        <f>IFERROR(__xludf.DUMMYFUNCTION("""COMPUTED_VALUE"""),"GLORIA")</f>
        <v>GLORIA</v>
      </c>
      <c r="BQ181" s="50"/>
      <c r="BR181" s="50"/>
      <c r="BS181" s="50"/>
      <c r="BT181" s="50"/>
      <c r="BU181" s="50"/>
    </row>
    <row r="182">
      <c r="A182" s="47">
        <f>IFERROR(__xludf.DUMMYFUNCTION("""COMPUTED_VALUE"""),199.0)</f>
        <v>199</v>
      </c>
      <c r="B182" s="47"/>
      <c r="C182" s="47">
        <f>IFERROR(__xludf.DUMMYFUNCTION("""COMPUTED_VALUE"""),163.0)</f>
        <v>163</v>
      </c>
      <c r="D182" s="47"/>
      <c r="E182" s="58" t="str">
        <f>IFERROR(__xludf.DUMMYFUNCTION("""COMPUTED_VALUE"""),"ORO")</f>
        <v>ORO</v>
      </c>
      <c r="F182" s="58" t="str">
        <f>IFERROR(__xludf.DUMMYFUNCTION("""COMPUTED_VALUE"""),"GEMMA")</f>
        <v>GEMMA</v>
      </c>
      <c r="BQ182" s="50"/>
      <c r="BR182" s="50"/>
      <c r="BS182" s="50"/>
      <c r="BT182" s="50"/>
      <c r="BU182" s="50"/>
    </row>
    <row r="183">
      <c r="A183" s="47">
        <f>IFERROR(__xludf.DUMMYFUNCTION("""COMPUTED_VALUE"""),200.0)</f>
        <v>200</v>
      </c>
      <c r="B183" s="47"/>
      <c r="C183" s="47">
        <f>IFERROR(__xludf.DUMMYFUNCTION("""COMPUTED_VALUE"""),163.0)</f>
        <v>163</v>
      </c>
      <c r="D183" s="47"/>
      <c r="E183" s="58" t="str">
        <f>IFERROR(__xludf.DUMMYFUNCTION("""COMPUTED_VALUE"""),"CASTIDADES")</f>
        <v>CASTIDADES</v>
      </c>
      <c r="F183" s="58" t="str">
        <f>IFERROR(__xludf.DUMMYFUNCTION("""COMPUTED_VALUE"""),"MARIFE")</f>
        <v>MARIFE</v>
      </c>
      <c r="BQ183" s="50"/>
      <c r="BR183" s="50"/>
      <c r="BS183" s="50"/>
      <c r="BT183" s="50"/>
      <c r="BU183" s="50"/>
    </row>
    <row r="184">
      <c r="A184" s="47">
        <f>IFERROR(__xludf.DUMMYFUNCTION("""COMPUTED_VALUE"""),201.0)</f>
        <v>201</v>
      </c>
      <c r="B184" s="47"/>
      <c r="C184" s="47">
        <f>IFERROR(__xludf.DUMMYFUNCTION("""COMPUTED_VALUE"""),163.0)</f>
        <v>163</v>
      </c>
      <c r="D184" s="47"/>
      <c r="E184" s="58" t="str">
        <f>IFERROR(__xludf.DUMMYFUNCTION("""COMPUTED_VALUE"""),"CASTIDADES")</f>
        <v>CASTIDADES</v>
      </c>
      <c r="F184" s="58" t="str">
        <f>IFERROR(__xludf.DUMMYFUNCTION("""COMPUTED_VALUE"""),"MARIFE")</f>
        <v>MARIFE</v>
      </c>
      <c r="BQ184" s="50"/>
      <c r="BR184" s="50"/>
      <c r="BS184" s="50"/>
      <c r="BT184" s="50"/>
      <c r="BU184" s="50"/>
    </row>
    <row r="185">
      <c r="A185" s="47">
        <f>IFERROR(__xludf.DUMMYFUNCTION("""COMPUTED_VALUE"""),202.0)</f>
        <v>202</v>
      </c>
      <c r="B185" s="47"/>
      <c r="C185" s="47">
        <f>IFERROR(__xludf.DUMMYFUNCTION("""COMPUTED_VALUE"""),163.0)</f>
        <v>163</v>
      </c>
      <c r="D185" s="47"/>
      <c r="E185" s="58" t="str">
        <f>IFERROR(__xludf.DUMMYFUNCTION("""COMPUTED_VALUE"""),"MENDOZA")</f>
        <v>MENDOZA</v>
      </c>
      <c r="F185" s="58" t="str">
        <f>IFERROR(__xludf.DUMMYFUNCTION("""COMPUTED_VALUE"""),"LALIE")</f>
        <v>LALIE</v>
      </c>
      <c r="BQ185" s="50"/>
      <c r="BR185" s="50"/>
      <c r="BS185" s="50"/>
      <c r="BT185" s="50"/>
      <c r="BU185" s="50"/>
    </row>
    <row r="186">
      <c r="A186" s="47">
        <f>IFERROR(__xludf.DUMMYFUNCTION("""COMPUTED_VALUE"""),203.0)</f>
        <v>203</v>
      </c>
      <c r="B186" s="47"/>
      <c r="C186" s="47">
        <f>IFERROR(__xludf.DUMMYFUNCTION("""COMPUTED_VALUE"""),163.0)</f>
        <v>163</v>
      </c>
      <c r="D186" s="47"/>
      <c r="E186" s="58" t="str">
        <f>IFERROR(__xludf.DUMMYFUNCTION("""COMPUTED_VALUE"""),"MENDOZA")</f>
        <v>MENDOZA</v>
      </c>
      <c r="F186" s="58" t="str">
        <f>IFERROR(__xludf.DUMMYFUNCTION("""COMPUTED_VALUE"""),"LALIE")</f>
        <v>LALIE</v>
      </c>
      <c r="BQ186" s="50"/>
      <c r="BR186" s="50"/>
      <c r="BS186" s="50"/>
      <c r="BT186" s="50"/>
      <c r="BU186" s="50"/>
    </row>
    <row r="187">
      <c r="A187" s="47">
        <f>IFERROR(__xludf.DUMMYFUNCTION("""COMPUTED_VALUE"""),204.0)</f>
        <v>204</v>
      </c>
      <c r="B187" s="47"/>
      <c r="C187" s="47">
        <f>IFERROR(__xludf.DUMMYFUNCTION("""COMPUTED_VALUE"""),163.0)</f>
        <v>163</v>
      </c>
      <c r="D187" s="47"/>
      <c r="E187" s="58" t="str">
        <f>IFERROR(__xludf.DUMMYFUNCTION("""COMPUTED_VALUE"""),"CALUPAS")</f>
        <v>CALUPAS</v>
      </c>
      <c r="F187" s="58" t="str">
        <f>IFERROR(__xludf.DUMMYFUNCTION("""COMPUTED_VALUE"""),"AIDA")</f>
        <v>AIDA</v>
      </c>
      <c r="BQ187" s="50"/>
      <c r="BR187" s="50"/>
      <c r="BS187" s="50"/>
      <c r="BT187" s="50"/>
      <c r="BU187" s="50"/>
    </row>
    <row r="188">
      <c r="A188" s="47"/>
      <c r="B188" s="47"/>
      <c r="C188" s="47"/>
      <c r="D188" s="47"/>
      <c r="E188" s="58"/>
      <c r="F188" s="58"/>
      <c r="BQ188" s="50"/>
      <c r="BR188" s="50"/>
      <c r="BS188" s="50"/>
      <c r="BT188" s="50"/>
      <c r="BU188" s="50"/>
    </row>
    <row r="189">
      <c r="A189" s="47">
        <f>IFERROR(__xludf.DUMMYFUNCTION("""COMPUTED_VALUE"""),205.0)</f>
        <v>205</v>
      </c>
      <c r="B189" s="47"/>
      <c r="C189" s="47">
        <f>IFERROR(__xludf.DUMMYFUNCTION("""COMPUTED_VALUE"""),205.0)</f>
        <v>205</v>
      </c>
      <c r="D189" s="47" t="b">
        <f>IFERROR(__xludf.DUMMYFUNCTION("""COMPUTED_VALUE"""),TRUE)</f>
        <v>1</v>
      </c>
      <c r="E189" s="58" t="str">
        <f>IFERROR(__xludf.DUMMYFUNCTION("""COMPUTED_VALUE"""),"DOMINGO")</f>
        <v>DOMINGO</v>
      </c>
      <c r="F189" s="58" t="str">
        <f>IFERROR(__xludf.DUMMYFUNCTION("""COMPUTED_VALUE"""),"THELMA")</f>
        <v>THELMA</v>
      </c>
      <c r="BQ189" s="50"/>
      <c r="BR189" s="50"/>
      <c r="BS189" s="50"/>
      <c r="BT189" s="50"/>
      <c r="BU189" s="50"/>
    </row>
    <row r="190">
      <c r="A190" s="47">
        <f>IFERROR(__xludf.DUMMYFUNCTION("""COMPUTED_VALUE"""),206.0)</f>
        <v>206</v>
      </c>
      <c r="B190" s="47"/>
      <c r="C190" s="47">
        <f>IFERROR(__xludf.DUMMYFUNCTION("""COMPUTED_VALUE"""),205.0)</f>
        <v>205</v>
      </c>
      <c r="D190" s="47"/>
      <c r="E190" s="58" t="str">
        <f>IFERROR(__xludf.DUMMYFUNCTION("""COMPUTED_VALUE"""),"SALANGA")</f>
        <v>SALANGA</v>
      </c>
      <c r="F190" s="58" t="str">
        <f>IFERROR(__xludf.DUMMYFUNCTION("""COMPUTED_VALUE"""),"SUSAN")</f>
        <v>SUSAN</v>
      </c>
      <c r="BQ190" s="50"/>
      <c r="BR190" s="50"/>
      <c r="BS190" s="50"/>
      <c r="BT190" s="50"/>
      <c r="BU190" s="50"/>
    </row>
    <row r="191">
      <c r="A191" s="47">
        <f>IFERROR(__xludf.DUMMYFUNCTION("""COMPUTED_VALUE"""),207.0)</f>
        <v>207</v>
      </c>
      <c r="B191" s="47"/>
      <c r="C191" s="47">
        <f>IFERROR(__xludf.DUMMYFUNCTION("""COMPUTED_VALUE"""),205.0)</f>
        <v>205</v>
      </c>
      <c r="D191" s="47"/>
      <c r="E191" s="58" t="str">
        <f>IFERROR(__xludf.DUMMYFUNCTION("""COMPUTED_VALUE"""),"CARTALLA")</f>
        <v>CARTALLA</v>
      </c>
      <c r="F191" s="58" t="str">
        <f>IFERROR(__xludf.DUMMYFUNCTION("""COMPUTED_VALUE"""),"AILEEN")</f>
        <v>AILEEN</v>
      </c>
      <c r="BQ191" s="50"/>
      <c r="BR191" s="50"/>
      <c r="BS191" s="50"/>
      <c r="BT191" s="50"/>
      <c r="BU191" s="50"/>
    </row>
    <row r="192">
      <c r="A192" s="47">
        <f>IFERROR(__xludf.DUMMYFUNCTION("""COMPUTED_VALUE"""),208.0)</f>
        <v>208</v>
      </c>
      <c r="B192" s="47"/>
      <c r="C192" s="47">
        <f>IFERROR(__xludf.DUMMYFUNCTION("""COMPUTED_VALUE"""),205.0)</f>
        <v>205</v>
      </c>
      <c r="D192" s="47"/>
      <c r="E192" s="74" t="str">
        <f>IFERROR(__xludf.DUMMYFUNCTION("""COMPUTED_VALUE"""),"CORSINO MADAYAG")</f>
        <v>CORSINO MADAYAG</v>
      </c>
      <c r="F192" s="73" t="str">
        <f>IFERROR(__xludf.DUMMYFUNCTION("""COMPUTED_VALUE"""),"ANTOLINA ""BABY""")</f>
        <v>ANTOLINA "BABY"</v>
      </c>
      <c r="BQ192" s="50"/>
      <c r="BR192" s="50"/>
      <c r="BS192" s="50"/>
      <c r="BT192" s="50"/>
      <c r="BU192" s="50"/>
    </row>
    <row r="193">
      <c r="A193" s="47">
        <f>IFERROR(__xludf.DUMMYFUNCTION("""COMPUTED_VALUE"""),209.0)</f>
        <v>209</v>
      </c>
      <c r="B193" s="47"/>
      <c r="C193" s="47">
        <f>IFERROR(__xludf.DUMMYFUNCTION("""COMPUTED_VALUE"""),205.0)</f>
        <v>205</v>
      </c>
      <c r="D193" s="47"/>
      <c r="E193" s="73" t="str">
        <f>IFERROR(__xludf.DUMMYFUNCTION("""COMPUTED_VALUE"""),"NASATAYA")</f>
        <v>NASATAYA</v>
      </c>
      <c r="F193" s="58" t="str">
        <f>IFERROR(__xludf.DUMMYFUNCTION("""COMPUTED_VALUE"""),"ELVIE")</f>
        <v>ELVIE</v>
      </c>
      <c r="BQ193" s="50"/>
      <c r="BR193" s="50"/>
      <c r="BS193" s="50"/>
      <c r="BT193" s="50"/>
      <c r="BU193" s="50"/>
    </row>
    <row r="194">
      <c r="A194" s="47">
        <f>IFERROR(__xludf.DUMMYFUNCTION("""COMPUTED_VALUE"""),210.0)</f>
        <v>210</v>
      </c>
      <c r="B194" s="47"/>
      <c r="C194" s="47">
        <f>IFERROR(__xludf.DUMMYFUNCTION("""COMPUTED_VALUE"""),205.0)</f>
        <v>205</v>
      </c>
      <c r="D194" s="47"/>
      <c r="E194" s="58" t="str">
        <f>IFERROR(__xludf.DUMMYFUNCTION("""COMPUTED_VALUE"""),"LASAM")</f>
        <v>LASAM</v>
      </c>
      <c r="F194" s="58" t="str">
        <f>IFERROR(__xludf.DUMMYFUNCTION("""COMPUTED_VALUE"""),"ANA")</f>
        <v>ANA</v>
      </c>
      <c r="BQ194" s="50"/>
      <c r="BR194" s="50"/>
      <c r="BS194" s="50"/>
      <c r="BT194" s="50"/>
      <c r="BU194" s="50"/>
    </row>
    <row r="195">
      <c r="A195" s="47">
        <f>IFERROR(__xludf.DUMMYFUNCTION("""COMPUTED_VALUE"""),211.0)</f>
        <v>211</v>
      </c>
      <c r="B195" s="47"/>
      <c r="C195" s="47">
        <f>IFERROR(__xludf.DUMMYFUNCTION("""COMPUTED_VALUE"""),205.0)</f>
        <v>205</v>
      </c>
      <c r="D195" s="47"/>
      <c r="E195" s="58" t="str">
        <f>IFERROR(__xludf.DUMMYFUNCTION("""COMPUTED_VALUE"""),"PERDIGON")</f>
        <v>PERDIGON</v>
      </c>
      <c r="F195" s="58" t="str">
        <f>IFERROR(__xludf.DUMMYFUNCTION("""COMPUTED_VALUE"""),"ELSA")</f>
        <v>ELSA</v>
      </c>
      <c r="BQ195" s="50"/>
      <c r="BR195" s="50"/>
      <c r="BS195" s="50"/>
      <c r="BT195" s="50"/>
      <c r="BU195" s="50"/>
    </row>
    <row r="196">
      <c r="A196" s="47">
        <f>IFERROR(__xludf.DUMMYFUNCTION("""COMPUTED_VALUE"""),212.0)</f>
        <v>212</v>
      </c>
      <c r="B196" s="47"/>
      <c r="C196" s="47">
        <f>IFERROR(__xludf.DUMMYFUNCTION("""COMPUTED_VALUE"""),205.0)</f>
        <v>205</v>
      </c>
      <c r="D196" s="47"/>
      <c r="E196" s="58" t="str">
        <f>IFERROR(__xludf.DUMMYFUNCTION("""COMPUTED_VALUE"""),"SABINO")</f>
        <v>SABINO</v>
      </c>
      <c r="F196" s="58" t="str">
        <f>IFERROR(__xludf.DUMMYFUNCTION("""COMPUTED_VALUE"""),"LANIE")</f>
        <v>LANIE</v>
      </c>
      <c r="BQ196" s="50"/>
      <c r="BR196" s="50"/>
      <c r="BS196" s="50"/>
      <c r="BT196" s="50"/>
      <c r="BU196" s="50"/>
    </row>
    <row r="197">
      <c r="A197" s="47">
        <f>IFERROR(__xludf.DUMMYFUNCTION("""COMPUTED_VALUE"""),213.0)</f>
        <v>213</v>
      </c>
      <c r="B197" s="47"/>
      <c r="C197" s="47">
        <f>IFERROR(__xludf.DUMMYFUNCTION("""COMPUTED_VALUE"""),205.0)</f>
        <v>205</v>
      </c>
      <c r="D197" s="47"/>
      <c r="E197" s="93" t="str">
        <f>IFERROR(__xludf.DUMMYFUNCTION("""COMPUTED_VALUE"""),"LAO")</f>
        <v>LAO</v>
      </c>
      <c r="F197" s="58" t="str">
        <f>IFERROR(__xludf.DUMMYFUNCTION("""COMPUTED_VALUE"""),"JENNY")</f>
        <v>JENNY</v>
      </c>
      <c r="BQ197" s="50"/>
      <c r="BR197" s="50"/>
      <c r="BS197" s="50"/>
      <c r="BT197" s="50"/>
      <c r="BU197" s="50"/>
    </row>
    <row r="198">
      <c r="A198" s="47">
        <f>IFERROR(__xludf.DUMMYFUNCTION("""COMPUTED_VALUE"""),214.0)</f>
        <v>214</v>
      </c>
      <c r="B198" s="47"/>
      <c r="C198" s="47">
        <f>IFERROR(__xludf.DUMMYFUNCTION("""COMPUTED_VALUE"""),205.0)</f>
        <v>205</v>
      </c>
      <c r="D198" s="47"/>
      <c r="E198" s="95" t="str">
        <f>IFERROR(__xludf.DUMMYFUNCTION("""COMPUTED_VALUE"""),"SAAVEDRA")</f>
        <v>SAAVEDRA</v>
      </c>
      <c r="F198" s="58" t="str">
        <f>IFERROR(__xludf.DUMMYFUNCTION("""COMPUTED_VALUE"""),"MARIA FE")</f>
        <v>MARIA FE</v>
      </c>
      <c r="BQ198" s="50"/>
      <c r="BR198" s="50"/>
      <c r="BS198" s="50"/>
      <c r="BT198" s="50"/>
      <c r="BU198" s="50"/>
    </row>
    <row r="199">
      <c r="A199" s="47">
        <f>IFERROR(__xludf.DUMMYFUNCTION("""COMPUTED_VALUE"""),215.0)</f>
        <v>215</v>
      </c>
      <c r="B199" s="47"/>
      <c r="C199" s="47">
        <f>IFERROR(__xludf.DUMMYFUNCTION("""COMPUTED_VALUE"""),205.0)</f>
        <v>205</v>
      </c>
      <c r="D199" s="47"/>
      <c r="E199" s="95" t="str">
        <f>IFERROR(__xludf.DUMMYFUNCTION("""COMPUTED_VALUE"""),"TINUMPIT")</f>
        <v>TINUMPIT</v>
      </c>
      <c r="F199" s="58" t="str">
        <f>IFERROR(__xludf.DUMMYFUNCTION("""COMPUTED_VALUE"""),"LETTY")</f>
        <v>LETTY</v>
      </c>
      <c r="BQ199" s="50"/>
      <c r="BR199" s="50"/>
      <c r="BS199" s="50"/>
      <c r="BT199" s="50"/>
      <c r="BU199" s="50"/>
    </row>
    <row r="200">
      <c r="A200" s="47">
        <f>IFERROR(__xludf.DUMMYFUNCTION("""COMPUTED_VALUE"""),216.0)</f>
        <v>216</v>
      </c>
      <c r="B200" s="47"/>
      <c r="C200" s="47">
        <f>IFERROR(__xludf.DUMMYFUNCTION("""COMPUTED_VALUE"""),205.0)</f>
        <v>205</v>
      </c>
      <c r="D200" s="47"/>
      <c r="E200" s="95" t="str">
        <f>IFERROR(__xludf.DUMMYFUNCTION("""COMPUTED_VALUE"""),"MAGANA")</f>
        <v>MAGANA</v>
      </c>
      <c r="F200" s="58" t="str">
        <f>IFERROR(__xludf.DUMMYFUNCTION("""COMPUTED_VALUE"""),"MARILYN")</f>
        <v>MARILYN</v>
      </c>
      <c r="BQ200" s="50"/>
      <c r="BR200" s="50"/>
      <c r="BS200" s="50"/>
      <c r="BT200" s="50"/>
      <c r="BU200" s="50"/>
    </row>
    <row r="201">
      <c r="A201" s="47">
        <f>IFERROR(__xludf.DUMMYFUNCTION("""COMPUTED_VALUE"""),217.0)</f>
        <v>217</v>
      </c>
      <c r="B201" s="47"/>
      <c r="C201" s="47">
        <f>IFERROR(__xludf.DUMMYFUNCTION("""COMPUTED_VALUE"""),205.0)</f>
        <v>205</v>
      </c>
      <c r="D201" s="47"/>
      <c r="E201" s="97" t="str">
        <f>IFERROR(__xludf.DUMMYFUNCTION("""COMPUTED_VALUE"""),"CABISAY")</f>
        <v>CABISAY</v>
      </c>
      <c r="F201" s="97" t="str">
        <f>IFERROR(__xludf.DUMMYFUNCTION("""COMPUTED_VALUE"""),"MAY FLOR")</f>
        <v>MAY FLOR</v>
      </c>
      <c r="BQ201" s="50"/>
      <c r="BR201" s="50"/>
      <c r="BS201" s="50"/>
      <c r="BT201" s="50"/>
      <c r="BU201" s="50"/>
    </row>
    <row r="202">
      <c r="A202" s="47">
        <f>IFERROR(__xludf.DUMMYFUNCTION("""COMPUTED_VALUE"""),218.0)</f>
        <v>218</v>
      </c>
      <c r="B202" s="47"/>
      <c r="C202" s="47">
        <f>IFERROR(__xludf.DUMMYFUNCTION("""COMPUTED_VALUE"""),205.0)</f>
        <v>205</v>
      </c>
      <c r="D202" s="47"/>
      <c r="E202" s="58" t="str">
        <f>IFERROR(__xludf.DUMMYFUNCTION("""COMPUTED_VALUE"""),"SALANGA")</f>
        <v>SALANGA</v>
      </c>
      <c r="F202" s="58" t="str">
        <f>IFERROR(__xludf.DUMMYFUNCTION("""COMPUTED_VALUE"""),"SUSAN")</f>
        <v>SUSAN</v>
      </c>
      <c r="BQ202" s="50"/>
      <c r="BR202" s="50"/>
      <c r="BS202" s="50"/>
      <c r="BT202" s="50"/>
      <c r="BU202" s="50"/>
    </row>
    <row r="203">
      <c r="A203" s="47">
        <f>IFERROR(__xludf.DUMMYFUNCTION("""COMPUTED_VALUE"""),219.0)</f>
        <v>219</v>
      </c>
      <c r="B203" s="47"/>
      <c r="C203" s="47">
        <f>IFERROR(__xludf.DUMMYFUNCTION("""COMPUTED_VALUE"""),205.0)</f>
        <v>205</v>
      </c>
      <c r="D203" s="47"/>
      <c r="E203" s="58" t="str">
        <f>IFERROR(__xludf.DUMMYFUNCTION("""COMPUTED_VALUE"""),"BATITIS")</f>
        <v>BATITIS</v>
      </c>
      <c r="F203" s="58" t="str">
        <f>IFERROR(__xludf.DUMMYFUNCTION("""COMPUTED_VALUE"""),"MARYJANE")</f>
        <v>MARYJANE</v>
      </c>
      <c r="BQ203" s="50"/>
      <c r="BR203" s="50"/>
      <c r="BS203" s="50"/>
      <c r="BT203" s="50"/>
      <c r="BU203" s="50"/>
    </row>
    <row r="204">
      <c r="A204" s="47">
        <f>IFERROR(__xludf.DUMMYFUNCTION("""COMPUTED_VALUE"""),220.0)</f>
        <v>220</v>
      </c>
      <c r="B204" s="47"/>
      <c r="C204" s="47">
        <f>IFERROR(__xludf.DUMMYFUNCTION("""COMPUTED_VALUE"""),205.0)</f>
        <v>205</v>
      </c>
      <c r="D204" s="47"/>
      <c r="E204" s="58" t="str">
        <f>IFERROR(__xludf.DUMMYFUNCTION("""COMPUTED_VALUE"""),"MOSCAH")</f>
        <v>MOSCAH</v>
      </c>
      <c r="F204" s="58" t="str">
        <f>IFERROR(__xludf.DUMMYFUNCTION("""COMPUTED_VALUE"""),"ABE GAIL LADELYN")</f>
        <v>ABE GAIL LADELYN</v>
      </c>
      <c r="BQ204" s="50"/>
      <c r="BR204" s="50"/>
      <c r="BS204" s="50"/>
      <c r="BT204" s="50"/>
      <c r="BU204" s="50"/>
    </row>
    <row r="205">
      <c r="A205" s="47">
        <f>IFERROR(__xludf.DUMMYFUNCTION("""COMPUTED_VALUE"""),221.0)</f>
        <v>221</v>
      </c>
      <c r="B205" s="47"/>
      <c r="C205" s="47">
        <f>IFERROR(__xludf.DUMMYFUNCTION("""COMPUTED_VALUE"""),205.0)</f>
        <v>205</v>
      </c>
      <c r="D205" s="47"/>
      <c r="E205" s="58" t="str">
        <f>IFERROR(__xludf.DUMMYFUNCTION("""COMPUTED_VALUE"""),"CARAMANCION")</f>
        <v>CARAMANCION</v>
      </c>
      <c r="F205" s="58" t="str">
        <f>IFERROR(__xludf.DUMMYFUNCTION("""COMPUTED_VALUE"""),"LUDY")</f>
        <v>LUDY</v>
      </c>
      <c r="BQ205" s="50"/>
      <c r="BR205" s="50"/>
      <c r="BS205" s="50"/>
      <c r="BT205" s="50"/>
      <c r="BU205" s="50"/>
    </row>
    <row r="206">
      <c r="A206" s="47">
        <f>IFERROR(__xludf.DUMMYFUNCTION("""COMPUTED_VALUE"""),222.0)</f>
        <v>222</v>
      </c>
      <c r="B206" s="47"/>
      <c r="C206" s="47">
        <f>IFERROR(__xludf.DUMMYFUNCTION("""COMPUTED_VALUE"""),205.0)</f>
        <v>205</v>
      </c>
      <c r="D206" s="47"/>
      <c r="E206" s="58" t="str">
        <f>IFERROR(__xludf.DUMMYFUNCTION("""COMPUTED_VALUE"""),"DIGUANGCO")</f>
        <v>DIGUANGCO</v>
      </c>
      <c r="F206" s="58" t="str">
        <f>IFERROR(__xludf.DUMMYFUNCTION("""COMPUTED_VALUE"""),"EMMA")</f>
        <v>EMMA</v>
      </c>
      <c r="BQ206" s="50"/>
      <c r="BR206" s="50"/>
      <c r="BS206" s="50"/>
      <c r="BT206" s="50"/>
      <c r="BU206" s="50"/>
    </row>
    <row r="207">
      <c r="A207" s="47">
        <f>IFERROR(__xludf.DUMMYFUNCTION("""COMPUTED_VALUE"""),223.0)</f>
        <v>223</v>
      </c>
      <c r="B207" s="47"/>
      <c r="C207" s="47">
        <f>IFERROR(__xludf.DUMMYFUNCTION("""COMPUTED_VALUE"""),205.0)</f>
        <v>205</v>
      </c>
      <c r="D207" s="47"/>
      <c r="E207" s="58" t="str">
        <f>IFERROR(__xludf.DUMMYFUNCTION("""COMPUTED_VALUE"""),"QUIAMBAO")</f>
        <v>QUIAMBAO</v>
      </c>
      <c r="F207" s="58" t="str">
        <f>IFERROR(__xludf.DUMMYFUNCTION("""COMPUTED_VALUE"""),"TESS")</f>
        <v>TESS</v>
      </c>
      <c r="BQ207" s="50"/>
      <c r="BR207" s="50"/>
      <c r="BS207" s="50"/>
      <c r="BT207" s="50"/>
      <c r="BU207" s="50"/>
    </row>
    <row r="208">
      <c r="A208" s="47">
        <f>IFERROR(__xludf.DUMMYFUNCTION("""COMPUTED_VALUE"""),224.0)</f>
        <v>224</v>
      </c>
      <c r="B208" s="47"/>
      <c r="C208" s="47">
        <f>IFERROR(__xludf.DUMMYFUNCTION("""COMPUTED_VALUE"""),205.0)</f>
        <v>205</v>
      </c>
      <c r="D208" s="47"/>
      <c r="E208" s="58" t="str">
        <f>IFERROR(__xludf.DUMMYFUNCTION("""COMPUTED_VALUE"""),"APOSTOL")</f>
        <v>APOSTOL</v>
      </c>
      <c r="F208" s="58" t="str">
        <f>IFERROR(__xludf.DUMMYFUNCTION("""COMPUTED_VALUE"""),"RUTH")</f>
        <v>RUTH</v>
      </c>
      <c r="BQ208" s="50"/>
      <c r="BR208" s="50"/>
      <c r="BS208" s="50"/>
      <c r="BT208" s="50"/>
      <c r="BU208" s="50"/>
    </row>
    <row r="209">
      <c r="A209" s="47">
        <f>IFERROR(__xludf.DUMMYFUNCTION("""COMPUTED_VALUE"""),225.0)</f>
        <v>225</v>
      </c>
      <c r="B209" s="47"/>
      <c r="C209" s="47">
        <f>IFERROR(__xludf.DUMMYFUNCTION("""COMPUTED_VALUE"""),205.0)</f>
        <v>205</v>
      </c>
      <c r="D209" s="47"/>
      <c r="E209" s="58" t="str">
        <f>IFERROR(__xludf.DUMMYFUNCTION("""COMPUTED_VALUE"""),"RONQUILLO")</f>
        <v>RONQUILLO</v>
      </c>
      <c r="F209" s="58" t="str">
        <f>IFERROR(__xludf.DUMMYFUNCTION("""COMPUTED_VALUE"""),"HEIDI")</f>
        <v>HEIDI</v>
      </c>
      <c r="BQ209" s="50"/>
      <c r="BR209" s="50"/>
      <c r="BS209" s="50"/>
      <c r="BT209" s="50"/>
      <c r="BU209" s="50"/>
    </row>
    <row r="210">
      <c r="A210" s="47"/>
      <c r="B210" s="47"/>
      <c r="C210" s="47"/>
      <c r="D210" s="47"/>
      <c r="E210" s="58"/>
      <c r="F210" s="58"/>
      <c r="BQ210" s="50"/>
      <c r="BR210" s="50"/>
      <c r="BS210" s="50"/>
      <c r="BT210" s="50"/>
      <c r="BU210" s="50"/>
    </row>
    <row r="211">
      <c r="A211" s="47">
        <f>IFERROR(__xludf.DUMMYFUNCTION("""COMPUTED_VALUE"""),227.0)</f>
        <v>227</v>
      </c>
      <c r="B211" s="47"/>
      <c r="C211" s="47">
        <f>IFERROR(__xludf.DUMMYFUNCTION("""COMPUTED_VALUE"""),205.0)</f>
        <v>205</v>
      </c>
      <c r="D211" s="47"/>
      <c r="E211" s="58" t="str">
        <f>IFERROR(__xludf.DUMMYFUNCTION("""COMPUTED_VALUE"""),"GERONIMO")</f>
        <v>GERONIMO</v>
      </c>
      <c r="F211" s="58" t="str">
        <f>IFERROR(__xludf.DUMMYFUNCTION("""COMPUTED_VALUE"""),"MANILYN")</f>
        <v>MANILYN</v>
      </c>
      <c r="BQ211" s="50"/>
      <c r="BR211" s="50"/>
      <c r="BS211" s="50"/>
      <c r="BT211" s="50"/>
      <c r="BU211" s="50"/>
    </row>
    <row r="212">
      <c r="A212" s="47">
        <f>IFERROR(__xludf.DUMMYFUNCTION("""COMPUTED_VALUE"""),228.0)</f>
        <v>228</v>
      </c>
      <c r="B212" s="47"/>
      <c r="C212" s="47">
        <f>IFERROR(__xludf.DUMMYFUNCTION("""COMPUTED_VALUE"""),205.0)</f>
        <v>205</v>
      </c>
      <c r="D212" s="47"/>
      <c r="E212" s="58" t="str">
        <f>IFERROR(__xludf.DUMMYFUNCTION("""COMPUTED_VALUE"""),"DUQUE")</f>
        <v>DUQUE</v>
      </c>
      <c r="F212" s="58" t="str">
        <f>IFERROR(__xludf.DUMMYFUNCTION("""COMPUTED_VALUE"""),"FLORDELIZA")</f>
        <v>FLORDELIZA</v>
      </c>
      <c r="BQ212" s="50"/>
      <c r="BR212" s="50"/>
      <c r="BS212" s="50"/>
      <c r="BT212" s="50"/>
      <c r="BU212" s="50"/>
    </row>
    <row r="213">
      <c r="A213" s="47">
        <f>IFERROR(__xludf.DUMMYFUNCTION("""COMPUTED_VALUE"""),229.0)</f>
        <v>229</v>
      </c>
      <c r="B213" s="47"/>
      <c r="C213" s="47">
        <f>IFERROR(__xludf.DUMMYFUNCTION("""COMPUTED_VALUE"""),205.0)</f>
        <v>205</v>
      </c>
      <c r="D213" s="47"/>
      <c r="E213" s="58" t="str">
        <f>IFERROR(__xludf.DUMMYFUNCTION("""COMPUTED_VALUE"""),"CANO")</f>
        <v>CANO</v>
      </c>
      <c r="F213" s="58" t="str">
        <f>IFERROR(__xludf.DUMMYFUNCTION("""COMPUTED_VALUE"""),"CEVELIA")</f>
        <v>CEVELIA</v>
      </c>
      <c r="BQ213" s="50"/>
      <c r="BR213" s="50"/>
      <c r="BS213" s="50"/>
      <c r="BT213" s="50"/>
      <c r="BU213" s="50"/>
    </row>
    <row r="214">
      <c r="A214" s="47">
        <f>IFERROR(__xludf.DUMMYFUNCTION("""COMPUTED_VALUE"""),230.0)</f>
        <v>230</v>
      </c>
      <c r="B214" s="47"/>
      <c r="C214" s="47">
        <f>IFERROR(__xludf.DUMMYFUNCTION("""COMPUTED_VALUE"""),205.0)</f>
        <v>205</v>
      </c>
      <c r="D214" s="47"/>
      <c r="E214" s="58" t="str">
        <f>IFERROR(__xludf.DUMMYFUNCTION("""COMPUTED_VALUE"""),"GERONIMO")</f>
        <v>GERONIMO</v>
      </c>
      <c r="F214" s="58" t="str">
        <f>IFERROR(__xludf.DUMMYFUNCTION("""COMPUTED_VALUE"""),"GLORIA")</f>
        <v>GLORIA</v>
      </c>
      <c r="BQ214" s="50"/>
      <c r="BR214" s="50"/>
      <c r="BS214" s="50"/>
      <c r="BT214" s="50"/>
      <c r="BU214" s="50"/>
    </row>
    <row r="215">
      <c r="A215" s="47"/>
      <c r="B215" s="47"/>
      <c r="C215" s="47"/>
      <c r="D215" s="47"/>
      <c r="E215" s="58"/>
      <c r="F215" s="58"/>
      <c r="BQ215" s="50"/>
      <c r="BR215" s="50"/>
      <c r="BS215" s="50"/>
      <c r="BT215" s="50"/>
      <c r="BU215" s="50"/>
    </row>
    <row r="216">
      <c r="A216" s="47">
        <f>IFERROR(__xludf.DUMMYFUNCTION("""COMPUTED_VALUE"""),232.0)</f>
        <v>232</v>
      </c>
      <c r="B216" s="47"/>
      <c r="C216" s="47">
        <f>IFERROR(__xludf.DUMMYFUNCTION("""COMPUTED_VALUE"""),205.0)</f>
        <v>205</v>
      </c>
      <c r="D216" s="47"/>
      <c r="E216" s="58" t="str">
        <f>IFERROR(__xludf.DUMMYFUNCTION("""COMPUTED_VALUE"""),"GERONIMO")</f>
        <v>GERONIMO</v>
      </c>
      <c r="F216" s="73" t="str">
        <f>IFERROR(__xludf.DUMMYFUNCTION("""COMPUTED_VALUE"""),"GLORIA")</f>
        <v>GLORIA</v>
      </c>
      <c r="BQ216" s="50"/>
      <c r="BR216" s="50"/>
      <c r="BS216" s="50"/>
      <c r="BT216" s="50"/>
      <c r="BU216" s="50"/>
    </row>
    <row r="217">
      <c r="A217" s="47"/>
      <c r="B217" s="47"/>
      <c r="C217" s="47"/>
      <c r="D217" s="47"/>
      <c r="E217" s="58"/>
      <c r="F217" s="58"/>
      <c r="BQ217" s="50"/>
      <c r="BR217" s="50"/>
      <c r="BS217" s="50"/>
      <c r="BT217" s="50"/>
      <c r="BU217" s="50"/>
    </row>
    <row r="218">
      <c r="A218" s="47"/>
      <c r="B218" s="47"/>
      <c r="C218" s="47"/>
      <c r="D218" s="47"/>
      <c r="E218" s="47"/>
      <c r="F218" s="47"/>
      <c r="BQ218" s="50"/>
      <c r="BR218" s="50"/>
      <c r="BS218" s="50"/>
      <c r="BT218" s="50"/>
      <c r="BU218" s="50"/>
    </row>
    <row r="219">
      <c r="A219" s="47">
        <f>IFERROR(__xludf.DUMMYFUNCTION("""COMPUTED_VALUE"""),235.0)</f>
        <v>235</v>
      </c>
      <c r="B219" s="47"/>
      <c r="C219" s="47">
        <f>IFERROR(__xludf.DUMMYFUNCTION("""COMPUTED_VALUE"""),205.0)</f>
        <v>205</v>
      </c>
      <c r="D219" s="47"/>
      <c r="E219" s="47" t="str">
        <f>IFERROR(__xludf.DUMMYFUNCTION("""COMPUTED_VALUE"""),"SAN VICENTE")</f>
        <v>SAN VICENTE</v>
      </c>
      <c r="F219" s="47" t="str">
        <f>IFERROR(__xludf.DUMMYFUNCTION("""COMPUTED_VALUE"""),"DONAH")</f>
        <v>DONAH</v>
      </c>
      <c r="BQ219" s="50"/>
      <c r="BR219" s="50"/>
      <c r="BS219" s="50"/>
      <c r="BT219" s="50"/>
      <c r="BU219" s="50"/>
    </row>
    <row r="220">
      <c r="A220" s="47">
        <f>IFERROR(__xludf.DUMMYFUNCTION("""COMPUTED_VALUE"""),236.0)</f>
        <v>236</v>
      </c>
      <c r="B220" s="47"/>
      <c r="C220" s="47">
        <f>IFERROR(__xludf.DUMMYFUNCTION("""COMPUTED_VALUE"""),205.0)</f>
        <v>205</v>
      </c>
      <c r="D220" s="47"/>
      <c r="E220" s="47" t="str">
        <f>IFERROR(__xludf.DUMMYFUNCTION("""COMPUTED_VALUE"""),"TUPAS")</f>
        <v>TUPAS</v>
      </c>
      <c r="F220" s="47" t="str">
        <f>IFERROR(__xludf.DUMMYFUNCTION("""COMPUTED_VALUE"""),"REGINA")</f>
        <v>REGINA</v>
      </c>
      <c r="BQ220" s="50"/>
      <c r="BR220" s="50"/>
      <c r="BS220" s="50"/>
      <c r="BT220" s="50"/>
      <c r="BU220" s="50"/>
    </row>
    <row r="221">
      <c r="A221" s="47">
        <f>IFERROR(__xludf.DUMMYFUNCTION("""COMPUTED_VALUE"""),237.0)</f>
        <v>237</v>
      </c>
      <c r="B221" s="47"/>
      <c r="C221" s="47">
        <f>IFERROR(__xludf.DUMMYFUNCTION("""COMPUTED_VALUE"""),205.0)</f>
        <v>205</v>
      </c>
      <c r="D221" s="47"/>
      <c r="E221" s="47" t="str">
        <f>IFERROR(__xludf.DUMMYFUNCTION("""COMPUTED_VALUE"""),"CALALO")</f>
        <v>CALALO</v>
      </c>
      <c r="F221" s="47" t="str">
        <f>IFERROR(__xludf.DUMMYFUNCTION("""COMPUTED_VALUE"""),"MARITES")</f>
        <v>MARITES</v>
      </c>
      <c r="BQ221" s="50"/>
      <c r="BR221" s="50"/>
      <c r="BS221" s="50"/>
      <c r="BT221" s="50"/>
      <c r="BU221" s="50"/>
    </row>
    <row r="222">
      <c r="A222" s="47"/>
      <c r="B222" s="47"/>
      <c r="C222" s="47"/>
      <c r="D222" s="47"/>
      <c r="E222" s="47"/>
      <c r="F222" s="47"/>
      <c r="BQ222" s="50"/>
      <c r="BR222" s="50"/>
      <c r="BS222" s="50"/>
      <c r="BT222" s="50"/>
      <c r="BU222" s="50"/>
    </row>
    <row r="223">
      <c r="A223" s="47">
        <f>IFERROR(__xludf.DUMMYFUNCTION("""COMPUTED_VALUE"""),239.0)</f>
        <v>239</v>
      </c>
      <c r="B223" s="47"/>
      <c r="C223" s="47">
        <f>IFERROR(__xludf.DUMMYFUNCTION("""COMPUTED_VALUE"""),205.0)</f>
        <v>205</v>
      </c>
      <c r="D223" s="47"/>
      <c r="E223" s="47" t="str">
        <f>IFERROR(__xludf.DUMMYFUNCTION("""COMPUTED_VALUE"""),"MALIG")</f>
        <v>MALIG</v>
      </c>
      <c r="F223" s="47" t="str">
        <f>IFERROR(__xludf.DUMMYFUNCTION("""COMPUTED_VALUE"""),"JOCELYN")</f>
        <v>JOCELYN</v>
      </c>
      <c r="BQ223" s="50"/>
      <c r="BR223" s="50"/>
      <c r="BS223" s="50"/>
      <c r="BT223" s="50"/>
      <c r="BU223" s="50"/>
    </row>
    <row r="224">
      <c r="A224" s="47">
        <f>IFERROR(__xludf.DUMMYFUNCTION("""COMPUTED_VALUE"""),240.0)</f>
        <v>240</v>
      </c>
      <c r="B224" s="47"/>
      <c r="C224" s="47">
        <f>IFERROR(__xludf.DUMMYFUNCTION("""COMPUTED_VALUE"""),205.0)</f>
        <v>205</v>
      </c>
      <c r="D224" s="47"/>
      <c r="E224" s="47" t="str">
        <f>IFERROR(__xludf.DUMMYFUNCTION("""COMPUTED_VALUE"""),"SERRANO")</f>
        <v>SERRANO</v>
      </c>
      <c r="F224" s="47" t="str">
        <f>IFERROR(__xludf.DUMMYFUNCTION("""COMPUTED_VALUE"""),"MELANIE")</f>
        <v>MELANIE</v>
      </c>
      <c r="BQ224" s="50"/>
      <c r="BR224" s="50"/>
      <c r="BS224" s="50"/>
      <c r="BT224" s="50"/>
      <c r="BU224" s="50"/>
    </row>
    <row r="225">
      <c r="A225" s="47">
        <f>IFERROR(__xludf.DUMMYFUNCTION("""COMPUTED_VALUE"""),241.0)</f>
        <v>241</v>
      </c>
      <c r="B225" s="47"/>
      <c r="C225" s="47">
        <f>IFERROR(__xludf.DUMMYFUNCTION("""COMPUTED_VALUE"""),205.0)</f>
        <v>205</v>
      </c>
      <c r="D225" s="47"/>
      <c r="E225" s="47" t="str">
        <f>IFERROR(__xludf.DUMMYFUNCTION("""COMPUTED_VALUE"""),"RAYTANA")</f>
        <v>RAYTANA</v>
      </c>
      <c r="F225" s="47" t="str">
        <f>IFERROR(__xludf.DUMMYFUNCTION("""COMPUTED_VALUE"""),"MAIMAI")</f>
        <v>MAIMAI</v>
      </c>
      <c r="BQ225" s="50"/>
      <c r="BR225" s="50"/>
      <c r="BS225" s="50"/>
      <c r="BT225" s="50"/>
      <c r="BU225" s="50"/>
    </row>
    <row r="226">
      <c r="A226" s="47">
        <f>IFERROR(__xludf.DUMMYFUNCTION("""COMPUTED_VALUE"""),242.0)</f>
        <v>242</v>
      </c>
      <c r="B226" s="47"/>
      <c r="C226" s="47">
        <f>IFERROR(__xludf.DUMMYFUNCTION("""COMPUTED_VALUE"""),205.0)</f>
        <v>205</v>
      </c>
      <c r="D226" s="47"/>
      <c r="E226" s="47" t="str">
        <f>IFERROR(__xludf.DUMMYFUNCTION("""COMPUTED_VALUE"""),"BEATO")</f>
        <v>BEATO</v>
      </c>
      <c r="F226" s="47" t="str">
        <f>IFERROR(__xludf.DUMMYFUNCTION("""COMPUTED_VALUE"""),"LUDIVINA")</f>
        <v>LUDIVINA</v>
      </c>
      <c r="BQ226" s="50"/>
      <c r="BR226" s="50"/>
      <c r="BS226" s="50"/>
      <c r="BT226" s="50"/>
      <c r="BU226" s="50"/>
    </row>
    <row r="227">
      <c r="A227" s="47">
        <f>IFERROR(__xludf.DUMMYFUNCTION("""COMPUTED_VALUE"""),243.0)</f>
        <v>243</v>
      </c>
      <c r="B227" s="47"/>
      <c r="C227" s="47">
        <f>IFERROR(__xludf.DUMMYFUNCTION("""COMPUTED_VALUE"""),205.0)</f>
        <v>205</v>
      </c>
      <c r="D227" s="47"/>
      <c r="E227" s="47" t="str">
        <f>IFERROR(__xludf.DUMMYFUNCTION("""COMPUTED_VALUE"""),"MYLENE")</f>
        <v>MYLENE</v>
      </c>
      <c r="F227" s="47"/>
      <c r="BQ227" s="50"/>
      <c r="BR227" s="50"/>
      <c r="BS227" s="50"/>
      <c r="BT227" s="50"/>
      <c r="BU227" s="50"/>
    </row>
    <row r="228">
      <c r="A228" s="47">
        <f>IFERROR(__xludf.DUMMYFUNCTION("""COMPUTED_VALUE"""),244.0)</f>
        <v>244</v>
      </c>
      <c r="B228" s="47"/>
      <c r="C228" s="47">
        <f>IFERROR(__xludf.DUMMYFUNCTION("""COMPUTED_VALUE"""),205.0)</f>
        <v>205</v>
      </c>
      <c r="D228" s="47"/>
      <c r="E228" s="47" t="str">
        <f>IFERROR(__xludf.DUMMYFUNCTION("""COMPUTED_VALUE"""),"DOMINGO")</f>
        <v>DOMINGO</v>
      </c>
      <c r="F228" s="47" t="str">
        <f>IFERROR(__xludf.DUMMYFUNCTION("""COMPUTED_VALUE"""),"THELMA")</f>
        <v>THELMA</v>
      </c>
      <c r="BQ228" s="50"/>
      <c r="BR228" s="50"/>
      <c r="BS228" s="50"/>
      <c r="BT228" s="50"/>
      <c r="BU228" s="50"/>
    </row>
    <row r="229">
      <c r="A229" s="47">
        <f>IFERROR(__xludf.DUMMYFUNCTION("""COMPUTED_VALUE"""),245.0)</f>
        <v>245</v>
      </c>
      <c r="B229" s="47"/>
      <c r="C229" s="47">
        <f>IFERROR(__xludf.DUMMYFUNCTION("""COMPUTED_VALUE"""),205.0)</f>
        <v>205</v>
      </c>
      <c r="D229" s="47"/>
      <c r="E229" s="47" t="str">
        <f>IFERROR(__xludf.DUMMYFUNCTION("""COMPUTED_VALUE"""),"YUTUC")</f>
        <v>YUTUC</v>
      </c>
      <c r="F229" s="47" t="str">
        <f>IFERROR(__xludf.DUMMYFUNCTION("""COMPUTED_VALUE"""),"ABBY")</f>
        <v>ABBY</v>
      </c>
      <c r="BQ229" s="50"/>
      <c r="BR229" s="50"/>
      <c r="BS229" s="50"/>
      <c r="BT229" s="50"/>
      <c r="BU229" s="50"/>
    </row>
    <row r="230">
      <c r="A230" s="47">
        <f>IFERROR(__xludf.DUMMYFUNCTION("""COMPUTED_VALUE"""),246.0)</f>
        <v>246</v>
      </c>
      <c r="B230" s="47"/>
      <c r="C230" s="47">
        <f>IFERROR(__xludf.DUMMYFUNCTION("""COMPUTED_VALUE"""),205.0)</f>
        <v>205</v>
      </c>
      <c r="D230" s="47"/>
      <c r="E230" s="47" t="str">
        <f>IFERROR(__xludf.DUMMYFUNCTION("""COMPUTED_VALUE"""),"MAGBANUA")</f>
        <v>MAGBANUA</v>
      </c>
      <c r="F230" s="47" t="str">
        <f>IFERROR(__xludf.DUMMYFUNCTION("""COMPUTED_VALUE"""),"JENNY")</f>
        <v>JENNY</v>
      </c>
      <c r="BQ230" s="50"/>
      <c r="BR230" s="50"/>
      <c r="BS230" s="50"/>
      <c r="BT230" s="50"/>
      <c r="BU230" s="50"/>
    </row>
    <row r="231">
      <c r="A231" s="47">
        <f>IFERROR(__xludf.DUMMYFUNCTION("""COMPUTED_VALUE"""),247.0)</f>
        <v>247</v>
      </c>
      <c r="B231" s="47"/>
      <c r="C231" s="47">
        <f>IFERROR(__xludf.DUMMYFUNCTION("""COMPUTED_VALUE"""),205.0)</f>
        <v>205</v>
      </c>
      <c r="D231" s="47"/>
      <c r="E231" s="47" t="str">
        <f>IFERROR(__xludf.DUMMYFUNCTION("""COMPUTED_VALUE"""),"GAMET")</f>
        <v>GAMET</v>
      </c>
      <c r="F231" s="47" t="str">
        <f>IFERROR(__xludf.DUMMYFUNCTION("""COMPUTED_VALUE"""),"BENG")</f>
        <v>BENG</v>
      </c>
      <c r="BQ231" s="50"/>
      <c r="BR231" s="50"/>
      <c r="BS231" s="50"/>
      <c r="BT231" s="50"/>
      <c r="BU231" s="50"/>
    </row>
    <row r="232">
      <c r="A232" s="47"/>
      <c r="B232" s="47"/>
      <c r="C232" s="47"/>
      <c r="D232" s="47"/>
      <c r="E232" s="47"/>
      <c r="F232" s="47"/>
      <c r="BQ232" s="50" t="s">
        <v>720</v>
      </c>
      <c r="BR232" s="50" t="s">
        <v>722</v>
      </c>
      <c r="BS232" s="50" t="s">
        <v>724</v>
      </c>
      <c r="BT232" s="50"/>
      <c r="BU232" s="50"/>
    </row>
    <row r="233">
      <c r="A233" s="47">
        <f>IFERROR(__xludf.DUMMYFUNCTION("""COMPUTED_VALUE"""),249.0)</f>
        <v>249</v>
      </c>
      <c r="B233" s="47"/>
      <c r="C233" s="47">
        <f>IFERROR(__xludf.DUMMYFUNCTION("""COMPUTED_VALUE"""),205.0)</f>
        <v>205</v>
      </c>
      <c r="D233" s="47"/>
      <c r="E233" s="47" t="str">
        <f>IFERROR(__xludf.DUMMYFUNCTION("""COMPUTED_VALUE"""),"CAVENTA")</f>
        <v>CAVENTA</v>
      </c>
      <c r="F233" s="47" t="str">
        <f>IFERROR(__xludf.DUMMYFUNCTION("""COMPUTED_VALUE"""),"CYNTHIA")</f>
        <v>CYNTHIA</v>
      </c>
      <c r="BQ233" s="50"/>
      <c r="BR233" s="50"/>
      <c r="BS233" s="50"/>
      <c r="BT233" s="50"/>
      <c r="BU233" s="50"/>
    </row>
    <row r="234">
      <c r="A234" s="47">
        <f>IFERROR(__xludf.DUMMYFUNCTION("""COMPUTED_VALUE"""),250.0)</f>
        <v>250</v>
      </c>
      <c r="B234" s="47"/>
      <c r="C234" s="47">
        <f>IFERROR(__xludf.DUMMYFUNCTION("""COMPUTED_VALUE"""),205.0)</f>
        <v>205</v>
      </c>
      <c r="D234" s="47"/>
      <c r="E234" s="47" t="str">
        <f>IFERROR(__xludf.DUMMYFUNCTION("""COMPUTED_VALUE"""),"ROBLE")</f>
        <v>ROBLE</v>
      </c>
      <c r="F234" s="47" t="str">
        <f>IFERROR(__xludf.DUMMYFUNCTION("""COMPUTED_VALUE"""),"DEL")</f>
        <v>DEL</v>
      </c>
      <c r="BQ234" s="50"/>
      <c r="BR234" s="50"/>
      <c r="BS234" s="50"/>
      <c r="BT234" s="50"/>
      <c r="BU234" s="50"/>
    </row>
    <row r="235">
      <c r="A235" s="47">
        <f>IFERROR(__xludf.DUMMYFUNCTION("""COMPUTED_VALUE"""),251.0)</f>
        <v>251</v>
      </c>
      <c r="B235" s="47"/>
      <c r="C235" s="47">
        <f>IFERROR(__xludf.DUMMYFUNCTION("""COMPUTED_VALUE"""),205.0)</f>
        <v>205</v>
      </c>
      <c r="D235" s="47"/>
      <c r="E235" s="47" t="str">
        <f>IFERROR(__xludf.DUMMYFUNCTION("""COMPUTED_VALUE"""),"GABRIEL")</f>
        <v>GABRIEL</v>
      </c>
      <c r="F235" s="47" t="str">
        <f>IFERROR(__xludf.DUMMYFUNCTION("""COMPUTED_VALUE"""),"KON")</f>
        <v>KON</v>
      </c>
      <c r="BQ235" s="50"/>
      <c r="BR235" s="50"/>
      <c r="BS235" s="50"/>
      <c r="BT235" s="50"/>
      <c r="BU235" s="50"/>
    </row>
    <row r="236">
      <c r="A236" s="47">
        <f>IFERROR(__xludf.DUMMYFUNCTION("""COMPUTED_VALUE"""),252.0)</f>
        <v>252</v>
      </c>
      <c r="B236" s="47"/>
      <c r="C236" s="47">
        <f>IFERROR(__xludf.DUMMYFUNCTION("""COMPUTED_VALUE"""),205.0)</f>
        <v>205</v>
      </c>
      <c r="D236" s="47"/>
      <c r="E236" s="47" t="str">
        <f>IFERROR(__xludf.DUMMYFUNCTION("""COMPUTED_VALUE"""),"RINDON")</f>
        <v>RINDON</v>
      </c>
      <c r="F236" s="47" t="str">
        <f>IFERROR(__xludf.DUMMYFUNCTION("""COMPUTED_VALUE"""),"GRACE")</f>
        <v>GRACE</v>
      </c>
      <c r="BQ236" s="50"/>
      <c r="BR236" s="50"/>
      <c r="BS236" s="50"/>
      <c r="BT236" s="50"/>
      <c r="BU236" s="50"/>
    </row>
    <row r="237">
      <c r="A237" s="47">
        <f>IFERROR(__xludf.DUMMYFUNCTION("""COMPUTED_VALUE"""),253.0)</f>
        <v>253</v>
      </c>
      <c r="B237" s="47"/>
      <c r="C237" s="47">
        <f>IFERROR(__xludf.DUMMYFUNCTION("""COMPUTED_VALUE"""),205.0)</f>
        <v>205</v>
      </c>
      <c r="D237" s="47"/>
      <c r="E237" s="47" t="str">
        <f>IFERROR(__xludf.DUMMYFUNCTION("""COMPUTED_VALUE"""),"RIEGO")</f>
        <v>RIEGO</v>
      </c>
      <c r="F237" s="47" t="str">
        <f>IFERROR(__xludf.DUMMYFUNCTION("""COMPUTED_VALUE"""),"MYRNA")</f>
        <v>MYRNA</v>
      </c>
      <c r="BQ237" s="50"/>
      <c r="BR237" s="50"/>
      <c r="BS237" s="50"/>
      <c r="BT237" s="50"/>
      <c r="BU237" s="50"/>
    </row>
    <row r="238">
      <c r="A238" s="2">
        <f>IFERROR(__xludf.DUMMYFUNCTION("""COMPUTED_VALUE"""),254.0)</f>
        <v>254</v>
      </c>
      <c r="B238" s="4"/>
      <c r="C238" s="47">
        <f>IFERROR(__xludf.DUMMYFUNCTION("""COMPUTED_VALUE"""),205.0)</f>
        <v>205</v>
      </c>
      <c r="D238" s="47"/>
      <c r="E238" s="47" t="str">
        <f>IFERROR(__xludf.DUMMYFUNCTION("""COMPUTED_VALUE"""),"LANZUELA")</f>
        <v>LANZUELA</v>
      </c>
      <c r="F238" s="47" t="str">
        <f>IFERROR(__xludf.DUMMYFUNCTION("""COMPUTED_VALUE"""),"JOSEPHINE")</f>
        <v>JOSEPHINE</v>
      </c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2"/>
      <c r="R238" s="12"/>
      <c r="S238" s="12"/>
      <c r="T238" s="12"/>
      <c r="U238" s="12"/>
      <c r="V238" s="12"/>
      <c r="W238" s="12"/>
      <c r="BQ238" s="50"/>
      <c r="BR238" s="50"/>
      <c r="BS238" s="50"/>
      <c r="BT238" s="50"/>
      <c r="BU238" s="50"/>
    </row>
    <row r="239">
      <c r="A239" s="47">
        <f>IFERROR(__xludf.DUMMYFUNCTION("""COMPUTED_VALUE"""),255.0)</f>
        <v>255</v>
      </c>
      <c r="B239" s="47"/>
      <c r="C239" s="47">
        <f>IFERROR(__xludf.DUMMYFUNCTION("""COMPUTED_VALUE"""),205.0)</f>
        <v>205</v>
      </c>
      <c r="D239" s="47"/>
      <c r="E239" s="47" t="str">
        <f>IFERROR(__xludf.DUMMYFUNCTION("""COMPUTED_VALUE"""),"MERCADO")</f>
        <v>MERCADO</v>
      </c>
      <c r="F239" s="47" t="str">
        <f>IFERROR(__xludf.DUMMYFUNCTION("""COMPUTED_VALUE"""),"ESTELITA")</f>
        <v>ESTELITA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BQ239" s="50"/>
      <c r="BR239" s="50"/>
      <c r="BS239" s="50"/>
      <c r="BT239" s="50"/>
      <c r="BU239" s="50"/>
    </row>
    <row r="240">
      <c r="A240" s="47">
        <f>IFERROR(__xludf.DUMMYFUNCTION("""COMPUTED_VALUE"""),256.0)</f>
        <v>256</v>
      </c>
      <c r="B240" s="47"/>
      <c r="C240" s="47">
        <f>IFERROR(__xludf.DUMMYFUNCTION("""COMPUTED_VALUE"""),205.0)</f>
        <v>205</v>
      </c>
      <c r="D240" s="47"/>
      <c r="E240" s="15" t="str">
        <f>IFERROR(__xludf.DUMMYFUNCTION("""COMPUTED_VALUE"""),"IBALLA")</f>
        <v>IBALLA</v>
      </c>
      <c r="F240" s="15" t="str">
        <f>IFERROR(__xludf.DUMMYFUNCTION("""COMPUTED_VALUE"""),"ROSADELIA")</f>
        <v>ROSADELIA</v>
      </c>
      <c r="BQ240" s="50"/>
      <c r="BR240" s="50"/>
      <c r="BS240" s="50"/>
      <c r="BT240" s="50"/>
      <c r="BU240" s="50"/>
    </row>
    <row r="241">
      <c r="A241" s="47"/>
      <c r="B241" s="47"/>
      <c r="C241" s="47"/>
      <c r="D241" s="47"/>
      <c r="E241" s="17"/>
      <c r="F241" s="17"/>
      <c r="BQ241" s="50"/>
      <c r="BR241" s="50"/>
      <c r="BS241" s="50"/>
      <c r="BT241" s="50"/>
      <c r="BU241" s="50"/>
    </row>
    <row r="242">
      <c r="A242" s="47">
        <f>IFERROR(__xludf.DUMMYFUNCTION("""COMPUTED_VALUE"""),258.0)</f>
        <v>258</v>
      </c>
      <c r="B242" s="47"/>
      <c r="C242" s="47">
        <f>IFERROR(__xludf.DUMMYFUNCTION("""COMPUTED_VALUE"""),205.0)</f>
        <v>205</v>
      </c>
      <c r="D242" s="47"/>
      <c r="E242" s="17" t="str">
        <f>IFERROR(__xludf.DUMMYFUNCTION("""COMPUTED_VALUE"""),"VILLACRUSIS")</f>
        <v>VILLACRUSIS</v>
      </c>
      <c r="F242" s="17" t="str">
        <f>IFERROR(__xludf.DUMMYFUNCTION("""COMPUTED_VALUE"""),"MICHELLE")</f>
        <v>MICHELLE</v>
      </c>
      <c r="BQ242" s="50"/>
      <c r="BR242" s="50"/>
      <c r="BS242" s="50"/>
      <c r="BT242" s="50"/>
      <c r="BU242" s="50"/>
    </row>
    <row r="243">
      <c r="A243" s="47">
        <f>IFERROR(__xludf.DUMMYFUNCTION("""COMPUTED_VALUE"""),259.0)</f>
        <v>259</v>
      </c>
      <c r="B243" s="47"/>
      <c r="C243" s="47">
        <f>IFERROR(__xludf.DUMMYFUNCTION("""COMPUTED_VALUE"""),205.0)</f>
        <v>205</v>
      </c>
      <c r="D243" s="47"/>
      <c r="E243" s="17" t="str">
        <f>IFERROR(__xludf.DUMMYFUNCTION("""COMPUTED_VALUE"""),"IBALLA")</f>
        <v>IBALLA</v>
      </c>
      <c r="F243" s="17" t="str">
        <f>IFERROR(__xludf.DUMMYFUNCTION("""COMPUTED_VALUE"""),"ROSADELIA")</f>
        <v>ROSADELIA</v>
      </c>
      <c r="BQ243" s="50"/>
      <c r="BR243" s="50"/>
      <c r="BS243" s="50"/>
      <c r="BT243" s="50"/>
      <c r="BU243" s="50"/>
    </row>
    <row r="244">
      <c r="A244" s="47">
        <f>IFERROR(__xludf.DUMMYFUNCTION("""COMPUTED_VALUE"""),260.0)</f>
        <v>260</v>
      </c>
      <c r="B244" s="47"/>
      <c r="C244" s="47">
        <f>IFERROR(__xludf.DUMMYFUNCTION("""COMPUTED_VALUE"""),205.0)</f>
        <v>205</v>
      </c>
      <c r="D244" s="47"/>
      <c r="E244" s="17" t="str">
        <f>IFERROR(__xludf.DUMMYFUNCTION("""COMPUTED_VALUE"""),"PUZALAN")</f>
        <v>PUZALAN</v>
      </c>
      <c r="F244" s="17" t="str">
        <f>IFERROR(__xludf.DUMMYFUNCTION("""COMPUTED_VALUE"""),"SAMYLAINE")</f>
        <v>SAMYLAINE</v>
      </c>
      <c r="BQ244" s="50"/>
      <c r="BR244" s="50"/>
      <c r="BS244" s="50"/>
      <c r="BT244" s="50"/>
      <c r="BU244" s="50"/>
    </row>
    <row r="245">
      <c r="A245" s="47"/>
      <c r="B245" s="47"/>
      <c r="C245" s="47"/>
      <c r="D245" s="47"/>
      <c r="E245" s="17"/>
      <c r="F245" s="17"/>
      <c r="BQ245" s="50"/>
      <c r="BR245" s="50"/>
      <c r="BS245" s="50"/>
      <c r="BT245" s="50"/>
      <c r="BU245" s="50"/>
    </row>
    <row r="246">
      <c r="A246" s="47">
        <f>IFERROR(__xludf.DUMMYFUNCTION("""COMPUTED_VALUE"""),262.0)</f>
        <v>262</v>
      </c>
      <c r="B246" s="47"/>
      <c r="C246" s="47">
        <f>IFERROR(__xludf.DUMMYFUNCTION("""COMPUTED_VALUE"""),205.0)</f>
        <v>205</v>
      </c>
      <c r="D246" s="47"/>
      <c r="E246" s="19" t="str">
        <f>IFERROR(__xludf.DUMMYFUNCTION("""COMPUTED_VALUE"""),"LOBRIDO")</f>
        <v>LOBRIDO</v>
      </c>
      <c r="F246" s="19" t="str">
        <f>IFERROR(__xludf.DUMMYFUNCTION("""COMPUTED_VALUE"""),"LILY GRACE MATURAN")</f>
        <v>LILY GRACE MATURAN</v>
      </c>
      <c r="BQ246" s="50"/>
      <c r="BR246" s="50"/>
      <c r="BS246" s="50"/>
      <c r="BT246" s="50"/>
      <c r="BU246" s="50"/>
    </row>
    <row r="247">
      <c r="A247" s="47">
        <f>IFERROR(__xludf.DUMMYFUNCTION("""COMPUTED_VALUE"""),263.0)</f>
        <v>263</v>
      </c>
      <c r="B247" s="47"/>
      <c r="C247" s="47">
        <f>IFERROR(__xludf.DUMMYFUNCTION("""COMPUTED_VALUE"""),205.0)</f>
        <v>205</v>
      </c>
      <c r="D247" s="47"/>
      <c r="E247" s="19" t="str">
        <f>IFERROR(__xludf.DUMMYFUNCTION("""COMPUTED_VALUE"""),"GERVACIO")</f>
        <v>GERVACIO</v>
      </c>
      <c r="F247" s="19" t="str">
        <f>IFERROR(__xludf.DUMMYFUNCTION("""COMPUTED_VALUE"""),"JHOANN")</f>
        <v>JHOANN</v>
      </c>
      <c r="BQ247" s="50"/>
      <c r="BR247" s="50"/>
      <c r="BS247" s="50"/>
      <c r="BT247" s="50"/>
      <c r="BU247" s="50"/>
    </row>
    <row r="248">
      <c r="A248" s="47"/>
      <c r="B248" s="47"/>
      <c r="C248" s="47"/>
      <c r="D248" s="47"/>
      <c r="E248" s="19"/>
      <c r="F248" s="19"/>
      <c r="BQ248" s="50"/>
      <c r="BR248" s="50"/>
      <c r="BS248" s="50"/>
      <c r="BT248" s="50"/>
      <c r="BU248" s="50"/>
    </row>
    <row r="249">
      <c r="A249" s="47">
        <f>IFERROR(__xludf.DUMMYFUNCTION("""COMPUTED_VALUE"""),265.0)</f>
        <v>265</v>
      </c>
      <c r="B249" s="47"/>
      <c r="C249" s="47">
        <f>IFERROR(__xludf.DUMMYFUNCTION("""COMPUTED_VALUE"""),205.0)</f>
        <v>205</v>
      </c>
      <c r="D249" s="47"/>
      <c r="E249" s="19" t="str">
        <f>IFERROR(__xludf.DUMMYFUNCTION("""COMPUTED_VALUE"""),"BOLANOS")</f>
        <v>BOLANOS</v>
      </c>
      <c r="F249" s="19" t="str">
        <f>IFERROR(__xludf.DUMMYFUNCTION("""COMPUTED_VALUE"""),"EVA")</f>
        <v>EVA</v>
      </c>
      <c r="BQ249" s="50"/>
      <c r="BR249" s="50"/>
      <c r="BS249" s="50"/>
      <c r="BT249" s="50"/>
      <c r="BU249" s="50"/>
    </row>
    <row r="250">
      <c r="A250" s="47">
        <f>IFERROR(__xludf.DUMMYFUNCTION("""COMPUTED_VALUE"""),266.0)</f>
        <v>266</v>
      </c>
      <c r="B250" s="47"/>
      <c r="C250" s="47">
        <f>IFERROR(__xludf.DUMMYFUNCTION("""COMPUTED_VALUE"""),205.0)</f>
        <v>205</v>
      </c>
      <c r="D250" s="47"/>
      <c r="E250" s="19" t="str">
        <f>IFERROR(__xludf.DUMMYFUNCTION("""COMPUTED_VALUE"""),"VINLUAN FORMENTERA")</f>
        <v>VINLUAN FORMENTERA</v>
      </c>
      <c r="F250" s="19" t="str">
        <f>IFERROR(__xludf.DUMMYFUNCTION("""COMPUTED_VALUE"""),"MARVI")</f>
        <v>MARVI</v>
      </c>
      <c r="BQ250" s="50"/>
      <c r="BR250" s="50"/>
      <c r="BS250" s="50"/>
      <c r="BT250" s="50"/>
      <c r="BU250" s="50"/>
    </row>
    <row r="251">
      <c r="A251" s="47">
        <f>IFERROR(__xludf.DUMMYFUNCTION("""COMPUTED_VALUE"""),267.0)</f>
        <v>267</v>
      </c>
      <c r="B251" s="47"/>
      <c r="C251" s="47">
        <f>IFERROR(__xludf.DUMMYFUNCTION("""COMPUTED_VALUE"""),205.0)</f>
        <v>205</v>
      </c>
      <c r="D251" s="47"/>
      <c r="E251" s="21" t="str">
        <f>IFERROR(__xludf.DUMMYFUNCTION("""COMPUTED_VALUE"""),"VINLUAN")</f>
        <v>VINLUAN</v>
      </c>
      <c r="F251" s="21" t="str">
        <f>IFERROR(__xludf.DUMMYFUNCTION("""COMPUTED_VALUE"""),"GEMMA")</f>
        <v>GEMMA</v>
      </c>
      <c r="BQ251" s="50"/>
      <c r="BR251" s="50"/>
      <c r="BS251" s="50"/>
      <c r="BT251" s="50"/>
      <c r="BU251" s="50"/>
    </row>
    <row r="252">
      <c r="A252" s="47">
        <f>IFERROR(__xludf.DUMMYFUNCTION("""COMPUTED_VALUE"""),268.0)</f>
        <v>268</v>
      </c>
      <c r="B252" s="47"/>
      <c r="C252" s="47">
        <f>IFERROR(__xludf.DUMMYFUNCTION("""COMPUTED_VALUE"""),205.0)</f>
        <v>205</v>
      </c>
      <c r="D252" s="47"/>
      <c r="E252" s="19" t="str">
        <f>IFERROR(__xludf.DUMMYFUNCTION("""COMPUTED_VALUE"""),"VINLUAN")</f>
        <v>VINLUAN</v>
      </c>
      <c r="F252" s="19" t="str">
        <f>IFERROR(__xludf.DUMMYFUNCTION("""COMPUTED_VALUE"""),"MARIBEL")</f>
        <v>MARIBEL</v>
      </c>
      <c r="BQ252" s="50"/>
      <c r="BR252" s="50"/>
      <c r="BS252" s="50"/>
      <c r="BT252" s="50"/>
      <c r="BU252" s="50"/>
    </row>
    <row r="253">
      <c r="A253" s="47">
        <f>IFERROR(__xludf.DUMMYFUNCTION("""COMPUTED_VALUE"""),269.0)</f>
        <v>269</v>
      </c>
      <c r="B253" s="47"/>
      <c r="C253" s="47">
        <f>IFERROR(__xludf.DUMMYFUNCTION("""COMPUTED_VALUE"""),205.0)</f>
        <v>205</v>
      </c>
      <c r="D253" s="47"/>
      <c r="E253" s="19" t="str">
        <f>IFERROR(__xludf.DUMMYFUNCTION("""COMPUTED_VALUE"""),"VINLUAN")</f>
        <v>VINLUAN</v>
      </c>
      <c r="F253" s="19" t="str">
        <f>IFERROR(__xludf.DUMMYFUNCTION("""COMPUTED_VALUE"""),"MALOU")</f>
        <v>MALOU</v>
      </c>
      <c r="BQ253" s="50"/>
      <c r="BR253" s="50"/>
      <c r="BS253" s="50"/>
      <c r="BT253" s="50"/>
      <c r="BU253" s="50"/>
    </row>
    <row r="254">
      <c r="A254" s="47"/>
      <c r="B254" s="47"/>
      <c r="C254" s="47"/>
      <c r="D254" s="47"/>
      <c r="E254" s="19"/>
      <c r="F254" s="19"/>
      <c r="BQ254" s="50"/>
      <c r="BR254" s="50"/>
      <c r="BS254" s="50"/>
      <c r="BT254" s="50"/>
      <c r="BU254" s="50"/>
    </row>
    <row r="255">
      <c r="A255" s="47">
        <f>IFERROR(__xludf.DUMMYFUNCTION("""COMPUTED_VALUE"""),271.0)</f>
        <v>271</v>
      </c>
      <c r="B255" s="47"/>
      <c r="C255" s="47">
        <f>IFERROR(__xludf.DUMMYFUNCTION("""COMPUTED_VALUE"""),205.0)</f>
        <v>205</v>
      </c>
      <c r="D255" s="47"/>
      <c r="E255" s="19" t="str">
        <f>IFERROR(__xludf.DUMMYFUNCTION("""COMPUTED_VALUE"""),"CASIN")</f>
        <v>CASIN</v>
      </c>
      <c r="F255" s="19" t="str">
        <f>IFERROR(__xludf.DUMMYFUNCTION("""COMPUTED_VALUE"""),"JHO")</f>
        <v>JHO</v>
      </c>
      <c r="BQ255" s="50"/>
      <c r="BR255" s="50"/>
      <c r="BS255" s="50"/>
      <c r="BT255" s="50"/>
      <c r="BU255" s="50"/>
    </row>
    <row r="256">
      <c r="A256" s="47">
        <f>IFERROR(__xludf.DUMMYFUNCTION("""COMPUTED_VALUE"""),272.0)</f>
        <v>272</v>
      </c>
      <c r="B256" s="47"/>
      <c r="C256" s="47">
        <f>IFERROR(__xludf.DUMMYFUNCTION("""COMPUTED_VALUE"""),205.0)</f>
        <v>205</v>
      </c>
      <c r="D256" s="47"/>
      <c r="E256" s="19" t="str">
        <f>IFERROR(__xludf.DUMMYFUNCTION("""COMPUTED_VALUE"""),"SILVERIO")</f>
        <v>SILVERIO</v>
      </c>
      <c r="F256" s="19" t="str">
        <f>IFERROR(__xludf.DUMMYFUNCTION("""COMPUTED_VALUE"""),"ONIE")</f>
        <v>ONIE</v>
      </c>
      <c r="BQ256" s="50"/>
      <c r="BR256" s="50"/>
      <c r="BS256" s="50"/>
      <c r="BT256" s="50"/>
      <c r="BU256" s="50"/>
    </row>
    <row r="257">
      <c r="A257" s="47"/>
      <c r="B257" s="47"/>
      <c r="C257" s="47"/>
      <c r="D257" s="47"/>
      <c r="E257" s="19"/>
      <c r="F257" s="19"/>
      <c r="BQ257" s="50"/>
      <c r="BR257" s="50"/>
      <c r="BS257" s="50"/>
      <c r="BT257" s="50"/>
      <c r="BU257" s="50"/>
    </row>
    <row r="258">
      <c r="A258" s="47">
        <f>IFERROR(__xludf.DUMMYFUNCTION("""COMPUTED_VALUE"""),273.0)</f>
        <v>273</v>
      </c>
      <c r="B258" s="47"/>
      <c r="C258" s="47">
        <f>IFERROR(__xludf.DUMMYFUNCTION("""COMPUTED_VALUE"""),273.0)</f>
        <v>273</v>
      </c>
      <c r="D258" s="47" t="b">
        <f>IFERROR(__xludf.DUMMYFUNCTION("""COMPUTED_VALUE"""),TRUE)</f>
        <v>1</v>
      </c>
      <c r="E258" s="23" t="str">
        <f>IFERROR(__xludf.DUMMYFUNCTION("""COMPUTED_VALUE"""),"MORALES")</f>
        <v>MORALES</v>
      </c>
      <c r="F258" s="19" t="str">
        <f>IFERROR(__xludf.DUMMYFUNCTION("""COMPUTED_VALUE"""),"CHRISTY")</f>
        <v>CHRISTY</v>
      </c>
      <c r="BQ258" s="50"/>
      <c r="BR258" s="50"/>
      <c r="BS258" s="50"/>
      <c r="BT258" s="50"/>
      <c r="BU258" s="50"/>
    </row>
    <row r="259">
      <c r="A259" s="47">
        <f>IFERROR(__xludf.DUMMYFUNCTION("""COMPUTED_VALUE"""),274.0)</f>
        <v>274</v>
      </c>
      <c r="B259" s="47"/>
      <c r="C259" s="47">
        <f>IFERROR(__xludf.DUMMYFUNCTION("""COMPUTED_VALUE"""),273.0)</f>
        <v>273</v>
      </c>
      <c r="D259" s="47"/>
      <c r="E259" s="24" t="str">
        <f>IFERROR(__xludf.DUMMYFUNCTION("""COMPUTED_VALUE"""),"ARROYO")</f>
        <v>ARROYO</v>
      </c>
      <c r="F259" s="24" t="str">
        <f>IFERROR(__xludf.DUMMYFUNCTION("""COMPUTED_VALUE"""),"MAAN")</f>
        <v>MAAN</v>
      </c>
      <c r="BQ259" s="50"/>
      <c r="BR259" s="50"/>
      <c r="BS259" s="50"/>
      <c r="BT259" s="50"/>
      <c r="BU259" s="50"/>
    </row>
    <row r="260">
      <c r="A260" s="47">
        <f>IFERROR(__xludf.DUMMYFUNCTION("""COMPUTED_VALUE"""),275.0)</f>
        <v>275</v>
      </c>
      <c r="B260" s="47"/>
      <c r="C260" s="47">
        <f>IFERROR(__xludf.DUMMYFUNCTION("""COMPUTED_VALUE"""),273.0)</f>
        <v>273</v>
      </c>
      <c r="D260" s="47"/>
      <c r="E260" s="27" t="str">
        <f>IFERROR(__xludf.DUMMYFUNCTION("""COMPUTED_VALUE"""),"ARROYO")</f>
        <v>ARROYO</v>
      </c>
      <c r="F260" s="27" t="str">
        <f>IFERROR(__xludf.DUMMYFUNCTION("""COMPUTED_VALUE"""),"MAAN")</f>
        <v>MAAN</v>
      </c>
      <c r="BQ260" s="50"/>
      <c r="BR260" s="50"/>
      <c r="BS260" s="50"/>
      <c r="BT260" s="50"/>
      <c r="BU260" s="50"/>
    </row>
    <row r="261">
      <c r="A261" s="47">
        <f>IFERROR(__xludf.DUMMYFUNCTION("""COMPUTED_VALUE"""),276.0)</f>
        <v>276</v>
      </c>
      <c r="B261" s="47"/>
      <c r="C261" s="47">
        <f>IFERROR(__xludf.DUMMYFUNCTION("""COMPUTED_VALUE"""),273.0)</f>
        <v>273</v>
      </c>
      <c r="D261" s="47"/>
      <c r="E261" s="27" t="str">
        <f>IFERROR(__xludf.DUMMYFUNCTION("""COMPUTED_VALUE"""),"SALINAS")</f>
        <v>SALINAS</v>
      </c>
      <c r="F261" s="27" t="str">
        <f>IFERROR(__xludf.DUMMYFUNCTION("""COMPUTED_VALUE"""),"DAISY")</f>
        <v>DAISY</v>
      </c>
      <c r="BQ261" s="50"/>
      <c r="BR261" s="50"/>
      <c r="BS261" s="50"/>
      <c r="BT261" s="50"/>
      <c r="BU261" s="50"/>
    </row>
    <row r="262">
      <c r="A262" s="47">
        <f>IFERROR(__xludf.DUMMYFUNCTION("""COMPUTED_VALUE"""),277.0)</f>
        <v>277</v>
      </c>
      <c r="B262" s="47"/>
      <c r="C262" s="47">
        <f>IFERROR(__xludf.DUMMYFUNCTION("""COMPUTED_VALUE"""),273.0)</f>
        <v>273</v>
      </c>
      <c r="D262" s="47"/>
      <c r="E262" s="34" t="str">
        <f>IFERROR(__xludf.DUMMYFUNCTION("""COMPUTED_VALUE"""),"ACUÑA")</f>
        <v>ACUÑA</v>
      </c>
      <c r="F262" s="34" t="str">
        <f>IFERROR(__xludf.DUMMYFUNCTION("""COMPUTED_VALUE"""),"LORNA")</f>
        <v>LORNA</v>
      </c>
      <c r="BQ262" s="50"/>
      <c r="BR262" s="50"/>
      <c r="BS262" s="50"/>
      <c r="BT262" s="50"/>
      <c r="BU262" s="50"/>
    </row>
    <row r="263">
      <c r="A263" s="47">
        <f>IFERROR(__xludf.DUMMYFUNCTION("""COMPUTED_VALUE"""),278.0)</f>
        <v>278</v>
      </c>
      <c r="B263" s="47"/>
      <c r="C263" s="47">
        <f>IFERROR(__xludf.DUMMYFUNCTION("""COMPUTED_VALUE"""),273.0)</f>
        <v>273</v>
      </c>
      <c r="D263" s="47"/>
      <c r="E263" s="27" t="str">
        <f>IFERROR(__xludf.DUMMYFUNCTION("""COMPUTED_VALUE"""),"ALAOIG")</f>
        <v>ALAOIG</v>
      </c>
      <c r="F263" s="27" t="str">
        <f>IFERROR(__xludf.DUMMYFUNCTION("""COMPUTED_VALUE"""),"MAYLA")</f>
        <v>MAYLA</v>
      </c>
      <c r="BQ263" s="50"/>
      <c r="BR263" s="50"/>
      <c r="BS263" s="50"/>
      <c r="BT263" s="50"/>
      <c r="BU263" s="50"/>
    </row>
    <row r="264">
      <c r="A264" s="47">
        <f>IFERROR(__xludf.DUMMYFUNCTION("""COMPUTED_VALUE"""),279.0)</f>
        <v>279</v>
      </c>
      <c r="B264" s="47"/>
      <c r="C264" s="47">
        <f>IFERROR(__xludf.DUMMYFUNCTION("""COMPUTED_VALUE"""),273.0)</f>
        <v>273</v>
      </c>
      <c r="D264" s="47"/>
      <c r="E264" s="27" t="str">
        <f>IFERROR(__xludf.DUMMYFUNCTION("""COMPUTED_VALUE"""),"ROME")</f>
        <v>ROME</v>
      </c>
      <c r="F264" s="27" t="str">
        <f>IFERROR(__xludf.DUMMYFUNCTION("""COMPUTED_VALUE"""),"KAREN")</f>
        <v>KAREN</v>
      </c>
      <c r="BQ264" s="50"/>
      <c r="BR264" s="50"/>
      <c r="BS264" s="50"/>
      <c r="BT264" s="50"/>
      <c r="BU264" s="50"/>
    </row>
    <row r="265">
      <c r="A265" s="47">
        <f>IFERROR(__xludf.DUMMYFUNCTION("""COMPUTED_VALUE"""),280.0)</f>
        <v>280</v>
      </c>
      <c r="B265" s="47"/>
      <c r="C265" s="47">
        <f>IFERROR(__xludf.DUMMYFUNCTION("""COMPUTED_VALUE"""),273.0)</f>
        <v>273</v>
      </c>
      <c r="D265" s="47"/>
      <c r="E265" s="38" t="str">
        <f>IFERROR(__xludf.DUMMYFUNCTION("""COMPUTED_VALUE"""),"CUDAL")</f>
        <v>CUDAL</v>
      </c>
      <c r="F265" s="38" t="str">
        <f>IFERROR(__xludf.DUMMYFUNCTION("""COMPUTED_VALUE"""),"GINALYN")</f>
        <v>GINALYN</v>
      </c>
      <c r="BQ265" s="50"/>
      <c r="BR265" s="50"/>
      <c r="BS265" s="50"/>
      <c r="BT265" s="50"/>
      <c r="BU265" s="50"/>
    </row>
    <row r="266">
      <c r="A266" s="47">
        <f>IFERROR(__xludf.DUMMYFUNCTION("""COMPUTED_VALUE"""),281.0)</f>
        <v>281</v>
      </c>
      <c r="B266" s="47"/>
      <c r="C266" s="47">
        <f>IFERROR(__xludf.DUMMYFUNCTION("""COMPUTED_VALUE"""),273.0)</f>
        <v>273</v>
      </c>
      <c r="D266" s="47"/>
      <c r="E266" s="39" t="str">
        <f>IFERROR(__xludf.DUMMYFUNCTION("""COMPUTED_VALUE"""),"CUDAL")</f>
        <v>CUDAL</v>
      </c>
      <c r="F266" s="39" t="str">
        <f>IFERROR(__xludf.DUMMYFUNCTION("""COMPUTED_VALUE"""),"GINA")</f>
        <v>GINA</v>
      </c>
      <c r="BQ266" s="50"/>
      <c r="BR266" s="50"/>
      <c r="BS266" s="50"/>
      <c r="BT266" s="50"/>
      <c r="BU266" s="50"/>
    </row>
    <row r="267">
      <c r="A267" s="47">
        <f>IFERROR(__xludf.DUMMYFUNCTION("""COMPUTED_VALUE"""),282.0)</f>
        <v>282</v>
      </c>
      <c r="B267" s="47"/>
      <c r="C267" s="47">
        <f>IFERROR(__xludf.DUMMYFUNCTION("""COMPUTED_VALUE"""),273.0)</f>
        <v>273</v>
      </c>
      <c r="D267" s="47"/>
      <c r="E267" s="39" t="str">
        <f>IFERROR(__xludf.DUMMYFUNCTION("""COMPUTED_VALUE"""),"CRUZ")</f>
        <v>CRUZ</v>
      </c>
      <c r="F267" s="39" t="str">
        <f>IFERROR(__xludf.DUMMYFUNCTION("""COMPUTED_VALUE"""),"CHERRYL")</f>
        <v>CHERRYL</v>
      </c>
      <c r="BQ267" s="50"/>
      <c r="BR267" s="50"/>
      <c r="BS267" s="50"/>
      <c r="BT267" s="50"/>
      <c r="BU267" s="50"/>
    </row>
    <row r="268">
      <c r="A268" s="47">
        <f>IFERROR(__xludf.DUMMYFUNCTION("""COMPUTED_VALUE"""),283.0)</f>
        <v>283</v>
      </c>
      <c r="B268" s="47"/>
      <c r="C268" s="47">
        <f>IFERROR(__xludf.DUMMYFUNCTION("""COMPUTED_VALUE"""),273.0)</f>
        <v>273</v>
      </c>
      <c r="D268" s="47"/>
      <c r="E268" s="38" t="str">
        <f>IFERROR(__xludf.DUMMYFUNCTION("""COMPUTED_VALUE"""),"ABERIN")</f>
        <v>ABERIN</v>
      </c>
      <c r="F268" s="39" t="str">
        <f>IFERROR(__xludf.DUMMYFUNCTION("""COMPUTED_VALUE"""),"JAPPET")</f>
        <v>JAPPET</v>
      </c>
      <c r="BQ268" s="50"/>
      <c r="BR268" s="50"/>
      <c r="BS268" s="50"/>
      <c r="BT268" s="50"/>
      <c r="BU268" s="50"/>
    </row>
    <row r="269">
      <c r="A269" s="47">
        <f>IFERROR(__xludf.DUMMYFUNCTION("""COMPUTED_VALUE"""),284.0)</f>
        <v>284</v>
      </c>
      <c r="B269" s="47"/>
      <c r="C269" s="47">
        <f>IFERROR(__xludf.DUMMYFUNCTION("""COMPUTED_VALUE"""),273.0)</f>
        <v>273</v>
      </c>
      <c r="D269" s="47"/>
      <c r="E269" s="39" t="str">
        <f>IFERROR(__xludf.DUMMYFUNCTION("""COMPUTED_VALUE"""),"FRANCISCO")</f>
        <v>FRANCISCO</v>
      </c>
      <c r="F269" s="39" t="str">
        <f>IFERROR(__xludf.DUMMYFUNCTION("""COMPUTED_VALUE"""),"ROSE")</f>
        <v>ROSE</v>
      </c>
      <c r="BQ269" s="50"/>
      <c r="BR269" s="50"/>
      <c r="BS269" s="50"/>
      <c r="BT269" s="50"/>
      <c r="BU269" s="50"/>
    </row>
    <row r="270">
      <c r="A270" s="47">
        <f>IFERROR(__xludf.DUMMYFUNCTION("""COMPUTED_VALUE"""),285.0)</f>
        <v>285</v>
      </c>
      <c r="B270" s="47"/>
      <c r="C270" s="47">
        <f>IFERROR(__xludf.DUMMYFUNCTION("""COMPUTED_VALUE"""),273.0)</f>
        <v>273</v>
      </c>
      <c r="D270" s="47"/>
      <c r="E270" s="39" t="str">
        <f>IFERROR(__xludf.DUMMYFUNCTION("""COMPUTED_VALUE"""),"AQUINO")</f>
        <v>AQUINO</v>
      </c>
      <c r="F270" s="39" t="str">
        <f>IFERROR(__xludf.DUMMYFUNCTION("""COMPUTED_VALUE"""),"IRMA")</f>
        <v>IRMA</v>
      </c>
      <c r="BQ270" s="50"/>
      <c r="BR270" s="50"/>
      <c r="BS270" s="50"/>
      <c r="BT270" s="50"/>
      <c r="BU270" s="50"/>
    </row>
    <row r="271">
      <c r="A271" s="47"/>
      <c r="B271" s="47"/>
      <c r="C271" s="47"/>
      <c r="D271" s="47"/>
      <c r="E271" s="39"/>
      <c r="F271" s="39"/>
      <c r="G271" s="13"/>
      <c r="H271" s="13"/>
      <c r="BQ271" s="50"/>
      <c r="BR271" s="50"/>
      <c r="BS271" s="50"/>
      <c r="BT271" s="50"/>
      <c r="BU271" s="50"/>
    </row>
    <row r="272">
      <c r="A272" s="47"/>
      <c r="B272" s="47"/>
      <c r="C272" s="47"/>
      <c r="D272" s="47"/>
      <c r="E272" s="39"/>
      <c r="F272" s="39"/>
      <c r="BQ272" s="50"/>
      <c r="BR272" s="50"/>
      <c r="BS272" s="50"/>
      <c r="BT272" s="50"/>
      <c r="BU272" s="50"/>
    </row>
    <row r="273">
      <c r="A273" s="47">
        <f>IFERROR(__xludf.DUMMYFUNCTION("""COMPUTED_VALUE"""),288.0)</f>
        <v>288</v>
      </c>
      <c r="B273" s="47"/>
      <c r="C273" s="47">
        <f>IFERROR(__xludf.DUMMYFUNCTION("""COMPUTED_VALUE"""),288.0)</f>
        <v>288</v>
      </c>
      <c r="D273" s="47" t="b">
        <f>IFERROR(__xludf.DUMMYFUNCTION("""COMPUTED_VALUE"""),TRUE)</f>
        <v>1</v>
      </c>
      <c r="E273" s="39" t="str">
        <f>IFERROR(__xludf.DUMMYFUNCTION("""COMPUTED_VALUE"""),"ROARING")</f>
        <v>ROARING</v>
      </c>
      <c r="F273" s="39" t="str">
        <f>IFERROR(__xludf.DUMMYFUNCTION("""COMPUTED_VALUE"""),"PS. LOY")</f>
        <v>PS. LOY</v>
      </c>
      <c r="BQ273" s="50"/>
      <c r="BR273" s="50"/>
      <c r="BS273" s="50"/>
      <c r="BT273" s="50"/>
      <c r="BU273" s="50"/>
    </row>
    <row r="274">
      <c r="A274" s="47">
        <f>IFERROR(__xludf.DUMMYFUNCTION("""COMPUTED_VALUE"""),289.0)</f>
        <v>289</v>
      </c>
      <c r="B274" s="47"/>
      <c r="C274" s="47">
        <f>IFERROR(__xludf.DUMMYFUNCTION("""COMPUTED_VALUE"""),288.0)</f>
        <v>288</v>
      </c>
      <c r="D274" s="47"/>
      <c r="E274" s="39" t="str">
        <f>IFERROR(__xludf.DUMMYFUNCTION("""COMPUTED_VALUE"""),"ROARING")</f>
        <v>ROARING</v>
      </c>
      <c r="F274" s="39" t="str">
        <f>IFERROR(__xludf.DUMMYFUNCTION("""COMPUTED_VALUE"""),"CHRYS")</f>
        <v>CHRYS</v>
      </c>
      <c r="BQ274" s="50"/>
      <c r="BR274" s="50"/>
      <c r="BS274" s="50"/>
      <c r="BT274" s="50"/>
      <c r="BU274" s="50"/>
    </row>
    <row r="275">
      <c r="A275" s="47">
        <f>IFERROR(__xludf.DUMMYFUNCTION("""COMPUTED_VALUE"""),290.0)</f>
        <v>290</v>
      </c>
      <c r="B275" s="47"/>
      <c r="C275" s="47">
        <f>IFERROR(__xludf.DUMMYFUNCTION("""COMPUTED_VALUE"""),288.0)</f>
        <v>288</v>
      </c>
      <c r="D275" s="47"/>
      <c r="E275" s="39" t="str">
        <f>IFERROR(__xludf.DUMMYFUNCTION("""COMPUTED_VALUE"""),"PAHILA")</f>
        <v>PAHILA</v>
      </c>
      <c r="F275" s="39" t="str">
        <f>IFERROR(__xludf.DUMMYFUNCTION("""COMPUTED_VALUE"""),"CECILE")</f>
        <v>CECILE</v>
      </c>
      <c r="BQ275" s="50"/>
      <c r="BR275" s="50"/>
      <c r="BS275" s="50"/>
      <c r="BT275" s="50"/>
      <c r="BU275" s="50"/>
    </row>
    <row r="276">
      <c r="A276" s="47">
        <f>IFERROR(__xludf.DUMMYFUNCTION("""COMPUTED_VALUE"""),291.0)</f>
        <v>291</v>
      </c>
      <c r="B276" s="47"/>
      <c r="C276" s="47">
        <f>IFERROR(__xludf.DUMMYFUNCTION("""COMPUTED_VALUE"""),288.0)</f>
        <v>288</v>
      </c>
      <c r="D276" s="47"/>
      <c r="E276" s="39" t="str">
        <f>IFERROR(__xludf.DUMMYFUNCTION("""COMPUTED_VALUE"""),"MANUEL")</f>
        <v>MANUEL</v>
      </c>
      <c r="F276" s="39" t="str">
        <f>IFERROR(__xludf.DUMMYFUNCTION("""COMPUTED_VALUE"""),"ANNA")</f>
        <v>ANNA</v>
      </c>
      <c r="BQ276" s="50"/>
      <c r="BR276" s="50"/>
      <c r="BS276" s="50"/>
      <c r="BT276" s="50"/>
      <c r="BU276" s="50"/>
    </row>
    <row r="277">
      <c r="A277" s="47">
        <f>IFERROR(__xludf.DUMMYFUNCTION("""COMPUTED_VALUE"""),292.0)</f>
        <v>292</v>
      </c>
      <c r="B277" s="47"/>
      <c r="C277" s="47">
        <f>IFERROR(__xludf.DUMMYFUNCTION("""COMPUTED_VALUE"""),288.0)</f>
        <v>288</v>
      </c>
      <c r="D277" s="47"/>
      <c r="E277" s="39" t="str">
        <f>IFERROR(__xludf.DUMMYFUNCTION("""COMPUTED_VALUE"""),"COMANDA")</f>
        <v>COMANDA</v>
      </c>
      <c r="F277" s="39" t="str">
        <f>IFERROR(__xludf.DUMMYFUNCTION("""COMPUTED_VALUE"""),"DIVINE")</f>
        <v>DIVINE</v>
      </c>
      <c r="BQ277" s="50"/>
      <c r="BR277" s="50"/>
      <c r="BS277" s="50"/>
      <c r="BT277" s="50"/>
      <c r="BU277" s="50"/>
    </row>
    <row r="278">
      <c r="A278" s="47">
        <f>IFERROR(__xludf.DUMMYFUNCTION("""COMPUTED_VALUE"""),293.0)</f>
        <v>293</v>
      </c>
      <c r="B278" s="47"/>
      <c r="C278" s="47">
        <f>IFERROR(__xludf.DUMMYFUNCTION("""COMPUTED_VALUE"""),288.0)</f>
        <v>288</v>
      </c>
      <c r="D278" s="47"/>
      <c r="E278" s="39" t="str">
        <f>IFERROR(__xludf.DUMMYFUNCTION("""COMPUTED_VALUE"""),"DRIS")</f>
        <v>DRIS</v>
      </c>
      <c r="F278" s="39" t="str">
        <f>IFERROR(__xludf.DUMMYFUNCTION("""COMPUTED_VALUE"""),"AISHA")</f>
        <v>AISHA</v>
      </c>
      <c r="BQ278" s="50"/>
      <c r="BR278" s="50"/>
      <c r="BS278" s="50"/>
      <c r="BT278" s="50"/>
      <c r="BU278" s="50"/>
    </row>
    <row r="279">
      <c r="A279" s="47"/>
      <c r="B279" s="47"/>
      <c r="C279" s="47"/>
      <c r="D279" s="47"/>
      <c r="E279" s="39"/>
      <c r="F279" s="39"/>
      <c r="BQ279" s="50"/>
      <c r="BR279" s="50"/>
      <c r="BS279" s="50"/>
      <c r="BT279" s="50"/>
      <c r="BU279" s="50"/>
    </row>
    <row r="280">
      <c r="A280" s="47">
        <f>IFERROR(__xludf.DUMMYFUNCTION("""COMPUTED_VALUE"""),295.0)</f>
        <v>295</v>
      </c>
      <c r="B280" s="47"/>
      <c r="C280" s="47">
        <f>IFERROR(__xludf.DUMMYFUNCTION("""COMPUTED_VALUE"""),288.0)</f>
        <v>288</v>
      </c>
      <c r="D280" s="47"/>
      <c r="E280" s="39" t="str">
        <f>IFERROR(__xludf.DUMMYFUNCTION("""COMPUTED_VALUE"""),"CALLE")</f>
        <v>CALLE</v>
      </c>
      <c r="F280" s="39" t="str">
        <f>IFERROR(__xludf.DUMMYFUNCTION("""COMPUTED_VALUE"""),"MARSHA")</f>
        <v>MARSHA</v>
      </c>
      <c r="BQ280" s="50"/>
      <c r="BR280" s="50"/>
      <c r="BS280" s="50"/>
      <c r="BT280" s="50"/>
      <c r="BU280" s="50"/>
    </row>
    <row r="281">
      <c r="A281" s="47">
        <f>IFERROR(__xludf.DUMMYFUNCTION("""COMPUTED_VALUE"""),296.0)</f>
        <v>296</v>
      </c>
      <c r="B281" s="47"/>
      <c r="C281" s="47">
        <f>IFERROR(__xludf.DUMMYFUNCTION("""COMPUTED_VALUE"""),288.0)</f>
        <v>288</v>
      </c>
      <c r="D281" s="47"/>
      <c r="E281" s="24" t="str">
        <f>IFERROR(__xludf.DUMMYFUNCTION("""COMPUTED_VALUE"""),"JUANITAS")</f>
        <v>JUANITAS</v>
      </c>
      <c r="F281" s="24" t="str">
        <f>IFERROR(__xludf.DUMMYFUNCTION("""COMPUTED_VALUE"""),"MYRNA")</f>
        <v>MYRNA</v>
      </c>
      <c r="BQ281" s="50"/>
      <c r="BR281" s="50"/>
      <c r="BS281" s="50"/>
      <c r="BT281" s="50"/>
      <c r="BU281" s="50"/>
    </row>
    <row r="282">
      <c r="A282" s="47">
        <f>IFERROR(__xludf.DUMMYFUNCTION("""COMPUTED_VALUE"""),297.0)</f>
        <v>297</v>
      </c>
      <c r="B282" s="47"/>
      <c r="C282" s="47">
        <f>IFERROR(__xludf.DUMMYFUNCTION("""COMPUTED_VALUE"""),288.0)</f>
        <v>288</v>
      </c>
      <c r="D282" s="47"/>
      <c r="E282" s="27" t="str">
        <f>IFERROR(__xludf.DUMMYFUNCTION("""COMPUTED_VALUE"""),"MATA")</f>
        <v>MATA</v>
      </c>
      <c r="F282" s="27" t="str">
        <f>IFERROR(__xludf.DUMMYFUNCTION("""COMPUTED_VALUE"""),"ANGELITA P.")</f>
        <v>ANGELITA P.</v>
      </c>
      <c r="BQ282" s="50"/>
      <c r="BR282" s="50"/>
      <c r="BS282" s="50"/>
      <c r="BT282" s="50"/>
      <c r="BU282" s="50"/>
    </row>
    <row r="283">
      <c r="A283" s="47">
        <f>IFERROR(__xludf.DUMMYFUNCTION("""COMPUTED_VALUE"""),298.0)</f>
        <v>298</v>
      </c>
      <c r="B283" s="47"/>
      <c r="C283" s="47">
        <f>IFERROR(__xludf.DUMMYFUNCTION("""COMPUTED_VALUE"""),288.0)</f>
        <v>288</v>
      </c>
      <c r="D283" s="47"/>
      <c r="E283" s="27" t="str">
        <f>IFERROR(__xludf.DUMMYFUNCTION("""COMPUTED_VALUE"""),"ENCARNADO")</f>
        <v>ENCARNADO</v>
      </c>
      <c r="F283" s="27" t="str">
        <f>IFERROR(__xludf.DUMMYFUNCTION("""COMPUTED_VALUE"""),"CHONA")</f>
        <v>CHONA</v>
      </c>
      <c r="BQ283" s="50"/>
      <c r="BR283" s="50"/>
      <c r="BS283" s="50"/>
      <c r="BT283" s="50"/>
      <c r="BU283" s="50"/>
    </row>
    <row r="284">
      <c r="A284" s="47">
        <f>IFERROR(__xludf.DUMMYFUNCTION("""COMPUTED_VALUE"""),299.0)</f>
        <v>299</v>
      </c>
      <c r="B284" s="47"/>
      <c r="C284" s="47">
        <f>IFERROR(__xludf.DUMMYFUNCTION("""COMPUTED_VALUE"""),288.0)</f>
        <v>288</v>
      </c>
      <c r="D284" s="47"/>
      <c r="E284" s="27" t="str">
        <f>IFERROR(__xludf.DUMMYFUNCTION("""COMPUTED_VALUE"""),"DE GUZMAN")</f>
        <v>DE GUZMAN</v>
      </c>
      <c r="F284" s="27" t="str">
        <f>IFERROR(__xludf.DUMMYFUNCTION("""COMPUTED_VALUE"""),"AURELIA")</f>
        <v>AURELIA</v>
      </c>
      <c r="BQ284" s="50"/>
      <c r="BR284" s="50"/>
      <c r="BS284" s="50"/>
      <c r="BT284" s="50"/>
      <c r="BU284" s="50"/>
    </row>
    <row r="285">
      <c r="A285" s="47">
        <f>IFERROR(__xludf.DUMMYFUNCTION("""COMPUTED_VALUE"""),300.0)</f>
        <v>300</v>
      </c>
      <c r="B285" s="47"/>
      <c r="C285" s="47">
        <f>IFERROR(__xludf.DUMMYFUNCTION("""COMPUTED_VALUE"""),288.0)</f>
        <v>288</v>
      </c>
      <c r="D285" s="47"/>
      <c r="E285" s="27" t="str">
        <f>IFERROR(__xludf.DUMMYFUNCTION("""COMPUTED_VALUE"""),"PADILLA")</f>
        <v>PADILLA</v>
      </c>
      <c r="F285" s="27" t="str">
        <f>IFERROR(__xludf.DUMMYFUNCTION("""COMPUTED_VALUE"""),"MELISSA")</f>
        <v>MELISSA</v>
      </c>
      <c r="BQ285" s="50"/>
      <c r="BR285" s="50"/>
      <c r="BS285" s="50"/>
      <c r="BT285" s="50"/>
      <c r="BU285" s="50"/>
    </row>
    <row r="286">
      <c r="A286" s="47"/>
      <c r="B286" s="47"/>
      <c r="C286" s="47"/>
      <c r="D286" s="47"/>
      <c r="E286" s="27"/>
      <c r="F286" s="27"/>
      <c r="BQ286" s="50"/>
      <c r="BR286" s="50"/>
      <c r="BS286" s="50"/>
      <c r="BT286" s="50"/>
      <c r="BU286" s="50"/>
    </row>
    <row r="287">
      <c r="A287" s="47">
        <f>IFERROR(__xludf.DUMMYFUNCTION("""COMPUTED_VALUE"""),302.0)</f>
        <v>302</v>
      </c>
      <c r="B287" s="47"/>
      <c r="C287" s="47">
        <f>IFERROR(__xludf.DUMMYFUNCTION("""COMPUTED_VALUE"""),288.0)</f>
        <v>288</v>
      </c>
      <c r="D287" s="47"/>
      <c r="E287" s="27" t="str">
        <f>IFERROR(__xludf.DUMMYFUNCTION("""COMPUTED_VALUE"""),"OSIANO")</f>
        <v>OSIANO</v>
      </c>
      <c r="F287" s="27" t="str">
        <f>IFERROR(__xludf.DUMMYFUNCTION("""COMPUTED_VALUE"""),"MYRNA")</f>
        <v>MYRNA</v>
      </c>
      <c r="BQ287" s="50"/>
      <c r="BR287" s="50"/>
      <c r="BS287" s="50"/>
      <c r="BT287" s="50"/>
      <c r="BU287" s="50"/>
    </row>
    <row r="288">
      <c r="A288" s="47">
        <f>IFERROR(__xludf.DUMMYFUNCTION("""COMPUTED_VALUE"""),303.0)</f>
        <v>303</v>
      </c>
      <c r="B288" s="47"/>
      <c r="C288" s="47">
        <f>IFERROR(__xludf.DUMMYFUNCTION("""COMPUTED_VALUE"""),288.0)</f>
        <v>288</v>
      </c>
      <c r="D288" s="47"/>
      <c r="E288" s="27" t="str">
        <f>IFERROR(__xludf.DUMMYFUNCTION("""COMPUTED_VALUE"""),"DE GUZMAN TORRE")</f>
        <v>DE GUZMAN TORRE</v>
      </c>
      <c r="F288" s="27" t="str">
        <f>IFERROR(__xludf.DUMMYFUNCTION("""COMPUTED_VALUE"""),"DEBBIE")</f>
        <v>DEBBIE</v>
      </c>
      <c r="BQ288" s="50"/>
      <c r="BR288" s="50"/>
      <c r="BS288" s="50"/>
      <c r="BT288" s="50"/>
      <c r="BU288" s="50"/>
    </row>
    <row r="289">
      <c r="A289" s="47"/>
      <c r="B289" s="47"/>
      <c r="C289" s="47"/>
      <c r="D289" s="47"/>
      <c r="E289" s="27"/>
      <c r="F289" s="27"/>
      <c r="BQ289" s="50"/>
      <c r="BR289" s="50"/>
      <c r="BS289" s="50"/>
      <c r="BT289" s="50"/>
      <c r="BU289" s="50"/>
    </row>
    <row r="290">
      <c r="A290" s="47">
        <f>IFERROR(__xludf.DUMMYFUNCTION("""COMPUTED_VALUE"""),305.0)</f>
        <v>305</v>
      </c>
      <c r="B290" s="47"/>
      <c r="C290" s="47">
        <f>IFERROR(__xludf.DUMMYFUNCTION("""COMPUTED_VALUE"""),288.0)</f>
        <v>288</v>
      </c>
      <c r="D290" s="47"/>
      <c r="E290" s="27" t="str">
        <f>IFERROR(__xludf.DUMMYFUNCTION("""COMPUTED_VALUE"""),"MACABENTA")</f>
        <v>MACABENTA</v>
      </c>
      <c r="F290" s="27" t="str">
        <f>IFERROR(__xludf.DUMMYFUNCTION("""COMPUTED_VALUE"""),"JOVY")</f>
        <v>JOVY</v>
      </c>
      <c r="BQ290" s="50"/>
      <c r="BR290" s="50"/>
      <c r="BS290" s="50"/>
      <c r="BT290" s="50"/>
      <c r="BU290" s="50"/>
    </row>
    <row r="291">
      <c r="A291" s="47">
        <f>IFERROR(__xludf.DUMMYFUNCTION("""COMPUTED_VALUE"""),306.0)</f>
        <v>306</v>
      </c>
      <c r="B291" s="47"/>
      <c r="C291" s="47">
        <f>IFERROR(__xludf.DUMMYFUNCTION("""COMPUTED_VALUE"""),288.0)</f>
        <v>288</v>
      </c>
      <c r="D291" s="47"/>
      <c r="E291" s="27" t="str">
        <f>IFERROR(__xludf.DUMMYFUNCTION("""COMPUTED_VALUE"""),"REPUNTE")</f>
        <v>REPUNTE</v>
      </c>
      <c r="F291" s="27" t="str">
        <f>IFERROR(__xludf.DUMMYFUNCTION("""COMPUTED_VALUE"""),"TERESITA")</f>
        <v>TERESITA</v>
      </c>
      <c r="BQ291" s="50"/>
      <c r="BR291" s="50"/>
      <c r="BS291" s="50"/>
      <c r="BT291" s="50"/>
      <c r="BU291" s="50"/>
    </row>
    <row r="292">
      <c r="A292" s="47">
        <f>IFERROR(__xludf.DUMMYFUNCTION("""COMPUTED_VALUE"""),307.0)</f>
        <v>307</v>
      </c>
      <c r="B292" s="47"/>
      <c r="C292" s="47">
        <f>IFERROR(__xludf.DUMMYFUNCTION("""COMPUTED_VALUE"""),288.0)</f>
        <v>288</v>
      </c>
      <c r="D292" s="47"/>
      <c r="E292" s="24" t="str">
        <f>IFERROR(__xludf.DUMMYFUNCTION("""COMPUTED_VALUE"""),"DIONIO")</f>
        <v>DIONIO</v>
      </c>
      <c r="F292" s="24" t="str">
        <f>IFERROR(__xludf.DUMMYFUNCTION("""COMPUTED_VALUE"""),"MERCY")</f>
        <v>MERCY</v>
      </c>
      <c r="BQ292" s="50"/>
      <c r="BR292" s="50"/>
      <c r="BS292" s="50"/>
      <c r="BT292" s="50"/>
      <c r="BU292" s="50"/>
    </row>
    <row r="293">
      <c r="A293" s="47">
        <f>IFERROR(__xludf.DUMMYFUNCTION("""COMPUTED_VALUE"""),308.0)</f>
        <v>308</v>
      </c>
      <c r="B293" s="47"/>
      <c r="C293" s="47">
        <f>IFERROR(__xludf.DUMMYFUNCTION("""COMPUTED_VALUE"""),288.0)</f>
        <v>288</v>
      </c>
      <c r="D293" s="47"/>
      <c r="E293" s="27" t="str">
        <f>IFERROR(__xludf.DUMMYFUNCTION("""COMPUTED_VALUE"""),"CABRITO")</f>
        <v>CABRITO</v>
      </c>
      <c r="F293" s="27" t="str">
        <f>IFERROR(__xludf.DUMMYFUNCTION("""COMPUTED_VALUE"""),"MA. THERESA")</f>
        <v>MA. THERESA</v>
      </c>
      <c r="BQ293" s="50"/>
      <c r="BR293" s="50"/>
      <c r="BS293" s="50"/>
      <c r="BT293" s="50"/>
      <c r="BU293" s="50"/>
    </row>
    <row r="294">
      <c r="A294" s="47">
        <f>IFERROR(__xludf.DUMMYFUNCTION("""COMPUTED_VALUE"""),309.0)</f>
        <v>309</v>
      </c>
      <c r="B294" s="47"/>
      <c r="C294" s="47">
        <f>IFERROR(__xludf.DUMMYFUNCTION("""COMPUTED_VALUE"""),288.0)</f>
        <v>288</v>
      </c>
      <c r="D294" s="47"/>
      <c r="E294" s="27" t="str">
        <f>IFERROR(__xludf.DUMMYFUNCTION("""COMPUTED_VALUE"""),"GELZA")</f>
        <v>GELZA</v>
      </c>
      <c r="F294" s="27" t="str">
        <f>IFERROR(__xludf.DUMMYFUNCTION("""COMPUTED_VALUE"""),"JOCELYN")</f>
        <v>JOCELYN</v>
      </c>
      <c r="BQ294" s="50"/>
      <c r="BR294" s="50"/>
      <c r="BS294" s="50"/>
      <c r="BT294" s="50"/>
      <c r="BU294" s="50"/>
    </row>
    <row r="295">
      <c r="A295" s="47">
        <f>IFERROR(__xludf.DUMMYFUNCTION("""COMPUTED_VALUE"""),310.0)</f>
        <v>310</v>
      </c>
      <c r="B295" s="47"/>
      <c r="C295" s="47">
        <f>IFERROR(__xludf.DUMMYFUNCTION("""COMPUTED_VALUE"""),288.0)</f>
        <v>288</v>
      </c>
      <c r="D295" s="47"/>
      <c r="E295" s="27" t="str">
        <f>IFERROR(__xludf.DUMMYFUNCTION("""COMPUTED_VALUE"""),"CABRITO")</f>
        <v>CABRITO</v>
      </c>
      <c r="F295" s="27" t="str">
        <f>IFERROR(__xludf.DUMMYFUNCTION("""COMPUTED_VALUE"""),"CRISCEL")</f>
        <v>CRISCEL</v>
      </c>
      <c r="BQ295" s="50"/>
      <c r="BR295" s="50"/>
      <c r="BS295" s="50"/>
      <c r="BT295" s="50"/>
      <c r="BU295" s="50"/>
    </row>
    <row r="296">
      <c r="A296" s="47"/>
      <c r="B296" s="47"/>
      <c r="C296" s="47"/>
      <c r="D296" s="47"/>
      <c r="E296" s="27"/>
      <c r="F296" s="27"/>
      <c r="BQ296" s="50"/>
      <c r="BR296" s="50"/>
      <c r="BS296" s="50"/>
      <c r="BT296" s="50"/>
      <c r="BU296" s="50"/>
    </row>
    <row r="297">
      <c r="A297" s="47">
        <f>IFERROR(__xludf.DUMMYFUNCTION("""COMPUTED_VALUE"""),312.0)</f>
        <v>312</v>
      </c>
      <c r="B297" s="47"/>
      <c r="C297" s="47">
        <f>IFERROR(__xludf.DUMMYFUNCTION("""COMPUTED_VALUE"""),288.0)</f>
        <v>288</v>
      </c>
      <c r="D297" s="47"/>
      <c r="E297" s="27" t="str">
        <f>IFERROR(__xludf.DUMMYFUNCTION("""COMPUTED_VALUE"""),"CABRITO")</f>
        <v>CABRITO</v>
      </c>
      <c r="F297" s="27" t="str">
        <f>IFERROR(__xludf.DUMMYFUNCTION("""COMPUTED_VALUE"""),"HANNAH CLOUIE")</f>
        <v>HANNAH CLOUIE</v>
      </c>
      <c r="BQ297" s="50"/>
      <c r="BR297" s="50"/>
      <c r="BS297" s="50"/>
      <c r="BT297" s="50"/>
      <c r="BU297" s="50"/>
    </row>
    <row r="298">
      <c r="A298" s="47">
        <f>IFERROR(__xludf.DUMMYFUNCTION("""COMPUTED_VALUE"""),313.0)</f>
        <v>313</v>
      </c>
      <c r="B298" s="47"/>
      <c r="C298" s="47">
        <f>IFERROR(__xludf.DUMMYFUNCTION("""COMPUTED_VALUE"""),288.0)</f>
        <v>288</v>
      </c>
      <c r="D298" s="47"/>
      <c r="E298" s="27" t="str">
        <f>IFERROR(__xludf.DUMMYFUNCTION("""COMPUTED_VALUE"""),"EDUARDO")</f>
        <v>EDUARDO</v>
      </c>
      <c r="F298" s="27" t="str">
        <f>IFERROR(__xludf.DUMMYFUNCTION("""COMPUTED_VALUE"""),"ROSALIE")</f>
        <v>ROSALIE</v>
      </c>
      <c r="BQ298" s="50"/>
      <c r="BR298" s="50"/>
      <c r="BS298" s="50"/>
      <c r="BT298" s="50"/>
      <c r="BU298" s="50"/>
    </row>
    <row r="299">
      <c r="A299" s="47">
        <f>IFERROR(__xludf.DUMMYFUNCTION("""COMPUTED_VALUE"""),314.0)</f>
        <v>314</v>
      </c>
      <c r="B299" s="47"/>
      <c r="C299" s="47">
        <f>IFERROR(__xludf.DUMMYFUNCTION("""COMPUTED_VALUE"""),288.0)</f>
        <v>288</v>
      </c>
      <c r="D299" s="47"/>
      <c r="E299" s="34" t="str">
        <f>IFERROR(__xludf.DUMMYFUNCTION("""COMPUTED_VALUE"""),"HIDALGO")</f>
        <v>HIDALGO</v>
      </c>
      <c r="F299" s="34" t="str">
        <f>IFERROR(__xludf.DUMMYFUNCTION("""COMPUTED_VALUE"""),"HAZEL")</f>
        <v>HAZEL</v>
      </c>
      <c r="BQ299" s="50"/>
      <c r="BR299" s="50"/>
      <c r="BS299" s="50"/>
      <c r="BT299" s="50"/>
      <c r="BU299" s="50"/>
    </row>
    <row r="300">
      <c r="A300" s="47"/>
      <c r="B300" s="47"/>
      <c r="C300" s="47"/>
      <c r="D300" s="47"/>
      <c r="E300" s="57"/>
      <c r="F300" s="57"/>
      <c r="BQ300" s="50"/>
      <c r="BR300" s="50"/>
      <c r="BS300" s="50"/>
      <c r="BT300" s="50"/>
      <c r="BU300" s="50"/>
    </row>
    <row r="301">
      <c r="A301" s="47"/>
      <c r="B301" s="47"/>
      <c r="C301" s="47"/>
      <c r="D301" s="47"/>
      <c r="E301" s="58"/>
      <c r="F301" s="58"/>
      <c r="BQ301" s="50"/>
      <c r="BR301" s="50"/>
      <c r="BS301" s="50"/>
      <c r="BT301" s="50"/>
      <c r="BU301" s="50"/>
    </row>
    <row r="302">
      <c r="A302" s="47">
        <f>IFERROR(__xludf.DUMMYFUNCTION("""COMPUTED_VALUE"""),317.0)</f>
        <v>317</v>
      </c>
      <c r="B302" s="47"/>
      <c r="C302" s="47">
        <f>IFERROR(__xludf.DUMMYFUNCTION("""COMPUTED_VALUE"""),288.0)</f>
        <v>288</v>
      </c>
      <c r="D302" s="47"/>
      <c r="E302" s="60" t="str">
        <f>IFERROR(__xludf.DUMMYFUNCTION("""COMPUTED_VALUE"""),"TAGARDA")</f>
        <v>TAGARDA</v>
      </c>
      <c r="F302" s="60" t="str">
        <f>IFERROR(__xludf.DUMMYFUNCTION("""COMPUTED_VALUE"""),"ZENITH")</f>
        <v>ZENITH</v>
      </c>
      <c r="BQ302" s="50"/>
      <c r="BR302" s="50"/>
      <c r="BS302" s="50"/>
      <c r="BT302" s="50"/>
      <c r="BU302" s="50"/>
    </row>
    <row r="303">
      <c r="A303" s="47">
        <f>IFERROR(__xludf.DUMMYFUNCTION("""COMPUTED_VALUE"""),318.0)</f>
        <v>318</v>
      </c>
      <c r="B303" s="47"/>
      <c r="C303" s="47">
        <f>IFERROR(__xludf.DUMMYFUNCTION("""COMPUTED_VALUE"""),288.0)</f>
        <v>288</v>
      </c>
      <c r="D303" s="47"/>
      <c r="E303" s="58" t="str">
        <f>IFERROR(__xludf.DUMMYFUNCTION("""COMPUTED_VALUE"""),"SEGOVIA")</f>
        <v>SEGOVIA</v>
      </c>
      <c r="F303" s="58" t="str">
        <f>IFERROR(__xludf.DUMMYFUNCTION("""COMPUTED_VALUE"""),"JULIET")</f>
        <v>JULIET</v>
      </c>
      <c r="BQ303" s="50"/>
      <c r="BR303" s="50"/>
      <c r="BS303" s="50"/>
      <c r="BT303" s="50"/>
      <c r="BU303" s="50"/>
    </row>
    <row r="304">
      <c r="A304" s="47">
        <f>IFERROR(__xludf.DUMMYFUNCTION("""COMPUTED_VALUE"""),319.0)</f>
        <v>319</v>
      </c>
      <c r="B304" s="47"/>
      <c r="C304" s="47">
        <f>IFERROR(__xludf.DUMMYFUNCTION("""COMPUTED_VALUE"""),288.0)</f>
        <v>288</v>
      </c>
      <c r="D304" s="47"/>
      <c r="E304" s="57" t="str">
        <f>IFERROR(__xludf.DUMMYFUNCTION("""COMPUTED_VALUE"""),"SEGOVIA")</f>
        <v>SEGOVIA</v>
      </c>
      <c r="F304" s="57" t="str">
        <f>IFERROR(__xludf.DUMMYFUNCTION("""COMPUTED_VALUE"""),"JESSICA")</f>
        <v>JESSICA</v>
      </c>
      <c r="BQ304" s="50"/>
      <c r="BR304" s="50"/>
      <c r="BS304" s="50"/>
      <c r="BT304" s="50"/>
      <c r="BU304" s="50"/>
    </row>
    <row r="305">
      <c r="A305" s="47"/>
      <c r="B305" s="47"/>
      <c r="C305" s="47"/>
      <c r="D305" s="47"/>
      <c r="E305" s="58"/>
      <c r="F305" s="58"/>
      <c r="BQ305" s="50"/>
      <c r="BR305" s="50"/>
      <c r="BS305" s="50"/>
      <c r="BT305" s="50"/>
      <c r="BU305" s="50"/>
    </row>
    <row r="306">
      <c r="A306" s="47">
        <f>IFERROR(__xludf.DUMMYFUNCTION("""COMPUTED_VALUE"""),321.0)</f>
        <v>321</v>
      </c>
      <c r="B306" s="47"/>
      <c r="C306" s="47">
        <f>IFERROR(__xludf.DUMMYFUNCTION("""COMPUTED_VALUE"""),288.0)</f>
        <v>288</v>
      </c>
      <c r="D306" s="47"/>
      <c r="E306" s="58" t="str">
        <f>IFERROR(__xludf.DUMMYFUNCTION("""COMPUTED_VALUE"""),"ACUNA")</f>
        <v>ACUNA</v>
      </c>
      <c r="F306" s="58" t="str">
        <f>IFERROR(__xludf.DUMMYFUNCTION("""COMPUTED_VALUE"""),"TERESITA")</f>
        <v>TERESITA</v>
      </c>
      <c r="BQ306" s="50"/>
      <c r="BR306" s="50"/>
      <c r="BS306" s="50"/>
      <c r="BT306" s="50"/>
      <c r="BU306" s="50"/>
    </row>
    <row r="307">
      <c r="A307" s="47">
        <f>IFERROR(__xludf.DUMMYFUNCTION("""COMPUTED_VALUE"""),322.0)</f>
        <v>322</v>
      </c>
      <c r="B307" s="47"/>
      <c r="C307" s="47">
        <f>IFERROR(__xludf.DUMMYFUNCTION("""COMPUTED_VALUE"""),288.0)</f>
        <v>288</v>
      </c>
      <c r="D307" s="47"/>
      <c r="E307" s="58" t="str">
        <f>IFERROR(__xludf.DUMMYFUNCTION("""COMPUTED_VALUE"""),"BAQUERIZA")</f>
        <v>BAQUERIZA</v>
      </c>
      <c r="F307" s="58" t="str">
        <f>IFERROR(__xludf.DUMMYFUNCTION("""COMPUTED_VALUE"""),"FILOMENA")</f>
        <v>FILOMENA</v>
      </c>
      <c r="BQ307" s="50"/>
      <c r="BR307" s="50"/>
      <c r="BS307" s="50"/>
      <c r="BT307" s="50"/>
      <c r="BU307" s="50"/>
    </row>
    <row r="308">
      <c r="A308" s="47">
        <f>IFERROR(__xludf.DUMMYFUNCTION("""COMPUTED_VALUE"""),323.0)</f>
        <v>323</v>
      </c>
      <c r="B308" s="47"/>
      <c r="C308" s="47">
        <f>IFERROR(__xludf.DUMMYFUNCTION("""COMPUTED_VALUE"""),288.0)</f>
        <v>288</v>
      </c>
      <c r="D308" s="47"/>
      <c r="E308" s="58" t="str">
        <f>IFERROR(__xludf.DUMMYFUNCTION("""COMPUTED_VALUE"""),"LEYRITANA")</f>
        <v>LEYRITANA</v>
      </c>
      <c r="F308" s="58" t="str">
        <f>IFERROR(__xludf.DUMMYFUNCTION("""COMPUTED_VALUE"""),"LETTY")</f>
        <v>LETTY</v>
      </c>
      <c r="BQ308" s="50"/>
      <c r="BR308" s="50"/>
      <c r="BS308" s="50"/>
      <c r="BT308" s="50"/>
      <c r="BU308" s="50"/>
    </row>
    <row r="309">
      <c r="A309" s="47">
        <f>IFERROR(__xludf.DUMMYFUNCTION("""COMPUTED_VALUE"""),324.0)</f>
        <v>324</v>
      </c>
      <c r="B309" s="47"/>
      <c r="C309" s="47">
        <f>IFERROR(__xludf.DUMMYFUNCTION("""COMPUTED_VALUE"""),288.0)</f>
        <v>288</v>
      </c>
      <c r="D309" s="47"/>
      <c r="E309" s="57" t="str">
        <f>IFERROR(__xludf.DUMMYFUNCTION("""COMPUTED_VALUE"""),"BISPO")</f>
        <v>BISPO</v>
      </c>
      <c r="F309" s="57" t="str">
        <f>IFERROR(__xludf.DUMMYFUNCTION("""COMPUTED_VALUE"""),"SONN")</f>
        <v>SONN</v>
      </c>
      <c r="BQ309" s="50"/>
      <c r="BR309" s="50"/>
      <c r="BS309" s="50"/>
      <c r="BT309" s="50"/>
      <c r="BU309" s="50"/>
    </row>
    <row r="310">
      <c r="A310" s="47">
        <f>IFERROR(__xludf.DUMMYFUNCTION("""COMPUTED_VALUE"""),325.0)</f>
        <v>325</v>
      </c>
      <c r="B310" s="47"/>
      <c r="C310" s="47">
        <f>IFERROR(__xludf.DUMMYFUNCTION("""COMPUTED_VALUE"""),288.0)</f>
        <v>288</v>
      </c>
      <c r="D310" s="47"/>
      <c r="E310" s="58" t="str">
        <f>IFERROR(__xludf.DUMMYFUNCTION("""COMPUTED_VALUE"""),"SANTOS")</f>
        <v>SANTOS</v>
      </c>
      <c r="F310" s="58" t="str">
        <f>IFERROR(__xludf.DUMMYFUNCTION("""COMPUTED_VALUE"""),"RIO")</f>
        <v>RIO</v>
      </c>
      <c r="BQ310" s="50"/>
      <c r="BR310" s="50"/>
      <c r="BS310" s="50"/>
      <c r="BT310" s="50"/>
      <c r="BU310" s="50"/>
    </row>
    <row r="311">
      <c r="A311" s="47">
        <f>IFERROR(__xludf.DUMMYFUNCTION("""COMPUTED_VALUE"""),326.0)</f>
        <v>326</v>
      </c>
      <c r="B311" s="47"/>
      <c r="C311" s="47">
        <f>IFERROR(__xludf.DUMMYFUNCTION("""COMPUTED_VALUE"""),288.0)</f>
        <v>288</v>
      </c>
      <c r="D311" s="47"/>
      <c r="E311" s="62" t="str">
        <f>IFERROR(__xludf.DUMMYFUNCTION("""COMPUTED_VALUE"""),"PASAMONTE")</f>
        <v>PASAMONTE</v>
      </c>
      <c r="F311" s="62" t="str">
        <f>IFERROR(__xludf.DUMMYFUNCTION("""COMPUTED_VALUE"""),"NORA")</f>
        <v>NORA</v>
      </c>
      <c r="BQ311" s="50"/>
      <c r="BR311" s="50"/>
      <c r="BS311" s="50"/>
      <c r="BT311" s="50"/>
      <c r="BU311" s="50"/>
    </row>
    <row r="312">
      <c r="A312" s="47">
        <f>IFERROR(__xludf.DUMMYFUNCTION("""COMPUTED_VALUE"""),327.0)</f>
        <v>327</v>
      </c>
      <c r="B312" s="47"/>
      <c r="C312" s="47">
        <f>IFERROR(__xludf.DUMMYFUNCTION("""COMPUTED_VALUE"""),288.0)</f>
        <v>288</v>
      </c>
      <c r="D312" s="47"/>
      <c r="E312" s="64" t="str">
        <f>IFERROR(__xludf.DUMMYFUNCTION("""COMPUTED_VALUE"""),"M.")</f>
        <v>M.</v>
      </c>
      <c r="F312" s="64" t="str">
        <f>IFERROR(__xludf.DUMMYFUNCTION("""COMPUTED_VALUE"""),"REBECCA")</f>
        <v>REBECCA</v>
      </c>
      <c r="BQ312" s="50"/>
      <c r="BR312" s="50"/>
      <c r="BS312" s="50"/>
      <c r="BT312" s="50"/>
      <c r="BU312" s="50"/>
    </row>
    <row r="313">
      <c r="A313" s="47"/>
      <c r="B313" s="47"/>
      <c r="C313" s="47"/>
      <c r="D313" s="47"/>
      <c r="E313" s="66"/>
      <c r="F313" s="66"/>
      <c r="BQ313" s="50"/>
      <c r="BR313" s="50"/>
      <c r="BS313" s="50"/>
      <c r="BT313" s="50"/>
      <c r="BU313" s="50"/>
    </row>
    <row r="314">
      <c r="A314" s="47">
        <f>IFERROR(__xludf.DUMMYFUNCTION("""COMPUTED_VALUE"""),329.0)</f>
        <v>329</v>
      </c>
      <c r="B314" s="47"/>
      <c r="C314" s="47">
        <f>IFERROR(__xludf.DUMMYFUNCTION("""COMPUTED_VALUE"""),288.0)</f>
        <v>288</v>
      </c>
      <c r="D314" s="47"/>
      <c r="E314" s="66" t="str">
        <f>IFERROR(__xludf.DUMMYFUNCTION("""COMPUTED_VALUE"""),"SAGUN")</f>
        <v>SAGUN</v>
      </c>
      <c r="F314" s="66" t="str">
        <f>IFERROR(__xludf.DUMMYFUNCTION("""COMPUTED_VALUE"""),"ESTER")</f>
        <v>ESTER</v>
      </c>
      <c r="BQ314" s="50"/>
      <c r="BR314" s="50"/>
      <c r="BS314" s="50"/>
      <c r="BT314" s="50"/>
      <c r="BU314" s="50"/>
    </row>
    <row r="315">
      <c r="A315" s="47">
        <f>IFERROR(__xludf.DUMMYFUNCTION("""COMPUTED_VALUE"""),330.0)</f>
        <v>330</v>
      </c>
      <c r="B315" s="47"/>
      <c r="C315" s="47">
        <f>IFERROR(__xludf.DUMMYFUNCTION("""COMPUTED_VALUE"""),288.0)</f>
        <v>288</v>
      </c>
      <c r="D315" s="47"/>
      <c r="E315" s="66" t="str">
        <f>IFERROR(__xludf.DUMMYFUNCTION("""COMPUTED_VALUE"""),"PORTAS")</f>
        <v>PORTAS</v>
      </c>
      <c r="F315" s="66" t="str">
        <f>IFERROR(__xludf.DUMMYFUNCTION("""COMPUTED_VALUE"""),"LEONILA")</f>
        <v>LEONILA</v>
      </c>
      <c r="BQ315" s="50"/>
      <c r="BR315" s="50"/>
      <c r="BS315" s="50"/>
      <c r="BT315" s="50"/>
      <c r="BU315" s="50"/>
    </row>
    <row r="316">
      <c r="A316" s="47">
        <f>IFERROR(__xludf.DUMMYFUNCTION("""COMPUTED_VALUE"""),331.0)</f>
        <v>331</v>
      </c>
      <c r="B316" s="47"/>
      <c r="C316" s="47">
        <f>IFERROR(__xludf.DUMMYFUNCTION("""COMPUTED_VALUE"""),288.0)</f>
        <v>288</v>
      </c>
      <c r="D316" s="47"/>
      <c r="E316" s="69" t="str">
        <f>IFERROR(__xludf.DUMMYFUNCTION("""COMPUTED_VALUE"""),"SANGEL")</f>
        <v>SANGEL</v>
      </c>
      <c r="F316" s="63" t="str">
        <f>IFERROR(__xludf.DUMMYFUNCTION("""COMPUTED_VALUE"""),"YOLY")</f>
        <v>YOLY</v>
      </c>
      <c r="BQ316" s="50"/>
      <c r="BR316" s="50"/>
      <c r="BS316" s="50"/>
      <c r="BT316" s="50"/>
      <c r="BU316" s="50"/>
    </row>
    <row r="317">
      <c r="A317" s="47"/>
      <c r="B317" s="47"/>
      <c r="C317" s="47"/>
      <c r="D317" s="47"/>
      <c r="E317" s="70"/>
      <c r="F317" s="70"/>
      <c r="BQ317" s="50"/>
      <c r="BR317" s="50"/>
      <c r="BS317" s="50"/>
      <c r="BT317" s="50"/>
      <c r="BU317" s="50"/>
    </row>
    <row r="318">
      <c r="A318" s="47">
        <f>IFERROR(__xludf.DUMMYFUNCTION("""COMPUTED_VALUE"""),333.0)</f>
        <v>333</v>
      </c>
      <c r="B318" s="47"/>
      <c r="C318" s="47">
        <f>IFERROR(__xludf.DUMMYFUNCTION("""COMPUTED_VALUE"""),288.0)</f>
        <v>288</v>
      </c>
      <c r="D318" s="47"/>
      <c r="E318" s="70" t="str">
        <f>IFERROR(__xludf.DUMMYFUNCTION("""COMPUTED_VALUE"""),"SANGEL")</f>
        <v>SANGEL</v>
      </c>
      <c r="F318" s="70" t="str">
        <f>IFERROR(__xludf.DUMMYFUNCTION("""COMPUTED_VALUE"""),"VERGIE")</f>
        <v>VERGIE</v>
      </c>
      <c r="BQ318" s="50"/>
      <c r="BR318" s="50"/>
      <c r="BS318" s="50"/>
      <c r="BT318" s="50"/>
      <c r="BU318" s="50"/>
    </row>
    <row r="319">
      <c r="A319" s="47">
        <f>IFERROR(__xludf.DUMMYFUNCTION("""COMPUTED_VALUE"""),334.0)</f>
        <v>334</v>
      </c>
      <c r="B319" s="47"/>
      <c r="C319" s="47">
        <f>IFERROR(__xludf.DUMMYFUNCTION("""COMPUTED_VALUE"""),288.0)</f>
        <v>288</v>
      </c>
      <c r="D319" s="47"/>
      <c r="E319" s="70" t="str">
        <f>IFERROR(__xludf.DUMMYFUNCTION("""COMPUTED_VALUE"""),"ALCANTARA")</f>
        <v>ALCANTARA</v>
      </c>
      <c r="F319" s="70" t="str">
        <f>IFERROR(__xludf.DUMMYFUNCTION("""COMPUTED_VALUE"""),"AVELINA")</f>
        <v>AVELINA</v>
      </c>
      <c r="BQ319" s="50"/>
      <c r="BR319" s="50"/>
      <c r="BS319" s="50"/>
      <c r="BT319" s="50"/>
      <c r="BU319" s="50"/>
    </row>
    <row r="320">
      <c r="A320" s="47">
        <f>IFERROR(__xludf.DUMMYFUNCTION("""COMPUTED_VALUE"""),335.0)</f>
        <v>335</v>
      </c>
      <c r="B320" s="47"/>
      <c r="C320" s="47">
        <f>IFERROR(__xludf.DUMMYFUNCTION("""COMPUTED_VALUE"""),288.0)</f>
        <v>288</v>
      </c>
      <c r="D320" s="47"/>
      <c r="E320" s="70" t="str">
        <f>IFERROR(__xludf.DUMMYFUNCTION("""COMPUTED_VALUE"""),"ERILLA")</f>
        <v>ERILLA</v>
      </c>
      <c r="F320" s="70" t="str">
        <f>IFERROR(__xludf.DUMMYFUNCTION("""COMPUTED_VALUE"""),"RUFINA")</f>
        <v>RUFINA</v>
      </c>
      <c r="BQ320" s="50"/>
      <c r="BR320" s="50"/>
      <c r="BS320" s="50"/>
      <c r="BT320" s="50"/>
      <c r="BU320" s="50"/>
    </row>
    <row r="321">
      <c r="A321" s="47"/>
      <c r="B321" s="47"/>
      <c r="C321" s="47"/>
      <c r="D321" s="47"/>
      <c r="E321" s="70"/>
      <c r="F321" s="70"/>
      <c r="BQ321" s="50"/>
      <c r="BR321" s="50"/>
      <c r="BS321" s="50"/>
      <c r="BT321" s="50"/>
      <c r="BU321" s="50"/>
    </row>
    <row r="322">
      <c r="A322" s="47">
        <f>IFERROR(__xludf.DUMMYFUNCTION("""COMPUTED_VALUE"""),337.0)</f>
        <v>337</v>
      </c>
      <c r="B322" s="47"/>
      <c r="C322" s="47">
        <f>IFERROR(__xludf.DUMMYFUNCTION("""COMPUTED_VALUE"""),288.0)</f>
        <v>288</v>
      </c>
      <c r="D322" s="47"/>
      <c r="E322" s="70" t="str">
        <f>IFERROR(__xludf.DUMMYFUNCTION("""COMPUTED_VALUE"""),"SEVILLA")</f>
        <v>SEVILLA</v>
      </c>
      <c r="F322" s="70" t="str">
        <f>IFERROR(__xludf.DUMMYFUNCTION("""COMPUTED_VALUE"""),"PERLA")</f>
        <v>PERLA</v>
      </c>
      <c r="BQ322" s="50"/>
      <c r="BR322" s="50"/>
      <c r="BS322" s="50"/>
      <c r="BT322" s="50"/>
      <c r="BU322" s="50"/>
    </row>
    <row r="323">
      <c r="A323" s="47">
        <f>IFERROR(__xludf.DUMMYFUNCTION("""COMPUTED_VALUE"""),338.0)</f>
        <v>338</v>
      </c>
      <c r="B323" s="47"/>
      <c r="C323" s="47">
        <f>IFERROR(__xludf.DUMMYFUNCTION("""COMPUTED_VALUE"""),288.0)</f>
        <v>288</v>
      </c>
      <c r="D323" s="47"/>
      <c r="E323" s="70" t="str">
        <f>IFERROR(__xludf.DUMMYFUNCTION("""COMPUTED_VALUE"""),"LALAGUNA")</f>
        <v>LALAGUNA</v>
      </c>
      <c r="F323" s="70" t="str">
        <f>IFERROR(__xludf.DUMMYFUNCTION("""COMPUTED_VALUE"""),"MARIE")</f>
        <v>MARIE</v>
      </c>
      <c r="BQ323" s="50"/>
      <c r="BR323" s="50"/>
      <c r="BS323" s="50"/>
      <c r="BT323" s="50"/>
      <c r="BU323" s="50"/>
    </row>
    <row r="324">
      <c r="A324" s="47"/>
      <c r="B324" s="47"/>
      <c r="C324" s="47"/>
      <c r="D324" s="47"/>
      <c r="E324" s="70"/>
      <c r="F324" s="70"/>
      <c r="BQ324" s="50"/>
      <c r="BR324" s="50"/>
      <c r="BS324" s="50"/>
      <c r="BT324" s="50"/>
      <c r="BU324" s="50"/>
    </row>
    <row r="325">
      <c r="A325" s="47">
        <f>IFERROR(__xludf.DUMMYFUNCTION("""COMPUTED_VALUE"""),340.0)</f>
        <v>340</v>
      </c>
      <c r="B325" s="47"/>
      <c r="C325" s="47">
        <f>IFERROR(__xludf.DUMMYFUNCTION("""COMPUTED_VALUE"""),288.0)</f>
        <v>288</v>
      </c>
      <c r="D325" s="47"/>
      <c r="E325" s="70" t="str">
        <f>IFERROR(__xludf.DUMMYFUNCTION("""COMPUTED_VALUE"""),"BALAN")</f>
        <v>BALAN</v>
      </c>
      <c r="F325" s="70" t="str">
        <f>IFERROR(__xludf.DUMMYFUNCTION("""COMPUTED_VALUE"""),"VIOLETA")</f>
        <v>VIOLETA</v>
      </c>
      <c r="BQ325" s="50"/>
      <c r="BR325" s="50"/>
      <c r="BS325" s="50"/>
      <c r="BT325" s="50"/>
      <c r="BU325" s="50"/>
    </row>
    <row r="326">
      <c r="A326" s="47">
        <f>IFERROR(__xludf.DUMMYFUNCTION("""COMPUTED_VALUE"""),341.0)</f>
        <v>341</v>
      </c>
      <c r="B326" s="47"/>
      <c r="C326" s="47">
        <f>IFERROR(__xludf.DUMMYFUNCTION("""COMPUTED_VALUE"""),288.0)</f>
        <v>288</v>
      </c>
      <c r="D326" s="47"/>
      <c r="E326" s="70" t="str">
        <f>IFERROR(__xludf.DUMMYFUNCTION("""COMPUTED_VALUE"""),"SOLAR")</f>
        <v>SOLAR</v>
      </c>
      <c r="F326" s="70" t="str">
        <f>IFERROR(__xludf.DUMMYFUNCTION("""COMPUTED_VALUE"""),"HELEN")</f>
        <v>HELEN</v>
      </c>
      <c r="BQ326" s="50"/>
      <c r="BR326" s="50"/>
      <c r="BS326" s="50"/>
      <c r="BT326" s="50"/>
      <c r="BU326" s="50"/>
    </row>
    <row r="327">
      <c r="A327" s="47">
        <f>IFERROR(__xludf.DUMMYFUNCTION("""COMPUTED_VALUE"""),342.0)</f>
        <v>342</v>
      </c>
      <c r="B327" s="47"/>
      <c r="C327" s="47">
        <f>IFERROR(__xludf.DUMMYFUNCTION("""COMPUTED_VALUE"""),288.0)</f>
        <v>288</v>
      </c>
      <c r="D327" s="47"/>
      <c r="E327" s="70" t="str">
        <f>IFERROR(__xludf.DUMMYFUNCTION("""COMPUTED_VALUE"""),"MANUEL")</f>
        <v>MANUEL</v>
      </c>
      <c r="F327" s="70" t="str">
        <f>IFERROR(__xludf.DUMMYFUNCTION("""COMPUTED_VALUE"""),"AMPARING")</f>
        <v>AMPARING</v>
      </c>
      <c r="BQ327" s="50"/>
      <c r="BR327" s="50"/>
      <c r="BS327" s="50"/>
      <c r="BT327" s="50"/>
      <c r="BU327" s="50"/>
    </row>
    <row r="328">
      <c r="A328" s="47"/>
      <c r="B328" s="47"/>
      <c r="C328" s="47"/>
      <c r="D328" s="47"/>
      <c r="E328" s="70"/>
      <c r="F328" s="70"/>
      <c r="BQ328" s="50"/>
      <c r="BR328" s="50"/>
      <c r="BS328" s="50"/>
      <c r="BT328" s="50"/>
      <c r="BU328" s="50"/>
    </row>
    <row r="329">
      <c r="A329" s="47">
        <f>IFERROR(__xludf.DUMMYFUNCTION("""COMPUTED_VALUE"""),344.0)</f>
        <v>344</v>
      </c>
      <c r="B329" s="47"/>
      <c r="C329" s="47">
        <f>IFERROR(__xludf.DUMMYFUNCTION("""COMPUTED_VALUE"""),288.0)</f>
        <v>288</v>
      </c>
      <c r="D329" s="47"/>
      <c r="E329" s="70" t="str">
        <f>IFERROR(__xludf.DUMMYFUNCTION("""COMPUTED_VALUE"""),"SANTOS")</f>
        <v>SANTOS</v>
      </c>
      <c r="F329" s="70" t="str">
        <f>IFERROR(__xludf.DUMMYFUNCTION("""COMPUTED_VALUE"""),"MALOU")</f>
        <v>MALOU</v>
      </c>
      <c r="BQ329" s="50"/>
      <c r="BR329" s="50"/>
      <c r="BS329" s="50"/>
      <c r="BT329" s="50"/>
      <c r="BU329" s="50"/>
    </row>
    <row r="330">
      <c r="A330" s="47"/>
      <c r="B330" s="47"/>
      <c r="C330" s="47"/>
      <c r="D330" s="47"/>
      <c r="E330" s="70"/>
      <c r="F330" s="70"/>
      <c r="BQ330" s="50"/>
      <c r="BR330" s="50"/>
      <c r="BS330" s="50"/>
      <c r="BT330" s="50"/>
      <c r="BU330" s="50"/>
    </row>
    <row r="331">
      <c r="A331" s="47"/>
      <c r="B331" s="47"/>
      <c r="C331" s="47"/>
      <c r="D331" s="47"/>
      <c r="E331" s="70"/>
      <c r="F331" s="70"/>
      <c r="BQ331" s="50"/>
      <c r="BR331" s="50"/>
      <c r="BS331" s="50"/>
      <c r="BT331" s="50"/>
      <c r="BU331" s="50"/>
    </row>
    <row r="332">
      <c r="A332" s="47"/>
      <c r="B332" s="47"/>
      <c r="C332" s="47"/>
      <c r="D332" s="47"/>
      <c r="E332" s="70"/>
      <c r="F332" s="70"/>
      <c r="BQ332" s="50"/>
      <c r="BR332" s="50"/>
      <c r="BS332" s="50"/>
      <c r="BT332" s="50"/>
      <c r="BU332" s="50"/>
    </row>
    <row r="333">
      <c r="A333" s="47"/>
      <c r="B333" s="47"/>
      <c r="C333" s="47"/>
      <c r="D333" s="47"/>
      <c r="E333" s="70"/>
      <c r="F333" s="70"/>
      <c r="BQ333" s="50"/>
      <c r="BR333" s="50"/>
      <c r="BS333" s="50"/>
      <c r="BT333" s="50"/>
      <c r="BU333" s="50"/>
    </row>
    <row r="334">
      <c r="A334" s="47">
        <f>IFERROR(__xludf.DUMMYFUNCTION("""COMPUTED_VALUE"""),349.0)</f>
        <v>349</v>
      </c>
      <c r="B334" s="47"/>
      <c r="C334" s="47">
        <f>IFERROR(__xludf.DUMMYFUNCTION("""COMPUTED_VALUE"""),288.0)</f>
        <v>288</v>
      </c>
      <c r="D334" s="47"/>
      <c r="E334" s="70" t="str">
        <f>IFERROR(__xludf.DUMMYFUNCTION("""COMPUTED_VALUE"""),"SANTOS")</f>
        <v>SANTOS</v>
      </c>
      <c r="F334" s="70" t="str">
        <f>IFERROR(__xludf.DUMMYFUNCTION("""COMPUTED_VALUE"""),"MALOU")</f>
        <v>MALOU</v>
      </c>
      <c r="BQ334" s="50"/>
      <c r="BR334" s="50"/>
      <c r="BS334" s="50"/>
      <c r="BT334" s="50"/>
      <c r="BU334" s="50"/>
    </row>
    <row r="335">
      <c r="A335" s="47"/>
      <c r="B335" s="47"/>
      <c r="C335" s="47"/>
      <c r="D335" s="47"/>
      <c r="E335" s="70"/>
      <c r="F335" s="70"/>
      <c r="BQ335" s="50"/>
      <c r="BR335" s="50"/>
      <c r="BS335" s="50"/>
      <c r="BT335" s="50"/>
      <c r="BU335" s="50"/>
    </row>
    <row r="336">
      <c r="A336" s="47"/>
      <c r="B336" s="47"/>
      <c r="C336" s="47"/>
      <c r="D336" s="47"/>
      <c r="E336" s="47"/>
      <c r="F336" s="47"/>
      <c r="BQ336" s="50"/>
      <c r="BR336" s="50"/>
      <c r="BS336" s="50"/>
      <c r="BT336" s="50"/>
      <c r="BU336" s="50"/>
    </row>
    <row r="337">
      <c r="A337" s="47">
        <f>IFERROR(__xludf.DUMMYFUNCTION("""COMPUTED_VALUE"""),352.0)</f>
        <v>352</v>
      </c>
      <c r="B337" s="47"/>
      <c r="C337" s="47">
        <f>IFERROR(__xludf.DUMMYFUNCTION("""COMPUTED_VALUE"""),288.0)</f>
        <v>288</v>
      </c>
      <c r="D337" s="47"/>
      <c r="E337" s="55" t="str">
        <f>IFERROR(__xludf.DUMMYFUNCTION("""COMPUTED_VALUE"""),"SANTOS")</f>
        <v>SANTOS</v>
      </c>
      <c r="F337" s="55" t="str">
        <f>IFERROR(__xludf.DUMMYFUNCTION("""COMPUTED_VALUE"""),"MALOU")</f>
        <v>MALOU</v>
      </c>
      <c r="BQ337" s="50"/>
      <c r="BR337" s="50"/>
      <c r="BS337" s="50"/>
      <c r="BT337" s="50"/>
      <c r="BU337" s="50"/>
    </row>
    <row r="338">
      <c r="A338" s="47"/>
      <c r="B338" s="47"/>
      <c r="C338" s="47"/>
      <c r="D338" s="47"/>
      <c r="E338" s="73"/>
      <c r="F338" s="58"/>
      <c r="BQ338" s="50"/>
      <c r="BR338" s="50"/>
      <c r="BS338" s="50"/>
      <c r="BT338" s="50"/>
      <c r="BU338" s="50"/>
    </row>
    <row r="339">
      <c r="A339" s="47">
        <f>IFERROR(__xludf.DUMMYFUNCTION("""COMPUTED_VALUE"""),353.0)</f>
        <v>353</v>
      </c>
      <c r="B339" s="47"/>
      <c r="C339" s="47">
        <f>IFERROR(__xludf.DUMMYFUNCTION("""COMPUTED_VALUE"""),353.0)</f>
        <v>353</v>
      </c>
      <c r="D339" s="47" t="b">
        <f>IFERROR(__xludf.DUMMYFUNCTION("""COMPUTED_VALUE"""),TRUE)</f>
        <v>1</v>
      </c>
      <c r="E339" s="58" t="str">
        <f>IFERROR(__xludf.DUMMYFUNCTION("""COMPUTED_VALUE"""),"BERNAL")</f>
        <v>BERNAL</v>
      </c>
      <c r="F339" s="58" t="str">
        <f>IFERROR(__xludf.DUMMYFUNCTION("""COMPUTED_VALUE"""),"JESS")</f>
        <v>JESS</v>
      </c>
      <c r="BQ339" s="50"/>
      <c r="BR339" s="50"/>
      <c r="BS339" s="50"/>
      <c r="BT339" s="50"/>
      <c r="BU339" s="50"/>
    </row>
    <row r="340">
      <c r="A340" s="47">
        <f>IFERROR(__xludf.DUMMYFUNCTION("""COMPUTED_VALUE"""),354.0)</f>
        <v>354</v>
      </c>
      <c r="B340" s="47"/>
      <c r="C340" s="47">
        <f>IFERROR(__xludf.DUMMYFUNCTION("""COMPUTED_VALUE"""),353.0)</f>
        <v>353</v>
      </c>
      <c r="D340" s="47"/>
      <c r="E340" s="74" t="str">
        <f>IFERROR(__xludf.DUMMYFUNCTION("""COMPUTED_VALUE"""),"ROMERO")</f>
        <v>ROMERO</v>
      </c>
      <c r="F340" s="58" t="str">
        <f>IFERROR(__xludf.DUMMYFUNCTION("""COMPUTED_VALUE"""),"FELIX")</f>
        <v>FELIX</v>
      </c>
      <c r="BQ340" s="50"/>
      <c r="BR340" s="50"/>
      <c r="BS340" s="50"/>
      <c r="BT340" s="50"/>
      <c r="BU340" s="50"/>
    </row>
    <row r="341">
      <c r="A341" s="47"/>
      <c r="B341" s="47"/>
      <c r="C341" s="47"/>
      <c r="D341" s="47"/>
      <c r="E341" s="58"/>
      <c r="F341" s="58"/>
      <c r="BQ341" s="50"/>
      <c r="BR341" s="50"/>
      <c r="BS341" s="50"/>
      <c r="BT341" s="50"/>
      <c r="BU341" s="50"/>
    </row>
    <row r="342">
      <c r="A342" s="47">
        <f>IFERROR(__xludf.DUMMYFUNCTION("""COMPUTED_VALUE"""),356.0)</f>
        <v>356</v>
      </c>
      <c r="B342" s="47"/>
      <c r="C342" s="47">
        <f>IFERROR(__xludf.DUMMYFUNCTION("""COMPUTED_VALUE"""),353.0)</f>
        <v>353</v>
      </c>
      <c r="D342" s="47"/>
      <c r="E342" s="58" t="str">
        <f>IFERROR(__xludf.DUMMYFUNCTION("""COMPUTED_VALUE"""),"ESTANISLAO")</f>
        <v>ESTANISLAO</v>
      </c>
      <c r="F342" s="58" t="str">
        <f>IFERROR(__xludf.DUMMYFUNCTION("""COMPUTED_VALUE"""),"RODERICK")</f>
        <v>RODERICK</v>
      </c>
      <c r="BQ342" s="50"/>
      <c r="BR342" s="50"/>
      <c r="BS342" s="50"/>
      <c r="BT342" s="50"/>
      <c r="BU342" s="50"/>
    </row>
    <row r="343">
      <c r="A343" s="47">
        <f>IFERROR(__xludf.DUMMYFUNCTION("""COMPUTED_VALUE"""),357.0)</f>
        <v>357</v>
      </c>
      <c r="B343" s="47"/>
      <c r="C343" s="47">
        <f>IFERROR(__xludf.DUMMYFUNCTION("""COMPUTED_VALUE"""),353.0)</f>
        <v>353</v>
      </c>
      <c r="D343" s="47"/>
      <c r="E343" s="58" t="str">
        <f>IFERROR(__xludf.DUMMYFUNCTION("""COMPUTED_VALUE"""),"COMANDA")</f>
        <v>COMANDA</v>
      </c>
      <c r="F343" s="58" t="str">
        <f>IFERROR(__xludf.DUMMYFUNCTION("""COMPUTED_VALUE"""),"CHRISTOPHER")</f>
        <v>CHRISTOPHER</v>
      </c>
      <c r="BQ343" s="50"/>
      <c r="BR343" s="50"/>
      <c r="BS343" s="50"/>
      <c r="BT343" s="50"/>
      <c r="BU343" s="50"/>
    </row>
    <row r="344">
      <c r="A344" s="47"/>
      <c r="B344" s="47"/>
      <c r="C344" s="47"/>
      <c r="D344" s="47"/>
      <c r="E344" s="58"/>
      <c r="F344" s="58"/>
      <c r="BQ344" s="50"/>
      <c r="BR344" s="50"/>
      <c r="BS344" s="50"/>
      <c r="BT344" s="50"/>
      <c r="BU344" s="50"/>
    </row>
    <row r="345">
      <c r="A345" s="47"/>
      <c r="B345" s="47"/>
      <c r="C345" s="47"/>
      <c r="D345" s="47"/>
      <c r="E345" s="58"/>
      <c r="F345" s="58"/>
      <c r="BQ345" s="50"/>
      <c r="BR345" s="50"/>
      <c r="BS345" s="50"/>
      <c r="BT345" s="50"/>
      <c r="BU345" s="50"/>
    </row>
    <row r="346">
      <c r="A346" s="47">
        <f>IFERROR(__xludf.DUMMYFUNCTION("""COMPUTED_VALUE"""),360.0)</f>
        <v>360</v>
      </c>
      <c r="B346" s="47"/>
      <c r="C346" s="47">
        <f>IFERROR(__xludf.DUMMYFUNCTION("""COMPUTED_VALUE"""),353.0)</f>
        <v>353</v>
      </c>
      <c r="D346" s="47"/>
      <c r="E346" s="58" t="str">
        <f>IFERROR(__xludf.DUMMYFUNCTION("""COMPUTED_VALUE"""),"DESPOJO")</f>
        <v>DESPOJO</v>
      </c>
      <c r="F346" s="58" t="str">
        <f>IFERROR(__xludf.DUMMYFUNCTION("""COMPUTED_VALUE"""),"RICO")</f>
        <v>RICO</v>
      </c>
      <c r="BQ346" s="50"/>
      <c r="BR346" s="50"/>
      <c r="BS346" s="50"/>
      <c r="BT346" s="50"/>
      <c r="BU346" s="50"/>
    </row>
    <row r="347">
      <c r="A347" s="47"/>
      <c r="B347" s="47"/>
      <c r="C347" s="47"/>
      <c r="D347" s="47"/>
      <c r="E347" s="58"/>
      <c r="F347" s="58"/>
      <c r="BQ347" s="50"/>
      <c r="BR347" s="50"/>
      <c r="BS347" s="50"/>
      <c r="BT347" s="50"/>
      <c r="BU347" s="50"/>
    </row>
    <row r="348">
      <c r="A348" s="47">
        <f>IFERROR(__xludf.DUMMYFUNCTION("""COMPUTED_VALUE"""),362.0)</f>
        <v>362</v>
      </c>
      <c r="B348" s="47"/>
      <c r="C348" s="47">
        <f>IFERROR(__xludf.DUMMYFUNCTION("""COMPUTED_VALUE"""),353.0)</f>
        <v>353</v>
      </c>
      <c r="D348" s="47"/>
      <c r="E348" s="58" t="str">
        <f>IFERROR(__xludf.DUMMYFUNCTION("""COMPUTED_VALUE"""),"DE LEON")</f>
        <v>DE LEON</v>
      </c>
      <c r="F348" s="58" t="str">
        <f>IFERROR(__xludf.DUMMYFUNCTION("""COMPUTED_VALUE"""),"ROMEL")</f>
        <v>ROMEL</v>
      </c>
      <c r="BQ348" s="50"/>
      <c r="BR348" s="50"/>
      <c r="BS348" s="50"/>
      <c r="BT348" s="50"/>
      <c r="BU348" s="50"/>
    </row>
    <row r="349">
      <c r="A349" s="47">
        <f>IFERROR(__xludf.DUMMYFUNCTION("""COMPUTED_VALUE"""),363.0)</f>
        <v>363</v>
      </c>
      <c r="B349" s="47"/>
      <c r="C349" s="47">
        <f>IFERROR(__xludf.DUMMYFUNCTION("""COMPUTED_VALUE"""),353.0)</f>
        <v>353</v>
      </c>
      <c r="D349" s="47"/>
      <c r="E349" s="58" t="str">
        <f>IFERROR(__xludf.DUMMYFUNCTION("""COMPUTED_VALUE"""),"PAJARITO")</f>
        <v>PAJARITO</v>
      </c>
      <c r="F349" s="58" t="str">
        <f>IFERROR(__xludf.DUMMYFUNCTION("""COMPUTED_VALUE"""),"SANDY")</f>
        <v>SANDY</v>
      </c>
      <c r="BQ349" s="50"/>
      <c r="BR349" s="50"/>
      <c r="BS349" s="50"/>
      <c r="BT349" s="50"/>
      <c r="BU349" s="50"/>
    </row>
    <row r="350">
      <c r="A350" s="47">
        <f>IFERROR(__xludf.DUMMYFUNCTION("""COMPUTED_VALUE"""),364.0)</f>
        <v>364</v>
      </c>
      <c r="B350" s="47"/>
      <c r="C350" s="47">
        <f>IFERROR(__xludf.DUMMYFUNCTION("""COMPUTED_VALUE"""),353.0)</f>
        <v>353</v>
      </c>
      <c r="D350" s="47"/>
      <c r="E350" s="58" t="str">
        <f>IFERROR(__xludf.DUMMYFUNCTION("""COMPUTED_VALUE"""),"BALAIS")</f>
        <v>BALAIS</v>
      </c>
      <c r="F350" s="58" t="str">
        <f>IFERROR(__xludf.DUMMYFUNCTION("""COMPUTED_VALUE"""),"RODEN")</f>
        <v>RODEN</v>
      </c>
      <c r="BQ350" s="50"/>
      <c r="BR350" s="50"/>
      <c r="BS350" s="50"/>
      <c r="BT350" s="50"/>
      <c r="BU350" s="50"/>
    </row>
    <row r="351">
      <c r="A351" s="47"/>
      <c r="B351" s="47"/>
      <c r="C351" s="47"/>
      <c r="D351" s="47"/>
      <c r="E351" s="58"/>
      <c r="F351" s="58"/>
      <c r="BQ351" s="50"/>
      <c r="BR351" s="50"/>
      <c r="BS351" s="50"/>
      <c r="BT351" s="50"/>
      <c r="BU351" s="50"/>
    </row>
    <row r="352">
      <c r="A352" s="47"/>
      <c r="B352" s="47"/>
      <c r="C352" s="47"/>
      <c r="D352" s="47"/>
      <c r="E352" s="58"/>
      <c r="F352" s="58"/>
      <c r="BQ352" s="50"/>
      <c r="BR352" s="50"/>
      <c r="BS352" s="50"/>
      <c r="BT352" s="50"/>
      <c r="BU352" s="50"/>
    </row>
    <row r="353">
      <c r="A353" s="47">
        <f>IFERROR(__xludf.DUMMYFUNCTION("""COMPUTED_VALUE"""),367.0)</f>
        <v>367</v>
      </c>
      <c r="B353" s="47"/>
      <c r="C353" s="47">
        <f>IFERROR(__xludf.DUMMYFUNCTION("""COMPUTED_VALUE"""),353.0)</f>
        <v>353</v>
      </c>
      <c r="D353" s="47"/>
      <c r="E353" s="58" t="str">
        <f>IFERROR(__xludf.DUMMYFUNCTION("""COMPUTED_VALUE"""),"MATEO")</f>
        <v>MATEO</v>
      </c>
      <c r="F353" s="58" t="str">
        <f>IFERROR(__xludf.DUMMYFUNCTION("""COMPUTED_VALUE"""),"BENNY")</f>
        <v>BENNY</v>
      </c>
      <c r="BQ353" s="50"/>
      <c r="BR353" s="50"/>
      <c r="BS353" s="50"/>
      <c r="BT353" s="50"/>
      <c r="BU353" s="50"/>
    </row>
    <row r="354">
      <c r="A354" s="47"/>
      <c r="B354" s="47"/>
      <c r="C354" s="47"/>
      <c r="D354" s="47"/>
      <c r="E354" s="23"/>
      <c r="F354" s="58"/>
      <c r="BQ354" s="50"/>
      <c r="BR354" s="50"/>
      <c r="BS354" s="50"/>
      <c r="BT354" s="50"/>
      <c r="BU354" s="50"/>
    </row>
    <row r="355">
      <c r="A355" s="47">
        <f>IFERROR(__xludf.DUMMYFUNCTION("""COMPUTED_VALUE"""),369.0)</f>
        <v>369</v>
      </c>
      <c r="B355" s="47"/>
      <c r="C355" s="47">
        <f>IFERROR(__xludf.DUMMYFUNCTION("""COMPUTED_VALUE"""),353.0)</f>
        <v>353</v>
      </c>
      <c r="D355" s="47"/>
      <c r="E355" s="55" t="str">
        <f>IFERROR(__xludf.DUMMYFUNCTION("""COMPUTED_VALUE"""),"TUMANENG")</f>
        <v>TUMANENG</v>
      </c>
      <c r="F355" s="55" t="str">
        <f>IFERROR(__xludf.DUMMYFUNCTION("""COMPUTED_VALUE"""),"RODRIGO")</f>
        <v>RODRIGO</v>
      </c>
      <c r="BQ355" s="50"/>
      <c r="BR355" s="50"/>
      <c r="BS355" s="50"/>
      <c r="BT355" s="50"/>
      <c r="BU355" s="50"/>
    </row>
    <row r="356">
      <c r="A356" s="47"/>
      <c r="B356" s="47"/>
      <c r="C356" s="47"/>
      <c r="D356" s="47"/>
      <c r="E356" s="62"/>
      <c r="F356" s="62"/>
      <c r="BQ356" s="50"/>
      <c r="BR356" s="50"/>
      <c r="BS356" s="50"/>
      <c r="BT356" s="50"/>
      <c r="BU356" s="50"/>
    </row>
    <row r="357">
      <c r="A357" s="47">
        <f>IFERROR(__xludf.DUMMYFUNCTION("""COMPUTED_VALUE"""),370.0)</f>
        <v>370</v>
      </c>
      <c r="B357" s="47"/>
      <c r="C357" s="47">
        <f>IFERROR(__xludf.DUMMYFUNCTION("""COMPUTED_VALUE"""),370.0)</f>
        <v>370</v>
      </c>
      <c r="D357" s="47" t="b">
        <f>IFERROR(__xludf.DUMMYFUNCTION("""COMPUTED_VALUE"""),TRUE)</f>
        <v>1</v>
      </c>
      <c r="E357" s="62" t="str">
        <f>IFERROR(__xludf.DUMMYFUNCTION("""COMPUTED_VALUE"""),"NARCELLES")</f>
        <v>NARCELLES</v>
      </c>
      <c r="F357" s="62" t="str">
        <f>IFERROR(__xludf.DUMMYFUNCTION("""COMPUTED_VALUE"""),"NICOLE")</f>
        <v>NICOLE</v>
      </c>
      <c r="BQ357" s="50"/>
      <c r="BR357" s="50"/>
      <c r="BS357" s="50"/>
      <c r="BT357" s="50"/>
      <c r="BU357" s="50"/>
    </row>
    <row r="358">
      <c r="A358" s="47">
        <f>IFERROR(__xludf.DUMMYFUNCTION("""COMPUTED_VALUE"""),371.0)</f>
        <v>371</v>
      </c>
      <c r="B358" s="47"/>
      <c r="C358" s="47">
        <f>IFERROR(__xludf.DUMMYFUNCTION("""COMPUTED_VALUE"""),370.0)</f>
        <v>370</v>
      </c>
      <c r="D358" s="47"/>
      <c r="E358" s="62" t="str">
        <f>IFERROR(__xludf.DUMMYFUNCTION("""COMPUTED_VALUE"""),"GAPAYAO")</f>
        <v>GAPAYAO</v>
      </c>
      <c r="F358" s="62" t="str">
        <f>IFERROR(__xludf.DUMMYFUNCTION("""COMPUTED_VALUE"""),"GIDEON")</f>
        <v>GIDEON</v>
      </c>
      <c r="BQ358" s="50"/>
      <c r="BR358" s="50"/>
      <c r="BS358" s="50"/>
      <c r="BT358" s="50"/>
      <c r="BU358" s="50"/>
    </row>
    <row r="359">
      <c r="A359" s="47">
        <f>IFERROR(__xludf.DUMMYFUNCTION("""COMPUTED_VALUE"""),372.0)</f>
        <v>372</v>
      </c>
      <c r="B359" s="47"/>
      <c r="C359" s="47">
        <f>IFERROR(__xludf.DUMMYFUNCTION("""COMPUTED_VALUE"""),370.0)</f>
        <v>370</v>
      </c>
      <c r="D359" s="47"/>
      <c r="E359" s="62" t="str">
        <f>IFERROR(__xludf.DUMMYFUNCTION("""COMPUTED_VALUE"""),"TIALCO")</f>
        <v>TIALCO</v>
      </c>
      <c r="F359" s="62" t="str">
        <f>IFERROR(__xludf.DUMMYFUNCTION("""COMPUTED_VALUE"""),"DJ")</f>
        <v>DJ</v>
      </c>
      <c r="BQ359" s="50"/>
      <c r="BR359" s="50"/>
      <c r="BS359" s="50"/>
      <c r="BT359" s="50"/>
      <c r="BU359" s="50"/>
    </row>
    <row r="360">
      <c r="A360" s="47">
        <f>IFERROR(__xludf.DUMMYFUNCTION("""COMPUTED_VALUE"""),373.0)</f>
        <v>373</v>
      </c>
      <c r="B360" s="47"/>
      <c r="C360" s="47">
        <f>IFERROR(__xludf.DUMMYFUNCTION("""COMPUTED_VALUE"""),370.0)</f>
        <v>370</v>
      </c>
      <c r="D360" s="47"/>
      <c r="E360" s="62" t="str">
        <f>IFERROR(__xludf.DUMMYFUNCTION("""COMPUTED_VALUE"""),"MAGALING")</f>
        <v>MAGALING</v>
      </c>
      <c r="F360" s="62" t="str">
        <f>IFERROR(__xludf.DUMMYFUNCTION("""COMPUTED_VALUE"""),"TEDDY")</f>
        <v>TEDDY</v>
      </c>
      <c r="BQ360" s="50"/>
      <c r="BR360" s="50"/>
      <c r="BS360" s="50"/>
      <c r="BT360" s="50"/>
      <c r="BU360" s="50"/>
    </row>
    <row r="361">
      <c r="A361" s="47">
        <f>IFERROR(__xludf.DUMMYFUNCTION("""COMPUTED_VALUE"""),374.0)</f>
        <v>374</v>
      </c>
      <c r="B361" s="47"/>
      <c r="C361" s="47">
        <f>IFERROR(__xludf.DUMMYFUNCTION("""COMPUTED_VALUE"""),370.0)</f>
        <v>370</v>
      </c>
      <c r="D361" s="47"/>
      <c r="E361" s="62" t="str">
        <f>IFERROR(__xludf.DUMMYFUNCTION("""COMPUTED_VALUE"""),"TANALEON")</f>
        <v>TANALEON</v>
      </c>
      <c r="F361" s="62" t="str">
        <f>IFERROR(__xludf.DUMMYFUNCTION("""COMPUTED_VALUE"""),"RAYMUND")</f>
        <v>RAYMUND</v>
      </c>
      <c r="BQ361" s="50"/>
      <c r="BR361" s="50"/>
      <c r="BS361" s="50"/>
      <c r="BT361" s="50"/>
      <c r="BU361" s="50"/>
    </row>
    <row r="362">
      <c r="A362" s="47">
        <f>IFERROR(__xludf.DUMMYFUNCTION("""COMPUTED_VALUE"""),375.0)</f>
        <v>375</v>
      </c>
      <c r="B362" s="47"/>
      <c r="C362" s="47">
        <f>IFERROR(__xludf.DUMMYFUNCTION("""COMPUTED_VALUE"""),370.0)</f>
        <v>370</v>
      </c>
      <c r="D362" s="47"/>
      <c r="E362" s="62" t="str">
        <f>IFERROR(__xludf.DUMMYFUNCTION("""COMPUTED_VALUE"""),"TANALEON")</f>
        <v>TANALEON</v>
      </c>
      <c r="F362" s="62" t="str">
        <f>IFERROR(__xludf.DUMMYFUNCTION("""COMPUTED_VALUE"""),"GIE GIE")</f>
        <v>GIE GIE</v>
      </c>
      <c r="BQ362" s="50"/>
      <c r="BR362" s="50"/>
      <c r="BS362" s="50"/>
      <c r="BT362" s="50"/>
      <c r="BU362" s="50"/>
    </row>
    <row r="363">
      <c r="A363" s="47">
        <f>IFERROR(__xludf.DUMMYFUNCTION("""COMPUTED_VALUE"""),376.0)</f>
        <v>376</v>
      </c>
      <c r="B363" s="47"/>
      <c r="C363" s="47">
        <f>IFERROR(__xludf.DUMMYFUNCTION("""COMPUTED_VALUE"""),370.0)</f>
        <v>370</v>
      </c>
      <c r="D363" s="47"/>
      <c r="E363" s="62" t="str">
        <f>IFERROR(__xludf.DUMMYFUNCTION("""COMPUTED_VALUE"""),"DESPOJO")</f>
        <v>DESPOJO</v>
      </c>
      <c r="F363" s="62" t="str">
        <f>IFERROR(__xludf.DUMMYFUNCTION("""COMPUTED_VALUE"""),"RJ")</f>
        <v>RJ</v>
      </c>
      <c r="BQ363" s="50"/>
      <c r="BR363" s="50"/>
      <c r="BS363" s="50"/>
      <c r="BT363" s="50"/>
      <c r="BU363" s="50"/>
    </row>
    <row r="364">
      <c r="A364" s="47">
        <f>IFERROR(__xludf.DUMMYFUNCTION("""COMPUTED_VALUE"""),377.0)</f>
        <v>377</v>
      </c>
      <c r="B364" s="47"/>
      <c r="C364" s="47">
        <f>IFERROR(__xludf.DUMMYFUNCTION("""COMPUTED_VALUE"""),370.0)</f>
        <v>370</v>
      </c>
      <c r="D364" s="47"/>
      <c r="E364" s="62" t="str">
        <f>IFERROR(__xludf.DUMMYFUNCTION("""COMPUTED_VALUE"""),"DIOSDADO")</f>
        <v>DIOSDADO</v>
      </c>
      <c r="F364" s="62" t="str">
        <f>IFERROR(__xludf.DUMMYFUNCTION("""COMPUTED_VALUE"""),"MARK")</f>
        <v>MARK</v>
      </c>
      <c r="BQ364" s="50"/>
      <c r="BR364" s="50"/>
      <c r="BS364" s="50"/>
      <c r="BT364" s="50"/>
      <c r="BU364" s="50"/>
    </row>
    <row r="365">
      <c r="A365" s="47">
        <f>IFERROR(__xludf.DUMMYFUNCTION("""COMPUTED_VALUE"""),378.0)</f>
        <v>378</v>
      </c>
      <c r="B365" s="47"/>
      <c r="C365" s="47">
        <f>IFERROR(__xludf.DUMMYFUNCTION("""COMPUTED_VALUE"""),370.0)</f>
        <v>370</v>
      </c>
      <c r="D365" s="47"/>
      <c r="E365" s="62" t="str">
        <f>IFERROR(__xludf.DUMMYFUNCTION("""COMPUTED_VALUE"""),"DIWA")</f>
        <v>DIWA</v>
      </c>
      <c r="F365" s="62" t="str">
        <f>IFERROR(__xludf.DUMMYFUNCTION("""COMPUTED_VALUE"""),"TIMOTHY")</f>
        <v>TIMOTHY</v>
      </c>
      <c r="BQ365" s="50"/>
      <c r="BR365" s="50"/>
      <c r="BS365" s="50"/>
      <c r="BT365" s="50"/>
      <c r="BU365" s="50"/>
    </row>
    <row r="366">
      <c r="A366" s="47">
        <f>IFERROR(__xludf.DUMMYFUNCTION("""COMPUTED_VALUE"""),379.0)</f>
        <v>379</v>
      </c>
      <c r="B366" s="47"/>
      <c r="C366" s="47">
        <f>IFERROR(__xludf.DUMMYFUNCTION("""COMPUTED_VALUE"""),370.0)</f>
        <v>370</v>
      </c>
      <c r="D366" s="47"/>
      <c r="E366" s="62" t="str">
        <f>IFERROR(__xludf.DUMMYFUNCTION("""COMPUTED_VALUE"""),"BROZO")</f>
        <v>BROZO</v>
      </c>
      <c r="F366" s="62" t="str">
        <f>IFERROR(__xludf.DUMMYFUNCTION("""COMPUTED_VALUE"""),"VINZ")</f>
        <v>VINZ</v>
      </c>
      <c r="BQ366" s="50"/>
      <c r="BR366" s="50"/>
      <c r="BS366" s="50"/>
      <c r="BT366" s="50"/>
      <c r="BU366" s="50"/>
    </row>
    <row r="367">
      <c r="A367" s="47">
        <f>IFERROR(__xludf.DUMMYFUNCTION("""COMPUTED_VALUE"""),380.0)</f>
        <v>380</v>
      </c>
      <c r="B367" s="47"/>
      <c r="C367" s="47">
        <f>IFERROR(__xludf.DUMMYFUNCTION("""COMPUTED_VALUE"""),370.0)</f>
        <v>370</v>
      </c>
      <c r="D367" s="47"/>
      <c r="E367" s="62" t="str">
        <f>IFERROR(__xludf.DUMMYFUNCTION("""COMPUTED_VALUE"""),"AUSTRIA")</f>
        <v>AUSTRIA</v>
      </c>
      <c r="F367" s="62" t="str">
        <f>IFERROR(__xludf.DUMMYFUNCTION("""COMPUTED_VALUE"""),"BERNARD")</f>
        <v>BERNARD</v>
      </c>
      <c r="BQ367" s="50"/>
      <c r="BR367" s="50"/>
      <c r="BS367" s="50"/>
      <c r="BT367" s="50"/>
      <c r="BU367" s="50"/>
    </row>
    <row r="368">
      <c r="A368" s="47">
        <f>IFERROR(__xludf.DUMMYFUNCTION("""COMPUTED_VALUE"""),381.0)</f>
        <v>381</v>
      </c>
      <c r="B368" s="47"/>
      <c r="C368" s="47">
        <f>IFERROR(__xludf.DUMMYFUNCTION("""COMPUTED_VALUE"""),370.0)</f>
        <v>370</v>
      </c>
      <c r="D368" s="47"/>
      <c r="E368" s="62" t="str">
        <f>IFERROR(__xludf.DUMMYFUNCTION("""COMPUTED_VALUE"""),"UMAYAM")</f>
        <v>UMAYAM</v>
      </c>
      <c r="F368" s="62" t="str">
        <f>IFERROR(__xludf.DUMMYFUNCTION("""COMPUTED_VALUE"""),"GILBERT")</f>
        <v>GILBERT</v>
      </c>
      <c r="BQ368" s="50"/>
      <c r="BR368" s="50"/>
      <c r="BS368" s="50"/>
      <c r="BT368" s="50"/>
      <c r="BU368" s="50"/>
    </row>
    <row r="369">
      <c r="A369" s="47">
        <f>IFERROR(__xludf.DUMMYFUNCTION("""COMPUTED_VALUE"""),382.0)</f>
        <v>382</v>
      </c>
      <c r="B369" s="47"/>
      <c r="C369" s="47">
        <f>IFERROR(__xludf.DUMMYFUNCTION("""COMPUTED_VALUE"""),370.0)</f>
        <v>370</v>
      </c>
      <c r="D369" s="47"/>
      <c r="E369" s="62" t="str">
        <f>IFERROR(__xludf.DUMMYFUNCTION("""COMPUTED_VALUE"""),"ALICUMAN")</f>
        <v>ALICUMAN</v>
      </c>
      <c r="F369" s="62" t="str">
        <f>IFERROR(__xludf.DUMMYFUNCTION("""COMPUTED_VALUE"""),"JUSTINE")</f>
        <v>JUSTINE</v>
      </c>
      <c r="BQ369" s="50"/>
      <c r="BR369" s="50"/>
      <c r="BS369" s="50"/>
      <c r="BT369" s="50"/>
      <c r="BU369" s="50"/>
    </row>
    <row r="370">
      <c r="A370" s="47">
        <f>IFERROR(__xludf.DUMMYFUNCTION("""COMPUTED_VALUE"""),383.0)</f>
        <v>383</v>
      </c>
      <c r="B370" s="47"/>
      <c r="C370" s="47">
        <f>IFERROR(__xludf.DUMMYFUNCTION("""COMPUTED_VALUE"""),370.0)</f>
        <v>370</v>
      </c>
      <c r="D370" s="47"/>
      <c r="E370" s="62" t="str">
        <f>IFERROR(__xludf.DUMMYFUNCTION("""COMPUTED_VALUE"""),"ANACAN")</f>
        <v>ANACAN</v>
      </c>
      <c r="F370" s="62" t="str">
        <f>IFERROR(__xludf.DUMMYFUNCTION("""COMPUTED_VALUE"""),"JONATHAN")</f>
        <v>JONATHAN</v>
      </c>
      <c r="BQ370" s="50"/>
      <c r="BR370" s="50"/>
      <c r="BS370" s="50"/>
      <c r="BT370" s="50"/>
      <c r="BU370" s="50"/>
    </row>
    <row r="371">
      <c r="A371" s="47">
        <f>IFERROR(__xludf.DUMMYFUNCTION("""COMPUTED_VALUE"""),384.0)</f>
        <v>384</v>
      </c>
      <c r="B371" s="47"/>
      <c r="C371" s="47">
        <f>IFERROR(__xludf.DUMMYFUNCTION("""COMPUTED_VALUE"""),370.0)</f>
        <v>370</v>
      </c>
      <c r="D371" s="47"/>
      <c r="E371" s="62" t="str">
        <f>IFERROR(__xludf.DUMMYFUNCTION("""COMPUTED_VALUE"""),"BACONI")</f>
        <v>BACONI</v>
      </c>
      <c r="F371" s="62" t="str">
        <f>IFERROR(__xludf.DUMMYFUNCTION("""COMPUTED_VALUE"""),"JOHN MARK")</f>
        <v>JOHN MARK</v>
      </c>
      <c r="BQ371" s="50"/>
      <c r="BR371" s="50"/>
      <c r="BS371" s="50"/>
      <c r="BT371" s="50"/>
      <c r="BU371" s="50"/>
    </row>
    <row r="372">
      <c r="A372" s="47"/>
      <c r="B372" s="47"/>
      <c r="C372" s="47"/>
      <c r="D372" s="47"/>
      <c r="E372" s="62"/>
      <c r="F372" s="62"/>
      <c r="BQ372" s="50"/>
      <c r="BR372" s="50"/>
      <c r="BS372" s="50"/>
      <c r="BT372" s="50"/>
      <c r="BU372" s="50"/>
    </row>
    <row r="373">
      <c r="A373" s="47">
        <f>IFERROR(__xludf.DUMMYFUNCTION("""COMPUTED_VALUE"""),386.0)</f>
        <v>386</v>
      </c>
      <c r="B373" s="47"/>
      <c r="C373" s="47">
        <f>IFERROR(__xludf.DUMMYFUNCTION("""COMPUTED_VALUE"""),370.0)</f>
        <v>370</v>
      </c>
      <c r="D373" s="47"/>
      <c r="E373" s="62" t="str">
        <f>IFERROR(__xludf.DUMMYFUNCTION("""COMPUTED_VALUE"""),"CARAMANCION")</f>
        <v>CARAMANCION</v>
      </c>
      <c r="F373" s="62" t="str">
        <f>IFERROR(__xludf.DUMMYFUNCTION("""COMPUTED_VALUE"""),"JONATHAN")</f>
        <v>JONATHAN</v>
      </c>
      <c r="BQ373" s="50"/>
      <c r="BR373" s="50"/>
      <c r="BS373" s="50"/>
      <c r="BT373" s="50"/>
      <c r="BU373" s="50"/>
    </row>
    <row r="374">
      <c r="A374" s="47">
        <f>IFERROR(__xludf.DUMMYFUNCTION("""COMPUTED_VALUE"""),387.0)</f>
        <v>387</v>
      </c>
      <c r="B374" s="47"/>
      <c r="C374" s="47">
        <f>IFERROR(__xludf.DUMMYFUNCTION("""COMPUTED_VALUE"""),370.0)</f>
        <v>370</v>
      </c>
      <c r="D374" s="47"/>
      <c r="E374" s="62" t="str">
        <f>IFERROR(__xludf.DUMMYFUNCTION("""COMPUTED_VALUE"""),"PANIT")</f>
        <v>PANIT</v>
      </c>
      <c r="F374" s="62" t="str">
        <f>IFERROR(__xludf.DUMMYFUNCTION("""COMPUTED_VALUE"""),"JEFF")</f>
        <v>JEFF</v>
      </c>
      <c r="BQ374" s="50"/>
      <c r="BR374" s="50"/>
      <c r="BS374" s="50"/>
      <c r="BT374" s="50"/>
      <c r="BU374" s="50"/>
    </row>
    <row r="375">
      <c r="A375" s="47">
        <f>IFERROR(__xludf.DUMMYFUNCTION("""COMPUTED_VALUE"""),388.0)</f>
        <v>388</v>
      </c>
      <c r="B375" s="47"/>
      <c r="C375" s="47">
        <f>IFERROR(__xludf.DUMMYFUNCTION("""COMPUTED_VALUE"""),370.0)</f>
        <v>370</v>
      </c>
      <c r="D375" s="47"/>
      <c r="E375" s="62" t="str">
        <f>IFERROR(__xludf.DUMMYFUNCTION("""COMPUTED_VALUE"""),"NAVAL")</f>
        <v>NAVAL</v>
      </c>
      <c r="F375" s="62" t="str">
        <f>IFERROR(__xludf.DUMMYFUNCTION("""COMPUTED_VALUE"""),"JERIC")</f>
        <v>JERIC</v>
      </c>
      <c r="BQ375" s="50"/>
      <c r="BR375" s="50"/>
      <c r="BS375" s="50"/>
      <c r="BT375" s="50"/>
      <c r="BU375" s="50"/>
    </row>
    <row r="376">
      <c r="A376" s="47"/>
      <c r="B376" s="47"/>
      <c r="C376" s="47"/>
      <c r="D376" s="47"/>
      <c r="E376" s="62"/>
      <c r="F376" s="62"/>
      <c r="BQ376" s="50"/>
      <c r="BR376" s="50"/>
      <c r="BS376" s="50"/>
      <c r="BT376" s="50"/>
      <c r="BU376" s="50"/>
    </row>
    <row r="377">
      <c r="A377" s="47">
        <f>IFERROR(__xludf.DUMMYFUNCTION("""COMPUTED_VALUE"""),390.0)</f>
        <v>390</v>
      </c>
      <c r="B377" s="47"/>
      <c r="C377" s="47">
        <f>IFERROR(__xludf.DUMMYFUNCTION("""COMPUTED_VALUE"""),370.0)</f>
        <v>370</v>
      </c>
      <c r="D377" s="47"/>
      <c r="E377" s="62" t="str">
        <f>IFERROR(__xludf.DUMMYFUNCTION("""COMPUTED_VALUE"""),"RAMIREZ")</f>
        <v>RAMIREZ</v>
      </c>
      <c r="F377" s="62" t="str">
        <f>IFERROR(__xludf.DUMMYFUNCTION("""COMPUTED_VALUE"""),"RJ")</f>
        <v>RJ</v>
      </c>
      <c r="BQ377" s="50"/>
      <c r="BR377" s="50"/>
      <c r="BS377" s="50"/>
      <c r="BT377" s="50"/>
      <c r="BU377" s="50"/>
    </row>
    <row r="378">
      <c r="A378" s="47"/>
      <c r="B378" s="47"/>
      <c r="C378" s="47"/>
      <c r="D378" s="47"/>
      <c r="E378" s="47"/>
      <c r="F378" s="47"/>
      <c r="BQ378" s="50"/>
      <c r="BR378" s="50"/>
      <c r="BS378" s="50"/>
      <c r="BT378" s="50"/>
      <c r="BU378" s="50"/>
    </row>
    <row r="379">
      <c r="A379" s="47">
        <f>IFERROR(__xludf.DUMMYFUNCTION("""COMPUTED_VALUE"""),392.0)</f>
        <v>392</v>
      </c>
      <c r="B379" s="47"/>
      <c r="C379" s="47">
        <f>IFERROR(__xludf.DUMMYFUNCTION("""COMPUTED_VALUE"""),370.0)</f>
        <v>370</v>
      </c>
      <c r="D379" s="47"/>
      <c r="E379" s="55" t="str">
        <f>IFERROR(__xludf.DUMMYFUNCTION("""COMPUTED_VALUE"""),"DOMINGO")</f>
        <v>DOMINGO</v>
      </c>
      <c r="F379" s="55" t="str">
        <f>IFERROR(__xludf.DUMMYFUNCTION("""COMPUTED_VALUE"""),"POYIE")</f>
        <v>POYIE</v>
      </c>
      <c r="BQ379" s="50"/>
      <c r="BR379" s="50"/>
      <c r="BS379" s="50"/>
      <c r="BT379" s="50"/>
      <c r="BU379" s="50"/>
    </row>
    <row r="380">
      <c r="A380" s="47">
        <f>IFERROR(__xludf.DUMMYFUNCTION("""COMPUTED_VALUE"""),393.0)</f>
        <v>393</v>
      </c>
      <c r="B380" s="47"/>
      <c r="C380" s="47">
        <f>IFERROR(__xludf.DUMMYFUNCTION("""COMPUTED_VALUE"""),370.0)</f>
        <v>370</v>
      </c>
      <c r="D380" s="47"/>
      <c r="E380" s="58" t="str">
        <f>IFERROR(__xludf.DUMMYFUNCTION("""COMPUTED_VALUE"""),"AUGUSTO")</f>
        <v>AUGUSTO</v>
      </c>
      <c r="F380" s="58" t="str">
        <f>IFERROR(__xludf.DUMMYFUNCTION("""COMPUTED_VALUE"""),"KARL")</f>
        <v>KARL</v>
      </c>
      <c r="BQ380" s="50"/>
      <c r="BR380" s="50"/>
      <c r="BS380" s="50"/>
      <c r="BT380" s="50"/>
      <c r="BU380" s="50"/>
    </row>
    <row r="381">
      <c r="A381" s="47">
        <f>IFERROR(__xludf.DUMMYFUNCTION("""COMPUTED_VALUE"""),394.0)</f>
        <v>394</v>
      </c>
      <c r="B381" s="47"/>
      <c r="C381" s="47">
        <f>IFERROR(__xludf.DUMMYFUNCTION("""COMPUTED_VALUE"""),370.0)</f>
        <v>370</v>
      </c>
      <c r="D381" s="47"/>
      <c r="E381" s="58" t="str">
        <f>IFERROR(__xludf.DUMMYFUNCTION("""COMPUTED_VALUE"""),"LOPEZ")</f>
        <v>LOPEZ</v>
      </c>
      <c r="F381" s="58" t="str">
        <f>IFERROR(__xludf.DUMMYFUNCTION("""COMPUTED_VALUE"""),"PAUL NATHAN")</f>
        <v>PAUL NATHAN</v>
      </c>
      <c r="BQ381" s="50"/>
      <c r="BR381" s="50"/>
      <c r="BS381" s="50"/>
      <c r="BT381" s="50"/>
      <c r="BU381" s="50"/>
    </row>
    <row r="382">
      <c r="A382" s="47">
        <f>IFERROR(__xludf.DUMMYFUNCTION("""COMPUTED_VALUE"""),395.0)</f>
        <v>395</v>
      </c>
      <c r="B382" s="47"/>
      <c r="C382" s="47">
        <f>IFERROR(__xludf.DUMMYFUNCTION("""COMPUTED_VALUE"""),370.0)</f>
        <v>370</v>
      </c>
      <c r="D382" s="47"/>
      <c r="E382" s="58" t="str">
        <f>IFERROR(__xludf.DUMMYFUNCTION("""COMPUTED_VALUE"""),"BASTIE")</f>
        <v>BASTIE</v>
      </c>
      <c r="F382" s="58" t="str">
        <f>IFERROR(__xludf.DUMMYFUNCTION("""COMPUTED_VALUE"""),"EUGENE")</f>
        <v>EUGENE</v>
      </c>
      <c r="BQ382" s="50"/>
      <c r="BR382" s="50"/>
      <c r="BS382" s="50"/>
      <c r="BT382" s="50"/>
      <c r="BU382" s="50"/>
    </row>
    <row r="383">
      <c r="A383" s="47">
        <f>IFERROR(__xludf.DUMMYFUNCTION("""COMPUTED_VALUE"""),396.0)</f>
        <v>396</v>
      </c>
      <c r="B383" s="47"/>
      <c r="C383" s="47">
        <f>IFERROR(__xludf.DUMMYFUNCTION("""COMPUTED_VALUE"""),370.0)</f>
        <v>370</v>
      </c>
      <c r="D383" s="47"/>
      <c r="E383" s="58" t="str">
        <f>IFERROR(__xludf.DUMMYFUNCTION("""COMPUTED_VALUE"""),"ACOB")</f>
        <v>ACOB</v>
      </c>
      <c r="F383" s="58" t="str">
        <f>IFERROR(__xludf.DUMMYFUNCTION("""COMPUTED_VALUE"""),"CHESTER")</f>
        <v>CHESTER</v>
      </c>
      <c r="BQ383" s="50"/>
      <c r="BR383" s="50"/>
      <c r="BS383" s="50"/>
      <c r="BT383" s="50"/>
      <c r="BU383" s="50"/>
    </row>
    <row r="384">
      <c r="A384" s="47"/>
      <c r="B384" s="47"/>
      <c r="C384" s="47"/>
      <c r="D384" s="47"/>
      <c r="E384" s="58"/>
      <c r="F384" s="58"/>
      <c r="BQ384" s="50"/>
      <c r="BR384" s="50"/>
      <c r="BS384" s="50"/>
      <c r="BT384" s="50"/>
      <c r="BU384" s="50"/>
    </row>
    <row r="385">
      <c r="A385" s="47"/>
      <c r="B385" s="47"/>
      <c r="C385" s="47"/>
      <c r="D385" s="47"/>
      <c r="E385" s="58"/>
      <c r="F385" s="58"/>
      <c r="BQ385" s="50"/>
      <c r="BR385" s="50"/>
      <c r="BS385" s="50"/>
      <c r="BT385" s="50"/>
      <c r="BU385" s="50"/>
    </row>
    <row r="386">
      <c r="A386" s="47">
        <f>IFERROR(__xludf.DUMMYFUNCTION("""COMPUTED_VALUE"""),399.0)</f>
        <v>399</v>
      </c>
      <c r="B386" s="47"/>
      <c r="C386" s="47">
        <f>IFERROR(__xludf.DUMMYFUNCTION("""COMPUTED_VALUE"""),370.0)</f>
        <v>370</v>
      </c>
      <c r="D386" s="47"/>
      <c r="E386" s="58" t="str">
        <f>IFERROR(__xludf.DUMMYFUNCTION("""COMPUTED_VALUE"""),"PALERO")</f>
        <v>PALERO</v>
      </c>
      <c r="F386" s="58" t="str">
        <f>IFERROR(__xludf.DUMMYFUNCTION("""COMPUTED_VALUE"""),"RANJAY")</f>
        <v>RANJAY</v>
      </c>
      <c r="BQ386" s="50"/>
      <c r="BR386" s="50"/>
      <c r="BS386" s="50"/>
      <c r="BT386" s="50"/>
      <c r="BU386" s="50"/>
    </row>
    <row r="387">
      <c r="A387" s="47">
        <f>IFERROR(__xludf.DUMMYFUNCTION("""COMPUTED_VALUE"""),400.0)</f>
        <v>400</v>
      </c>
      <c r="B387" s="47"/>
      <c r="C387" s="47">
        <f>IFERROR(__xludf.DUMMYFUNCTION("""COMPUTED_VALUE"""),370.0)</f>
        <v>370</v>
      </c>
      <c r="D387" s="47"/>
      <c r="E387" s="58" t="str">
        <f>IFERROR(__xludf.DUMMYFUNCTION("""COMPUTED_VALUE"""),"BUYOC")</f>
        <v>BUYOC</v>
      </c>
      <c r="F387" s="58" t="str">
        <f>IFERROR(__xludf.DUMMYFUNCTION("""COMPUTED_VALUE"""),"ERROL")</f>
        <v>ERROL</v>
      </c>
      <c r="BQ387" s="50"/>
      <c r="BR387" s="50"/>
      <c r="BS387" s="50"/>
      <c r="BT387" s="50"/>
      <c r="BU387" s="50"/>
    </row>
    <row r="388">
      <c r="A388" s="47">
        <f>IFERROR(__xludf.DUMMYFUNCTION("""COMPUTED_VALUE"""),401.0)</f>
        <v>401</v>
      </c>
      <c r="B388" s="47"/>
      <c r="C388" s="47">
        <f>IFERROR(__xludf.DUMMYFUNCTION("""COMPUTED_VALUE"""),370.0)</f>
        <v>370</v>
      </c>
      <c r="D388" s="47"/>
      <c r="E388" s="58" t="str">
        <f>IFERROR(__xludf.DUMMYFUNCTION("""COMPUTED_VALUE"""),"PALERO")</f>
        <v>PALERO</v>
      </c>
      <c r="F388" s="58" t="str">
        <f>IFERROR(__xludf.DUMMYFUNCTION("""COMPUTED_VALUE"""),"EINVAR")</f>
        <v>EINVAR</v>
      </c>
      <c r="BQ388" s="50"/>
      <c r="BR388" s="50"/>
      <c r="BS388" s="50"/>
      <c r="BT388" s="50"/>
      <c r="BU388" s="50"/>
    </row>
    <row r="389">
      <c r="A389" s="47">
        <f>IFERROR(__xludf.DUMMYFUNCTION("""COMPUTED_VALUE"""),402.0)</f>
        <v>402</v>
      </c>
      <c r="B389" s="47"/>
      <c r="C389" s="47">
        <f>IFERROR(__xludf.DUMMYFUNCTION("""COMPUTED_VALUE"""),370.0)</f>
        <v>370</v>
      </c>
      <c r="D389" s="47"/>
      <c r="E389" s="58" t="str">
        <f>IFERROR(__xludf.DUMMYFUNCTION("""COMPUTED_VALUE"""),"TANALEON")</f>
        <v>TANALEON</v>
      </c>
      <c r="F389" s="58" t="str">
        <f>IFERROR(__xludf.DUMMYFUNCTION("""COMPUTED_VALUE"""),"HAROLD")</f>
        <v>HAROLD</v>
      </c>
      <c r="BQ389" s="50"/>
      <c r="BR389" s="50"/>
      <c r="BS389" s="50"/>
      <c r="BT389" s="50"/>
      <c r="BU389" s="50"/>
    </row>
    <row r="390">
      <c r="A390" s="47">
        <f>IFERROR(__xludf.DUMMYFUNCTION("""COMPUTED_VALUE"""),403.0)</f>
        <v>403</v>
      </c>
      <c r="B390" s="47"/>
      <c r="C390" s="47">
        <f>IFERROR(__xludf.DUMMYFUNCTION("""COMPUTED_VALUE"""),370.0)</f>
        <v>370</v>
      </c>
      <c r="D390" s="47"/>
      <c r="E390" s="58" t="str">
        <f>IFERROR(__xludf.DUMMYFUNCTION("""COMPUTED_VALUE"""),"VILLAMOR")</f>
        <v>VILLAMOR</v>
      </c>
      <c r="F390" s="58" t="str">
        <f>IFERROR(__xludf.DUMMYFUNCTION("""COMPUTED_VALUE"""),"JHONAS")</f>
        <v>JHONAS</v>
      </c>
      <c r="BQ390" s="50"/>
      <c r="BR390" s="50"/>
      <c r="BS390" s="50"/>
      <c r="BT390" s="50"/>
      <c r="BU390" s="50"/>
    </row>
    <row r="391">
      <c r="A391" s="47"/>
      <c r="B391" s="47"/>
      <c r="C391" s="47"/>
      <c r="D391" s="47"/>
      <c r="E391" s="58"/>
      <c r="F391" s="58"/>
      <c r="BQ391" s="50"/>
      <c r="BR391" s="50"/>
      <c r="BS391" s="50"/>
      <c r="BT391" s="50"/>
      <c r="BU391" s="50"/>
    </row>
    <row r="392">
      <c r="A392" s="47">
        <f>IFERROR(__xludf.DUMMYFUNCTION("""COMPUTED_VALUE"""),404.0)</f>
        <v>404</v>
      </c>
      <c r="B392" s="47"/>
      <c r="C392" s="47">
        <f>IFERROR(__xludf.DUMMYFUNCTION("""COMPUTED_VALUE"""),404.0)</f>
        <v>404</v>
      </c>
      <c r="D392" s="47" t="b">
        <f>IFERROR(__xludf.DUMMYFUNCTION("""COMPUTED_VALUE"""),TRUE)</f>
        <v>1</v>
      </c>
      <c r="E392" s="58" t="str">
        <f>IFERROR(__xludf.DUMMYFUNCTION("""COMPUTED_VALUE"""),"DOMINGO")</f>
        <v>DOMINGO</v>
      </c>
      <c r="F392" s="58" t="str">
        <f>IFERROR(__xludf.DUMMYFUNCTION("""COMPUTED_VALUE"""),"POYIE")</f>
        <v>POYIE</v>
      </c>
      <c r="BQ392" s="50"/>
      <c r="BR392" s="50"/>
      <c r="BS392" s="50"/>
      <c r="BT392" s="50"/>
      <c r="BU392" s="50"/>
    </row>
    <row r="393">
      <c r="A393" s="47">
        <f>IFERROR(__xludf.DUMMYFUNCTION("""COMPUTED_VALUE"""),405.0)</f>
        <v>405</v>
      </c>
      <c r="B393" s="47"/>
      <c r="C393" s="47">
        <f>IFERROR(__xludf.DUMMYFUNCTION("""COMPUTED_VALUE"""),404.0)</f>
        <v>404</v>
      </c>
      <c r="D393" s="47"/>
      <c r="E393" s="58" t="str">
        <f>IFERROR(__xludf.DUMMYFUNCTION("""COMPUTED_VALUE"""),"CABARDO")</f>
        <v>CABARDO</v>
      </c>
      <c r="F393" s="58" t="str">
        <f>IFERROR(__xludf.DUMMYFUNCTION("""COMPUTED_VALUE"""),"NEIL")</f>
        <v>NEIL</v>
      </c>
      <c r="BQ393" s="50"/>
      <c r="BR393" s="50"/>
      <c r="BS393" s="50"/>
      <c r="BT393" s="50"/>
      <c r="BU393" s="50"/>
    </row>
    <row r="394">
      <c r="A394" s="47">
        <f>IFERROR(__xludf.DUMMYFUNCTION("""COMPUTED_VALUE"""),406.0)</f>
        <v>406</v>
      </c>
      <c r="B394" s="47"/>
      <c r="C394" s="47">
        <f>IFERROR(__xludf.DUMMYFUNCTION("""COMPUTED_VALUE"""),404.0)</f>
        <v>404</v>
      </c>
      <c r="D394" s="47"/>
      <c r="E394" s="58" t="str">
        <f>IFERROR(__xludf.DUMMYFUNCTION("""COMPUTED_VALUE"""),"BUENAFLOR")</f>
        <v>BUENAFLOR</v>
      </c>
      <c r="F394" s="58" t="str">
        <f>IFERROR(__xludf.DUMMYFUNCTION("""COMPUTED_VALUE"""),"EJ")</f>
        <v>EJ</v>
      </c>
      <c r="BQ394" s="50"/>
      <c r="BR394" s="50"/>
      <c r="BS394" s="50"/>
      <c r="BT394" s="50"/>
      <c r="BU394" s="50"/>
    </row>
    <row r="395">
      <c r="A395" s="47">
        <f>IFERROR(__xludf.DUMMYFUNCTION("""COMPUTED_VALUE"""),407.0)</f>
        <v>407</v>
      </c>
      <c r="B395" s="47"/>
      <c r="C395" s="47">
        <f>IFERROR(__xludf.DUMMYFUNCTION("""COMPUTED_VALUE"""),404.0)</f>
        <v>404</v>
      </c>
      <c r="D395" s="47"/>
      <c r="E395" s="58" t="str">
        <f>IFERROR(__xludf.DUMMYFUNCTION("""COMPUTED_VALUE"""),"BAUTISTA")</f>
        <v>BAUTISTA</v>
      </c>
      <c r="F395" s="58" t="str">
        <f>IFERROR(__xludf.DUMMYFUNCTION("""COMPUTED_VALUE"""),"CHARLES")</f>
        <v>CHARLES</v>
      </c>
      <c r="BQ395" s="50"/>
      <c r="BR395" s="50"/>
      <c r="BS395" s="50"/>
      <c r="BT395" s="50"/>
      <c r="BU395" s="50"/>
    </row>
    <row r="396">
      <c r="A396" s="47">
        <f>IFERROR(__xludf.DUMMYFUNCTION("""COMPUTED_VALUE"""),408.0)</f>
        <v>408</v>
      </c>
      <c r="B396" s="47"/>
      <c r="C396" s="47">
        <f>IFERROR(__xludf.DUMMYFUNCTION("""COMPUTED_VALUE"""),404.0)</f>
        <v>404</v>
      </c>
      <c r="D396" s="47"/>
      <c r="E396" s="58" t="str">
        <f>IFERROR(__xludf.DUMMYFUNCTION("""COMPUTED_VALUE"""),"MERCATO")</f>
        <v>MERCATO</v>
      </c>
      <c r="F396" s="58" t="str">
        <f>IFERROR(__xludf.DUMMYFUNCTION("""COMPUTED_VALUE"""),"ZAI")</f>
        <v>ZAI</v>
      </c>
      <c r="BQ396" s="50"/>
      <c r="BR396" s="50"/>
      <c r="BS396" s="50"/>
      <c r="BT396" s="50"/>
      <c r="BU396" s="50"/>
    </row>
    <row r="397">
      <c r="A397" s="47">
        <f>IFERROR(__xludf.DUMMYFUNCTION("""COMPUTED_VALUE"""),409.0)</f>
        <v>409</v>
      </c>
      <c r="B397" s="47"/>
      <c r="C397" s="47">
        <f>IFERROR(__xludf.DUMMYFUNCTION("""COMPUTED_VALUE"""),404.0)</f>
        <v>404</v>
      </c>
      <c r="D397" s="47"/>
      <c r="E397" s="58" t="str">
        <f>IFERROR(__xludf.DUMMYFUNCTION("""COMPUTED_VALUE"""),"DRIS")</f>
        <v>DRIS</v>
      </c>
      <c r="F397" s="58" t="str">
        <f>IFERROR(__xludf.DUMMYFUNCTION("""COMPUTED_VALUE"""),"JJ")</f>
        <v>JJ</v>
      </c>
      <c r="BQ397" s="50"/>
      <c r="BR397" s="50"/>
      <c r="BS397" s="50"/>
      <c r="BT397" s="50"/>
      <c r="BU397" s="50"/>
    </row>
    <row r="398">
      <c r="A398" s="47">
        <f>IFERROR(__xludf.DUMMYFUNCTION("""COMPUTED_VALUE"""),410.0)</f>
        <v>410</v>
      </c>
      <c r="B398" s="47"/>
      <c r="C398" s="47">
        <f>IFERROR(__xludf.DUMMYFUNCTION("""COMPUTED_VALUE"""),404.0)</f>
        <v>404</v>
      </c>
      <c r="D398" s="47"/>
      <c r="E398" s="58" t="str">
        <f>IFERROR(__xludf.DUMMYFUNCTION("""COMPUTED_VALUE"""),"SEBASTIAN")</f>
        <v>SEBASTIAN</v>
      </c>
      <c r="F398" s="58" t="str">
        <f>IFERROR(__xludf.DUMMYFUNCTION("""COMPUTED_VALUE"""),"JUSTICE")</f>
        <v>JUSTICE</v>
      </c>
      <c r="BQ398" s="50"/>
      <c r="BR398" s="50"/>
      <c r="BS398" s="50"/>
      <c r="BT398" s="50"/>
      <c r="BU398" s="50"/>
    </row>
    <row r="399">
      <c r="A399" s="47">
        <f>IFERROR(__xludf.DUMMYFUNCTION("""COMPUTED_VALUE"""),411.0)</f>
        <v>411</v>
      </c>
      <c r="B399" s="47"/>
      <c r="C399" s="47">
        <f>IFERROR(__xludf.DUMMYFUNCTION("""COMPUTED_VALUE"""),404.0)</f>
        <v>404</v>
      </c>
      <c r="D399" s="47"/>
      <c r="E399" s="58" t="str">
        <f>IFERROR(__xludf.DUMMYFUNCTION("""COMPUTED_VALUE"""),"SELUDO")</f>
        <v>SELUDO</v>
      </c>
      <c r="F399" s="58" t="str">
        <f>IFERROR(__xludf.DUMMYFUNCTION("""COMPUTED_VALUE"""),"JOSHUA")</f>
        <v>JOSHUA</v>
      </c>
      <c r="BQ399" s="50"/>
      <c r="BR399" s="50"/>
      <c r="BS399" s="50"/>
      <c r="BT399" s="50"/>
      <c r="BU399" s="50"/>
    </row>
    <row r="400">
      <c r="A400" s="47">
        <f>IFERROR(__xludf.DUMMYFUNCTION("""COMPUTED_VALUE"""),412.0)</f>
        <v>412</v>
      </c>
      <c r="B400" s="47"/>
      <c r="C400" s="47">
        <f>IFERROR(__xludf.DUMMYFUNCTION("""COMPUTED_VALUE"""),404.0)</f>
        <v>404</v>
      </c>
      <c r="D400" s="47"/>
      <c r="E400" s="58" t="str">
        <f>IFERROR(__xludf.DUMMYFUNCTION("""COMPUTED_VALUE"""),"ORTEGA")</f>
        <v>ORTEGA</v>
      </c>
      <c r="F400" s="58" t="str">
        <f>IFERROR(__xludf.DUMMYFUNCTION("""COMPUTED_VALUE"""),"OLIVER")</f>
        <v>OLIVER</v>
      </c>
      <c r="BQ400" s="50"/>
      <c r="BR400" s="50"/>
      <c r="BS400" s="50"/>
      <c r="BT400" s="50"/>
      <c r="BU400" s="50"/>
    </row>
    <row r="401">
      <c r="A401" s="47">
        <f>IFERROR(__xludf.DUMMYFUNCTION("""COMPUTED_VALUE"""),413.0)</f>
        <v>413</v>
      </c>
      <c r="B401" s="47"/>
      <c r="C401" s="47">
        <f>IFERROR(__xludf.DUMMYFUNCTION("""COMPUTED_VALUE"""),404.0)</f>
        <v>404</v>
      </c>
      <c r="D401" s="47"/>
      <c r="E401" s="58" t="str">
        <f>IFERROR(__xludf.DUMMYFUNCTION("""COMPUTED_VALUE"""),"TAGARDA")</f>
        <v>TAGARDA</v>
      </c>
      <c r="F401" s="58" t="str">
        <f>IFERROR(__xludf.DUMMYFUNCTION("""COMPUTED_VALUE"""),"NATHAN")</f>
        <v>NATHAN</v>
      </c>
      <c r="BQ401" s="50"/>
      <c r="BR401" s="50"/>
      <c r="BS401" s="50"/>
      <c r="BT401" s="50"/>
      <c r="BU401" s="50"/>
    </row>
    <row r="402">
      <c r="A402" s="47">
        <f>IFERROR(__xludf.DUMMYFUNCTION("""COMPUTED_VALUE"""),414.0)</f>
        <v>414</v>
      </c>
      <c r="B402" s="47"/>
      <c r="C402" s="47">
        <f>IFERROR(__xludf.DUMMYFUNCTION("""COMPUTED_VALUE"""),404.0)</f>
        <v>404</v>
      </c>
      <c r="D402" s="47"/>
      <c r="E402" s="58" t="str">
        <f>IFERROR(__xludf.DUMMYFUNCTION("""COMPUTED_VALUE"""),"EUSEBIO")</f>
        <v>EUSEBIO</v>
      </c>
      <c r="F402" s="58" t="str">
        <f>IFERROR(__xludf.DUMMYFUNCTION("""COMPUTED_VALUE"""),"LEE")</f>
        <v>LEE</v>
      </c>
      <c r="BQ402" s="50"/>
      <c r="BR402" s="50"/>
      <c r="BS402" s="50"/>
      <c r="BT402" s="50"/>
      <c r="BU402" s="50"/>
    </row>
    <row r="403">
      <c r="A403" s="47">
        <f>IFERROR(__xludf.DUMMYFUNCTION("""COMPUTED_VALUE"""),415.0)</f>
        <v>415</v>
      </c>
      <c r="B403" s="47"/>
      <c r="C403" s="47">
        <f>IFERROR(__xludf.DUMMYFUNCTION("""COMPUTED_VALUE"""),404.0)</f>
        <v>404</v>
      </c>
      <c r="D403" s="47"/>
      <c r="E403" s="58" t="str">
        <f>IFERROR(__xludf.DUMMYFUNCTION("""COMPUTED_VALUE"""),"NAZARENO")</f>
        <v>NAZARENO</v>
      </c>
      <c r="F403" s="58" t="str">
        <f>IFERROR(__xludf.DUMMYFUNCTION("""COMPUTED_VALUE"""),"ZYKE")</f>
        <v>ZYKE</v>
      </c>
      <c r="BQ403" s="50"/>
      <c r="BR403" s="50"/>
      <c r="BS403" s="50"/>
      <c r="BT403" s="50"/>
      <c r="BU403" s="50"/>
    </row>
    <row r="404">
      <c r="A404" s="47">
        <f>IFERROR(__xludf.DUMMYFUNCTION("""COMPUTED_VALUE"""),416.0)</f>
        <v>416</v>
      </c>
      <c r="B404" s="47"/>
      <c r="C404" s="47">
        <f>IFERROR(__xludf.DUMMYFUNCTION("""COMPUTED_VALUE"""),404.0)</f>
        <v>404</v>
      </c>
      <c r="D404" s="47"/>
      <c r="E404" s="58" t="str">
        <f>IFERROR(__xludf.DUMMYFUNCTION("""COMPUTED_VALUE"""),"MORALES")</f>
        <v>MORALES</v>
      </c>
      <c r="F404" s="58" t="str">
        <f>IFERROR(__xludf.DUMMYFUNCTION("""COMPUTED_VALUE"""),"CALEB")</f>
        <v>CALEB</v>
      </c>
      <c r="BQ404" s="50"/>
      <c r="BR404" s="50"/>
      <c r="BS404" s="50"/>
      <c r="BT404" s="50"/>
      <c r="BU404" s="50"/>
    </row>
    <row r="405">
      <c r="A405" s="47">
        <f>IFERROR(__xludf.DUMMYFUNCTION("""COMPUTED_VALUE"""),417.0)</f>
        <v>417</v>
      </c>
      <c r="B405" s="47"/>
      <c r="C405" s="47">
        <f>IFERROR(__xludf.DUMMYFUNCTION("""COMPUTED_VALUE"""),404.0)</f>
        <v>404</v>
      </c>
      <c r="D405" s="47"/>
      <c r="E405" s="58" t="str">
        <f>IFERROR(__xludf.DUMMYFUNCTION("""COMPUTED_VALUE"""),"SELUDO")</f>
        <v>SELUDO</v>
      </c>
      <c r="F405" s="58" t="str">
        <f>IFERROR(__xludf.DUMMYFUNCTION("""COMPUTED_VALUE"""),"JOHN DAVID")</f>
        <v>JOHN DAVID</v>
      </c>
      <c r="BQ405" s="50"/>
      <c r="BR405" s="50"/>
      <c r="BS405" s="50"/>
      <c r="BT405" s="50"/>
      <c r="BU405" s="50"/>
    </row>
    <row r="406">
      <c r="A406" s="47">
        <f>IFERROR(__xludf.DUMMYFUNCTION("""COMPUTED_VALUE"""),418.0)</f>
        <v>418</v>
      </c>
      <c r="B406" s="47"/>
      <c r="C406" s="47">
        <f>IFERROR(__xludf.DUMMYFUNCTION("""COMPUTED_VALUE"""),404.0)</f>
        <v>404</v>
      </c>
      <c r="D406" s="47"/>
      <c r="E406" s="58" t="str">
        <f>IFERROR(__xludf.DUMMYFUNCTION("""COMPUTED_VALUE"""),"BROZO")</f>
        <v>BROZO</v>
      </c>
      <c r="F406" s="58" t="str">
        <f>IFERROR(__xludf.DUMMYFUNCTION("""COMPUTED_VALUE"""),"PRINZ")</f>
        <v>PRINZ</v>
      </c>
      <c r="BQ406" s="50"/>
      <c r="BR406" s="50"/>
      <c r="BS406" s="50"/>
      <c r="BT406" s="50"/>
      <c r="BU406" s="50"/>
    </row>
    <row r="407">
      <c r="A407" s="47">
        <f>IFERROR(__xludf.DUMMYFUNCTION("""COMPUTED_VALUE"""),419.0)</f>
        <v>419</v>
      </c>
      <c r="B407" s="47"/>
      <c r="C407" s="47">
        <f>IFERROR(__xludf.DUMMYFUNCTION("""COMPUTED_VALUE"""),404.0)</f>
        <v>404</v>
      </c>
      <c r="D407" s="47"/>
      <c r="E407" s="58" t="str">
        <f>IFERROR(__xludf.DUMMYFUNCTION("""COMPUTED_VALUE"""),"OMBAL")</f>
        <v>OMBAL</v>
      </c>
      <c r="F407" s="58" t="str">
        <f>IFERROR(__xludf.DUMMYFUNCTION("""COMPUTED_VALUE"""),"SEAN")</f>
        <v>SEAN</v>
      </c>
      <c r="BQ407" s="50"/>
      <c r="BR407" s="50"/>
      <c r="BS407" s="50"/>
      <c r="BT407" s="50"/>
      <c r="BU407" s="50"/>
    </row>
    <row r="408">
      <c r="A408" s="47">
        <f>IFERROR(__xludf.DUMMYFUNCTION("""COMPUTED_VALUE"""),420.0)</f>
        <v>420</v>
      </c>
      <c r="B408" s="47"/>
      <c r="C408" s="47">
        <f>IFERROR(__xludf.DUMMYFUNCTION("""COMPUTED_VALUE"""),404.0)</f>
        <v>404</v>
      </c>
      <c r="D408" s="47"/>
      <c r="E408" s="58" t="str">
        <f>IFERROR(__xludf.DUMMYFUNCTION("""COMPUTED_VALUE"""),"MENDEL")</f>
        <v>MENDEL</v>
      </c>
      <c r="F408" s="58" t="str">
        <f>IFERROR(__xludf.DUMMYFUNCTION("""COMPUTED_VALUE"""),"CYRUZ")</f>
        <v>CYRUZ</v>
      </c>
      <c r="BQ408" s="50"/>
      <c r="BR408" s="50"/>
      <c r="BS408" s="50"/>
      <c r="BT408" s="50"/>
      <c r="BU408" s="50"/>
    </row>
    <row r="409">
      <c r="A409" s="47">
        <f>IFERROR(__xludf.DUMMYFUNCTION("""COMPUTED_VALUE"""),421.0)</f>
        <v>421</v>
      </c>
      <c r="B409" s="47"/>
      <c r="C409" s="47">
        <f>IFERROR(__xludf.DUMMYFUNCTION("""COMPUTED_VALUE"""),404.0)</f>
        <v>404</v>
      </c>
      <c r="D409" s="47"/>
      <c r="E409" s="58" t="str">
        <f>IFERROR(__xludf.DUMMYFUNCTION("""COMPUTED_VALUE"""),"DAMASCO")</f>
        <v>DAMASCO</v>
      </c>
      <c r="F409" s="58" t="str">
        <f>IFERROR(__xludf.DUMMYFUNCTION("""COMPUTED_VALUE"""),"RICKY")</f>
        <v>RICKY</v>
      </c>
      <c r="BQ409" s="50"/>
      <c r="BR409" s="50"/>
      <c r="BS409" s="50"/>
      <c r="BT409" s="50"/>
      <c r="BU409" s="50"/>
    </row>
    <row r="410">
      <c r="A410" s="47">
        <f>IFERROR(__xludf.DUMMYFUNCTION("""COMPUTED_VALUE"""),422.0)</f>
        <v>422</v>
      </c>
      <c r="B410" s="47"/>
      <c r="C410" s="47">
        <f>IFERROR(__xludf.DUMMYFUNCTION("""COMPUTED_VALUE"""),404.0)</f>
        <v>404</v>
      </c>
      <c r="D410" s="47"/>
      <c r="E410" s="58" t="str">
        <f>IFERROR(__xludf.DUMMYFUNCTION("""COMPUTED_VALUE"""),"TOLENTINO")</f>
        <v>TOLENTINO</v>
      </c>
      <c r="F410" s="58" t="str">
        <f>IFERROR(__xludf.DUMMYFUNCTION("""COMPUTED_VALUE"""),"SAM")</f>
        <v>SAM</v>
      </c>
      <c r="BQ410" s="50"/>
      <c r="BR410" s="50"/>
      <c r="BS410" s="50"/>
      <c r="BT410" s="50"/>
      <c r="BU410" s="50"/>
    </row>
    <row r="411">
      <c r="A411" s="47">
        <f>IFERROR(__xludf.DUMMYFUNCTION("""COMPUTED_VALUE"""),423.0)</f>
        <v>423</v>
      </c>
      <c r="B411" s="47"/>
      <c r="C411" s="47">
        <f>IFERROR(__xludf.DUMMYFUNCTION("""COMPUTED_VALUE"""),404.0)</f>
        <v>404</v>
      </c>
      <c r="D411" s="47"/>
      <c r="E411" s="58" t="str">
        <f>IFERROR(__xludf.DUMMYFUNCTION("""COMPUTED_VALUE"""),"KEYSOR")</f>
        <v>KEYSOR</v>
      </c>
      <c r="F411" s="58" t="str">
        <f>IFERROR(__xludf.DUMMYFUNCTION("""COMPUTED_VALUE"""),"DREW")</f>
        <v>DREW</v>
      </c>
      <c r="BQ411" s="50"/>
      <c r="BR411" s="50"/>
      <c r="BS411" s="50"/>
      <c r="BT411" s="50"/>
      <c r="BU411" s="50"/>
    </row>
    <row r="412">
      <c r="A412" s="47">
        <f>IFERROR(__xludf.DUMMYFUNCTION("""COMPUTED_VALUE"""),424.0)</f>
        <v>424</v>
      </c>
      <c r="B412" s="47"/>
      <c r="C412" s="47">
        <f>IFERROR(__xludf.DUMMYFUNCTION("""COMPUTED_VALUE"""),404.0)</f>
        <v>404</v>
      </c>
      <c r="D412" s="47"/>
      <c r="E412" s="58" t="str">
        <f>IFERROR(__xludf.DUMMYFUNCTION("""COMPUTED_VALUE"""),"PANCHO")</f>
        <v>PANCHO</v>
      </c>
      <c r="F412" s="58" t="str">
        <f>IFERROR(__xludf.DUMMYFUNCTION("""COMPUTED_VALUE"""),"DANE MARK")</f>
        <v>DANE MARK</v>
      </c>
      <c r="BQ412" s="50"/>
      <c r="BR412" s="50"/>
      <c r="BS412" s="50"/>
      <c r="BT412" s="50"/>
      <c r="BU412" s="50"/>
    </row>
    <row r="413">
      <c r="A413" s="47">
        <f>IFERROR(__xludf.DUMMYFUNCTION("""COMPUTED_VALUE"""),425.0)</f>
        <v>425</v>
      </c>
      <c r="B413" s="47"/>
      <c r="C413" s="47">
        <f>IFERROR(__xludf.DUMMYFUNCTION("""COMPUTED_VALUE"""),404.0)</f>
        <v>404</v>
      </c>
      <c r="D413" s="47"/>
      <c r="E413" s="58" t="str">
        <f>IFERROR(__xludf.DUMMYFUNCTION("""COMPUTED_VALUE"""),"ARROYO")</f>
        <v>ARROYO</v>
      </c>
      <c r="F413" s="58" t="str">
        <f>IFERROR(__xludf.DUMMYFUNCTION("""COMPUTED_VALUE"""),"MARKY")</f>
        <v>MARKY</v>
      </c>
      <c r="BQ413" s="50"/>
      <c r="BR413" s="50"/>
      <c r="BS413" s="50"/>
      <c r="BT413" s="50"/>
      <c r="BU413" s="50"/>
    </row>
    <row r="414">
      <c r="A414" s="47">
        <f>IFERROR(__xludf.DUMMYFUNCTION("""COMPUTED_VALUE"""),426.0)</f>
        <v>426</v>
      </c>
      <c r="B414" s="47"/>
      <c r="C414" s="47">
        <f>IFERROR(__xludf.DUMMYFUNCTION("""COMPUTED_VALUE"""),404.0)</f>
        <v>404</v>
      </c>
      <c r="D414" s="47"/>
      <c r="E414" s="58" t="str">
        <f>IFERROR(__xludf.DUMMYFUNCTION("""COMPUTED_VALUE"""),"BERNAL")</f>
        <v>BERNAL</v>
      </c>
      <c r="F414" s="58" t="str">
        <f>IFERROR(__xludf.DUMMYFUNCTION("""COMPUTED_VALUE"""),"JOSH")</f>
        <v>JOSH</v>
      </c>
      <c r="BQ414" s="50"/>
      <c r="BR414" s="50"/>
      <c r="BS414" s="50"/>
      <c r="BT414" s="50"/>
      <c r="BU414" s="50"/>
    </row>
    <row r="415">
      <c r="A415" s="47">
        <f>IFERROR(__xludf.DUMMYFUNCTION("""COMPUTED_VALUE"""),427.0)</f>
        <v>427</v>
      </c>
      <c r="B415" s="47"/>
      <c r="C415" s="47">
        <f>IFERROR(__xludf.DUMMYFUNCTION("""COMPUTED_VALUE"""),404.0)</f>
        <v>404</v>
      </c>
      <c r="D415" s="47"/>
      <c r="E415" s="74" t="str">
        <f>IFERROR(__xludf.DUMMYFUNCTION("""COMPUTED_VALUE"""),"CAGAYAN")</f>
        <v>CAGAYAN</v>
      </c>
      <c r="F415" s="58" t="str">
        <f>IFERROR(__xludf.DUMMYFUNCTION("""COMPUTED_VALUE"""),"TIMOTHY")</f>
        <v>TIMOTHY</v>
      </c>
      <c r="BQ415" s="50"/>
      <c r="BR415" s="50"/>
      <c r="BS415" s="50"/>
      <c r="BT415" s="50"/>
      <c r="BU415" s="50"/>
    </row>
    <row r="416">
      <c r="A416" s="47">
        <f>IFERROR(__xludf.DUMMYFUNCTION("""COMPUTED_VALUE"""),428.0)</f>
        <v>428</v>
      </c>
      <c r="B416" s="47"/>
      <c r="C416" s="47">
        <f>IFERROR(__xludf.DUMMYFUNCTION("""COMPUTED_VALUE"""),404.0)</f>
        <v>404</v>
      </c>
      <c r="D416" s="47"/>
      <c r="E416" s="58" t="str">
        <f>IFERROR(__xludf.DUMMYFUNCTION("""COMPUTED_VALUE"""),"BAUTISTA")</f>
        <v>BAUTISTA</v>
      </c>
      <c r="F416" s="58" t="str">
        <f>IFERROR(__xludf.DUMMYFUNCTION("""COMPUTED_VALUE"""),"KENETH")</f>
        <v>KENETH</v>
      </c>
      <c r="BQ416" s="50"/>
      <c r="BR416" s="50"/>
      <c r="BS416" s="50"/>
      <c r="BT416" s="50"/>
      <c r="BU416" s="50"/>
    </row>
    <row r="417">
      <c r="A417" s="47">
        <f>IFERROR(__xludf.DUMMYFUNCTION("""COMPUTED_VALUE"""),429.0)</f>
        <v>429</v>
      </c>
      <c r="B417" s="47"/>
      <c r="C417" s="47">
        <f>IFERROR(__xludf.DUMMYFUNCTION("""COMPUTED_VALUE"""),404.0)</f>
        <v>404</v>
      </c>
      <c r="D417" s="47"/>
      <c r="E417" s="58" t="str">
        <f>IFERROR(__xludf.DUMMYFUNCTION("""COMPUTED_VALUE"""),"NOGUERA")</f>
        <v>NOGUERA</v>
      </c>
      <c r="F417" s="58" t="str">
        <f>IFERROR(__xludf.DUMMYFUNCTION("""COMPUTED_VALUE"""),"VINCENT")</f>
        <v>VINCENT</v>
      </c>
      <c r="BQ417" s="50"/>
      <c r="BR417" s="50"/>
      <c r="BS417" s="50"/>
      <c r="BT417" s="50"/>
      <c r="BU417" s="50"/>
    </row>
    <row r="418">
      <c r="A418" s="47">
        <f>IFERROR(__xludf.DUMMYFUNCTION("""COMPUTED_VALUE"""),430.0)</f>
        <v>430</v>
      </c>
      <c r="B418" s="47"/>
      <c r="C418" s="47">
        <f>IFERROR(__xludf.DUMMYFUNCTION("""COMPUTED_VALUE"""),404.0)</f>
        <v>404</v>
      </c>
      <c r="D418" s="47"/>
      <c r="E418" s="58" t="str">
        <f>IFERROR(__xludf.DUMMYFUNCTION("""COMPUTED_VALUE"""),"ABERIN")</f>
        <v>ABERIN</v>
      </c>
      <c r="F418" s="58" t="str">
        <f>IFERROR(__xludf.DUMMYFUNCTION("""COMPUTED_VALUE"""),"ZAX")</f>
        <v>ZAX</v>
      </c>
      <c r="BQ418" s="50"/>
      <c r="BR418" s="50"/>
      <c r="BS418" s="50"/>
      <c r="BT418" s="50"/>
      <c r="BU418" s="50"/>
    </row>
    <row r="419">
      <c r="A419" s="47"/>
      <c r="B419" s="47"/>
      <c r="C419" s="47"/>
      <c r="D419" s="47"/>
      <c r="E419" s="95"/>
      <c r="F419" s="58"/>
      <c r="BQ419" s="50"/>
      <c r="BR419" s="50"/>
      <c r="BS419" s="50"/>
      <c r="BT419" s="50"/>
      <c r="BU419" s="50"/>
    </row>
    <row r="420">
      <c r="A420" s="47">
        <f>IFERROR(__xludf.DUMMYFUNCTION("""COMPUTED_VALUE"""),432.0)</f>
        <v>432</v>
      </c>
      <c r="B420" s="47"/>
      <c r="C420" s="47">
        <f>IFERROR(__xludf.DUMMYFUNCTION("""COMPUTED_VALUE"""),404.0)</f>
        <v>404</v>
      </c>
      <c r="D420" s="47"/>
      <c r="E420" s="95" t="str">
        <f>IFERROR(__xludf.DUMMYFUNCTION("""COMPUTED_VALUE"""),"PALERO")</f>
        <v>PALERO</v>
      </c>
      <c r="F420" s="58" t="str">
        <f>IFERROR(__xludf.DUMMYFUNCTION("""COMPUTED_VALUE"""),"RANJAY")</f>
        <v>RANJAY</v>
      </c>
      <c r="BQ420" s="50"/>
      <c r="BR420" s="50"/>
      <c r="BS420" s="50"/>
      <c r="BT420" s="50"/>
      <c r="BU420" s="50"/>
    </row>
    <row r="421">
      <c r="A421" s="47">
        <f>IFERROR(__xludf.DUMMYFUNCTION("""COMPUTED_VALUE"""),433.0)</f>
        <v>433</v>
      </c>
      <c r="B421" s="47"/>
      <c r="C421" s="47">
        <f>IFERROR(__xludf.DUMMYFUNCTION("""COMPUTED_VALUE"""),404.0)</f>
        <v>404</v>
      </c>
      <c r="D421" s="47"/>
      <c r="E421" s="95" t="str">
        <f>IFERROR(__xludf.DUMMYFUNCTION("""COMPUTED_VALUE"""),"SANTOS")</f>
        <v>SANTOS</v>
      </c>
      <c r="F421" s="58" t="str">
        <f>IFERROR(__xludf.DUMMYFUNCTION("""COMPUTED_VALUE"""),"CALEB")</f>
        <v>CALEB</v>
      </c>
      <c r="BQ421" s="50"/>
      <c r="BR421" s="50"/>
      <c r="BS421" s="50"/>
      <c r="BT421" s="50"/>
      <c r="BU421" s="50"/>
    </row>
    <row r="422">
      <c r="A422" s="47"/>
      <c r="B422" s="47"/>
      <c r="C422" s="47"/>
      <c r="D422" s="47"/>
      <c r="E422" s="95"/>
      <c r="F422" s="58"/>
      <c r="BQ422" s="50"/>
      <c r="BR422" s="50"/>
      <c r="BS422" s="50"/>
      <c r="BT422" s="50"/>
      <c r="BU422" s="50"/>
    </row>
    <row r="423">
      <c r="A423" s="47">
        <f>IFERROR(__xludf.DUMMYFUNCTION("""COMPUTED_VALUE"""),435.0)</f>
        <v>435</v>
      </c>
      <c r="B423" s="47"/>
      <c r="C423" s="47">
        <f>IFERROR(__xludf.DUMMYFUNCTION("""COMPUTED_VALUE"""),404.0)</f>
        <v>404</v>
      </c>
      <c r="D423" s="47"/>
      <c r="E423" s="97" t="str">
        <f>IFERROR(__xludf.DUMMYFUNCTION("""COMPUTED_VALUE"""),"ABERIN")</f>
        <v>ABERIN</v>
      </c>
      <c r="F423" s="97" t="str">
        <f>IFERROR(__xludf.DUMMYFUNCTION("""COMPUTED_VALUE"""),"JOAQUIN")</f>
        <v>JOAQUIN</v>
      </c>
      <c r="BQ423" s="50"/>
      <c r="BR423" s="50"/>
      <c r="BS423" s="50"/>
      <c r="BT423" s="50"/>
      <c r="BU423" s="50"/>
    </row>
    <row r="424">
      <c r="A424" s="47">
        <f>IFERROR(__xludf.DUMMYFUNCTION("""COMPUTED_VALUE"""),436.0)</f>
        <v>436</v>
      </c>
      <c r="B424" s="47"/>
      <c r="C424" s="47">
        <f>IFERROR(__xludf.DUMMYFUNCTION("""COMPUTED_VALUE"""),404.0)</f>
        <v>404</v>
      </c>
      <c r="D424" s="47"/>
      <c r="E424" s="58" t="str">
        <f>IFERROR(__xludf.DUMMYFUNCTION("""COMPUTED_VALUE"""),"ABERIN")</f>
        <v>ABERIN</v>
      </c>
      <c r="F424" s="58" t="str">
        <f>IFERROR(__xludf.DUMMYFUNCTION("""COMPUTED_VALUE"""),"NICOLIE")</f>
        <v>NICOLIE</v>
      </c>
      <c r="BQ424" s="50"/>
      <c r="BR424" s="50"/>
      <c r="BS424" s="50"/>
      <c r="BT424" s="50"/>
      <c r="BU424" s="50"/>
    </row>
    <row r="425">
      <c r="A425" s="47">
        <f>IFERROR(__xludf.DUMMYFUNCTION("""COMPUTED_VALUE"""),437.0)</f>
        <v>437</v>
      </c>
      <c r="B425" s="47"/>
      <c r="C425" s="47">
        <f>IFERROR(__xludf.DUMMYFUNCTION("""COMPUTED_VALUE"""),404.0)</f>
        <v>404</v>
      </c>
      <c r="D425" s="47"/>
      <c r="E425" s="58" t="str">
        <f>IFERROR(__xludf.DUMMYFUNCTION("""COMPUTED_VALUE"""),"PANIT")</f>
        <v>PANIT</v>
      </c>
      <c r="F425" s="58" t="str">
        <f>IFERROR(__xludf.DUMMYFUNCTION("""COMPUTED_VALUE"""),"ZACK")</f>
        <v>ZACK</v>
      </c>
      <c r="BQ425" s="50"/>
      <c r="BR425" s="50"/>
      <c r="BS425" s="50"/>
      <c r="BT425" s="50"/>
      <c r="BU425" s="50"/>
    </row>
    <row r="426">
      <c r="A426" s="47"/>
      <c r="B426" s="47"/>
      <c r="C426" s="47"/>
      <c r="D426" s="47"/>
      <c r="E426" s="58"/>
      <c r="F426" s="58"/>
      <c r="BQ426" s="50"/>
      <c r="BR426" s="50"/>
      <c r="BS426" s="50"/>
      <c r="BT426" s="50"/>
      <c r="BU426" s="50"/>
    </row>
    <row r="427">
      <c r="A427" s="47">
        <f>IFERROR(__xludf.DUMMYFUNCTION("""COMPUTED_VALUE"""),439.0)</f>
        <v>439</v>
      </c>
      <c r="B427" s="47"/>
      <c r="C427" s="47">
        <f>IFERROR(__xludf.DUMMYFUNCTION("""COMPUTED_VALUE"""),404.0)</f>
        <v>404</v>
      </c>
      <c r="D427" s="47"/>
      <c r="E427" s="58" t="str">
        <f>IFERROR(__xludf.DUMMYFUNCTION("""COMPUTED_VALUE"""),"ABUS")</f>
        <v>ABUS</v>
      </c>
      <c r="F427" s="58" t="str">
        <f>IFERROR(__xludf.DUMMYFUNCTION("""COMPUTED_VALUE"""),"RV")</f>
        <v>RV</v>
      </c>
      <c r="BQ427" s="50"/>
      <c r="BR427" s="50"/>
      <c r="BS427" s="50"/>
      <c r="BT427" s="50"/>
      <c r="BU427" s="50"/>
    </row>
    <row r="428">
      <c r="A428" s="47">
        <f>IFERROR(__xludf.DUMMYFUNCTION("""COMPUTED_VALUE"""),440.0)</f>
        <v>440</v>
      </c>
      <c r="B428" s="47"/>
      <c r="C428" s="47">
        <f>IFERROR(__xludf.DUMMYFUNCTION("""COMPUTED_VALUE"""),404.0)</f>
        <v>404</v>
      </c>
      <c r="D428" s="47"/>
      <c r="E428" s="58" t="str">
        <f>IFERROR(__xludf.DUMMYFUNCTION("""COMPUTED_VALUE"""),"ABUS")</f>
        <v>ABUS</v>
      </c>
      <c r="F428" s="58" t="str">
        <f>IFERROR(__xludf.DUMMYFUNCTION("""COMPUTED_VALUE"""),"MATT")</f>
        <v>MATT</v>
      </c>
      <c r="BQ428" s="50"/>
      <c r="BR428" s="50"/>
      <c r="BS428" s="50"/>
      <c r="BT428" s="50"/>
      <c r="BU428" s="50"/>
    </row>
    <row r="429">
      <c r="A429" s="47">
        <f>IFERROR(__xludf.DUMMYFUNCTION("""COMPUTED_VALUE"""),441.0)</f>
        <v>441</v>
      </c>
      <c r="B429" s="47"/>
      <c r="C429" s="47">
        <f>IFERROR(__xludf.DUMMYFUNCTION("""COMPUTED_VALUE"""),404.0)</f>
        <v>404</v>
      </c>
      <c r="D429" s="47"/>
      <c r="E429" s="58" t="str">
        <f>IFERROR(__xludf.DUMMYFUNCTION("""COMPUTED_VALUE"""),"CARBONEL")</f>
        <v>CARBONEL</v>
      </c>
      <c r="F429" s="58" t="str">
        <f>IFERROR(__xludf.DUMMYFUNCTION("""COMPUTED_VALUE"""),"DANIEL")</f>
        <v>DANIEL</v>
      </c>
      <c r="BQ429" s="50"/>
      <c r="BR429" s="50"/>
      <c r="BS429" s="50"/>
      <c r="BT429" s="50"/>
      <c r="BU429" s="50"/>
    </row>
    <row r="430">
      <c r="A430" s="47"/>
      <c r="B430" s="47"/>
      <c r="C430" s="47"/>
      <c r="D430" s="47"/>
      <c r="E430" s="58"/>
      <c r="F430" s="58"/>
      <c r="BQ430" s="50"/>
      <c r="BR430" s="50"/>
      <c r="BS430" s="50"/>
      <c r="BT430" s="50"/>
      <c r="BU430" s="50"/>
    </row>
    <row r="431">
      <c r="A431" s="47">
        <f>IFERROR(__xludf.DUMMYFUNCTION("""COMPUTED_VALUE"""),443.0)</f>
        <v>443</v>
      </c>
      <c r="B431" s="47"/>
      <c r="C431" s="47">
        <f>IFERROR(__xludf.DUMMYFUNCTION("""COMPUTED_VALUE"""),404.0)</f>
        <v>404</v>
      </c>
      <c r="D431" s="47"/>
      <c r="E431" s="58" t="str">
        <f>IFERROR(__xludf.DUMMYFUNCTION("""COMPUTED_VALUE"""),"CARBO")</f>
        <v>CARBO</v>
      </c>
      <c r="F431" s="58" t="str">
        <f>IFERROR(__xludf.DUMMYFUNCTION("""COMPUTED_VALUE"""),"MICHAEL")</f>
        <v>MICHAEL</v>
      </c>
      <c r="BQ431" s="50"/>
      <c r="BR431" s="50"/>
      <c r="BS431" s="50"/>
      <c r="BT431" s="50"/>
      <c r="BU431" s="50"/>
    </row>
    <row r="432">
      <c r="A432" s="47">
        <f>IFERROR(__xludf.DUMMYFUNCTION("""COMPUTED_VALUE"""),444.0)</f>
        <v>444</v>
      </c>
      <c r="B432" s="47"/>
      <c r="C432" s="47">
        <f>IFERROR(__xludf.DUMMYFUNCTION("""COMPUTED_VALUE"""),404.0)</f>
        <v>404</v>
      </c>
      <c r="D432" s="47"/>
      <c r="E432" s="58" t="str">
        <f>IFERROR(__xludf.DUMMYFUNCTION("""COMPUTED_VALUE"""),"LIEGUE")</f>
        <v>LIEGUE</v>
      </c>
      <c r="F432" s="58" t="str">
        <f>IFERROR(__xludf.DUMMYFUNCTION("""COMPUTED_VALUE"""),"ARCEL")</f>
        <v>ARCEL</v>
      </c>
      <c r="BQ432" s="50"/>
      <c r="BR432" s="50"/>
      <c r="BS432" s="50"/>
      <c r="BT432" s="50"/>
      <c r="BU432" s="50"/>
    </row>
    <row r="433">
      <c r="A433" s="47">
        <f>IFERROR(__xludf.DUMMYFUNCTION("""COMPUTED_VALUE"""),445.0)</f>
        <v>445</v>
      </c>
      <c r="B433" s="47"/>
      <c r="C433" s="47">
        <f>IFERROR(__xludf.DUMMYFUNCTION("""COMPUTED_VALUE"""),404.0)</f>
        <v>404</v>
      </c>
      <c r="D433" s="47"/>
      <c r="E433" s="58" t="str">
        <f>IFERROR(__xludf.DUMMYFUNCTION("""COMPUTED_VALUE"""),"ALEGADO")</f>
        <v>ALEGADO</v>
      </c>
      <c r="F433" s="58" t="str">
        <f>IFERROR(__xludf.DUMMYFUNCTION("""COMPUTED_VALUE"""),"GEMUEL")</f>
        <v>GEMUEL</v>
      </c>
      <c r="BQ433" s="50"/>
      <c r="BR433" s="50"/>
      <c r="BS433" s="50"/>
      <c r="BT433" s="50"/>
      <c r="BU433" s="50"/>
    </row>
    <row r="434">
      <c r="A434" s="47">
        <f>IFERROR(__xludf.DUMMYFUNCTION("""COMPUTED_VALUE"""),446.0)</f>
        <v>446</v>
      </c>
      <c r="B434" s="47"/>
      <c r="C434" s="47">
        <f>IFERROR(__xludf.DUMMYFUNCTION("""COMPUTED_VALUE"""),404.0)</f>
        <v>404</v>
      </c>
      <c r="D434" s="47"/>
      <c r="E434" s="58" t="str">
        <f>IFERROR(__xludf.DUMMYFUNCTION("""COMPUTED_VALUE"""),"BOLIVAR")</f>
        <v>BOLIVAR</v>
      </c>
      <c r="F434" s="58" t="str">
        <f>IFERROR(__xludf.DUMMYFUNCTION("""COMPUTED_VALUE"""),"HARRIE")</f>
        <v>HARRIE</v>
      </c>
      <c r="BQ434" s="50"/>
      <c r="BR434" s="50"/>
      <c r="BS434" s="50"/>
      <c r="BT434" s="50"/>
      <c r="BU434" s="50"/>
    </row>
    <row r="435">
      <c r="A435" s="47">
        <f>IFERROR(__xludf.DUMMYFUNCTION("""COMPUTED_VALUE"""),447.0)</f>
        <v>447</v>
      </c>
      <c r="B435" s="47"/>
      <c r="C435" s="47">
        <f>IFERROR(__xludf.DUMMYFUNCTION("""COMPUTED_VALUE"""),404.0)</f>
        <v>404</v>
      </c>
      <c r="D435" s="47"/>
      <c r="E435" s="58" t="str">
        <f>IFERROR(__xludf.DUMMYFUNCTION("""COMPUTED_VALUE"""),"DELA CRUZ")</f>
        <v>DELA CRUZ</v>
      </c>
      <c r="F435" s="58" t="str">
        <f>IFERROR(__xludf.DUMMYFUNCTION("""COMPUTED_VALUE"""),"EJ")</f>
        <v>EJ</v>
      </c>
      <c r="BQ435" s="50"/>
      <c r="BR435" s="50"/>
      <c r="BS435" s="50"/>
      <c r="BT435" s="50"/>
      <c r="BU435" s="50"/>
    </row>
    <row r="436">
      <c r="A436" s="47">
        <f>IFERROR(__xludf.DUMMYFUNCTION("""COMPUTED_VALUE"""),448.0)</f>
        <v>448</v>
      </c>
      <c r="B436" s="47"/>
      <c r="C436" s="47">
        <f>IFERROR(__xludf.DUMMYFUNCTION("""COMPUTED_VALUE"""),404.0)</f>
        <v>404</v>
      </c>
      <c r="D436" s="47"/>
      <c r="E436" s="58" t="str">
        <f>IFERROR(__xludf.DUMMYFUNCTION("""COMPUTED_VALUE"""),"ESPIDIDO")</f>
        <v>ESPIDIDO</v>
      </c>
      <c r="F436" s="73" t="str">
        <f>IFERROR(__xludf.DUMMYFUNCTION("""COMPUTED_VALUE"""),"LUIS")</f>
        <v>LUIS</v>
      </c>
      <c r="BQ436" s="50"/>
      <c r="BR436" s="50"/>
      <c r="BS436" s="50"/>
      <c r="BT436" s="50"/>
      <c r="BU436" s="50"/>
    </row>
    <row r="437">
      <c r="A437" s="47"/>
      <c r="B437" s="47"/>
      <c r="C437" s="47"/>
      <c r="D437" s="47"/>
      <c r="E437" s="58"/>
      <c r="F437" s="58"/>
      <c r="BQ437" s="50"/>
      <c r="BR437" s="50"/>
      <c r="BS437" s="50"/>
      <c r="BT437" s="50"/>
      <c r="BU437" s="50"/>
    </row>
    <row r="438">
      <c r="A438" s="47">
        <f>IFERROR(__xludf.DUMMYFUNCTION("""COMPUTED_VALUE"""),450.0)</f>
        <v>450</v>
      </c>
      <c r="B438" s="47"/>
      <c r="C438" s="47">
        <f>IFERROR(__xludf.DUMMYFUNCTION("""COMPUTED_VALUE"""),404.0)</f>
        <v>404</v>
      </c>
      <c r="D438" s="47"/>
      <c r="E438" s="47" t="str">
        <f>IFERROR(__xludf.DUMMYFUNCTION("""COMPUTED_VALUE"""),"ROME")</f>
        <v>ROME</v>
      </c>
      <c r="F438" s="47" t="str">
        <f>IFERROR(__xludf.DUMMYFUNCTION("""COMPUTED_VALUE"""),"KALVIN")</f>
        <v>KALVIN</v>
      </c>
      <c r="BQ438" s="50"/>
      <c r="BR438" s="50"/>
      <c r="BS438" s="50"/>
      <c r="BT438" s="50"/>
      <c r="BU438" s="50"/>
    </row>
    <row r="439">
      <c r="A439" s="47">
        <f>IFERROR(__xludf.DUMMYFUNCTION("""COMPUTED_VALUE"""),451.0)</f>
        <v>451</v>
      </c>
      <c r="B439" s="47"/>
      <c r="C439" s="47">
        <f>IFERROR(__xludf.DUMMYFUNCTION("""COMPUTED_VALUE"""),404.0)</f>
        <v>404</v>
      </c>
      <c r="D439" s="47"/>
      <c r="E439" s="47" t="str">
        <f>IFERROR(__xludf.DUMMYFUNCTION("""COMPUTED_VALUE"""),"JAGTO")</f>
        <v>JAGTO</v>
      </c>
      <c r="F439" s="47" t="str">
        <f>IFERROR(__xludf.DUMMYFUNCTION("""COMPUTED_VALUE"""),"LUKE")</f>
        <v>LUKE</v>
      </c>
      <c r="BQ439" s="50"/>
      <c r="BR439" s="50"/>
      <c r="BS439" s="50"/>
      <c r="BT439" s="50"/>
      <c r="BU439" s="50"/>
    </row>
    <row r="440">
      <c r="A440" s="47">
        <f>IFERROR(__xludf.DUMMYFUNCTION("""COMPUTED_VALUE"""),452.0)</f>
        <v>452</v>
      </c>
      <c r="B440" s="47"/>
      <c r="C440" s="47">
        <f>IFERROR(__xludf.DUMMYFUNCTION("""COMPUTED_VALUE"""),404.0)</f>
        <v>404</v>
      </c>
      <c r="D440" s="47"/>
      <c r="E440" s="47" t="str">
        <f>IFERROR(__xludf.DUMMYFUNCTION("""COMPUTED_VALUE"""),"GO")</f>
        <v>GO</v>
      </c>
      <c r="F440" s="47" t="str">
        <f>IFERROR(__xludf.DUMMYFUNCTION("""COMPUTED_VALUE"""),"EMMAN")</f>
        <v>EMMAN</v>
      </c>
      <c r="BQ440" s="50"/>
      <c r="BR440" s="50"/>
      <c r="BS440" s="50"/>
      <c r="BT440" s="50"/>
      <c r="BU440" s="50"/>
    </row>
    <row r="441">
      <c r="A441" s="47"/>
      <c r="B441" s="47"/>
      <c r="C441" s="47"/>
      <c r="D441" s="47"/>
      <c r="E441" s="47"/>
      <c r="F441" s="47"/>
      <c r="BQ441" s="50"/>
      <c r="BR441" s="50"/>
      <c r="BS441" s="50"/>
      <c r="BT441" s="50"/>
      <c r="BU441" s="50"/>
    </row>
    <row r="442">
      <c r="A442" s="47"/>
      <c r="B442" s="47"/>
      <c r="C442" s="47"/>
      <c r="D442" s="47"/>
      <c r="E442" s="47"/>
      <c r="F442" s="47"/>
      <c r="BQ442" s="50"/>
      <c r="BR442" s="50"/>
      <c r="BS442" s="50"/>
      <c r="BT442" s="50"/>
      <c r="BU442" s="50"/>
    </row>
    <row r="443">
      <c r="A443" s="47">
        <f>IFERROR(__xludf.DUMMYFUNCTION("""COMPUTED_VALUE"""),455.0)</f>
        <v>455</v>
      </c>
      <c r="B443" s="47"/>
      <c r="C443" s="47">
        <f>IFERROR(__xludf.DUMMYFUNCTION("""COMPUTED_VALUE"""),404.0)</f>
        <v>404</v>
      </c>
      <c r="D443" s="47"/>
      <c r="E443" s="47" t="str">
        <f>IFERROR(__xludf.DUMMYFUNCTION("""COMPUTED_VALUE"""),"BAUTISTA")</f>
        <v>BAUTISTA</v>
      </c>
      <c r="F443" s="47" t="str">
        <f>IFERROR(__xludf.DUMMYFUNCTION("""COMPUTED_VALUE"""),"DJ")</f>
        <v>DJ</v>
      </c>
      <c r="BQ443" s="50"/>
      <c r="BR443" s="50"/>
      <c r="BS443" s="50"/>
      <c r="BT443" s="50"/>
      <c r="BU443" s="50"/>
    </row>
    <row r="444">
      <c r="A444" s="47">
        <f>IFERROR(__xludf.DUMMYFUNCTION("""COMPUTED_VALUE"""),456.0)</f>
        <v>456</v>
      </c>
      <c r="B444" s="47"/>
      <c r="C444" s="47">
        <f>IFERROR(__xludf.DUMMYFUNCTION("""COMPUTED_VALUE"""),404.0)</f>
        <v>404</v>
      </c>
      <c r="D444" s="47"/>
      <c r="E444" s="47" t="str">
        <f>IFERROR(__xludf.DUMMYFUNCTION("""COMPUTED_VALUE"""),"ADIALES")</f>
        <v>ADIALES</v>
      </c>
      <c r="F444" s="47" t="str">
        <f>IFERROR(__xludf.DUMMYFUNCTION("""COMPUTED_VALUE"""),"JOHN KING")</f>
        <v>JOHN KING</v>
      </c>
      <c r="BQ444" s="50"/>
      <c r="BR444" s="50"/>
      <c r="BS444" s="50"/>
      <c r="BT444" s="50"/>
      <c r="BU444" s="50"/>
    </row>
    <row r="445">
      <c r="A445" s="47">
        <f>IFERROR(__xludf.DUMMYFUNCTION("""COMPUTED_VALUE"""),457.0)</f>
        <v>457</v>
      </c>
      <c r="B445" s="47"/>
      <c r="C445" s="47">
        <f>IFERROR(__xludf.DUMMYFUNCTION("""COMPUTED_VALUE"""),404.0)</f>
        <v>404</v>
      </c>
      <c r="D445" s="47"/>
      <c r="E445" s="47" t="str">
        <f>IFERROR(__xludf.DUMMYFUNCTION("""COMPUTED_VALUE"""),"LABIDEZ")</f>
        <v>LABIDEZ</v>
      </c>
      <c r="F445" s="47" t="str">
        <f>IFERROR(__xludf.DUMMYFUNCTION("""COMPUTED_VALUE"""),"REGINAL")</f>
        <v>REGINAL</v>
      </c>
      <c r="BQ445" s="50"/>
      <c r="BR445" s="50"/>
      <c r="BS445" s="50"/>
      <c r="BT445" s="50"/>
      <c r="BU445" s="50"/>
    </row>
    <row r="446">
      <c r="A446" s="47"/>
      <c r="B446" s="47"/>
      <c r="C446" s="47"/>
      <c r="D446" s="47"/>
      <c r="E446" s="47"/>
      <c r="F446" s="47"/>
      <c r="BQ446" s="50"/>
      <c r="BR446" s="50"/>
      <c r="BS446" s="50"/>
      <c r="BT446" s="50"/>
      <c r="BU446" s="50"/>
    </row>
    <row r="447">
      <c r="A447" s="47">
        <f>IFERROR(__xludf.DUMMYFUNCTION("""COMPUTED_VALUE"""),459.0)</f>
        <v>459</v>
      </c>
      <c r="B447" s="47"/>
      <c r="C447" s="47">
        <f>IFERROR(__xludf.DUMMYFUNCTION("""COMPUTED_VALUE"""),404.0)</f>
        <v>404</v>
      </c>
      <c r="D447" s="47"/>
      <c r="E447" s="47" t="str">
        <f>IFERROR(__xludf.DUMMYFUNCTION("""COMPUTED_VALUE"""),"ADIALES")</f>
        <v>ADIALES</v>
      </c>
      <c r="F447" s="47" t="str">
        <f>IFERROR(__xludf.DUMMYFUNCTION("""COMPUTED_VALUE"""),"JEFF")</f>
        <v>JEFF</v>
      </c>
      <c r="BQ447" s="50"/>
      <c r="BR447" s="50"/>
      <c r="BS447" s="50"/>
      <c r="BT447" s="50"/>
      <c r="BU447" s="50"/>
    </row>
    <row r="448">
      <c r="A448" s="47">
        <f>IFERROR(__xludf.DUMMYFUNCTION("""COMPUTED_VALUE"""),460.0)</f>
        <v>460</v>
      </c>
      <c r="B448" s="47"/>
      <c r="C448" s="47">
        <f>IFERROR(__xludf.DUMMYFUNCTION("""COMPUTED_VALUE"""),404.0)</f>
        <v>404</v>
      </c>
      <c r="D448" s="47"/>
      <c r="E448" s="47" t="str">
        <f>IFERROR(__xludf.DUMMYFUNCTION("""COMPUTED_VALUE"""),"PAJUATRA")</f>
        <v>PAJUATRA</v>
      </c>
      <c r="F448" s="47" t="str">
        <f>IFERROR(__xludf.DUMMYFUNCTION("""COMPUTED_VALUE"""),"MJ")</f>
        <v>MJ</v>
      </c>
      <c r="BQ448" s="50"/>
      <c r="BR448" s="50"/>
      <c r="BS448" s="50"/>
      <c r="BT448" s="50"/>
      <c r="BU448" s="50"/>
    </row>
    <row r="449">
      <c r="A449" s="47">
        <f>IFERROR(__xludf.DUMMYFUNCTION("""COMPUTED_VALUE"""),461.0)</f>
        <v>461</v>
      </c>
      <c r="B449" s="47"/>
      <c r="C449" s="47">
        <f>IFERROR(__xludf.DUMMYFUNCTION("""COMPUTED_VALUE"""),404.0)</f>
        <v>404</v>
      </c>
      <c r="D449" s="47"/>
      <c r="E449" s="47" t="str">
        <f>IFERROR(__xludf.DUMMYFUNCTION("""COMPUTED_VALUE"""),"INCARNADO")</f>
        <v>INCARNADO</v>
      </c>
      <c r="F449" s="47" t="str">
        <f>IFERROR(__xludf.DUMMYFUNCTION("""COMPUTED_VALUE"""),"ALECHOVES")</f>
        <v>ALECHOVES</v>
      </c>
      <c r="BQ449" s="50"/>
      <c r="BR449" s="50"/>
      <c r="BS449" s="50"/>
      <c r="BT449" s="50"/>
      <c r="BU449" s="50"/>
    </row>
    <row r="450">
      <c r="A450" s="47"/>
      <c r="B450" s="47"/>
      <c r="C450" s="47"/>
      <c r="D450" s="47"/>
      <c r="E450" s="47"/>
      <c r="F450" s="47"/>
      <c r="BQ450" s="50"/>
      <c r="BR450" s="50"/>
      <c r="BS450" s="50"/>
      <c r="BT450" s="50"/>
      <c r="BU450" s="50"/>
    </row>
    <row r="451">
      <c r="A451" s="47">
        <f>IFERROR(__xludf.DUMMYFUNCTION("""COMPUTED_VALUE"""),463.0)</f>
        <v>463</v>
      </c>
      <c r="B451" s="47"/>
      <c r="C451" s="47">
        <f>IFERROR(__xludf.DUMMYFUNCTION("""COMPUTED_VALUE"""),404.0)</f>
        <v>404</v>
      </c>
      <c r="D451" s="47"/>
      <c r="E451" s="47" t="str">
        <f>IFERROR(__xludf.DUMMYFUNCTION("""COMPUTED_VALUE"""),"BORGONA")</f>
        <v>BORGONA</v>
      </c>
      <c r="F451" s="47" t="str">
        <f>IFERROR(__xludf.DUMMYFUNCTION("""COMPUTED_VALUE"""),"FRANKIE")</f>
        <v>FRANKIE</v>
      </c>
      <c r="BQ451" s="50"/>
      <c r="BR451" s="50"/>
      <c r="BS451" s="50"/>
      <c r="BT451" s="50"/>
      <c r="BU451" s="50"/>
    </row>
    <row r="452">
      <c r="A452" s="47"/>
      <c r="B452" s="47"/>
      <c r="C452" s="47"/>
      <c r="D452" s="47"/>
      <c r="E452" s="47"/>
      <c r="F452" s="47"/>
      <c r="BQ452" s="50"/>
      <c r="BR452" s="50"/>
      <c r="BS452" s="50"/>
      <c r="BT452" s="50"/>
      <c r="BU452" s="50"/>
    </row>
    <row r="453">
      <c r="A453" s="47">
        <f>IFERROR(__xludf.DUMMYFUNCTION("""COMPUTED_VALUE"""),464.0)</f>
        <v>464</v>
      </c>
      <c r="B453" s="47"/>
      <c r="C453" s="47">
        <f>IFERROR(__xludf.DUMMYFUNCTION("""COMPUTED_VALUE"""),464.0)</f>
        <v>464</v>
      </c>
      <c r="D453" s="47" t="b">
        <f>IFERROR(__xludf.DUMMYFUNCTION("""COMPUTED_VALUE"""),TRUE)</f>
        <v>1</v>
      </c>
      <c r="E453" s="47" t="str">
        <f>IFERROR(__xludf.DUMMYFUNCTION("""COMPUTED_VALUE"""),"RAMIREZ")</f>
        <v>RAMIREZ</v>
      </c>
      <c r="F453" s="47" t="str">
        <f>IFERROR(__xludf.DUMMYFUNCTION("""COMPUTED_VALUE"""),"RENCHIE")</f>
        <v>RENCHIE</v>
      </c>
      <c r="BQ453" s="50"/>
      <c r="BR453" s="50"/>
      <c r="BS453" s="50"/>
      <c r="BT453" s="50"/>
      <c r="BU453" s="50"/>
    </row>
    <row r="454">
      <c r="A454" s="47">
        <f>IFERROR(__xludf.DUMMYFUNCTION("""COMPUTED_VALUE"""),465.0)</f>
        <v>465</v>
      </c>
      <c r="B454" s="47"/>
      <c r="C454" s="47">
        <f>IFERROR(__xludf.DUMMYFUNCTION("""COMPUTED_VALUE"""),464.0)</f>
        <v>464</v>
      </c>
      <c r="D454" s="47"/>
      <c r="E454" s="47" t="str">
        <f>IFERROR(__xludf.DUMMYFUNCTION("""COMPUTED_VALUE"""),"ROARING")</f>
        <v>ROARING</v>
      </c>
      <c r="F454" s="47" t="str">
        <f>IFERROR(__xludf.DUMMYFUNCTION("""COMPUTED_VALUE"""),"COLLIN")</f>
        <v>COLLIN</v>
      </c>
      <c r="BQ454" s="50"/>
      <c r="BR454" s="50"/>
      <c r="BS454" s="50"/>
      <c r="BT454" s="50"/>
      <c r="BU454" s="50"/>
    </row>
    <row r="455">
      <c r="A455" s="47">
        <f>IFERROR(__xludf.DUMMYFUNCTION("""COMPUTED_VALUE"""),466.0)</f>
        <v>466</v>
      </c>
      <c r="B455" s="47"/>
      <c r="C455" s="47">
        <f>IFERROR(__xludf.DUMMYFUNCTION("""COMPUTED_VALUE"""),464.0)</f>
        <v>464</v>
      </c>
      <c r="D455" s="47"/>
      <c r="E455" s="47" t="str">
        <f>IFERROR(__xludf.DUMMYFUNCTION("""COMPUTED_VALUE"""),"DIGUANCO")</f>
        <v>DIGUANCO</v>
      </c>
      <c r="F455" s="47" t="str">
        <f>IFERROR(__xludf.DUMMYFUNCTION("""COMPUTED_VALUE"""),"WILLY")</f>
        <v>WILLY</v>
      </c>
      <c r="BQ455" s="50"/>
      <c r="BR455" s="50"/>
      <c r="BS455" s="50"/>
      <c r="BT455" s="50"/>
      <c r="BU455" s="50"/>
    </row>
    <row r="456">
      <c r="A456" s="2">
        <f>IFERROR(__xludf.DUMMYFUNCTION("""COMPUTED_VALUE"""),467.0)</f>
        <v>467</v>
      </c>
      <c r="B456" s="4"/>
      <c r="C456" s="47">
        <f>IFERROR(__xludf.DUMMYFUNCTION("""COMPUTED_VALUE"""),464.0)</f>
        <v>464</v>
      </c>
      <c r="D456" s="47"/>
      <c r="E456" s="47" t="str">
        <f>IFERROR(__xludf.DUMMYFUNCTION("""COMPUTED_VALUE"""),"TIONGSON")</f>
        <v>TIONGSON</v>
      </c>
      <c r="F456" s="47" t="str">
        <f>IFERROR(__xludf.DUMMYFUNCTION("""COMPUTED_VALUE"""),"NAP")</f>
        <v>NAP</v>
      </c>
      <c r="G456" s="7"/>
      <c r="L456" s="7"/>
      <c r="Q456" s="12"/>
      <c r="BQ456" s="50"/>
      <c r="BR456" s="50"/>
      <c r="BS456" s="50"/>
      <c r="BT456" s="50"/>
      <c r="BU456" s="50"/>
    </row>
    <row r="457">
      <c r="A457" s="47">
        <f>IFERROR(__xludf.DUMMYFUNCTION("""COMPUTED_VALUE"""),468.0)</f>
        <v>468</v>
      </c>
      <c r="B457" s="47"/>
      <c r="C457" s="47">
        <f>IFERROR(__xludf.DUMMYFUNCTION("""COMPUTED_VALUE"""),464.0)</f>
        <v>464</v>
      </c>
      <c r="D457" s="47"/>
      <c r="E457" s="47" t="str">
        <f>IFERROR(__xludf.DUMMYFUNCTION("""COMPUTED_VALUE"""),"SOLAR")</f>
        <v>SOLAR</v>
      </c>
      <c r="F457" s="47" t="str">
        <f>IFERROR(__xludf.DUMMYFUNCTION("""COMPUTED_VALUE"""),"ROBERT")</f>
        <v>ROBERT</v>
      </c>
      <c r="G457" s="142"/>
      <c r="H457" s="143"/>
      <c r="I457" s="143"/>
      <c r="J457" s="11"/>
      <c r="K457" s="11"/>
      <c r="L457" s="11"/>
      <c r="M457" s="11"/>
      <c r="N457" s="11"/>
      <c r="O457" s="11"/>
      <c r="P457" s="11"/>
      <c r="Q457" s="13"/>
      <c r="R457" s="13"/>
      <c r="S457" s="13"/>
      <c r="T457" s="13"/>
      <c r="U457" s="13"/>
      <c r="V457" s="13"/>
      <c r="W457" s="13"/>
      <c r="BQ457" s="50"/>
      <c r="BR457" s="50"/>
      <c r="BS457" s="50"/>
      <c r="BT457" s="50"/>
      <c r="BU457" s="50"/>
    </row>
    <row r="458">
      <c r="A458" s="47">
        <f>IFERROR(__xludf.DUMMYFUNCTION("""COMPUTED_VALUE"""),469.0)</f>
        <v>469</v>
      </c>
      <c r="B458" s="47"/>
      <c r="C458" s="47">
        <f>IFERROR(__xludf.DUMMYFUNCTION("""COMPUTED_VALUE"""),464.0)</f>
        <v>464</v>
      </c>
      <c r="D458" s="47"/>
      <c r="E458" s="15" t="str">
        <f>IFERROR(__xludf.DUMMYFUNCTION("""COMPUTED_VALUE"""),"MENDOZA")</f>
        <v>MENDOZA</v>
      </c>
      <c r="F458" s="15" t="str">
        <f>IFERROR(__xludf.DUMMYFUNCTION("""COMPUTED_VALUE"""),"ROGER")</f>
        <v>ROGER</v>
      </c>
      <c r="BQ458" s="50"/>
      <c r="BR458" s="50"/>
      <c r="BS458" s="50"/>
      <c r="BT458" s="50"/>
      <c r="BU458" s="50"/>
    </row>
    <row r="459">
      <c r="A459" s="47"/>
      <c r="B459" s="47"/>
      <c r="C459" s="47"/>
      <c r="D459" s="47"/>
      <c r="E459" s="17"/>
      <c r="F459" s="19"/>
      <c r="BQ459" s="50"/>
      <c r="BR459" s="50"/>
      <c r="BS459" s="50"/>
      <c r="BT459" s="50"/>
      <c r="BU459" s="50"/>
    </row>
    <row r="460">
      <c r="A460" s="47">
        <f>IFERROR(__xludf.DUMMYFUNCTION("""COMPUTED_VALUE"""),471.0)</f>
        <v>471</v>
      </c>
      <c r="B460" s="47"/>
      <c r="C460" s="47">
        <f>IFERROR(__xludf.DUMMYFUNCTION("""COMPUTED_VALUE"""),464.0)</f>
        <v>464</v>
      </c>
      <c r="D460" s="47"/>
      <c r="E460" s="17" t="str">
        <f>IFERROR(__xludf.DUMMYFUNCTION("""COMPUTED_VALUE"""),"BROZO")</f>
        <v>BROZO</v>
      </c>
      <c r="F460" s="19" t="str">
        <f>IFERROR(__xludf.DUMMYFUNCTION("""COMPUTED_VALUE"""),"ROSS")</f>
        <v>ROSS</v>
      </c>
      <c r="BQ460" s="50"/>
      <c r="BR460" s="50"/>
      <c r="BS460" s="50"/>
      <c r="BT460" s="50"/>
      <c r="BU460" s="50"/>
    </row>
    <row r="461">
      <c r="A461" s="47">
        <f>IFERROR(__xludf.DUMMYFUNCTION("""COMPUTED_VALUE"""),472.0)</f>
        <v>472</v>
      </c>
      <c r="B461" s="47"/>
      <c r="C461" s="47">
        <f>IFERROR(__xludf.DUMMYFUNCTION("""COMPUTED_VALUE"""),464.0)</f>
        <v>464</v>
      </c>
      <c r="D461" s="47"/>
      <c r="E461" s="19" t="str">
        <f>IFERROR(__xludf.DUMMYFUNCTION("""COMPUTED_VALUE"""),"BRUSELAS")</f>
        <v>BRUSELAS</v>
      </c>
      <c r="F461" s="19" t="str">
        <f>IFERROR(__xludf.DUMMYFUNCTION("""COMPUTED_VALUE"""),"RUEL")</f>
        <v>RUEL</v>
      </c>
      <c r="BQ461" s="50"/>
      <c r="BR461" s="50"/>
      <c r="BS461" s="50"/>
      <c r="BT461" s="50"/>
      <c r="BU461" s="50"/>
    </row>
    <row r="462">
      <c r="A462" s="47"/>
      <c r="B462" s="47"/>
      <c r="C462" s="47"/>
      <c r="D462" s="47"/>
      <c r="E462" s="19"/>
      <c r="F462" s="19"/>
      <c r="BQ462" s="50"/>
      <c r="BR462" s="50"/>
      <c r="BS462" s="50"/>
      <c r="BT462" s="50"/>
      <c r="BU462" s="50"/>
    </row>
    <row r="463">
      <c r="A463" s="47">
        <f>IFERROR(__xludf.DUMMYFUNCTION("""COMPUTED_VALUE"""),474.0)</f>
        <v>474</v>
      </c>
      <c r="B463" s="47"/>
      <c r="C463" s="47">
        <f>IFERROR(__xludf.DUMMYFUNCTION("""COMPUTED_VALUE"""),464.0)</f>
        <v>464</v>
      </c>
      <c r="D463" s="47"/>
      <c r="E463" s="19" t="str">
        <f>IFERROR(__xludf.DUMMYFUNCTION("""COMPUTED_VALUE"""),"FIGURACION")</f>
        <v>FIGURACION</v>
      </c>
      <c r="F463" s="19" t="str">
        <f>IFERROR(__xludf.DUMMYFUNCTION("""COMPUTED_VALUE"""),"ANDREW")</f>
        <v>ANDREW</v>
      </c>
      <c r="BQ463" s="50"/>
      <c r="BR463" s="50"/>
      <c r="BS463" s="50"/>
      <c r="BT463" s="50"/>
      <c r="BU463" s="50"/>
    </row>
    <row r="464">
      <c r="A464" s="47">
        <f>IFERROR(__xludf.DUMMYFUNCTION("""COMPUTED_VALUE"""),475.0)</f>
        <v>475</v>
      </c>
      <c r="B464" s="47"/>
      <c r="C464" s="47">
        <f>IFERROR(__xludf.DUMMYFUNCTION("""COMPUTED_VALUE"""),464.0)</f>
        <v>464</v>
      </c>
      <c r="D464" s="47"/>
      <c r="E464" s="19" t="str">
        <f>IFERROR(__xludf.DUMMYFUNCTION("""COMPUTED_VALUE"""),"SALANGA")</f>
        <v>SALANGA</v>
      </c>
      <c r="F464" s="19" t="str">
        <f>IFERROR(__xludf.DUMMYFUNCTION("""COMPUTED_VALUE"""),"JAIME")</f>
        <v>JAIME</v>
      </c>
      <c r="BQ464" s="50"/>
      <c r="BR464" s="50"/>
      <c r="BS464" s="50"/>
      <c r="BT464" s="50"/>
      <c r="BU464" s="50"/>
    </row>
    <row r="465">
      <c r="A465" s="47">
        <f>IFERROR(__xludf.DUMMYFUNCTION("""COMPUTED_VALUE"""),476.0)</f>
        <v>476</v>
      </c>
      <c r="B465" s="47"/>
      <c r="C465" s="47">
        <f>IFERROR(__xludf.DUMMYFUNCTION("""COMPUTED_VALUE"""),464.0)</f>
        <v>464</v>
      </c>
      <c r="D465" s="47"/>
      <c r="E465" s="19" t="str">
        <f>IFERROR(__xludf.DUMMYFUNCTION("""COMPUTED_VALUE"""),"SALANGA")</f>
        <v>SALANGA</v>
      </c>
      <c r="F465" s="19" t="str">
        <f>IFERROR(__xludf.DUMMYFUNCTION("""COMPUTED_VALUE"""),"FELIX")</f>
        <v>FELIX</v>
      </c>
      <c r="BQ465" s="50"/>
      <c r="BR465" s="50"/>
      <c r="BS465" s="50"/>
      <c r="BT465" s="50"/>
      <c r="BU465" s="50"/>
    </row>
    <row r="466">
      <c r="A466" s="47">
        <f>IFERROR(__xludf.DUMMYFUNCTION("""COMPUTED_VALUE"""),477.0)</f>
        <v>477</v>
      </c>
      <c r="B466" s="47"/>
      <c r="C466" s="47">
        <f>IFERROR(__xludf.DUMMYFUNCTION("""COMPUTED_VALUE"""),464.0)</f>
        <v>464</v>
      </c>
      <c r="D466" s="47"/>
      <c r="E466" s="19" t="str">
        <f>IFERROR(__xludf.DUMMYFUNCTION("""COMPUTED_VALUE"""),"SALANGA")</f>
        <v>SALANGA</v>
      </c>
      <c r="F466" s="19" t="str">
        <f>IFERROR(__xludf.DUMMYFUNCTION("""COMPUTED_VALUE"""),"DANTE")</f>
        <v>DANTE</v>
      </c>
      <c r="BQ466" s="50"/>
      <c r="BR466" s="50"/>
      <c r="BS466" s="50"/>
      <c r="BT466" s="50"/>
      <c r="BU466" s="50"/>
    </row>
    <row r="467">
      <c r="A467" s="47">
        <f>IFERROR(__xludf.DUMMYFUNCTION("""COMPUTED_VALUE"""),478.0)</f>
        <v>478</v>
      </c>
      <c r="B467" s="47"/>
      <c r="C467" s="47">
        <f>IFERROR(__xludf.DUMMYFUNCTION("""COMPUTED_VALUE"""),464.0)</f>
        <v>464</v>
      </c>
      <c r="D467" s="47"/>
      <c r="E467" s="19" t="str">
        <f>IFERROR(__xludf.DUMMYFUNCTION("""COMPUTED_VALUE"""),"OJEDA")</f>
        <v>OJEDA</v>
      </c>
      <c r="F467" s="19" t="str">
        <f>IFERROR(__xludf.DUMMYFUNCTION("""COMPUTED_VALUE"""),"ANSELMO")</f>
        <v>ANSELMO</v>
      </c>
      <c r="BQ467" s="50"/>
      <c r="BR467" s="50"/>
      <c r="BS467" s="50"/>
      <c r="BT467" s="50"/>
      <c r="BU467" s="50"/>
    </row>
    <row r="468">
      <c r="A468" s="47">
        <f>IFERROR(__xludf.DUMMYFUNCTION("""COMPUTED_VALUE"""),479.0)</f>
        <v>479</v>
      </c>
      <c r="B468" s="47"/>
      <c r="C468" s="47">
        <f>IFERROR(__xludf.DUMMYFUNCTION("""COMPUTED_VALUE"""),464.0)</f>
        <v>464</v>
      </c>
      <c r="D468" s="47"/>
      <c r="E468" s="19" t="str">
        <f>IFERROR(__xludf.DUMMYFUNCTION("""COMPUTED_VALUE"""),"PRESTADO")</f>
        <v>PRESTADO</v>
      </c>
      <c r="F468" s="19" t="str">
        <f>IFERROR(__xludf.DUMMYFUNCTION("""COMPUTED_VALUE"""),"ROBERT")</f>
        <v>ROBERT</v>
      </c>
      <c r="BQ468" s="50"/>
      <c r="BR468" s="50"/>
      <c r="BS468" s="50"/>
      <c r="BT468" s="50"/>
      <c r="BU468" s="50"/>
    </row>
    <row r="469">
      <c r="A469" s="47">
        <f>IFERROR(__xludf.DUMMYFUNCTION("""COMPUTED_VALUE"""),480.0)</f>
        <v>480</v>
      </c>
      <c r="B469" s="47"/>
      <c r="C469" s="47">
        <f>IFERROR(__xludf.DUMMYFUNCTION("""COMPUTED_VALUE"""),464.0)</f>
        <v>464</v>
      </c>
      <c r="D469" s="47"/>
      <c r="E469" s="19" t="str">
        <f>IFERROR(__xludf.DUMMYFUNCTION("""COMPUTED_VALUE"""),"TIALCO")</f>
        <v>TIALCO</v>
      </c>
      <c r="F469" s="19" t="str">
        <f>IFERROR(__xludf.DUMMYFUNCTION("""COMPUTED_VALUE"""),"NOEL")</f>
        <v>NOEL</v>
      </c>
      <c r="BQ469" s="50"/>
      <c r="BR469" s="50"/>
      <c r="BS469" s="50"/>
      <c r="BT469" s="50"/>
      <c r="BU469" s="50"/>
    </row>
    <row r="470">
      <c r="A470" s="47"/>
      <c r="B470" s="47"/>
      <c r="C470" s="47"/>
      <c r="D470" s="47"/>
      <c r="E470" s="19"/>
      <c r="F470" s="19"/>
      <c r="BQ470" s="50"/>
      <c r="BR470" s="50"/>
      <c r="BS470" s="50"/>
      <c r="BT470" s="50"/>
      <c r="BU470" s="50"/>
    </row>
    <row r="471">
      <c r="A471" s="47"/>
      <c r="B471" s="47"/>
      <c r="C471" s="47"/>
      <c r="D471" s="47"/>
      <c r="E471" s="19"/>
      <c r="F471" s="19"/>
      <c r="BQ471" s="50"/>
      <c r="BR471" s="50"/>
      <c r="BS471" s="50"/>
      <c r="BT471" s="50"/>
      <c r="BU471" s="50"/>
    </row>
    <row r="472">
      <c r="A472" s="47"/>
      <c r="B472" s="47"/>
      <c r="C472" s="47"/>
      <c r="D472" s="47"/>
      <c r="E472" s="21"/>
      <c r="F472" s="21"/>
      <c r="BQ472" s="50"/>
      <c r="BR472" s="50"/>
      <c r="BS472" s="50"/>
      <c r="BT472" s="50"/>
      <c r="BU472" s="50"/>
    </row>
    <row r="473">
      <c r="A473" s="47"/>
      <c r="B473" s="47"/>
      <c r="C473" s="47"/>
      <c r="D473" s="47"/>
      <c r="E473" s="19"/>
      <c r="F473" s="19"/>
      <c r="BQ473" s="50"/>
      <c r="BR473" s="50"/>
      <c r="BS473" s="50"/>
      <c r="BT473" s="50"/>
      <c r="BU473" s="50"/>
    </row>
    <row r="474">
      <c r="A474" s="47">
        <f>IFERROR(__xludf.DUMMYFUNCTION("""COMPUTED_VALUE"""),484.0)</f>
        <v>484</v>
      </c>
      <c r="B474" s="47"/>
      <c r="C474" s="47">
        <f>IFERROR(__xludf.DUMMYFUNCTION("""COMPUTED_VALUE"""),484.0)</f>
        <v>484</v>
      </c>
      <c r="D474" s="47" t="b">
        <f>IFERROR(__xludf.DUMMYFUNCTION("""COMPUTED_VALUE"""),TRUE)</f>
        <v>1</v>
      </c>
      <c r="E474" s="19" t="str">
        <f>IFERROR(__xludf.DUMMYFUNCTION("""COMPUTED_VALUE"""),"BUYOC")</f>
        <v>BUYOC</v>
      </c>
      <c r="F474" s="19" t="str">
        <f>IFERROR(__xludf.DUMMYFUNCTION("""COMPUTED_VALUE"""),"BYRON")</f>
        <v>BYRON</v>
      </c>
      <c r="BQ474" s="50"/>
      <c r="BR474" s="50"/>
      <c r="BS474" s="50"/>
      <c r="BT474" s="50"/>
      <c r="BU474" s="50"/>
    </row>
    <row r="475">
      <c r="A475" s="47">
        <f>IFERROR(__xludf.DUMMYFUNCTION("""COMPUTED_VALUE"""),485.0)</f>
        <v>485</v>
      </c>
      <c r="B475" s="47"/>
      <c r="C475" s="47">
        <f>IFERROR(__xludf.DUMMYFUNCTION("""COMPUTED_VALUE"""),484.0)</f>
        <v>484</v>
      </c>
      <c r="D475" s="47"/>
      <c r="E475" s="19"/>
      <c r="F475" s="19"/>
      <c r="BQ475" s="50"/>
      <c r="BR475" s="50"/>
      <c r="BS475" s="50"/>
      <c r="BT475" s="50"/>
      <c r="BU475" s="50"/>
    </row>
    <row r="476">
      <c r="A476" s="47">
        <f>IFERROR(__xludf.DUMMYFUNCTION("""COMPUTED_VALUE"""),486.0)</f>
        <v>486</v>
      </c>
      <c r="B476" s="47"/>
      <c r="C476" s="47">
        <f>IFERROR(__xludf.DUMMYFUNCTION("""COMPUTED_VALUE"""),484.0)</f>
        <v>484</v>
      </c>
      <c r="D476" s="47"/>
      <c r="E476" s="19" t="str">
        <f>IFERROR(__xludf.DUMMYFUNCTION("""COMPUTED_VALUE"""),"ARROYO")</f>
        <v>ARROYO</v>
      </c>
      <c r="F476" s="19" t="str">
        <f>IFERROR(__xludf.DUMMYFUNCTION("""COMPUTED_VALUE"""),"MARK")</f>
        <v>MARK</v>
      </c>
      <c r="BQ476" s="50"/>
      <c r="BR476" s="50"/>
      <c r="BS476" s="50"/>
      <c r="BT476" s="50"/>
      <c r="BU476" s="50"/>
    </row>
    <row r="477">
      <c r="A477" s="47">
        <f>IFERROR(__xludf.DUMMYFUNCTION("""COMPUTED_VALUE"""),487.0)</f>
        <v>487</v>
      </c>
      <c r="B477" s="47"/>
      <c r="C477" s="47">
        <f>IFERROR(__xludf.DUMMYFUNCTION("""COMPUTED_VALUE"""),484.0)</f>
        <v>484</v>
      </c>
      <c r="D477" s="47"/>
      <c r="E477" s="19" t="str">
        <f>IFERROR(__xludf.DUMMYFUNCTION("""COMPUTED_VALUE"""),"CRUZ")</f>
        <v>CRUZ</v>
      </c>
      <c r="F477" s="19" t="str">
        <f>IFERROR(__xludf.DUMMYFUNCTION("""COMPUTED_VALUE"""),"BONG")</f>
        <v>BONG</v>
      </c>
      <c r="BQ477" s="50"/>
      <c r="BR477" s="50"/>
      <c r="BS477" s="50"/>
      <c r="BT477" s="50"/>
      <c r="BU477" s="50"/>
    </row>
    <row r="478">
      <c r="A478" s="47">
        <f>IFERROR(__xludf.DUMMYFUNCTION("""COMPUTED_VALUE"""),488.0)</f>
        <v>488</v>
      </c>
      <c r="B478" s="47"/>
      <c r="C478" s="47">
        <f>IFERROR(__xludf.DUMMYFUNCTION("""COMPUTED_VALUE"""),484.0)</f>
        <v>484</v>
      </c>
      <c r="D478" s="47"/>
      <c r="E478" s="19" t="str">
        <f>IFERROR(__xludf.DUMMYFUNCTION("""COMPUTED_VALUE"""),"DRIS")</f>
        <v>DRIS</v>
      </c>
      <c r="F478" s="19" t="str">
        <f>IFERROR(__xludf.DUMMYFUNCTION("""COMPUTED_VALUE"""),"ANDREW")</f>
        <v>ANDREW</v>
      </c>
      <c r="BQ478" s="50"/>
      <c r="BR478" s="50"/>
      <c r="BS478" s="50"/>
      <c r="BT478" s="50"/>
      <c r="BU478" s="50"/>
    </row>
    <row r="479">
      <c r="A479" s="47">
        <f>IFERROR(__xludf.DUMMYFUNCTION("""COMPUTED_VALUE"""),489.0)</f>
        <v>489</v>
      </c>
      <c r="B479" s="47"/>
      <c r="C479" s="47">
        <f>IFERROR(__xludf.DUMMYFUNCTION("""COMPUTED_VALUE"""),484.0)</f>
        <v>484</v>
      </c>
      <c r="D479" s="47"/>
      <c r="E479" s="23" t="str">
        <f>IFERROR(__xludf.DUMMYFUNCTION("""COMPUTED_VALUE"""),"ROME")</f>
        <v>ROME</v>
      </c>
      <c r="F479" s="19" t="str">
        <f>IFERROR(__xludf.DUMMYFUNCTION("""COMPUTED_VALUE"""),"ALVIN")</f>
        <v>ALVIN</v>
      </c>
      <c r="BQ479" s="50"/>
      <c r="BR479" s="50"/>
      <c r="BS479" s="50"/>
      <c r="BT479" s="50"/>
      <c r="BU479" s="50"/>
    </row>
    <row r="480">
      <c r="A480" s="47">
        <f>IFERROR(__xludf.DUMMYFUNCTION("""COMPUTED_VALUE"""),490.0)</f>
        <v>490</v>
      </c>
      <c r="B480" s="47"/>
      <c r="C480" s="47">
        <f>IFERROR(__xludf.DUMMYFUNCTION("""COMPUTED_VALUE"""),484.0)</f>
        <v>484</v>
      </c>
      <c r="D480" s="47"/>
      <c r="E480" s="24" t="str">
        <f>IFERROR(__xludf.DUMMYFUNCTION("""COMPUTED_VALUE"""),"MORALES")</f>
        <v>MORALES</v>
      </c>
      <c r="F480" s="24" t="str">
        <f>IFERROR(__xludf.DUMMYFUNCTION("""COMPUTED_VALUE"""),"TEDDY")</f>
        <v>TEDDY</v>
      </c>
      <c r="BQ480" s="50"/>
      <c r="BR480" s="50"/>
      <c r="BS480" s="50"/>
      <c r="BT480" s="50"/>
      <c r="BU480" s="50"/>
    </row>
    <row r="481">
      <c r="A481" s="47">
        <f>IFERROR(__xludf.DUMMYFUNCTION("""COMPUTED_VALUE"""),491.0)</f>
        <v>491</v>
      </c>
      <c r="B481" s="47"/>
      <c r="C481" s="47">
        <f>IFERROR(__xludf.DUMMYFUNCTION("""COMPUTED_VALUE"""),484.0)</f>
        <v>484</v>
      </c>
      <c r="D481" s="47"/>
      <c r="E481" s="27" t="str">
        <f>IFERROR(__xludf.DUMMYFUNCTION("""COMPUTED_VALUE"""),"ABUS")</f>
        <v>ABUS</v>
      </c>
      <c r="F481" s="27" t="str">
        <f>IFERROR(__xludf.DUMMYFUNCTION("""COMPUTED_VALUE"""),"RENZ")</f>
        <v>RENZ</v>
      </c>
      <c r="BQ481" s="50"/>
      <c r="BR481" s="50"/>
      <c r="BS481" s="50"/>
      <c r="BT481" s="50"/>
      <c r="BU481" s="50"/>
    </row>
    <row r="482">
      <c r="A482" s="47">
        <f>IFERROR(__xludf.DUMMYFUNCTION("""COMPUTED_VALUE"""),492.0)</f>
        <v>492</v>
      </c>
      <c r="B482" s="47"/>
      <c r="C482" s="47">
        <f>IFERROR(__xludf.DUMMYFUNCTION("""COMPUTED_VALUE"""),484.0)</f>
        <v>484</v>
      </c>
      <c r="D482" s="47"/>
      <c r="E482" s="27" t="str">
        <f>IFERROR(__xludf.DUMMYFUNCTION("""COMPUTED_VALUE"""),"DE VILLA")</f>
        <v>DE VILLA</v>
      </c>
      <c r="F482" s="27" t="str">
        <f>IFERROR(__xludf.DUMMYFUNCTION("""COMPUTED_VALUE"""),"TRISTAN")</f>
        <v>TRISTAN</v>
      </c>
      <c r="BQ482" s="50"/>
      <c r="BR482" s="50"/>
      <c r="BS482" s="50"/>
      <c r="BT482" s="50"/>
      <c r="BU482" s="50"/>
    </row>
    <row r="483">
      <c r="A483" s="47">
        <f>IFERROR(__xludf.DUMMYFUNCTION("""COMPUTED_VALUE"""),493.0)</f>
        <v>493</v>
      </c>
      <c r="B483" s="47"/>
      <c r="C483" s="47">
        <f>IFERROR(__xludf.DUMMYFUNCTION("""COMPUTED_VALUE"""),484.0)</f>
        <v>484</v>
      </c>
      <c r="D483" s="47"/>
      <c r="E483" s="27" t="str">
        <f>IFERROR(__xludf.DUMMYFUNCTION("""COMPUTED_VALUE"""),"COREA")</f>
        <v>COREA</v>
      </c>
      <c r="F483" s="27" t="str">
        <f>IFERROR(__xludf.DUMMYFUNCTION("""COMPUTED_VALUE"""),"GLEN")</f>
        <v>GLEN</v>
      </c>
      <c r="BQ483" s="50"/>
      <c r="BR483" s="50"/>
      <c r="BS483" s="50"/>
      <c r="BT483" s="50"/>
      <c r="BU483" s="50"/>
    </row>
    <row r="484">
      <c r="A484" s="47">
        <f>IFERROR(__xludf.DUMMYFUNCTION("""COMPUTED_VALUE"""),494.0)</f>
        <v>494</v>
      </c>
      <c r="B484" s="47"/>
      <c r="C484" s="47">
        <f>IFERROR(__xludf.DUMMYFUNCTION("""COMPUTED_VALUE"""),484.0)</f>
        <v>484</v>
      </c>
      <c r="D484" s="47"/>
      <c r="E484" s="27" t="str">
        <f>IFERROR(__xludf.DUMMYFUNCTION("""COMPUTED_VALUE"""),"ACUNA")</f>
        <v>ACUNA</v>
      </c>
      <c r="F484" s="27" t="str">
        <f>IFERROR(__xludf.DUMMYFUNCTION("""COMPUTED_VALUE"""),"JULIUS")</f>
        <v>JULIUS</v>
      </c>
      <c r="BQ484" s="50"/>
      <c r="BR484" s="50"/>
      <c r="BS484" s="50"/>
      <c r="BT484" s="50"/>
      <c r="BU484" s="50"/>
    </row>
    <row r="485">
      <c r="A485" s="47">
        <f>IFERROR(__xludf.DUMMYFUNCTION("""COMPUTED_VALUE"""),495.0)</f>
        <v>495</v>
      </c>
      <c r="B485" s="47"/>
      <c r="C485" s="47">
        <f>IFERROR(__xludf.DUMMYFUNCTION("""COMPUTED_VALUE"""),484.0)</f>
        <v>484</v>
      </c>
      <c r="D485" s="47"/>
      <c r="E485" s="27" t="str">
        <f>IFERROR(__xludf.DUMMYFUNCTION("""COMPUTED_VALUE"""),"TAGARDA")</f>
        <v>TAGARDA</v>
      </c>
      <c r="F485" s="27" t="str">
        <f>IFERROR(__xludf.DUMMYFUNCTION("""COMPUTED_VALUE"""),"PAOLO")</f>
        <v>PAOLO</v>
      </c>
      <c r="BQ485" s="50"/>
      <c r="BR485" s="50"/>
      <c r="BS485" s="50"/>
      <c r="BT485" s="50"/>
      <c r="BU485" s="50"/>
    </row>
    <row r="486">
      <c r="A486" s="47">
        <f>IFERROR(__xludf.DUMMYFUNCTION("""COMPUTED_VALUE"""),496.0)</f>
        <v>496</v>
      </c>
      <c r="B486" s="47"/>
      <c r="C486" s="47">
        <f>IFERROR(__xludf.DUMMYFUNCTION("""COMPUTED_VALUE"""),484.0)</f>
        <v>484</v>
      </c>
      <c r="D486" s="47"/>
      <c r="E486" s="27" t="str">
        <f>IFERROR(__xludf.DUMMYFUNCTION("""COMPUTED_VALUE"""),"CALIBSO")</f>
        <v>CALIBSO</v>
      </c>
      <c r="F486" s="27" t="str">
        <f>IFERROR(__xludf.DUMMYFUNCTION("""COMPUTED_VALUE"""),"ERIC")</f>
        <v>ERIC</v>
      </c>
      <c r="BQ486" s="50"/>
      <c r="BR486" s="50"/>
      <c r="BS486" s="50"/>
      <c r="BT486" s="50"/>
      <c r="BU486" s="50"/>
    </row>
    <row r="487">
      <c r="A487" s="47">
        <f>IFERROR(__xludf.DUMMYFUNCTION("""COMPUTED_VALUE"""),497.0)</f>
        <v>497</v>
      </c>
      <c r="B487" s="47"/>
      <c r="C487" s="47">
        <f>IFERROR(__xludf.DUMMYFUNCTION("""COMPUTED_VALUE"""),484.0)</f>
        <v>484</v>
      </c>
      <c r="D487" s="47"/>
      <c r="E487" s="27" t="str">
        <f>IFERROR(__xludf.DUMMYFUNCTION("""COMPUTED_VALUE"""),"JASMIN")</f>
        <v>JASMIN</v>
      </c>
      <c r="F487" s="27" t="str">
        <f>IFERROR(__xludf.DUMMYFUNCTION("""COMPUTED_VALUE"""),"JEFF")</f>
        <v>JEFF</v>
      </c>
      <c r="BQ487" s="50"/>
      <c r="BR487" s="50"/>
      <c r="BS487" s="50"/>
      <c r="BT487" s="50"/>
      <c r="BU487" s="50"/>
    </row>
    <row r="488">
      <c r="A488" s="47">
        <f>IFERROR(__xludf.DUMMYFUNCTION("""COMPUTED_VALUE"""),498.0)</f>
        <v>498</v>
      </c>
      <c r="B488" s="47"/>
      <c r="C488" s="47">
        <f>IFERROR(__xludf.DUMMYFUNCTION("""COMPUTED_VALUE"""),484.0)</f>
        <v>484</v>
      </c>
      <c r="D488" s="47"/>
      <c r="E488" s="34"/>
      <c r="F488" s="34"/>
      <c r="BQ488" s="50"/>
      <c r="BR488" s="50"/>
      <c r="BS488" s="50"/>
      <c r="BT488" s="50"/>
      <c r="BU488" s="50"/>
    </row>
    <row r="489">
      <c r="A489" s="47">
        <f>IFERROR(__xludf.DUMMYFUNCTION("""COMPUTED_VALUE"""),499.0)</f>
        <v>499</v>
      </c>
      <c r="B489" s="47"/>
      <c r="C489" s="47">
        <f>IFERROR(__xludf.DUMMYFUNCTION("""COMPUTED_VALUE"""),484.0)</f>
        <v>484</v>
      </c>
      <c r="D489" s="47"/>
      <c r="E489" s="27" t="str">
        <f>IFERROR(__xludf.DUMMYFUNCTION("""COMPUTED_VALUE"""),"CUDAL")</f>
        <v>CUDAL</v>
      </c>
      <c r="F489" s="27" t="str">
        <f>IFERROR(__xludf.DUMMYFUNCTION("""COMPUTED_VALUE"""),"ALLAN")</f>
        <v>ALLAN</v>
      </c>
      <c r="BQ489" s="50"/>
      <c r="BR489" s="50"/>
      <c r="BS489" s="50"/>
      <c r="BT489" s="50"/>
      <c r="BU489" s="50"/>
    </row>
    <row r="490">
      <c r="A490" s="47">
        <f>IFERROR(__xludf.DUMMYFUNCTION("""COMPUTED_VALUE"""),500.0)</f>
        <v>500</v>
      </c>
      <c r="B490" s="47"/>
      <c r="C490" s="47">
        <f>IFERROR(__xludf.DUMMYFUNCTION("""COMPUTED_VALUE"""),484.0)</f>
        <v>484</v>
      </c>
      <c r="D490" s="47"/>
      <c r="E490" s="27" t="str">
        <f>IFERROR(__xludf.DUMMYFUNCTION("""COMPUTED_VALUE"""),"ABERIN")</f>
        <v>ABERIN</v>
      </c>
      <c r="F490" s="27" t="str">
        <f>IFERROR(__xludf.DUMMYFUNCTION("""COMPUTED_VALUE"""),"FRANCIS")</f>
        <v>FRANCIS</v>
      </c>
      <c r="BQ490" s="50"/>
      <c r="BR490" s="50"/>
      <c r="BS490" s="50"/>
      <c r="BT490" s="50"/>
      <c r="BU490" s="50"/>
    </row>
    <row r="491">
      <c r="A491" s="47">
        <f>IFERROR(__xludf.DUMMYFUNCTION("""COMPUTED_VALUE"""),501.0)</f>
        <v>501</v>
      </c>
      <c r="B491" s="47"/>
      <c r="C491" s="47">
        <f>IFERROR(__xludf.DUMMYFUNCTION("""COMPUTED_VALUE"""),484.0)</f>
        <v>484</v>
      </c>
      <c r="D491" s="47"/>
      <c r="E491" s="38" t="str">
        <f>IFERROR(__xludf.DUMMYFUNCTION("""COMPUTED_VALUE"""),"CALIBSO")</f>
        <v>CALIBSO</v>
      </c>
      <c r="F491" s="38" t="str">
        <f>IFERROR(__xludf.DUMMYFUNCTION("""COMPUTED_VALUE"""),"ANGELO")</f>
        <v>ANGELO</v>
      </c>
      <c r="BQ491" s="50"/>
      <c r="BR491" s="50"/>
      <c r="BS491" s="50"/>
      <c r="BT491" s="50"/>
      <c r="BU491" s="50"/>
    </row>
    <row r="492">
      <c r="A492" s="47">
        <f>IFERROR(__xludf.DUMMYFUNCTION("""COMPUTED_VALUE"""),502.0)</f>
        <v>502</v>
      </c>
      <c r="B492" s="47"/>
      <c r="C492" s="47">
        <f>IFERROR(__xludf.DUMMYFUNCTION("""COMPUTED_VALUE"""),484.0)</f>
        <v>484</v>
      </c>
      <c r="D492" s="47"/>
      <c r="E492" s="39" t="str">
        <f>IFERROR(__xludf.DUMMYFUNCTION("""COMPUTED_VALUE"""),"CORPUZ")</f>
        <v>CORPUZ</v>
      </c>
      <c r="F492" s="39" t="str">
        <f>IFERROR(__xludf.DUMMYFUNCTION("""COMPUTED_VALUE"""),"YVES")</f>
        <v>YVES</v>
      </c>
      <c r="BQ492" s="50"/>
      <c r="BR492" s="50"/>
      <c r="BS492" s="50"/>
      <c r="BT492" s="50"/>
      <c r="BU492" s="50"/>
    </row>
    <row r="493">
      <c r="A493" s="47">
        <f>IFERROR(__xludf.DUMMYFUNCTION("""COMPUTED_VALUE"""),503.0)</f>
        <v>503</v>
      </c>
      <c r="B493" s="47"/>
      <c r="C493" s="47">
        <f>IFERROR(__xludf.DUMMYFUNCTION("""COMPUTED_VALUE"""),484.0)</f>
        <v>484</v>
      </c>
      <c r="D493" s="47"/>
      <c r="E493" s="39" t="str">
        <f>IFERROR(__xludf.DUMMYFUNCTION("""COMPUTED_VALUE"""),"SANTOS")</f>
        <v>SANTOS</v>
      </c>
      <c r="F493" s="39" t="str">
        <f>IFERROR(__xludf.DUMMYFUNCTION("""COMPUTED_VALUE"""),"EDWIN")</f>
        <v>EDWIN</v>
      </c>
      <c r="BQ493" s="50"/>
      <c r="BR493" s="50"/>
      <c r="BS493" s="50"/>
      <c r="BT493" s="50"/>
      <c r="BU493" s="50"/>
    </row>
    <row r="494">
      <c r="A494" s="47">
        <f>IFERROR(__xludf.DUMMYFUNCTION("""COMPUTED_VALUE"""),504.0)</f>
        <v>504</v>
      </c>
      <c r="B494" s="47"/>
      <c r="C494" s="47">
        <f>IFERROR(__xludf.DUMMYFUNCTION("""COMPUTED_VALUE"""),484.0)</f>
        <v>484</v>
      </c>
      <c r="D494" s="47"/>
      <c r="E494" s="38" t="str">
        <f>IFERROR(__xludf.DUMMYFUNCTION("""COMPUTED_VALUE"""),"DE GUZMAN")</f>
        <v>DE GUZMAN</v>
      </c>
      <c r="F494" s="39" t="str">
        <f>IFERROR(__xludf.DUMMYFUNCTION("""COMPUTED_VALUE"""),"MACCOY")</f>
        <v>MACCOY</v>
      </c>
      <c r="BQ494" s="50"/>
      <c r="BR494" s="50"/>
      <c r="BS494" s="50"/>
      <c r="BT494" s="50"/>
      <c r="BU494" s="50"/>
    </row>
    <row r="495">
      <c r="A495" s="47">
        <f>IFERROR(__xludf.DUMMYFUNCTION("""COMPUTED_VALUE"""),505.0)</f>
        <v>505</v>
      </c>
      <c r="B495" s="47"/>
      <c r="C495" s="47">
        <f>IFERROR(__xludf.DUMMYFUNCTION("""COMPUTED_VALUE"""),484.0)</f>
        <v>484</v>
      </c>
      <c r="D495" s="47"/>
      <c r="E495" s="39" t="str">
        <f>IFERROR(__xludf.DUMMYFUNCTION("""COMPUTED_VALUE"""),"BUENAFLOR")</f>
        <v>BUENAFLOR</v>
      </c>
      <c r="F495" s="39" t="str">
        <f>IFERROR(__xludf.DUMMYFUNCTION("""COMPUTED_VALUE"""),"NATHANIEL")</f>
        <v>NATHANIEL</v>
      </c>
      <c r="BQ495" s="50"/>
      <c r="BR495" s="50"/>
      <c r="BS495" s="50"/>
      <c r="BT495" s="50"/>
      <c r="BU495" s="50"/>
    </row>
    <row r="496">
      <c r="A496" s="47">
        <f>IFERROR(__xludf.DUMMYFUNCTION("""COMPUTED_VALUE"""),506.0)</f>
        <v>506</v>
      </c>
      <c r="B496" s="47"/>
      <c r="C496" s="47">
        <f>IFERROR(__xludf.DUMMYFUNCTION("""COMPUTED_VALUE"""),484.0)</f>
        <v>484</v>
      </c>
      <c r="D496" s="47"/>
      <c r="E496" s="39" t="str">
        <f>IFERROR(__xludf.DUMMYFUNCTION("""COMPUTED_VALUE"""),"LACONSAY")</f>
        <v>LACONSAY</v>
      </c>
      <c r="F496" s="39" t="str">
        <f>IFERROR(__xludf.DUMMYFUNCTION("""COMPUTED_VALUE"""),"TIM")</f>
        <v>TIM</v>
      </c>
      <c r="BQ496" s="50"/>
      <c r="BR496" s="50"/>
      <c r="BS496" s="50"/>
      <c r="BT496" s="50"/>
      <c r="BU496" s="50"/>
    </row>
    <row r="497">
      <c r="A497" s="47">
        <f>IFERROR(__xludf.DUMMYFUNCTION("""COMPUTED_VALUE"""),507.0)</f>
        <v>507</v>
      </c>
      <c r="B497" s="47"/>
      <c r="C497" s="47">
        <f>IFERROR(__xludf.DUMMYFUNCTION("""COMPUTED_VALUE"""),484.0)</f>
        <v>484</v>
      </c>
      <c r="D497" s="47"/>
      <c r="E497" s="39"/>
      <c r="F497" s="39"/>
      <c r="BQ497" s="50"/>
      <c r="BR497" s="50"/>
      <c r="BS497" s="50"/>
      <c r="BT497" s="50"/>
      <c r="BU497" s="50"/>
    </row>
    <row r="498">
      <c r="A498" s="47">
        <f>IFERROR(__xludf.DUMMYFUNCTION("""COMPUTED_VALUE"""),508.0)</f>
        <v>508</v>
      </c>
      <c r="B498" s="47"/>
      <c r="C498" s="47">
        <f>IFERROR(__xludf.DUMMYFUNCTION("""COMPUTED_VALUE"""),484.0)</f>
        <v>484</v>
      </c>
      <c r="D498" s="47"/>
      <c r="E498" s="39"/>
      <c r="F498" s="39" t="str">
        <f>IFERROR(__xludf.DUMMYFUNCTION("""COMPUTED_VALUE"""),"LANZ")</f>
        <v>LANZ</v>
      </c>
      <c r="BQ498" s="50"/>
      <c r="BR498" s="50"/>
      <c r="BS498" s="50"/>
      <c r="BT498" s="50"/>
      <c r="BU498" s="50"/>
    </row>
    <row r="499">
      <c r="A499" s="47">
        <f>IFERROR(__xludf.DUMMYFUNCTION("""COMPUTED_VALUE"""),509.0)</f>
        <v>509</v>
      </c>
      <c r="B499" s="47"/>
      <c r="C499" s="47">
        <f>IFERROR(__xludf.DUMMYFUNCTION("""COMPUTED_VALUE"""),484.0)</f>
        <v>484</v>
      </c>
      <c r="D499" s="47"/>
      <c r="E499" s="39" t="str">
        <f>IFERROR(__xludf.DUMMYFUNCTION("""COMPUTED_VALUE"""),"SALES")</f>
        <v>SALES</v>
      </c>
      <c r="F499" s="39" t="str">
        <f>IFERROR(__xludf.DUMMYFUNCTION("""COMPUTED_VALUE"""),"ARNEl")</f>
        <v>ARNEl</v>
      </c>
      <c r="BQ499" s="50"/>
      <c r="BR499" s="50"/>
      <c r="BS499" s="50"/>
      <c r="BT499" s="50"/>
      <c r="BU499" s="50"/>
    </row>
    <row r="500">
      <c r="A500" s="47">
        <f>IFERROR(__xludf.DUMMYFUNCTION("""COMPUTED_VALUE"""),510.0)</f>
        <v>510</v>
      </c>
      <c r="B500" s="47"/>
      <c r="C500" s="47">
        <f>IFERROR(__xludf.DUMMYFUNCTION("""COMPUTED_VALUE"""),484.0)</f>
        <v>484</v>
      </c>
      <c r="D500" s="47"/>
      <c r="E500" s="39" t="str">
        <f>IFERROR(__xludf.DUMMYFUNCTION("""COMPUTED_VALUE"""),"TOLEDO")</f>
        <v>TOLEDO</v>
      </c>
      <c r="F500" s="39" t="str">
        <f>IFERROR(__xludf.DUMMYFUNCTION("""COMPUTED_VALUE"""),"KYLE")</f>
        <v>KYLE</v>
      </c>
      <c r="BQ500" s="50"/>
      <c r="BR500" s="50"/>
      <c r="BS500" s="50"/>
      <c r="BT500" s="50"/>
      <c r="BU500" s="50"/>
    </row>
    <row r="501">
      <c r="A501" s="47">
        <f>IFERROR(__xludf.DUMMYFUNCTION("""COMPUTED_VALUE"""),511.0)</f>
        <v>511</v>
      </c>
      <c r="B501" s="47"/>
      <c r="C501" s="47">
        <f>IFERROR(__xludf.DUMMYFUNCTION("""COMPUTED_VALUE"""),484.0)</f>
        <v>484</v>
      </c>
      <c r="D501" s="47"/>
      <c r="E501" s="39"/>
      <c r="F501" s="39"/>
      <c r="BQ501" s="50"/>
      <c r="BR501" s="50"/>
      <c r="BS501" s="50"/>
      <c r="BT501" s="50"/>
      <c r="BU501" s="50"/>
    </row>
    <row r="502">
      <c r="A502" s="47">
        <f>IFERROR(__xludf.DUMMYFUNCTION("""COMPUTED_VALUE"""),512.0)</f>
        <v>512</v>
      </c>
      <c r="B502" s="47"/>
      <c r="C502" s="47">
        <f>IFERROR(__xludf.DUMMYFUNCTION("""COMPUTED_VALUE"""),484.0)</f>
        <v>484</v>
      </c>
      <c r="D502" s="47"/>
      <c r="E502" s="39" t="str">
        <f>IFERROR(__xludf.DUMMYFUNCTION("""COMPUTED_VALUE"""),"DE GUZMAN")</f>
        <v>DE GUZMAN</v>
      </c>
      <c r="F502" s="39" t="str">
        <f>IFERROR(__xludf.DUMMYFUNCTION("""COMPUTED_VALUE"""),"ERIN")</f>
        <v>ERIN</v>
      </c>
      <c r="BQ502" s="50"/>
      <c r="BR502" s="50"/>
      <c r="BS502" s="50"/>
      <c r="BT502" s="50"/>
      <c r="BU502" s="50"/>
    </row>
    <row r="503">
      <c r="A503" s="47">
        <f>IFERROR(__xludf.DUMMYFUNCTION("""COMPUTED_VALUE"""),513.0)</f>
        <v>513</v>
      </c>
      <c r="B503" s="47"/>
      <c r="C503" s="47">
        <f>IFERROR(__xludf.DUMMYFUNCTION("""COMPUTED_VALUE"""),484.0)</f>
        <v>484</v>
      </c>
      <c r="D503" s="47"/>
      <c r="E503" s="39" t="str">
        <f>IFERROR(__xludf.DUMMYFUNCTION("""COMPUTED_VALUE"""),"PARAGAS")</f>
        <v>PARAGAS</v>
      </c>
      <c r="F503" s="39" t="str">
        <f>IFERROR(__xludf.DUMMYFUNCTION("""COMPUTED_VALUE"""),"JOHN RUPERT")</f>
        <v>JOHN RUPERT</v>
      </c>
      <c r="BQ503" s="50"/>
      <c r="BR503" s="50"/>
      <c r="BS503" s="50"/>
      <c r="BT503" s="50"/>
      <c r="BU503" s="50"/>
    </row>
    <row r="504">
      <c r="A504" s="47">
        <f>IFERROR(__xludf.DUMMYFUNCTION("""COMPUTED_VALUE"""),514.0)</f>
        <v>514</v>
      </c>
      <c r="B504" s="47"/>
      <c r="C504" s="47">
        <f>IFERROR(__xludf.DUMMYFUNCTION("""COMPUTED_VALUE"""),484.0)</f>
        <v>484</v>
      </c>
      <c r="D504" s="47"/>
      <c r="E504" s="39" t="str">
        <f>IFERROR(__xludf.DUMMYFUNCTION("""COMPUTED_VALUE"""),"MONTESA")</f>
        <v>MONTESA</v>
      </c>
      <c r="F504" s="39" t="str">
        <f>IFERROR(__xludf.DUMMYFUNCTION("""COMPUTED_VALUE"""),"JONAS")</f>
        <v>JONAS</v>
      </c>
      <c r="BQ504" s="50"/>
      <c r="BR504" s="50"/>
      <c r="BS504" s="50"/>
      <c r="BT504" s="50"/>
      <c r="BU504" s="50"/>
    </row>
    <row r="505">
      <c r="A505" s="47">
        <f>IFERROR(__xludf.DUMMYFUNCTION("""COMPUTED_VALUE"""),515.0)</f>
        <v>515</v>
      </c>
      <c r="B505" s="47"/>
      <c r="C505" s="47">
        <f>IFERROR(__xludf.DUMMYFUNCTION("""COMPUTED_VALUE"""),484.0)</f>
        <v>484</v>
      </c>
      <c r="D505" s="47"/>
      <c r="E505" s="39"/>
      <c r="F505" s="39"/>
      <c r="BQ505" s="50"/>
      <c r="BR505" s="50"/>
      <c r="BS505" s="50"/>
      <c r="BT505" s="50"/>
      <c r="BU505" s="50"/>
    </row>
    <row r="506">
      <c r="A506" s="47">
        <f>IFERROR(__xludf.DUMMYFUNCTION("""COMPUTED_VALUE"""),516.0)</f>
        <v>516</v>
      </c>
      <c r="B506" s="47"/>
      <c r="C506" s="47">
        <f>IFERROR(__xludf.DUMMYFUNCTION("""COMPUTED_VALUE"""),484.0)</f>
        <v>484</v>
      </c>
      <c r="D506" s="47"/>
      <c r="E506" s="39" t="str">
        <f>IFERROR(__xludf.DUMMYFUNCTION("""COMPUTED_VALUE"""),"DE GUZMAN")</f>
        <v>DE GUZMAN</v>
      </c>
      <c r="F506" s="39" t="str">
        <f>IFERROR(__xludf.DUMMYFUNCTION("""COMPUTED_VALUE"""),"ERIN")</f>
        <v>ERIN</v>
      </c>
      <c r="BQ506" s="50"/>
      <c r="BR506" s="50"/>
      <c r="BS506" s="50"/>
      <c r="BT506" s="50"/>
      <c r="BU506" s="50"/>
    </row>
    <row r="507">
      <c r="A507" s="47">
        <f>IFERROR(__xludf.DUMMYFUNCTION("""COMPUTED_VALUE"""),517.0)</f>
        <v>517</v>
      </c>
      <c r="B507" s="47"/>
      <c r="C507" s="47">
        <f>IFERROR(__xludf.DUMMYFUNCTION("""COMPUTED_VALUE"""),484.0)</f>
        <v>484</v>
      </c>
      <c r="D507" s="47"/>
      <c r="E507" s="39" t="str">
        <f>IFERROR(__xludf.DUMMYFUNCTION("""COMPUTED_VALUE"""),"PARAGAS")</f>
        <v>PARAGAS</v>
      </c>
      <c r="F507" s="39" t="str">
        <f>IFERROR(__xludf.DUMMYFUNCTION("""COMPUTED_VALUE"""),"JOHN RUPERT")</f>
        <v>JOHN RUPERT</v>
      </c>
      <c r="BQ507" s="50"/>
      <c r="BR507" s="50"/>
      <c r="BS507" s="50"/>
      <c r="BT507" s="50"/>
      <c r="BU507" s="50"/>
    </row>
    <row r="508">
      <c r="A508" s="47">
        <f>IFERROR(__xludf.DUMMYFUNCTION("""COMPUTED_VALUE"""),518.0)</f>
        <v>518</v>
      </c>
      <c r="B508" s="47"/>
      <c r="C508" s="47">
        <f>IFERROR(__xludf.DUMMYFUNCTION("""COMPUTED_VALUE"""),484.0)</f>
        <v>484</v>
      </c>
      <c r="D508" s="47"/>
      <c r="E508" s="27" t="str">
        <f>IFERROR(__xludf.DUMMYFUNCTION("""COMPUTED_VALUE"""),"MONTESA")</f>
        <v>MONTESA</v>
      </c>
      <c r="F508" s="27" t="str">
        <f>IFERROR(__xludf.DUMMYFUNCTION("""COMPUTED_VALUE"""),"JONAS")</f>
        <v>JONAS</v>
      </c>
      <c r="BQ508" s="50"/>
      <c r="BR508" s="50"/>
      <c r="BS508" s="50"/>
      <c r="BT508" s="50"/>
      <c r="BU508" s="50"/>
    </row>
    <row r="509">
      <c r="A509" s="47">
        <f>IFERROR(__xludf.DUMMYFUNCTION("""COMPUTED_VALUE"""),519.0)</f>
        <v>519</v>
      </c>
      <c r="B509" s="47"/>
      <c r="C509" s="47">
        <f>IFERROR(__xludf.DUMMYFUNCTION("""COMPUTED_VALUE"""),484.0)</f>
        <v>484</v>
      </c>
      <c r="D509" s="47"/>
      <c r="E509" s="27"/>
      <c r="F509" s="27"/>
      <c r="BQ509" s="50"/>
      <c r="BR509" s="50"/>
      <c r="BS509" s="50"/>
      <c r="BT509" s="50"/>
      <c r="BU509" s="50"/>
    </row>
    <row r="510">
      <c r="A510" s="47">
        <f>IFERROR(__xludf.DUMMYFUNCTION("""COMPUTED_VALUE"""),520.0)</f>
        <v>520</v>
      </c>
      <c r="B510" s="47"/>
      <c r="C510" s="47">
        <f>IFERROR(__xludf.DUMMYFUNCTION("""COMPUTED_VALUE"""),484.0)</f>
        <v>484</v>
      </c>
      <c r="D510" s="47"/>
      <c r="E510" s="27" t="str">
        <f>IFERROR(__xludf.DUMMYFUNCTION("""COMPUTED_VALUE"""),"DE GUZMAN")</f>
        <v>DE GUZMAN</v>
      </c>
      <c r="F510" s="27" t="str">
        <f>IFERROR(__xludf.DUMMYFUNCTION("""COMPUTED_VALUE"""),"ERIN")</f>
        <v>ERIN</v>
      </c>
      <c r="BQ510" s="50"/>
      <c r="BR510" s="50"/>
      <c r="BS510" s="50"/>
      <c r="BT510" s="50"/>
      <c r="BU510" s="50"/>
    </row>
    <row r="511">
      <c r="A511" s="47">
        <f>IFERROR(__xludf.DUMMYFUNCTION("""COMPUTED_VALUE"""),521.0)</f>
        <v>521</v>
      </c>
      <c r="B511" s="47"/>
      <c r="C511" s="47">
        <f>IFERROR(__xludf.DUMMYFUNCTION("""COMPUTED_VALUE"""),484.0)</f>
        <v>484</v>
      </c>
      <c r="D511" s="47"/>
      <c r="E511" s="27" t="str">
        <f>IFERROR(__xludf.DUMMYFUNCTION("""COMPUTED_VALUE"""),"PARAGAS")</f>
        <v>PARAGAS</v>
      </c>
      <c r="F511" s="27" t="str">
        <f>IFERROR(__xludf.DUMMYFUNCTION("""COMPUTED_VALUE"""),"JOHN RUPERT")</f>
        <v>JOHN RUPERT</v>
      </c>
      <c r="BQ511" s="50"/>
      <c r="BR511" s="50"/>
      <c r="BS511" s="50"/>
      <c r="BT511" s="50"/>
      <c r="BU511" s="50"/>
    </row>
    <row r="512">
      <c r="A512" s="47">
        <f>IFERROR(__xludf.DUMMYFUNCTION("""COMPUTED_VALUE"""),522.0)</f>
        <v>522</v>
      </c>
      <c r="B512" s="47"/>
      <c r="C512" s="47">
        <f>IFERROR(__xludf.DUMMYFUNCTION("""COMPUTED_VALUE"""),484.0)</f>
        <v>484</v>
      </c>
      <c r="D512" s="47"/>
      <c r="E512" s="24" t="str">
        <f>IFERROR(__xludf.DUMMYFUNCTION("""COMPUTED_VALUE"""),"MONTESA")</f>
        <v>MONTESA</v>
      </c>
      <c r="F512" s="24" t="str">
        <f>IFERROR(__xludf.DUMMYFUNCTION("""COMPUTED_VALUE"""),"JONAS")</f>
        <v>JONAS</v>
      </c>
      <c r="BQ512" s="50"/>
      <c r="BR512" s="50"/>
      <c r="BS512" s="50"/>
      <c r="BT512" s="50"/>
      <c r="BU512" s="50"/>
    </row>
    <row r="513">
      <c r="A513" s="47"/>
      <c r="B513" s="47"/>
      <c r="C513" s="47"/>
      <c r="D513" s="47"/>
      <c r="E513" s="27"/>
      <c r="F513" s="27"/>
      <c r="BQ513" s="50"/>
      <c r="BR513" s="50"/>
      <c r="BS513" s="50"/>
      <c r="BT513" s="50"/>
      <c r="BU513" s="50"/>
    </row>
    <row r="514">
      <c r="A514" s="47"/>
      <c r="B514" s="47"/>
      <c r="C514" s="47"/>
      <c r="D514" s="47"/>
      <c r="E514" s="27"/>
      <c r="F514" s="27"/>
      <c r="BQ514" s="50"/>
      <c r="BR514" s="50"/>
      <c r="BS514" s="50"/>
      <c r="BT514" s="50"/>
      <c r="BU514" s="50"/>
    </row>
    <row r="515">
      <c r="A515" s="47"/>
      <c r="B515" s="47"/>
      <c r="C515" s="47"/>
      <c r="D515" s="47"/>
      <c r="E515" s="27"/>
      <c r="F515" s="27"/>
      <c r="BQ515" s="50"/>
      <c r="BR515" s="50"/>
      <c r="BS515" s="50"/>
      <c r="BT515" s="50"/>
      <c r="BU515" s="50"/>
    </row>
    <row r="516">
      <c r="A516" s="47"/>
      <c r="B516" s="47"/>
      <c r="C516" s="47"/>
      <c r="D516" s="47"/>
      <c r="E516" s="27"/>
      <c r="F516" s="27"/>
      <c r="BQ516" s="50"/>
      <c r="BR516" s="50"/>
      <c r="BS516" s="50"/>
      <c r="BT516" s="50"/>
      <c r="BU516" s="50"/>
    </row>
    <row r="517">
      <c r="A517" s="47"/>
      <c r="B517" s="47"/>
      <c r="C517" s="47"/>
      <c r="D517" s="47"/>
      <c r="E517" s="27"/>
      <c r="F517" s="27"/>
      <c r="BQ517" s="50"/>
      <c r="BR517" s="50"/>
      <c r="BS517" s="50"/>
      <c r="BT517" s="50"/>
      <c r="BU517" s="50"/>
    </row>
    <row r="518">
      <c r="A518" s="47"/>
      <c r="B518" s="47"/>
      <c r="C518" s="47"/>
      <c r="D518" s="47"/>
      <c r="E518" s="27"/>
      <c r="F518" s="27"/>
      <c r="BQ518" s="50"/>
      <c r="BR518" s="50"/>
      <c r="BS518" s="50"/>
      <c r="BT518" s="50"/>
      <c r="BU518" s="50"/>
    </row>
    <row r="519">
      <c r="A519" s="47"/>
      <c r="B519" s="47"/>
      <c r="C519" s="47"/>
      <c r="D519" s="47"/>
      <c r="E519" s="34"/>
      <c r="F519" s="34"/>
      <c r="BQ519" s="50"/>
      <c r="BR519" s="50"/>
      <c r="BS519" s="50"/>
      <c r="BT519" s="50"/>
      <c r="BU519" s="50"/>
    </row>
    <row r="520">
      <c r="A520" s="47"/>
      <c r="B520" s="47"/>
      <c r="C520" s="47"/>
      <c r="D520" s="47"/>
      <c r="E520" s="34"/>
      <c r="F520" s="34"/>
      <c r="BQ520" s="50"/>
      <c r="BR520" s="50"/>
      <c r="BS520" s="50"/>
      <c r="BT520" s="50"/>
      <c r="BU520" s="50"/>
    </row>
    <row r="521">
      <c r="A521" s="47"/>
      <c r="B521" s="47"/>
      <c r="C521" s="47"/>
      <c r="D521" s="47"/>
      <c r="E521" s="34"/>
      <c r="F521" s="34"/>
      <c r="BQ521" s="50"/>
      <c r="BR521" s="50"/>
      <c r="BS521" s="50"/>
      <c r="BT521" s="50"/>
      <c r="BU521" s="50"/>
    </row>
    <row r="522">
      <c r="A522" s="47"/>
      <c r="B522" s="47"/>
      <c r="C522" s="47"/>
      <c r="D522" s="47"/>
      <c r="E522" s="34"/>
      <c r="F522" s="34"/>
      <c r="BQ522" s="50"/>
      <c r="BR522" s="50"/>
      <c r="BS522" s="50"/>
      <c r="BT522" s="50"/>
      <c r="BU522" s="50"/>
    </row>
    <row r="523">
      <c r="A523" s="47"/>
      <c r="B523" s="47"/>
      <c r="C523" s="47"/>
      <c r="D523" s="47"/>
      <c r="E523" s="55"/>
      <c r="F523" s="55"/>
      <c r="BQ523" s="50"/>
      <c r="BR523" s="50"/>
      <c r="BS523" s="50"/>
      <c r="BT523" s="50"/>
      <c r="BU523" s="50"/>
    </row>
    <row r="524">
      <c r="A524" s="47"/>
      <c r="B524" s="47"/>
      <c r="C524" s="47"/>
      <c r="D524" s="47"/>
      <c r="E524" s="57"/>
      <c r="F524" s="57"/>
      <c r="BQ524" s="50"/>
      <c r="BR524" s="50"/>
      <c r="BS524" s="50"/>
      <c r="BT524" s="50"/>
      <c r="BU524" s="50"/>
    </row>
    <row r="525">
      <c r="A525" s="47"/>
      <c r="B525" s="47"/>
      <c r="C525" s="47"/>
      <c r="D525" s="47"/>
      <c r="E525" s="58"/>
      <c r="F525" s="58"/>
      <c r="BQ525" s="50"/>
      <c r="BR525" s="50"/>
      <c r="BS525" s="50"/>
      <c r="BT525" s="50"/>
      <c r="BU525" s="50"/>
    </row>
    <row r="526">
      <c r="A526" s="47"/>
      <c r="B526" s="47"/>
      <c r="C526" s="47"/>
      <c r="D526" s="47"/>
      <c r="E526" s="58"/>
      <c r="F526" s="58"/>
      <c r="BQ526" s="50"/>
      <c r="BR526" s="50"/>
      <c r="BS526" s="50"/>
      <c r="BT526" s="50"/>
      <c r="BU526" s="50"/>
    </row>
    <row r="527">
      <c r="A527" s="47"/>
      <c r="B527" s="47"/>
      <c r="C527" s="47"/>
      <c r="D527" s="47"/>
      <c r="E527" s="60"/>
      <c r="F527" s="60"/>
      <c r="BQ527" s="50"/>
      <c r="BR527" s="50"/>
      <c r="BS527" s="50"/>
      <c r="BT527" s="50"/>
      <c r="BU527" s="50"/>
    </row>
    <row r="528">
      <c r="A528" s="47"/>
      <c r="B528" s="47"/>
      <c r="C528" s="47"/>
      <c r="D528" s="47"/>
      <c r="E528" s="58"/>
      <c r="F528" s="58"/>
      <c r="BQ528" s="50"/>
      <c r="BR528" s="50"/>
      <c r="BS528" s="50"/>
      <c r="BT528" s="50"/>
      <c r="BU528" s="50"/>
    </row>
    <row r="529">
      <c r="A529" s="47"/>
      <c r="B529" s="47"/>
      <c r="C529" s="47"/>
      <c r="D529" s="47"/>
      <c r="E529" s="57"/>
      <c r="F529" s="57"/>
      <c r="BQ529" s="50"/>
      <c r="BR529" s="50"/>
      <c r="BS529" s="50"/>
      <c r="BT529" s="50"/>
      <c r="BU529" s="50"/>
    </row>
    <row r="530">
      <c r="A530" s="47"/>
      <c r="B530" s="47"/>
      <c r="C530" s="47"/>
      <c r="D530" s="47"/>
      <c r="E530" s="58"/>
      <c r="F530" s="58"/>
      <c r="BQ530" s="50"/>
      <c r="BR530" s="50"/>
      <c r="BS530" s="50"/>
      <c r="BT530" s="50"/>
      <c r="BU530" s="50"/>
    </row>
    <row r="531">
      <c r="A531" s="47"/>
      <c r="B531" s="47"/>
      <c r="C531" s="47"/>
      <c r="D531" s="47"/>
      <c r="E531" s="58"/>
      <c r="F531" s="58"/>
      <c r="BQ531" s="50"/>
      <c r="BR531" s="50"/>
      <c r="BS531" s="50"/>
      <c r="BT531" s="50"/>
      <c r="BU531" s="50"/>
    </row>
    <row r="532">
      <c r="A532" s="47"/>
      <c r="B532" s="47"/>
      <c r="C532" s="47"/>
      <c r="D532" s="47"/>
      <c r="E532" s="58"/>
      <c r="F532" s="58"/>
      <c r="BQ532" s="50"/>
      <c r="BR532" s="50"/>
      <c r="BS532" s="50"/>
      <c r="BT532" s="50"/>
      <c r="BU532" s="50"/>
    </row>
    <row r="533">
      <c r="A533" s="47"/>
      <c r="B533" s="47"/>
      <c r="C533" s="47"/>
      <c r="D533" s="47"/>
      <c r="E533" s="58"/>
      <c r="F533" s="58"/>
      <c r="BQ533" s="50"/>
      <c r="BR533" s="50"/>
      <c r="BS533" s="50"/>
      <c r="BT533" s="50"/>
      <c r="BU533" s="50"/>
    </row>
    <row r="534">
      <c r="A534" s="47"/>
      <c r="B534" s="47"/>
      <c r="C534" s="47"/>
      <c r="D534" s="47"/>
      <c r="E534" s="57"/>
      <c r="F534" s="57"/>
      <c r="BQ534" s="50"/>
      <c r="BR534" s="50"/>
      <c r="BS534" s="50"/>
      <c r="BT534" s="50"/>
      <c r="BU534" s="50"/>
    </row>
    <row r="535">
      <c r="A535" s="47"/>
      <c r="B535" s="47"/>
      <c r="C535" s="47"/>
      <c r="D535" s="47"/>
      <c r="E535" s="58"/>
      <c r="F535" s="58"/>
      <c r="BQ535" s="50"/>
      <c r="BR535" s="50"/>
      <c r="BS535" s="50"/>
      <c r="BT535" s="50"/>
      <c r="BU535" s="50"/>
    </row>
    <row r="536">
      <c r="A536" s="47"/>
      <c r="B536" s="47"/>
      <c r="C536" s="47"/>
      <c r="D536" s="47"/>
      <c r="E536" s="62"/>
      <c r="F536" s="62"/>
      <c r="BQ536" s="50"/>
      <c r="BR536" s="50"/>
      <c r="BS536" s="50"/>
      <c r="BT536" s="50"/>
      <c r="BU536" s="50"/>
    </row>
    <row r="537">
      <c r="A537" s="47"/>
      <c r="B537" s="47"/>
      <c r="C537" s="47"/>
      <c r="D537" s="47"/>
      <c r="E537" s="63"/>
      <c r="F537" s="63"/>
      <c r="BQ537" s="50"/>
      <c r="BR537" s="50"/>
      <c r="BS537" s="50"/>
      <c r="BT537" s="50"/>
      <c r="BU537" s="50"/>
    </row>
    <row r="538">
      <c r="A538" s="47"/>
      <c r="B538" s="47"/>
      <c r="C538" s="47"/>
      <c r="D538" s="47"/>
      <c r="E538" s="63"/>
      <c r="F538" s="63"/>
      <c r="BQ538" s="50"/>
      <c r="BR538" s="50"/>
      <c r="BS538" s="50"/>
      <c r="BT538" s="50"/>
      <c r="BU538" s="50"/>
    </row>
    <row r="539">
      <c r="A539" s="47"/>
      <c r="B539" s="47"/>
      <c r="C539" s="47"/>
      <c r="D539" s="47"/>
      <c r="E539" s="64"/>
      <c r="F539" s="64"/>
      <c r="BQ539" s="50"/>
      <c r="BR539" s="50"/>
      <c r="BS539" s="50"/>
      <c r="BT539" s="50"/>
      <c r="BU539" s="50"/>
    </row>
    <row r="540">
      <c r="A540" s="47"/>
      <c r="B540" s="47"/>
      <c r="C540" s="47"/>
      <c r="D540" s="47"/>
      <c r="E540" s="66"/>
      <c r="F540" s="66"/>
      <c r="BQ540" s="50"/>
      <c r="BR540" s="50"/>
      <c r="BS540" s="50"/>
      <c r="BT540" s="50"/>
      <c r="BU540" s="50"/>
    </row>
    <row r="541">
      <c r="A541" s="47"/>
      <c r="B541" s="47"/>
      <c r="C541" s="47"/>
      <c r="D541" s="47"/>
      <c r="E541" s="66"/>
      <c r="F541" s="66"/>
      <c r="BQ541" s="50"/>
      <c r="BR541" s="50"/>
      <c r="BS541" s="50"/>
      <c r="BT541" s="50"/>
      <c r="BU541" s="50"/>
    </row>
    <row r="542">
      <c r="A542" s="47"/>
      <c r="B542" s="47"/>
      <c r="C542" s="47"/>
      <c r="D542" s="47"/>
      <c r="E542" s="66"/>
      <c r="F542" s="66"/>
      <c r="BQ542" s="50"/>
      <c r="BR542" s="50"/>
      <c r="BS542" s="50"/>
      <c r="BT542" s="50"/>
      <c r="BU542" s="50"/>
    </row>
    <row r="543">
      <c r="A543" s="47"/>
      <c r="B543" s="47"/>
      <c r="C543" s="47"/>
      <c r="D543" s="47"/>
      <c r="E543" s="66"/>
      <c r="F543" s="66"/>
      <c r="BQ543" s="50"/>
      <c r="BR543" s="50"/>
      <c r="BS543" s="50"/>
      <c r="BT543" s="50"/>
      <c r="BU543" s="50"/>
    </row>
    <row r="544">
      <c r="A544" s="47"/>
      <c r="B544" s="47"/>
      <c r="C544" s="47"/>
      <c r="D544" s="47"/>
      <c r="E544" s="69"/>
      <c r="F544" s="63"/>
      <c r="BQ544" s="50"/>
      <c r="BR544" s="50"/>
      <c r="BS544" s="50"/>
      <c r="BT544" s="50"/>
      <c r="BU544" s="50"/>
    </row>
    <row r="545">
      <c r="A545" s="47"/>
      <c r="B545" s="47"/>
      <c r="C545" s="47"/>
      <c r="D545" s="47"/>
      <c r="E545" s="70"/>
      <c r="F545" s="70"/>
      <c r="BQ545" s="50"/>
      <c r="BR545" s="50"/>
      <c r="BS545" s="50"/>
      <c r="BT545" s="50"/>
      <c r="BU545" s="50"/>
    </row>
    <row r="546">
      <c r="A546" s="47"/>
      <c r="B546" s="47"/>
      <c r="C546" s="47"/>
      <c r="D546" s="47"/>
      <c r="E546" s="70"/>
      <c r="F546" s="70"/>
      <c r="BQ546" s="50"/>
      <c r="BR546" s="50"/>
      <c r="BS546" s="50"/>
      <c r="BT546" s="50"/>
      <c r="BU546" s="50"/>
    </row>
    <row r="547">
      <c r="A547" s="47"/>
      <c r="B547" s="47"/>
      <c r="C547" s="47"/>
      <c r="D547" s="47"/>
      <c r="E547" s="70"/>
      <c r="F547" s="70"/>
      <c r="BQ547" s="50"/>
      <c r="BR547" s="50"/>
      <c r="BS547" s="50"/>
      <c r="BT547" s="50"/>
      <c r="BU547" s="50"/>
    </row>
    <row r="548">
      <c r="A548" s="47"/>
      <c r="B548" s="47"/>
      <c r="C548" s="47"/>
      <c r="D548" s="47"/>
      <c r="E548" s="70"/>
      <c r="F548" s="70"/>
      <c r="BQ548" s="50"/>
      <c r="BR548" s="50"/>
      <c r="BS548" s="50"/>
      <c r="BT548" s="50"/>
      <c r="BU548" s="50"/>
    </row>
    <row r="549">
      <c r="A549" s="47"/>
      <c r="B549" s="47"/>
      <c r="C549" s="47"/>
      <c r="D549" s="47"/>
      <c r="E549" s="70"/>
      <c r="F549" s="70"/>
      <c r="BQ549" s="50"/>
      <c r="BR549" s="50"/>
      <c r="BS549" s="50"/>
      <c r="BT549" s="50"/>
      <c r="BU549" s="50"/>
    </row>
    <row r="550">
      <c r="A550" s="47"/>
      <c r="B550" s="47"/>
      <c r="C550" s="47"/>
      <c r="D550" s="47"/>
      <c r="E550" s="70"/>
      <c r="F550" s="70"/>
      <c r="BQ550" s="50"/>
      <c r="BR550" s="50"/>
      <c r="BS550" s="50"/>
      <c r="BT550" s="50"/>
      <c r="BU550" s="50"/>
    </row>
    <row r="551">
      <c r="A551" s="47"/>
      <c r="B551" s="47"/>
      <c r="C551" s="47"/>
      <c r="D551" s="47"/>
      <c r="E551" s="70"/>
      <c r="F551" s="70"/>
      <c r="BQ551" s="50"/>
      <c r="BR551" s="50"/>
      <c r="BS551" s="50"/>
      <c r="BT551" s="50"/>
      <c r="BU551" s="50"/>
    </row>
    <row r="552">
      <c r="A552" s="47"/>
      <c r="B552" s="47"/>
      <c r="C552" s="47"/>
      <c r="D552" s="47"/>
      <c r="E552" s="70"/>
      <c r="F552" s="70"/>
      <c r="BQ552" s="50"/>
      <c r="BR552" s="50"/>
      <c r="BS552" s="50"/>
      <c r="BT552" s="50"/>
      <c r="BU552" s="50"/>
    </row>
    <row r="553">
      <c r="A553" s="47"/>
      <c r="B553" s="47"/>
      <c r="C553" s="47"/>
      <c r="D553" s="47"/>
      <c r="E553" s="70"/>
      <c r="F553" s="70"/>
      <c r="BQ553" s="50"/>
      <c r="BR553" s="50"/>
      <c r="BS553" s="50"/>
      <c r="BT553" s="50"/>
      <c r="BU553" s="50"/>
    </row>
    <row r="554">
      <c r="A554" s="47"/>
      <c r="B554" s="47"/>
      <c r="C554" s="47"/>
      <c r="D554" s="47"/>
      <c r="E554" s="70"/>
      <c r="F554" s="70"/>
      <c r="BQ554" s="50"/>
      <c r="BR554" s="50"/>
      <c r="BS554" s="50"/>
      <c r="BT554" s="50"/>
      <c r="BU554" s="50"/>
    </row>
    <row r="555">
      <c r="A555" s="47"/>
      <c r="B555" s="47"/>
      <c r="C555" s="47"/>
      <c r="D555" s="47"/>
      <c r="E555" s="70"/>
      <c r="F555" s="70"/>
      <c r="BQ555" s="50"/>
      <c r="BR555" s="50"/>
      <c r="BS555" s="50"/>
      <c r="BT555" s="50"/>
      <c r="BU555" s="50"/>
    </row>
    <row r="556">
      <c r="A556" s="47"/>
      <c r="B556" s="47"/>
      <c r="C556" s="47"/>
      <c r="D556" s="47"/>
      <c r="E556" s="70"/>
      <c r="F556" s="70"/>
      <c r="BQ556" s="50"/>
      <c r="BR556" s="50"/>
      <c r="BS556" s="50"/>
      <c r="BT556" s="50"/>
      <c r="BU556" s="50"/>
    </row>
    <row r="557">
      <c r="A557" s="47"/>
      <c r="B557" s="47"/>
      <c r="C557" s="47"/>
      <c r="D557" s="47"/>
      <c r="E557" s="70"/>
      <c r="F557" s="70"/>
      <c r="BQ557" s="50"/>
      <c r="BR557" s="50"/>
      <c r="BS557" s="50"/>
      <c r="BT557" s="50"/>
      <c r="BU557" s="50"/>
    </row>
    <row r="558">
      <c r="A558" s="47"/>
      <c r="B558" s="47"/>
      <c r="C558" s="47"/>
      <c r="D558" s="47"/>
      <c r="E558" s="70"/>
      <c r="F558" s="70"/>
      <c r="BQ558" s="50"/>
      <c r="BR558" s="50"/>
      <c r="BS558" s="50"/>
      <c r="BT558" s="50"/>
      <c r="BU558" s="50"/>
    </row>
    <row r="559">
      <c r="A559" s="47"/>
      <c r="B559" s="47"/>
      <c r="C559" s="47"/>
      <c r="D559" s="47"/>
      <c r="E559" s="70"/>
      <c r="F559" s="70"/>
      <c r="BQ559" s="50"/>
      <c r="BR559" s="50"/>
      <c r="BS559" s="50"/>
      <c r="BT559" s="50"/>
      <c r="BU559" s="50"/>
    </row>
    <row r="560">
      <c r="A560" s="47"/>
      <c r="B560" s="47"/>
      <c r="C560" s="47"/>
      <c r="D560" s="47"/>
      <c r="E560" s="70"/>
      <c r="F560" s="70"/>
      <c r="BQ560" s="50"/>
      <c r="BR560" s="50"/>
      <c r="BS560" s="50"/>
      <c r="BT560" s="50"/>
      <c r="BU560" s="50"/>
    </row>
    <row r="561">
      <c r="A561" s="47"/>
      <c r="B561" s="47"/>
      <c r="C561" s="47"/>
      <c r="D561" s="47"/>
      <c r="E561" s="70"/>
      <c r="F561" s="70"/>
      <c r="BQ561" s="50"/>
      <c r="BR561" s="50"/>
      <c r="BS561" s="50"/>
      <c r="BT561" s="50"/>
      <c r="BU561" s="50"/>
    </row>
    <row r="562">
      <c r="A562" s="47"/>
      <c r="B562" s="47"/>
      <c r="C562" s="47"/>
      <c r="D562" s="47"/>
      <c r="E562" s="70"/>
      <c r="F562" s="70"/>
      <c r="BQ562" s="50"/>
      <c r="BR562" s="50"/>
      <c r="BS562" s="50"/>
      <c r="BT562" s="50"/>
      <c r="BU562" s="50"/>
    </row>
    <row r="563">
      <c r="A563" s="47"/>
      <c r="B563" s="47"/>
      <c r="C563" s="47"/>
      <c r="D563" s="47"/>
      <c r="E563" s="70"/>
      <c r="F563" s="70"/>
      <c r="BQ563" s="50"/>
      <c r="BR563" s="50"/>
      <c r="BS563" s="50"/>
      <c r="BT563" s="50"/>
      <c r="BU563" s="50"/>
    </row>
    <row r="564">
      <c r="A564" s="47"/>
      <c r="B564" s="47"/>
      <c r="C564" s="47"/>
      <c r="D564" s="47"/>
      <c r="E564" s="70"/>
      <c r="F564" s="70"/>
      <c r="BQ564" s="50"/>
      <c r="BR564" s="50"/>
      <c r="BS564" s="50"/>
      <c r="BT564" s="50"/>
      <c r="BU564" s="50"/>
    </row>
    <row r="565">
      <c r="A565" s="47"/>
      <c r="B565" s="47"/>
      <c r="C565" s="47"/>
      <c r="D565" s="47"/>
      <c r="E565" s="47"/>
      <c r="F565" s="47"/>
      <c r="BQ565" s="50"/>
      <c r="BR565" s="50"/>
      <c r="BS565" s="50"/>
      <c r="BT565" s="50"/>
      <c r="BU565" s="50"/>
    </row>
    <row r="566">
      <c r="A566" s="47"/>
      <c r="B566" s="47"/>
      <c r="C566" s="47"/>
      <c r="D566" s="47"/>
      <c r="E566" s="55"/>
      <c r="F566" s="55"/>
      <c r="BQ566" s="50"/>
      <c r="BR566" s="50"/>
      <c r="BS566" s="50"/>
      <c r="BT566" s="50"/>
      <c r="BU566" s="50"/>
    </row>
    <row r="567">
      <c r="A567" s="47"/>
      <c r="B567" s="47"/>
      <c r="C567" s="47"/>
      <c r="D567" s="47"/>
      <c r="E567" s="73"/>
      <c r="F567" s="58"/>
      <c r="BQ567" s="50"/>
      <c r="BR567" s="50"/>
      <c r="BS567" s="50"/>
      <c r="BT567" s="50"/>
      <c r="BU567" s="50"/>
    </row>
    <row r="568">
      <c r="A568" s="47"/>
      <c r="B568" s="47"/>
      <c r="C568" s="47"/>
      <c r="D568" s="47"/>
      <c r="E568" s="58"/>
      <c r="F568" s="58"/>
      <c r="BQ568" s="50"/>
      <c r="BR568" s="50"/>
      <c r="BS568" s="50"/>
      <c r="BT568" s="50"/>
      <c r="BU568" s="50"/>
    </row>
    <row r="569">
      <c r="A569" s="47"/>
      <c r="B569" s="47"/>
      <c r="C569" s="47"/>
      <c r="D569" s="47"/>
      <c r="E569" s="74"/>
      <c r="F569" s="58"/>
      <c r="BQ569" s="50"/>
      <c r="BR569" s="50"/>
      <c r="BS569" s="50"/>
      <c r="BT569" s="50"/>
      <c r="BU569" s="50"/>
    </row>
    <row r="570">
      <c r="A570" s="47"/>
      <c r="B570" s="47"/>
      <c r="C570" s="47"/>
      <c r="D570" s="47"/>
      <c r="E570" s="58"/>
      <c r="F570" s="58"/>
      <c r="BQ570" s="50"/>
      <c r="BR570" s="50"/>
      <c r="BS570" s="50"/>
      <c r="BT570" s="50"/>
      <c r="BU570" s="50"/>
    </row>
    <row r="571">
      <c r="A571" s="47"/>
      <c r="B571" s="47"/>
      <c r="C571" s="47"/>
      <c r="D571" s="47"/>
      <c r="E571" s="58"/>
      <c r="F571" s="58"/>
      <c r="BQ571" s="50"/>
      <c r="BR571" s="50"/>
      <c r="BS571" s="50"/>
      <c r="BT571" s="50"/>
      <c r="BU571" s="50"/>
    </row>
    <row r="572">
      <c r="A572" s="47"/>
      <c r="B572" s="47"/>
      <c r="C572" s="47"/>
      <c r="D572" s="47"/>
      <c r="E572" s="58"/>
      <c r="F572" s="58"/>
      <c r="BQ572" s="50"/>
      <c r="BR572" s="50"/>
      <c r="BS572" s="50"/>
      <c r="BT572" s="50"/>
      <c r="BU572" s="50"/>
    </row>
    <row r="573">
      <c r="A573" s="47"/>
      <c r="B573" s="47"/>
      <c r="C573" s="47"/>
      <c r="D573" s="47"/>
      <c r="E573" s="58"/>
      <c r="F573" s="58"/>
      <c r="BQ573" s="50"/>
      <c r="BR573" s="50"/>
      <c r="BS573" s="50"/>
      <c r="BT573" s="50"/>
      <c r="BU573" s="50"/>
    </row>
    <row r="574">
      <c r="A574" s="47"/>
      <c r="B574" s="47"/>
      <c r="C574" s="47"/>
      <c r="D574" s="47"/>
      <c r="E574" s="58"/>
      <c r="F574" s="58"/>
      <c r="BQ574" s="50"/>
      <c r="BR574" s="50"/>
      <c r="BS574" s="50"/>
      <c r="BT574" s="50"/>
      <c r="BU574" s="50"/>
    </row>
    <row r="575">
      <c r="A575" s="47"/>
      <c r="B575" s="47"/>
      <c r="C575" s="47"/>
      <c r="D575" s="47"/>
      <c r="E575" s="58"/>
      <c r="F575" s="58"/>
      <c r="BQ575" s="50"/>
      <c r="BR575" s="50"/>
      <c r="BS575" s="50"/>
      <c r="BT575" s="50"/>
      <c r="BU575" s="50"/>
    </row>
    <row r="576">
      <c r="A576" s="47"/>
      <c r="B576" s="47"/>
      <c r="C576" s="47"/>
      <c r="D576" s="47"/>
      <c r="E576" s="58"/>
      <c r="F576" s="58"/>
      <c r="BQ576" s="50"/>
      <c r="BR576" s="50"/>
      <c r="BS576" s="50"/>
      <c r="BT576" s="50"/>
      <c r="BU576" s="50"/>
    </row>
    <row r="577">
      <c r="A577" s="47"/>
      <c r="B577" s="47"/>
      <c r="C577" s="47"/>
      <c r="D577" s="47"/>
      <c r="E577" s="58"/>
      <c r="F577" s="58"/>
      <c r="BQ577" s="50"/>
      <c r="BR577" s="50"/>
      <c r="BS577" s="50"/>
      <c r="BT577" s="50"/>
      <c r="BU577" s="50"/>
    </row>
    <row r="578">
      <c r="A578" s="47"/>
      <c r="B578" s="47"/>
      <c r="C578" s="47"/>
      <c r="D578" s="47"/>
      <c r="E578" s="58"/>
      <c r="F578" s="58"/>
      <c r="BQ578" s="50"/>
      <c r="BR578" s="50"/>
      <c r="BS578" s="50"/>
      <c r="BT578" s="50"/>
      <c r="BU578" s="50"/>
    </row>
    <row r="579">
      <c r="A579" s="47"/>
      <c r="B579" s="47"/>
      <c r="C579" s="47"/>
      <c r="D579" s="47"/>
      <c r="E579" s="58"/>
      <c r="F579" s="58"/>
      <c r="BQ579" s="50"/>
      <c r="BR579" s="50"/>
      <c r="BS579" s="50"/>
      <c r="BT579" s="50"/>
      <c r="BU579" s="50"/>
    </row>
    <row r="580">
      <c r="A580" s="47"/>
      <c r="B580" s="47"/>
      <c r="C580" s="47"/>
      <c r="D580" s="47"/>
      <c r="E580" s="58"/>
      <c r="F580" s="58"/>
      <c r="BQ580" s="50"/>
      <c r="BR580" s="50"/>
      <c r="BS580" s="50"/>
      <c r="BT580" s="50"/>
      <c r="BU580" s="50"/>
    </row>
    <row r="581">
      <c r="A581" s="47"/>
      <c r="B581" s="47"/>
      <c r="C581" s="47"/>
      <c r="D581" s="47"/>
      <c r="E581" s="58"/>
      <c r="F581" s="58"/>
      <c r="BQ581" s="50"/>
      <c r="BR581" s="50"/>
      <c r="BS581" s="50"/>
      <c r="BT581" s="50"/>
      <c r="BU581" s="50"/>
    </row>
    <row r="582">
      <c r="A582" s="47"/>
      <c r="B582" s="47"/>
      <c r="C582" s="47"/>
      <c r="D582" s="47"/>
      <c r="E582" s="58"/>
      <c r="F582" s="58"/>
      <c r="BQ582" s="50"/>
      <c r="BR582" s="50"/>
      <c r="BS582" s="50"/>
      <c r="BT582" s="50"/>
      <c r="BU582" s="50"/>
    </row>
    <row r="583">
      <c r="A583" s="47"/>
      <c r="B583" s="47"/>
      <c r="C583" s="47"/>
      <c r="D583" s="47"/>
      <c r="E583" s="58"/>
      <c r="F583" s="58"/>
      <c r="BQ583" s="50"/>
      <c r="BR583" s="50"/>
      <c r="BS583" s="50"/>
      <c r="BT583" s="50"/>
      <c r="BU583" s="50"/>
    </row>
    <row r="584">
      <c r="A584" s="47"/>
      <c r="B584" s="47"/>
      <c r="C584" s="47"/>
      <c r="D584" s="47"/>
      <c r="E584" s="23"/>
      <c r="F584" s="58"/>
      <c r="BQ584" s="50"/>
      <c r="BR584" s="50"/>
      <c r="BS584" s="50"/>
      <c r="BT584" s="50"/>
      <c r="BU584" s="50"/>
    </row>
    <row r="585">
      <c r="A585" s="47"/>
      <c r="B585" s="47"/>
      <c r="C585" s="47"/>
      <c r="D585" s="47"/>
      <c r="E585" s="47"/>
      <c r="F585" s="47"/>
      <c r="BQ585" s="50"/>
      <c r="BR585" s="50"/>
      <c r="BS585" s="50"/>
      <c r="BT585" s="50"/>
      <c r="BU585" s="50"/>
    </row>
    <row r="586">
      <c r="A586" s="47"/>
      <c r="B586" s="47"/>
      <c r="C586" s="47"/>
      <c r="D586" s="47"/>
      <c r="E586" s="55"/>
      <c r="F586" s="55"/>
      <c r="BQ586" s="50"/>
      <c r="BR586" s="50"/>
      <c r="BS586" s="50"/>
      <c r="BT586" s="50"/>
      <c r="BU586" s="50"/>
    </row>
    <row r="587">
      <c r="A587" s="47"/>
      <c r="B587" s="47"/>
      <c r="C587" s="47"/>
      <c r="D587" s="47"/>
      <c r="E587" s="62"/>
      <c r="F587" s="62"/>
      <c r="BQ587" s="50"/>
      <c r="BR587" s="50"/>
      <c r="BS587" s="50"/>
      <c r="BT587" s="50"/>
      <c r="BU587" s="50"/>
    </row>
    <row r="588">
      <c r="A588" s="47"/>
      <c r="B588" s="47"/>
      <c r="C588" s="47"/>
      <c r="D588" s="47"/>
      <c r="E588" s="62"/>
      <c r="F588" s="62"/>
      <c r="BQ588" s="50"/>
      <c r="BR588" s="50"/>
      <c r="BS588" s="50"/>
      <c r="BT588" s="50"/>
      <c r="BU588" s="50"/>
    </row>
    <row r="589">
      <c r="A589" s="47"/>
      <c r="B589" s="47"/>
      <c r="C589" s="47"/>
      <c r="D589" s="47"/>
      <c r="E589" s="62"/>
      <c r="F589" s="62"/>
      <c r="BQ589" s="50"/>
      <c r="BR589" s="50"/>
      <c r="BS589" s="50"/>
      <c r="BT589" s="50"/>
      <c r="BU589" s="50"/>
    </row>
    <row r="590">
      <c r="A590" s="47"/>
      <c r="B590" s="47"/>
      <c r="C590" s="47"/>
      <c r="D590" s="47"/>
      <c r="E590" s="62"/>
      <c r="F590" s="62"/>
      <c r="BQ590" s="50"/>
      <c r="BR590" s="50"/>
      <c r="BS590" s="50"/>
      <c r="BT590" s="50"/>
      <c r="BU590" s="50"/>
    </row>
    <row r="591">
      <c r="A591" s="47"/>
      <c r="B591" s="47"/>
      <c r="C591" s="47"/>
      <c r="D591" s="47"/>
      <c r="E591" s="62"/>
      <c r="F591" s="62"/>
      <c r="BQ591" s="50"/>
      <c r="BR591" s="50"/>
      <c r="BS591" s="50"/>
      <c r="BT591" s="50"/>
      <c r="BU591" s="50"/>
    </row>
    <row r="592">
      <c r="A592" s="47"/>
      <c r="B592" s="47"/>
      <c r="C592" s="47"/>
      <c r="D592" s="47"/>
      <c r="E592" s="62"/>
      <c r="F592" s="62"/>
      <c r="BQ592" s="50"/>
      <c r="BR592" s="50"/>
      <c r="BS592" s="50"/>
      <c r="BT592" s="50"/>
      <c r="BU592" s="50"/>
    </row>
    <row r="593">
      <c r="A593" s="47"/>
      <c r="B593" s="47"/>
      <c r="C593" s="47"/>
      <c r="D593" s="47"/>
      <c r="E593" s="62"/>
      <c r="F593" s="62"/>
      <c r="BQ593" s="50"/>
      <c r="BR593" s="50"/>
      <c r="BS593" s="50"/>
      <c r="BT593" s="50"/>
      <c r="BU593" s="50"/>
    </row>
    <row r="594">
      <c r="A594" s="47"/>
      <c r="B594" s="47"/>
      <c r="C594" s="47"/>
      <c r="D594" s="47"/>
      <c r="E594" s="62"/>
      <c r="F594" s="62"/>
      <c r="BQ594" s="50"/>
      <c r="BR594" s="50"/>
      <c r="BS594" s="50"/>
      <c r="BT594" s="50"/>
      <c r="BU594" s="50"/>
    </row>
    <row r="595">
      <c r="A595" s="47"/>
      <c r="B595" s="47"/>
      <c r="C595" s="47"/>
      <c r="D595" s="47"/>
      <c r="E595" s="62"/>
      <c r="F595" s="62"/>
      <c r="BQ595" s="50"/>
      <c r="BR595" s="50"/>
      <c r="BS595" s="50"/>
      <c r="BT595" s="50"/>
      <c r="BU595" s="50"/>
    </row>
    <row r="596">
      <c r="A596" s="47"/>
      <c r="B596" s="47"/>
      <c r="C596" s="47"/>
      <c r="D596" s="47"/>
      <c r="E596" s="62"/>
      <c r="F596" s="62"/>
      <c r="BQ596" s="50"/>
      <c r="BR596" s="50"/>
      <c r="BS596" s="50"/>
      <c r="BT596" s="50"/>
      <c r="BU596" s="50"/>
    </row>
    <row r="597">
      <c r="A597" s="47"/>
      <c r="B597" s="47"/>
      <c r="C597" s="47"/>
      <c r="D597" s="47"/>
      <c r="E597" s="62"/>
      <c r="F597" s="62"/>
      <c r="BQ597" s="50"/>
      <c r="BR597" s="50"/>
      <c r="BS597" s="50"/>
      <c r="BT597" s="50"/>
      <c r="BU597" s="50"/>
    </row>
    <row r="598">
      <c r="A598" s="47"/>
      <c r="B598" s="47"/>
      <c r="C598" s="47"/>
      <c r="D598" s="47"/>
      <c r="E598" s="62"/>
      <c r="F598" s="62"/>
      <c r="BQ598" s="50"/>
      <c r="BR598" s="50"/>
      <c r="BS598" s="50"/>
      <c r="BT598" s="50"/>
      <c r="BU598" s="50"/>
    </row>
    <row r="599">
      <c r="A599" s="47"/>
      <c r="B599" s="47"/>
      <c r="C599" s="47"/>
      <c r="D599" s="47"/>
      <c r="E599" s="62"/>
      <c r="F599" s="62"/>
      <c r="BQ599" s="50"/>
      <c r="BR599" s="50"/>
      <c r="BS599" s="50"/>
      <c r="BT599" s="50"/>
      <c r="BU599" s="50"/>
    </row>
    <row r="600">
      <c r="A600" s="47"/>
      <c r="B600" s="47"/>
      <c r="C600" s="47"/>
      <c r="D600" s="47"/>
      <c r="E600" s="62"/>
      <c r="F600" s="62"/>
      <c r="BQ600" s="50"/>
      <c r="BR600" s="50"/>
      <c r="BS600" s="50"/>
      <c r="BT600" s="50"/>
      <c r="BU600" s="50"/>
    </row>
    <row r="601">
      <c r="A601" s="47"/>
      <c r="B601" s="47"/>
      <c r="C601" s="47"/>
      <c r="D601" s="47"/>
      <c r="E601" s="62"/>
      <c r="F601" s="62"/>
      <c r="BQ601" s="50"/>
      <c r="BR601" s="50"/>
      <c r="BS601" s="50"/>
      <c r="BT601" s="50"/>
      <c r="BU601" s="50"/>
    </row>
    <row r="602">
      <c r="A602" s="47"/>
      <c r="B602" s="47"/>
      <c r="C602" s="47"/>
      <c r="D602" s="47"/>
      <c r="E602" s="62"/>
      <c r="F602" s="62"/>
      <c r="BQ602" s="50"/>
      <c r="BR602" s="50"/>
      <c r="BS602" s="50"/>
      <c r="BT602" s="50"/>
      <c r="BU602" s="50"/>
    </row>
    <row r="603">
      <c r="A603" s="47"/>
      <c r="B603" s="47"/>
      <c r="C603" s="47"/>
      <c r="D603" s="47"/>
      <c r="E603" s="62"/>
      <c r="F603" s="62"/>
      <c r="BQ603" s="50"/>
      <c r="BR603" s="50"/>
      <c r="BS603" s="50"/>
      <c r="BT603" s="50"/>
      <c r="BU603" s="50"/>
    </row>
    <row r="604">
      <c r="A604" s="47"/>
      <c r="B604" s="47"/>
      <c r="C604" s="47"/>
      <c r="D604" s="47"/>
      <c r="E604" s="62"/>
      <c r="F604" s="62"/>
      <c r="BQ604" s="50"/>
      <c r="BR604" s="50"/>
      <c r="BS604" s="50"/>
      <c r="BT604" s="50"/>
      <c r="BU604" s="50"/>
    </row>
    <row r="605">
      <c r="A605" s="47"/>
      <c r="B605" s="47"/>
      <c r="C605" s="47"/>
      <c r="D605" s="47"/>
      <c r="E605" s="62"/>
      <c r="F605" s="62"/>
      <c r="BQ605" s="50"/>
      <c r="BR605" s="50"/>
      <c r="BS605" s="50"/>
      <c r="BT605" s="50"/>
      <c r="BU605" s="50"/>
    </row>
    <row r="606">
      <c r="A606" s="47"/>
      <c r="B606" s="47"/>
      <c r="C606" s="47"/>
      <c r="D606" s="47"/>
      <c r="E606" s="62"/>
      <c r="F606" s="62"/>
      <c r="BQ606" s="50"/>
      <c r="BR606" s="50"/>
      <c r="BS606" s="50"/>
      <c r="BT606" s="50"/>
      <c r="BU606" s="50"/>
    </row>
    <row r="607">
      <c r="A607" s="47"/>
      <c r="B607" s="47"/>
      <c r="C607" s="47"/>
      <c r="D607" s="47"/>
      <c r="E607" s="62"/>
      <c r="F607" s="62"/>
      <c r="BQ607" s="50"/>
      <c r="BR607" s="50"/>
      <c r="BS607" s="50"/>
      <c r="BT607" s="50"/>
      <c r="BU607" s="50"/>
    </row>
    <row r="608">
      <c r="A608" s="47"/>
      <c r="B608" s="47"/>
      <c r="C608" s="47"/>
      <c r="D608" s="47"/>
      <c r="E608" s="62"/>
      <c r="F608" s="62"/>
      <c r="BQ608" s="50"/>
      <c r="BR608" s="50"/>
      <c r="BS608" s="50"/>
      <c r="BT608" s="50"/>
      <c r="BU608" s="50"/>
    </row>
    <row r="609">
      <c r="A609" s="47"/>
      <c r="B609" s="47"/>
      <c r="C609" s="47"/>
      <c r="D609" s="47"/>
      <c r="E609" s="62"/>
      <c r="F609" s="62"/>
      <c r="BQ609" s="50"/>
      <c r="BR609" s="50"/>
      <c r="BS609" s="50"/>
      <c r="BT609" s="50"/>
      <c r="BU609" s="50"/>
    </row>
    <row r="610">
      <c r="A610" s="47"/>
      <c r="B610" s="47"/>
      <c r="C610" s="47"/>
      <c r="D610" s="47"/>
      <c r="E610" s="62"/>
      <c r="F610" s="62"/>
      <c r="BQ610" s="50"/>
      <c r="BR610" s="50"/>
      <c r="BS610" s="50"/>
      <c r="BT610" s="50"/>
      <c r="BU610" s="50"/>
    </row>
    <row r="611">
      <c r="A611" s="47"/>
      <c r="B611" s="47"/>
      <c r="C611" s="47"/>
      <c r="D611" s="47"/>
      <c r="E611" s="62"/>
      <c r="F611" s="62"/>
      <c r="BQ611" s="50"/>
      <c r="BR611" s="50"/>
      <c r="BS611" s="50"/>
      <c r="BT611" s="50"/>
      <c r="BU611" s="50"/>
    </row>
    <row r="612">
      <c r="A612" s="47"/>
      <c r="B612" s="47"/>
      <c r="C612" s="47"/>
      <c r="D612" s="47"/>
      <c r="E612" s="47"/>
      <c r="F612" s="47"/>
      <c r="BQ612" s="50"/>
      <c r="BR612" s="50"/>
      <c r="BS612" s="50"/>
      <c r="BT612" s="50"/>
      <c r="BU612" s="50"/>
    </row>
    <row r="613">
      <c r="A613" s="47"/>
      <c r="B613" s="47"/>
      <c r="C613" s="47"/>
      <c r="D613" s="47"/>
      <c r="E613" s="55"/>
      <c r="F613" s="55"/>
      <c r="BQ613" s="50"/>
      <c r="BR613" s="50"/>
      <c r="BS613" s="50"/>
      <c r="BT613" s="50"/>
      <c r="BU613" s="50"/>
    </row>
    <row r="614">
      <c r="A614" s="47"/>
      <c r="B614" s="47"/>
      <c r="C614" s="47"/>
      <c r="D614" s="47"/>
      <c r="E614" s="58"/>
      <c r="F614" s="58"/>
      <c r="BQ614" s="50"/>
      <c r="BR614" s="50"/>
      <c r="BS614" s="50"/>
      <c r="BT614" s="50"/>
      <c r="BU614" s="50"/>
    </row>
    <row r="615">
      <c r="A615" s="47"/>
      <c r="B615" s="47"/>
      <c r="C615" s="47"/>
      <c r="D615" s="47"/>
      <c r="E615" s="58"/>
      <c r="F615" s="58"/>
      <c r="BQ615" s="50"/>
      <c r="BR615" s="50"/>
      <c r="BS615" s="50"/>
      <c r="BT615" s="50"/>
      <c r="BU615" s="50"/>
    </row>
    <row r="616">
      <c r="A616" s="47"/>
      <c r="B616" s="47"/>
      <c r="C616" s="47"/>
      <c r="D616" s="47"/>
      <c r="E616" s="58"/>
      <c r="F616" s="58"/>
      <c r="BQ616" s="50"/>
      <c r="BR616" s="50"/>
      <c r="BS616" s="50"/>
      <c r="BT616" s="50"/>
      <c r="BU616" s="50"/>
    </row>
    <row r="617">
      <c r="A617" s="47"/>
      <c r="B617" s="47"/>
      <c r="C617" s="47"/>
      <c r="D617" s="47"/>
      <c r="E617" s="58"/>
      <c r="F617" s="58"/>
      <c r="BQ617" s="50"/>
      <c r="BR617" s="50"/>
      <c r="BS617" s="50"/>
      <c r="BT617" s="50"/>
      <c r="BU617" s="50"/>
    </row>
    <row r="618">
      <c r="A618" s="47"/>
      <c r="B618" s="47"/>
      <c r="C618" s="47"/>
      <c r="D618" s="47"/>
      <c r="E618" s="58"/>
      <c r="F618" s="58"/>
      <c r="BQ618" s="50"/>
      <c r="BR618" s="50"/>
      <c r="BS618" s="50"/>
      <c r="BT618" s="50"/>
      <c r="BU618" s="50"/>
    </row>
    <row r="619">
      <c r="A619" s="47"/>
      <c r="B619" s="47"/>
      <c r="C619" s="47"/>
      <c r="D619" s="47"/>
      <c r="E619" s="58"/>
      <c r="F619" s="58"/>
      <c r="BQ619" s="50"/>
      <c r="BR619" s="50"/>
      <c r="BS619" s="50"/>
      <c r="BT619" s="50"/>
      <c r="BU619" s="50"/>
    </row>
    <row r="620">
      <c r="A620" s="47"/>
      <c r="B620" s="47"/>
      <c r="C620" s="47"/>
      <c r="D620" s="47"/>
      <c r="E620" s="58"/>
      <c r="F620" s="58"/>
      <c r="BQ620" s="50"/>
      <c r="BR620" s="50"/>
      <c r="BS620" s="50"/>
      <c r="BT620" s="50"/>
      <c r="BU620" s="50"/>
    </row>
    <row r="621">
      <c r="A621" s="47"/>
      <c r="B621" s="47"/>
      <c r="C621" s="47"/>
      <c r="D621" s="47"/>
      <c r="E621" s="58"/>
      <c r="F621" s="58"/>
      <c r="BQ621" s="50"/>
      <c r="BR621" s="50"/>
      <c r="BS621" s="50"/>
      <c r="BT621" s="50"/>
      <c r="BU621" s="50"/>
    </row>
    <row r="622">
      <c r="A622" s="47"/>
      <c r="B622" s="47"/>
      <c r="C622" s="47"/>
      <c r="D622" s="47"/>
      <c r="E622" s="58"/>
      <c r="F622" s="58"/>
      <c r="BQ622" s="50"/>
      <c r="BR622" s="50"/>
      <c r="BS622" s="50"/>
      <c r="BT622" s="50"/>
      <c r="BU622" s="50"/>
    </row>
    <row r="623">
      <c r="A623" s="47"/>
      <c r="B623" s="47"/>
      <c r="C623" s="47"/>
      <c r="D623" s="47"/>
      <c r="E623" s="58"/>
      <c r="F623" s="58"/>
      <c r="BQ623" s="50"/>
      <c r="BR623" s="50"/>
      <c r="BS623" s="50"/>
      <c r="BT623" s="50"/>
      <c r="BU623" s="50"/>
    </row>
    <row r="624">
      <c r="A624" s="47"/>
      <c r="B624" s="47"/>
      <c r="C624" s="47"/>
      <c r="D624" s="47"/>
      <c r="E624" s="58"/>
      <c r="F624" s="58"/>
      <c r="BQ624" s="50"/>
      <c r="BR624" s="50"/>
      <c r="BS624" s="50"/>
      <c r="BT624" s="50"/>
      <c r="BU624" s="50"/>
    </row>
    <row r="625">
      <c r="A625" s="47"/>
      <c r="B625" s="47"/>
      <c r="C625" s="47"/>
      <c r="D625" s="47"/>
      <c r="E625" s="58"/>
      <c r="F625" s="58"/>
      <c r="BQ625" s="50"/>
      <c r="BR625" s="50"/>
      <c r="BS625" s="50"/>
      <c r="BT625" s="50"/>
      <c r="BU625" s="50"/>
    </row>
    <row r="626">
      <c r="A626" s="47"/>
      <c r="B626" s="47"/>
      <c r="C626" s="47"/>
      <c r="D626" s="47"/>
      <c r="E626" s="58"/>
      <c r="F626" s="58"/>
      <c r="BQ626" s="50"/>
      <c r="BR626" s="50"/>
      <c r="BS626" s="50"/>
      <c r="BT626" s="50"/>
      <c r="BU626" s="50"/>
    </row>
    <row r="627">
      <c r="A627" s="47"/>
      <c r="B627" s="47"/>
      <c r="C627" s="47"/>
      <c r="D627" s="47"/>
      <c r="E627" s="58"/>
      <c r="F627" s="58"/>
      <c r="BQ627" s="50"/>
      <c r="BR627" s="50"/>
      <c r="BS627" s="50"/>
      <c r="BT627" s="50"/>
      <c r="BU627" s="50"/>
    </row>
    <row r="628">
      <c r="A628" s="47"/>
      <c r="B628" s="47"/>
      <c r="C628" s="47"/>
      <c r="D628" s="47"/>
      <c r="E628" s="58"/>
      <c r="F628" s="58"/>
      <c r="BQ628" s="50"/>
      <c r="BR628" s="50"/>
      <c r="BS628" s="50"/>
      <c r="BT628" s="50"/>
      <c r="BU628" s="50"/>
    </row>
    <row r="629">
      <c r="A629" s="47"/>
      <c r="B629" s="47"/>
      <c r="C629" s="47"/>
      <c r="D629" s="47"/>
      <c r="E629" s="58"/>
      <c r="F629" s="58"/>
      <c r="BQ629" s="50"/>
      <c r="BR629" s="50"/>
      <c r="BS629" s="50"/>
      <c r="BT629" s="50"/>
      <c r="BU629" s="50"/>
    </row>
    <row r="630">
      <c r="A630" s="47"/>
      <c r="B630" s="47"/>
      <c r="C630" s="47"/>
      <c r="D630" s="47"/>
      <c r="E630" s="58"/>
      <c r="F630" s="58"/>
      <c r="BQ630" s="50"/>
      <c r="BR630" s="50"/>
      <c r="BS630" s="50"/>
      <c r="BT630" s="50"/>
      <c r="BU630" s="50"/>
    </row>
    <row r="631">
      <c r="A631" s="47"/>
      <c r="B631" s="47"/>
      <c r="C631" s="47"/>
      <c r="D631" s="47"/>
      <c r="E631" s="58"/>
      <c r="F631" s="58"/>
      <c r="BQ631" s="50"/>
      <c r="BR631" s="50"/>
      <c r="BS631" s="50"/>
      <c r="BT631" s="50"/>
      <c r="BU631" s="50"/>
    </row>
    <row r="632">
      <c r="A632" s="47"/>
      <c r="B632" s="47"/>
      <c r="C632" s="47"/>
      <c r="D632" s="47"/>
      <c r="E632" s="58"/>
      <c r="F632" s="58"/>
      <c r="BQ632" s="50"/>
      <c r="BR632" s="50"/>
      <c r="BS632" s="50"/>
      <c r="BT632" s="50"/>
      <c r="BU632" s="50"/>
    </row>
    <row r="633">
      <c r="A633" s="47"/>
      <c r="B633" s="47"/>
      <c r="C633" s="47"/>
      <c r="D633" s="47"/>
      <c r="E633" s="58"/>
      <c r="F633" s="58"/>
      <c r="BQ633" s="50"/>
      <c r="BR633" s="50"/>
      <c r="BS633" s="50"/>
      <c r="BT633" s="50"/>
      <c r="BU633" s="50"/>
    </row>
    <row r="634">
      <c r="A634" s="47"/>
      <c r="B634" s="47"/>
      <c r="C634" s="47"/>
      <c r="D634" s="47"/>
      <c r="E634" s="58"/>
      <c r="F634" s="58"/>
      <c r="BQ634" s="50"/>
      <c r="BR634" s="50"/>
      <c r="BS634" s="50"/>
      <c r="BT634" s="50"/>
      <c r="BU634" s="50"/>
    </row>
    <row r="635">
      <c r="A635" s="47"/>
      <c r="B635" s="47"/>
      <c r="C635" s="47"/>
      <c r="D635" s="47"/>
      <c r="E635" s="58"/>
      <c r="F635" s="58"/>
      <c r="BQ635" s="50"/>
      <c r="BR635" s="50"/>
      <c r="BS635" s="50"/>
      <c r="BT635" s="50"/>
      <c r="BU635" s="50"/>
    </row>
    <row r="636">
      <c r="A636" s="47"/>
      <c r="B636" s="47"/>
      <c r="C636" s="47"/>
      <c r="D636" s="47"/>
      <c r="E636" s="58"/>
      <c r="F636" s="58"/>
      <c r="BQ636" s="50"/>
      <c r="BR636" s="50"/>
      <c r="BS636" s="50"/>
      <c r="BT636" s="50"/>
      <c r="BU636" s="50"/>
    </row>
    <row r="637">
      <c r="A637" s="47"/>
      <c r="B637" s="47"/>
      <c r="C637" s="47"/>
      <c r="D637" s="47"/>
      <c r="E637" s="58"/>
      <c r="F637" s="58"/>
      <c r="BQ637" s="50"/>
      <c r="BR637" s="50"/>
      <c r="BS637" s="50"/>
      <c r="BT637" s="50"/>
      <c r="BU637" s="50"/>
    </row>
    <row r="638">
      <c r="A638" s="47"/>
      <c r="B638" s="47"/>
      <c r="C638" s="47"/>
      <c r="D638" s="47"/>
      <c r="E638" s="58"/>
      <c r="F638" s="58"/>
      <c r="BQ638" s="50"/>
      <c r="BR638" s="50"/>
      <c r="BS638" s="50"/>
      <c r="BT638" s="50"/>
      <c r="BU638" s="50"/>
    </row>
    <row r="639">
      <c r="A639" s="47"/>
      <c r="B639" s="47"/>
      <c r="C639" s="47"/>
      <c r="D639" s="47"/>
      <c r="E639" s="58"/>
      <c r="F639" s="58"/>
      <c r="BQ639" s="50"/>
      <c r="BR639" s="50"/>
      <c r="BS639" s="50"/>
      <c r="BT639" s="50"/>
      <c r="BU639" s="50"/>
    </row>
    <row r="640">
      <c r="A640" s="47"/>
      <c r="B640" s="47"/>
      <c r="C640" s="47"/>
      <c r="D640" s="47"/>
      <c r="E640" s="58"/>
      <c r="F640" s="58"/>
      <c r="BQ640" s="50"/>
      <c r="BR640" s="50"/>
      <c r="BS640" s="50"/>
      <c r="BT640" s="50"/>
      <c r="BU640" s="50"/>
    </row>
    <row r="641">
      <c r="A641" s="47"/>
      <c r="B641" s="47"/>
      <c r="C641" s="47"/>
      <c r="D641" s="47"/>
      <c r="E641" s="58"/>
      <c r="F641" s="58"/>
      <c r="BQ641" s="50"/>
      <c r="BR641" s="50"/>
      <c r="BS641" s="50"/>
      <c r="BT641" s="50"/>
      <c r="BU641" s="50"/>
    </row>
    <row r="642">
      <c r="A642" s="47"/>
      <c r="B642" s="47"/>
      <c r="C642" s="47"/>
      <c r="D642" s="47"/>
      <c r="E642" s="58"/>
      <c r="F642" s="58"/>
      <c r="BQ642" s="50"/>
      <c r="BR642" s="50"/>
      <c r="BS642" s="50"/>
      <c r="BT642" s="50"/>
      <c r="BU642" s="50"/>
    </row>
    <row r="643">
      <c r="A643" s="47"/>
      <c r="B643" s="47"/>
      <c r="C643" s="47"/>
      <c r="D643" s="47"/>
      <c r="E643" s="58"/>
      <c r="F643" s="58"/>
      <c r="BQ643" s="50"/>
      <c r="BR643" s="50"/>
      <c r="BS643" s="50"/>
      <c r="BT643" s="50"/>
      <c r="BU643" s="50"/>
    </row>
    <row r="644">
      <c r="A644" s="47"/>
      <c r="B644" s="47"/>
      <c r="C644" s="47"/>
      <c r="D644" s="47"/>
      <c r="E644" s="58"/>
      <c r="F644" s="58"/>
      <c r="BQ644" s="50"/>
      <c r="BR644" s="50"/>
      <c r="BS644" s="50"/>
      <c r="BT644" s="50"/>
      <c r="BU644" s="50"/>
    </row>
    <row r="645">
      <c r="A645" s="47"/>
      <c r="B645" s="47"/>
      <c r="C645" s="47"/>
      <c r="D645" s="47"/>
      <c r="E645" s="58"/>
      <c r="F645" s="58"/>
      <c r="BQ645" s="50"/>
      <c r="BR645" s="50"/>
      <c r="BS645" s="50"/>
      <c r="BT645" s="50"/>
      <c r="BU645" s="50"/>
    </row>
    <row r="646">
      <c r="A646" s="47"/>
      <c r="B646" s="47"/>
      <c r="C646" s="47"/>
      <c r="D646" s="47"/>
      <c r="E646" s="58"/>
      <c r="F646" s="58"/>
      <c r="BQ646" s="50"/>
      <c r="BR646" s="50"/>
      <c r="BS646" s="50"/>
      <c r="BT646" s="50"/>
      <c r="BU646" s="50"/>
    </row>
    <row r="647">
      <c r="A647" s="47"/>
      <c r="B647" s="47"/>
      <c r="C647" s="47"/>
      <c r="D647" s="47"/>
      <c r="E647" s="58"/>
      <c r="F647" s="58"/>
      <c r="BQ647" s="50"/>
      <c r="BR647" s="50"/>
      <c r="BS647" s="50"/>
      <c r="BT647" s="50"/>
      <c r="BU647" s="50"/>
    </row>
    <row r="648">
      <c r="A648" s="47"/>
      <c r="B648" s="47"/>
      <c r="C648" s="47"/>
      <c r="D648" s="47"/>
      <c r="E648" s="58"/>
      <c r="F648" s="58"/>
      <c r="BQ648" s="50"/>
      <c r="BR648" s="50"/>
      <c r="BS648" s="50"/>
      <c r="BT648" s="50"/>
      <c r="BU648" s="50"/>
    </row>
    <row r="649">
      <c r="A649" s="47"/>
      <c r="B649" s="47"/>
      <c r="C649" s="47"/>
      <c r="D649" s="47"/>
      <c r="E649" s="58"/>
      <c r="F649" s="58"/>
      <c r="BQ649" s="50"/>
      <c r="BR649" s="50"/>
      <c r="BS649" s="50"/>
      <c r="BT649" s="50"/>
      <c r="BU649" s="50"/>
    </row>
    <row r="650">
      <c r="A650" s="47"/>
      <c r="B650" s="47"/>
      <c r="C650" s="47"/>
      <c r="D650" s="47"/>
      <c r="E650" s="74"/>
      <c r="F650" s="58"/>
      <c r="BQ650" s="50"/>
      <c r="BR650" s="50"/>
      <c r="BS650" s="50"/>
      <c r="BT650" s="50"/>
      <c r="BU650" s="50"/>
    </row>
    <row r="651">
      <c r="A651" s="47"/>
      <c r="B651" s="47"/>
      <c r="C651" s="47"/>
      <c r="D651" s="47"/>
      <c r="E651" s="58"/>
      <c r="F651" s="58"/>
      <c r="BQ651" s="50"/>
      <c r="BR651" s="50"/>
      <c r="BS651" s="50"/>
      <c r="BT651" s="50"/>
      <c r="BU651" s="50"/>
    </row>
    <row r="652">
      <c r="A652" s="47"/>
      <c r="B652" s="47"/>
      <c r="C652" s="47"/>
      <c r="D652" s="47"/>
      <c r="E652" s="58"/>
      <c r="F652" s="58"/>
      <c r="BQ652" s="50"/>
      <c r="BR652" s="50"/>
      <c r="BS652" s="50"/>
      <c r="BT652" s="50"/>
      <c r="BU652" s="50"/>
    </row>
    <row r="653">
      <c r="A653" s="47"/>
      <c r="B653" s="47"/>
      <c r="C653" s="47"/>
      <c r="D653" s="47"/>
      <c r="E653" s="58"/>
      <c r="F653" s="58"/>
      <c r="BQ653" s="50"/>
      <c r="BR653" s="50"/>
      <c r="BS653" s="50"/>
      <c r="BT653" s="50"/>
      <c r="BU653" s="50"/>
    </row>
    <row r="654">
      <c r="A654" s="47"/>
      <c r="B654" s="47"/>
      <c r="C654" s="47"/>
      <c r="D654" s="47"/>
      <c r="E654" s="58"/>
      <c r="F654" s="58"/>
      <c r="BQ654" s="50"/>
      <c r="BR654" s="50"/>
      <c r="BS654" s="50"/>
      <c r="BT654" s="50"/>
      <c r="BU654" s="50"/>
    </row>
    <row r="655">
      <c r="A655" s="47"/>
      <c r="B655" s="47"/>
      <c r="C655" s="47"/>
      <c r="D655" s="47"/>
      <c r="E655" s="95"/>
      <c r="F655" s="58"/>
      <c r="BQ655" s="50"/>
      <c r="BR655" s="50"/>
      <c r="BS655" s="50"/>
      <c r="BT655" s="50"/>
      <c r="BU655" s="50"/>
    </row>
    <row r="656">
      <c r="A656" s="47"/>
      <c r="B656" s="47"/>
      <c r="C656" s="47"/>
      <c r="D656" s="47"/>
      <c r="E656" s="95"/>
      <c r="F656" s="58"/>
      <c r="BQ656" s="50"/>
      <c r="BR656" s="50"/>
      <c r="BS656" s="50"/>
      <c r="BT656" s="50"/>
      <c r="BU656" s="50"/>
    </row>
    <row r="657">
      <c r="A657" s="47"/>
      <c r="B657" s="47"/>
      <c r="C657" s="47"/>
      <c r="D657" s="47"/>
      <c r="E657" s="95"/>
      <c r="F657" s="58"/>
      <c r="BQ657" s="50"/>
      <c r="BR657" s="50"/>
      <c r="BS657" s="50"/>
      <c r="BT657" s="50"/>
      <c r="BU657" s="50"/>
    </row>
    <row r="658">
      <c r="A658" s="47"/>
      <c r="B658" s="47"/>
      <c r="C658" s="47"/>
      <c r="D658" s="47"/>
      <c r="E658" s="95"/>
      <c r="F658" s="58"/>
      <c r="BQ658" s="50"/>
      <c r="BR658" s="50"/>
      <c r="BS658" s="50"/>
      <c r="BT658" s="50"/>
      <c r="BU658" s="50"/>
    </row>
    <row r="659">
      <c r="A659" s="47"/>
      <c r="B659" s="47"/>
      <c r="C659" s="47"/>
      <c r="D659" s="47"/>
      <c r="E659" s="97"/>
      <c r="F659" s="97"/>
      <c r="BQ659" s="50"/>
      <c r="BR659" s="50"/>
      <c r="BS659" s="50"/>
      <c r="BT659" s="50"/>
      <c r="BU659" s="50"/>
    </row>
    <row r="660">
      <c r="A660" s="47"/>
      <c r="B660" s="47"/>
      <c r="C660" s="47"/>
      <c r="D660" s="47"/>
      <c r="E660" s="58"/>
      <c r="F660" s="58"/>
      <c r="BQ660" s="50"/>
      <c r="BR660" s="50"/>
      <c r="BS660" s="50"/>
      <c r="BT660" s="50"/>
      <c r="BU660" s="50"/>
    </row>
    <row r="661">
      <c r="A661" s="47"/>
      <c r="B661" s="47"/>
      <c r="C661" s="47"/>
      <c r="D661" s="47"/>
      <c r="E661" s="58"/>
      <c r="F661" s="58"/>
      <c r="BQ661" s="50"/>
      <c r="BR661" s="50"/>
      <c r="BS661" s="50"/>
      <c r="BT661" s="50"/>
      <c r="BU661" s="50"/>
    </row>
    <row r="662">
      <c r="A662" s="47"/>
      <c r="B662" s="47"/>
      <c r="C662" s="47"/>
      <c r="D662" s="47"/>
      <c r="E662" s="58"/>
      <c r="F662" s="58"/>
      <c r="BQ662" s="50"/>
      <c r="BR662" s="50"/>
      <c r="BS662" s="50"/>
      <c r="BT662" s="50"/>
      <c r="BU662" s="50"/>
    </row>
    <row r="663">
      <c r="A663" s="47"/>
      <c r="B663" s="47"/>
      <c r="C663" s="47"/>
      <c r="D663" s="47"/>
      <c r="E663" s="58"/>
      <c r="F663" s="58"/>
      <c r="BQ663" s="50"/>
      <c r="BR663" s="50"/>
      <c r="BS663" s="50"/>
      <c r="BT663" s="50"/>
      <c r="BU663" s="50"/>
    </row>
    <row r="664">
      <c r="A664" s="47"/>
      <c r="B664" s="47"/>
      <c r="C664" s="47"/>
      <c r="D664" s="47"/>
      <c r="E664" s="58"/>
      <c r="F664" s="58"/>
      <c r="BQ664" s="50"/>
      <c r="BR664" s="50"/>
      <c r="BS664" s="50"/>
      <c r="BT664" s="50"/>
      <c r="BU664" s="50"/>
    </row>
    <row r="665">
      <c r="A665" s="47"/>
      <c r="B665" s="47"/>
      <c r="C665" s="47"/>
      <c r="D665" s="47"/>
      <c r="E665" s="58"/>
      <c r="F665" s="58"/>
      <c r="BQ665" s="50"/>
      <c r="BR665" s="50"/>
      <c r="BS665" s="50"/>
      <c r="BT665" s="50"/>
      <c r="BU665" s="50"/>
    </row>
    <row r="666">
      <c r="A666" s="47"/>
      <c r="B666" s="47"/>
      <c r="C666" s="47"/>
      <c r="D666" s="47"/>
      <c r="E666" s="58"/>
      <c r="F666" s="58"/>
      <c r="BQ666" s="50"/>
      <c r="BR666" s="50"/>
      <c r="BS666" s="50"/>
      <c r="BT666" s="50"/>
      <c r="BU666" s="50"/>
    </row>
    <row r="667">
      <c r="A667" s="47"/>
      <c r="B667" s="47"/>
      <c r="C667" s="47"/>
      <c r="D667" s="47"/>
      <c r="E667" s="58"/>
      <c r="F667" s="58"/>
      <c r="BQ667" s="50"/>
      <c r="BR667" s="50"/>
      <c r="BS667" s="50"/>
      <c r="BT667" s="50"/>
      <c r="BU667" s="50"/>
    </row>
    <row r="668">
      <c r="A668" s="47"/>
      <c r="B668" s="47"/>
      <c r="C668" s="47"/>
      <c r="D668" s="47"/>
      <c r="E668" s="58"/>
      <c r="F668" s="58"/>
      <c r="BQ668" s="50"/>
      <c r="BR668" s="50"/>
      <c r="BS668" s="50"/>
      <c r="BT668" s="50"/>
      <c r="BU668" s="50"/>
    </row>
    <row r="669">
      <c r="A669" s="47"/>
      <c r="B669" s="47"/>
      <c r="C669" s="47"/>
      <c r="D669" s="47"/>
      <c r="E669" s="58"/>
      <c r="F669" s="58"/>
      <c r="BQ669" s="50"/>
      <c r="BR669" s="50"/>
      <c r="BS669" s="50"/>
      <c r="BT669" s="50"/>
      <c r="BU669" s="50"/>
    </row>
    <row r="670">
      <c r="A670" s="47"/>
      <c r="B670" s="47"/>
      <c r="C670" s="47"/>
      <c r="D670" s="47"/>
      <c r="E670" s="58"/>
      <c r="F670" s="58"/>
      <c r="BQ670" s="50"/>
      <c r="BR670" s="50"/>
      <c r="BS670" s="50"/>
      <c r="BT670" s="50"/>
      <c r="BU670" s="50"/>
    </row>
    <row r="671">
      <c r="A671" s="47"/>
      <c r="B671" s="47"/>
      <c r="C671" s="47"/>
      <c r="D671" s="47"/>
      <c r="E671" s="58"/>
      <c r="F671" s="58"/>
      <c r="BQ671" s="50"/>
      <c r="BR671" s="50"/>
      <c r="BS671" s="50"/>
      <c r="BT671" s="50"/>
      <c r="BU671" s="50"/>
    </row>
    <row r="672">
      <c r="A672" s="47"/>
      <c r="B672" s="47"/>
      <c r="C672" s="47"/>
      <c r="D672" s="47"/>
      <c r="E672" s="58"/>
      <c r="F672" s="58"/>
      <c r="BQ672" s="50"/>
      <c r="BR672" s="50"/>
      <c r="BS672" s="50"/>
      <c r="BT672" s="50"/>
      <c r="BU672" s="50"/>
    </row>
    <row r="673">
      <c r="A673" s="47"/>
      <c r="B673" s="47"/>
      <c r="C673" s="47"/>
      <c r="D673" s="47"/>
      <c r="E673" s="58"/>
      <c r="F673" s="58"/>
      <c r="BQ673" s="50"/>
      <c r="BR673" s="50"/>
      <c r="BS673" s="50"/>
      <c r="BT673" s="50"/>
      <c r="BU673" s="50"/>
    </row>
    <row r="674">
      <c r="A674" s="47"/>
      <c r="B674" s="47"/>
      <c r="C674" s="47"/>
      <c r="D674" s="47"/>
      <c r="E674" s="58"/>
      <c r="F674" s="73"/>
      <c r="BQ674" s="50"/>
      <c r="BR674" s="50"/>
      <c r="BS674" s="50"/>
      <c r="BT674" s="50"/>
      <c r="BU674" s="50"/>
    </row>
    <row r="675">
      <c r="A675" s="47"/>
      <c r="B675" s="47"/>
      <c r="C675" s="47"/>
      <c r="D675" s="47"/>
      <c r="E675" s="58"/>
      <c r="F675" s="58"/>
      <c r="BQ675" s="50"/>
      <c r="BR675" s="50"/>
      <c r="BS675" s="50"/>
      <c r="BT675" s="50"/>
      <c r="BU675" s="50"/>
    </row>
    <row r="676">
      <c r="A676" s="47"/>
      <c r="B676" s="47"/>
      <c r="C676" s="47"/>
      <c r="D676" s="47"/>
      <c r="E676" s="47"/>
      <c r="F676" s="47"/>
      <c r="BQ676" s="50"/>
      <c r="BR676" s="50"/>
      <c r="BS676" s="50"/>
      <c r="BT676" s="50"/>
      <c r="BU676" s="50"/>
    </row>
    <row r="677">
      <c r="A677" s="47"/>
      <c r="B677" s="47"/>
      <c r="C677" s="47"/>
      <c r="D677" s="47"/>
      <c r="E677" s="47"/>
      <c r="F677" s="47"/>
      <c r="BQ677" s="50"/>
      <c r="BR677" s="50"/>
      <c r="BS677" s="50"/>
      <c r="BT677" s="50"/>
      <c r="BU677" s="50"/>
    </row>
    <row r="678">
      <c r="A678" s="47"/>
      <c r="B678" s="47"/>
      <c r="C678" s="47"/>
      <c r="D678" s="47"/>
      <c r="E678" s="47"/>
      <c r="F678" s="47"/>
      <c r="BQ678" s="50"/>
      <c r="BR678" s="50"/>
      <c r="BS678" s="50"/>
      <c r="BT678" s="50"/>
      <c r="BU678" s="50"/>
    </row>
    <row r="679">
      <c r="A679" s="47"/>
      <c r="B679" s="47"/>
      <c r="C679" s="47"/>
      <c r="D679" s="47"/>
      <c r="E679" s="47"/>
      <c r="F679" s="47"/>
      <c r="BQ679" s="50"/>
      <c r="BR679" s="50"/>
      <c r="BS679" s="50"/>
      <c r="BT679" s="50"/>
      <c r="BU679" s="50"/>
    </row>
    <row r="680">
      <c r="A680" s="47"/>
      <c r="B680" s="47"/>
      <c r="C680" s="47"/>
      <c r="D680" s="47"/>
      <c r="E680" s="47"/>
      <c r="F680" s="47"/>
      <c r="BQ680" s="50"/>
      <c r="BR680" s="50"/>
      <c r="BS680" s="50"/>
      <c r="BT680" s="50"/>
      <c r="BU680" s="50"/>
    </row>
    <row r="681">
      <c r="A681" s="47"/>
      <c r="B681" s="47"/>
      <c r="C681" s="47"/>
      <c r="D681" s="47"/>
      <c r="E681" s="47"/>
      <c r="F681" s="47"/>
      <c r="BQ681" s="50"/>
      <c r="BR681" s="50"/>
      <c r="BS681" s="50"/>
      <c r="BT681" s="50"/>
      <c r="BU681" s="50"/>
    </row>
    <row r="682">
      <c r="A682" s="47"/>
      <c r="B682" s="47"/>
      <c r="C682" s="47"/>
      <c r="D682" s="47"/>
      <c r="E682" s="47"/>
      <c r="F682" s="47"/>
      <c r="BQ682" s="50"/>
      <c r="BR682" s="50"/>
      <c r="BS682" s="50"/>
      <c r="BT682" s="50"/>
      <c r="BU682" s="50"/>
    </row>
    <row r="683">
      <c r="A683" s="47"/>
      <c r="B683" s="47"/>
      <c r="C683" s="47"/>
      <c r="D683" s="47"/>
      <c r="E683" s="47"/>
      <c r="F683" s="47"/>
      <c r="BQ683" s="50"/>
      <c r="BR683" s="50"/>
      <c r="BS683" s="50"/>
      <c r="BT683" s="50"/>
      <c r="BU683" s="50"/>
    </row>
    <row r="684">
      <c r="A684" s="47"/>
      <c r="B684" s="47"/>
      <c r="C684" s="47"/>
      <c r="D684" s="47"/>
      <c r="E684" s="47"/>
      <c r="F684" s="47"/>
      <c r="BQ684" s="50"/>
      <c r="BR684" s="50"/>
      <c r="BS684" s="50"/>
      <c r="BT684" s="50"/>
      <c r="BU684" s="50"/>
    </row>
    <row r="685">
      <c r="A685" s="47"/>
      <c r="B685" s="47"/>
      <c r="C685" s="47"/>
      <c r="D685" s="47"/>
      <c r="E685" s="47"/>
      <c r="F685" s="47"/>
      <c r="BQ685" s="50"/>
      <c r="BR685" s="50"/>
      <c r="BS685" s="50"/>
      <c r="BT685" s="50"/>
      <c r="BU685" s="50"/>
    </row>
    <row r="686">
      <c r="A686" s="47"/>
      <c r="B686" s="47"/>
      <c r="C686" s="47"/>
      <c r="D686" s="47"/>
      <c r="E686" s="47"/>
      <c r="F686" s="47"/>
      <c r="BQ686" s="50"/>
      <c r="BR686" s="50"/>
      <c r="BS686" s="50"/>
      <c r="BT686" s="50"/>
      <c r="BU686" s="50"/>
    </row>
    <row r="687">
      <c r="A687" s="47"/>
      <c r="B687" s="47"/>
      <c r="C687" s="47"/>
      <c r="D687" s="47"/>
      <c r="E687" s="47"/>
      <c r="F687" s="47"/>
      <c r="BQ687" s="50"/>
      <c r="BR687" s="50"/>
      <c r="BS687" s="50"/>
      <c r="BT687" s="50"/>
      <c r="BU687" s="50"/>
    </row>
    <row r="688">
      <c r="A688" s="47"/>
      <c r="B688" s="47"/>
      <c r="C688" s="47"/>
      <c r="D688" s="47"/>
      <c r="E688" s="47"/>
      <c r="F688" s="47"/>
      <c r="BQ688" s="50"/>
      <c r="BR688" s="50"/>
      <c r="BS688" s="50"/>
      <c r="BT688" s="50"/>
      <c r="BU688" s="50"/>
    </row>
    <row r="689">
      <c r="A689" s="47"/>
      <c r="B689" s="47"/>
      <c r="C689" s="47"/>
      <c r="D689" s="47"/>
      <c r="E689" s="47"/>
      <c r="F689" s="47"/>
      <c r="BQ689" s="50"/>
      <c r="BR689" s="50"/>
      <c r="BS689" s="50"/>
      <c r="BT689" s="50"/>
      <c r="BU689" s="50"/>
    </row>
    <row r="690">
      <c r="A690" s="47"/>
      <c r="B690" s="47"/>
      <c r="C690" s="47"/>
      <c r="D690" s="47"/>
      <c r="E690" s="47"/>
      <c r="F690" s="47"/>
      <c r="BQ690" s="50"/>
      <c r="BR690" s="50"/>
      <c r="BS690" s="50"/>
      <c r="BT690" s="50"/>
      <c r="BU690" s="50"/>
    </row>
    <row r="691">
      <c r="A691" s="47"/>
      <c r="B691" s="47"/>
      <c r="C691" s="47"/>
      <c r="D691" s="47"/>
      <c r="E691" s="47"/>
      <c r="F691" s="47"/>
      <c r="BQ691" s="50"/>
      <c r="BR691" s="50"/>
      <c r="BS691" s="50"/>
      <c r="BT691" s="50"/>
      <c r="BU691" s="50"/>
    </row>
    <row r="692">
      <c r="A692" s="47"/>
      <c r="B692" s="47"/>
      <c r="C692" s="47"/>
      <c r="D692" s="47"/>
      <c r="E692" s="47"/>
      <c r="F692" s="47"/>
      <c r="BQ692" s="50"/>
      <c r="BR692" s="50"/>
      <c r="BS692" s="50"/>
      <c r="BT692" s="50"/>
      <c r="BU692" s="50"/>
    </row>
    <row r="693">
      <c r="A693" s="47"/>
      <c r="B693" s="47"/>
      <c r="C693" s="47"/>
      <c r="D693" s="47"/>
      <c r="E693" s="47"/>
      <c r="F693" s="47"/>
      <c r="BQ693" s="50"/>
      <c r="BR693" s="50"/>
      <c r="BS693" s="50"/>
      <c r="BT693" s="50"/>
      <c r="BU693" s="50"/>
    </row>
    <row r="694">
      <c r="A694" s="47"/>
      <c r="B694" s="47"/>
      <c r="C694" s="47"/>
      <c r="D694" s="47"/>
      <c r="E694" s="47"/>
      <c r="F694" s="47"/>
      <c r="BQ694" s="50"/>
      <c r="BR694" s="50"/>
      <c r="BS694" s="50"/>
      <c r="BT694" s="50"/>
      <c r="BU694" s="50"/>
    </row>
    <row r="695">
      <c r="A695" s="47"/>
      <c r="B695" s="47"/>
      <c r="C695" s="47"/>
      <c r="D695" s="47"/>
      <c r="E695" s="47"/>
      <c r="F695" s="47"/>
      <c r="BQ695" s="50"/>
      <c r="BR695" s="50"/>
      <c r="BS695" s="50"/>
      <c r="BT695" s="50"/>
      <c r="BU695" s="50"/>
    </row>
    <row r="696">
      <c r="A696" s="47"/>
      <c r="B696" s="47"/>
      <c r="C696" s="47"/>
      <c r="D696" s="47"/>
      <c r="E696" s="63"/>
      <c r="F696" s="63"/>
      <c r="BQ696" s="50"/>
      <c r="BR696" s="50"/>
      <c r="BS696" s="50"/>
      <c r="BT696" s="50"/>
      <c r="BU696" s="50"/>
    </row>
    <row r="697">
      <c r="A697" s="47"/>
      <c r="B697" s="47"/>
      <c r="C697" s="47"/>
      <c r="D697" s="47"/>
      <c r="E697" s="64"/>
      <c r="F697" s="64"/>
      <c r="BQ697" s="50"/>
      <c r="BR697" s="50"/>
      <c r="BS697" s="50"/>
      <c r="BT697" s="50"/>
      <c r="BU697" s="50"/>
    </row>
    <row r="698">
      <c r="A698" s="2"/>
      <c r="B698" s="4"/>
      <c r="C698" s="47"/>
      <c r="D698" s="47"/>
      <c r="E698" s="47"/>
      <c r="F698" s="47"/>
      <c r="G698" s="7"/>
      <c r="L698" s="7"/>
      <c r="Q698" s="12"/>
      <c r="BQ698" s="50"/>
      <c r="BR698" s="50"/>
      <c r="BS698" s="50"/>
      <c r="BT698" s="50"/>
      <c r="BU698" s="50"/>
    </row>
    <row r="699">
      <c r="A699" s="47"/>
      <c r="B699" s="47"/>
      <c r="C699" s="47"/>
      <c r="D699" s="47"/>
      <c r="E699" s="47"/>
      <c r="F699" s="47"/>
      <c r="G699" s="142"/>
      <c r="H699" s="143"/>
      <c r="I699" s="143"/>
      <c r="J699" s="11"/>
      <c r="K699" s="11"/>
      <c r="L699" s="11"/>
      <c r="M699" s="11"/>
      <c r="N699" s="11"/>
      <c r="O699" s="11"/>
      <c r="P699" s="11"/>
      <c r="Q699" s="13"/>
      <c r="R699" s="13"/>
      <c r="S699" s="13"/>
      <c r="T699" s="13"/>
      <c r="U699" s="13"/>
      <c r="V699" s="13"/>
      <c r="W699" s="13"/>
      <c r="BQ699" s="50"/>
      <c r="BR699" s="50"/>
      <c r="BS699" s="50"/>
      <c r="BT699" s="50"/>
      <c r="BU699" s="50"/>
    </row>
    <row r="700">
      <c r="A700" s="47"/>
      <c r="B700" s="47"/>
      <c r="C700" s="47"/>
      <c r="D700" s="47"/>
      <c r="E700" s="15"/>
      <c r="F700" s="15"/>
      <c r="BQ700" s="50"/>
      <c r="BR700" s="50"/>
      <c r="BS700" s="50"/>
      <c r="BT700" s="50"/>
      <c r="BU700" s="50"/>
    </row>
    <row r="701">
      <c r="A701" s="47"/>
      <c r="B701" s="47"/>
      <c r="C701" s="47"/>
      <c r="D701" s="47"/>
      <c r="E701" s="17"/>
      <c r="F701" s="19"/>
      <c r="BQ701" s="50"/>
      <c r="BR701" s="50"/>
      <c r="BS701" s="50"/>
      <c r="BT701" s="50"/>
      <c r="BU701" s="50"/>
    </row>
    <row r="702">
      <c r="A702" s="47"/>
      <c r="B702" s="47"/>
      <c r="C702" s="47"/>
      <c r="D702" s="47"/>
      <c r="E702" s="17"/>
      <c r="F702" s="19"/>
      <c r="BQ702" s="50"/>
      <c r="BR702" s="50"/>
      <c r="BS702" s="50"/>
      <c r="BT702" s="50"/>
      <c r="BU702" s="50"/>
    </row>
    <row r="703">
      <c r="A703" s="47"/>
      <c r="B703" s="47"/>
      <c r="C703" s="47"/>
      <c r="D703" s="47"/>
      <c r="E703" s="19"/>
      <c r="F703" s="19"/>
      <c r="BQ703" s="50"/>
      <c r="BR703" s="50"/>
      <c r="BS703" s="50"/>
      <c r="BT703" s="50"/>
      <c r="BU703" s="50"/>
    </row>
    <row r="704">
      <c r="A704" s="47"/>
      <c r="B704" s="47"/>
      <c r="C704" s="47"/>
      <c r="D704" s="47"/>
      <c r="E704" s="19"/>
      <c r="F704" s="19"/>
      <c r="BQ704" s="50"/>
      <c r="BR704" s="50"/>
      <c r="BS704" s="50"/>
      <c r="BT704" s="50"/>
      <c r="BU704" s="50"/>
    </row>
    <row r="705">
      <c r="A705" s="47"/>
      <c r="B705" s="47"/>
      <c r="C705" s="47"/>
      <c r="D705" s="47"/>
      <c r="E705" s="19"/>
      <c r="F705" s="19"/>
      <c r="BQ705" s="50"/>
      <c r="BR705" s="50"/>
      <c r="BS705" s="50"/>
      <c r="BT705" s="50"/>
      <c r="BU705" s="50"/>
    </row>
    <row r="706">
      <c r="A706" s="47"/>
      <c r="B706" s="47"/>
      <c r="C706" s="47"/>
      <c r="D706" s="47"/>
      <c r="E706" s="19"/>
      <c r="F706" s="19"/>
      <c r="BQ706" s="50"/>
      <c r="BR706" s="50"/>
      <c r="BS706" s="50"/>
      <c r="BT706" s="50"/>
      <c r="BU706" s="50"/>
    </row>
    <row r="707">
      <c r="A707" s="47"/>
      <c r="B707" s="47"/>
      <c r="C707" s="47"/>
      <c r="D707" s="47"/>
      <c r="E707" s="19"/>
      <c r="F707" s="19"/>
      <c r="BQ707" s="50"/>
      <c r="BR707" s="50"/>
      <c r="BS707" s="50"/>
      <c r="BT707" s="50"/>
      <c r="BU707" s="50"/>
    </row>
    <row r="708">
      <c r="A708" s="47"/>
      <c r="B708" s="47"/>
      <c r="C708" s="47"/>
      <c r="D708" s="47"/>
      <c r="E708" s="19"/>
      <c r="F708" s="19"/>
      <c r="BQ708" s="50"/>
      <c r="BR708" s="50"/>
      <c r="BS708" s="50"/>
      <c r="BT708" s="50"/>
      <c r="BU708" s="50"/>
    </row>
    <row r="709">
      <c r="A709" s="47"/>
      <c r="B709" s="47"/>
      <c r="C709" s="47"/>
      <c r="D709" s="47"/>
      <c r="E709" s="19"/>
      <c r="F709" s="19"/>
      <c r="BQ709" s="50"/>
      <c r="BR709" s="50"/>
      <c r="BS709" s="50"/>
      <c r="BT709" s="50"/>
      <c r="BU709" s="50"/>
    </row>
    <row r="710">
      <c r="A710" s="47"/>
      <c r="B710" s="47"/>
      <c r="C710" s="47"/>
      <c r="D710" s="47"/>
      <c r="E710" s="19"/>
      <c r="F710" s="19"/>
      <c r="BQ710" s="50"/>
      <c r="BR710" s="50"/>
      <c r="BS710" s="50"/>
      <c r="BT710" s="50"/>
      <c r="BU710" s="50"/>
    </row>
    <row r="711">
      <c r="A711" s="47"/>
      <c r="B711" s="47"/>
      <c r="C711" s="47"/>
      <c r="D711" s="47"/>
      <c r="E711" s="19"/>
      <c r="F711" s="19"/>
      <c r="BQ711" s="50"/>
      <c r="BR711" s="50"/>
      <c r="BS711" s="50"/>
      <c r="BT711" s="50"/>
      <c r="BU711" s="50"/>
    </row>
    <row r="712">
      <c r="A712" s="47"/>
      <c r="B712" s="47"/>
      <c r="C712" s="47"/>
      <c r="D712" s="47"/>
      <c r="E712" s="19"/>
      <c r="F712" s="19"/>
      <c r="BQ712" s="50"/>
      <c r="BR712" s="50"/>
      <c r="BS712" s="50"/>
      <c r="BT712" s="50"/>
      <c r="BU712" s="50"/>
    </row>
    <row r="713">
      <c r="A713" s="47"/>
      <c r="B713" s="47"/>
      <c r="C713" s="47"/>
      <c r="D713" s="47"/>
      <c r="E713" s="19"/>
      <c r="F713" s="19"/>
      <c r="BQ713" s="50"/>
      <c r="BR713" s="50"/>
      <c r="BS713" s="50"/>
      <c r="BT713" s="50"/>
      <c r="BU713" s="50"/>
    </row>
    <row r="714">
      <c r="A714" s="47"/>
      <c r="B714" s="47"/>
      <c r="C714" s="47"/>
      <c r="D714" s="47"/>
      <c r="E714" s="21"/>
      <c r="F714" s="21"/>
      <c r="BQ714" s="50"/>
      <c r="BR714" s="50"/>
      <c r="BS714" s="50"/>
      <c r="BT714" s="50"/>
      <c r="BU714" s="50"/>
    </row>
    <row r="715">
      <c r="A715" s="47"/>
      <c r="B715" s="47"/>
      <c r="C715" s="47"/>
      <c r="D715" s="47"/>
      <c r="E715" s="19"/>
      <c r="F715" s="19"/>
      <c r="BQ715" s="50"/>
      <c r="BR715" s="50"/>
      <c r="BS715" s="50"/>
      <c r="BT715" s="50"/>
      <c r="BU715" s="50"/>
    </row>
    <row r="716">
      <c r="A716" s="47"/>
      <c r="B716" s="47"/>
      <c r="C716" s="47"/>
      <c r="D716" s="47"/>
      <c r="E716" s="19"/>
      <c r="F716" s="19"/>
      <c r="BQ716" s="50"/>
      <c r="BR716" s="50"/>
      <c r="BS716" s="50"/>
      <c r="BT716" s="50"/>
      <c r="BU716" s="50"/>
    </row>
    <row r="717">
      <c r="A717" s="47"/>
      <c r="B717" s="47"/>
      <c r="C717" s="47"/>
      <c r="D717" s="47"/>
      <c r="E717" s="19"/>
      <c r="F717" s="19"/>
      <c r="BQ717" s="50"/>
      <c r="BR717" s="50"/>
      <c r="BS717" s="50"/>
      <c r="BT717" s="50"/>
      <c r="BU717" s="50"/>
    </row>
    <row r="718">
      <c r="A718" s="47"/>
      <c r="B718" s="47"/>
      <c r="C718" s="47"/>
      <c r="D718" s="47"/>
      <c r="E718" s="19"/>
      <c r="F718" s="19"/>
      <c r="BQ718" s="50"/>
      <c r="BR718" s="50"/>
      <c r="BS718" s="50"/>
      <c r="BT718" s="50"/>
      <c r="BU718" s="50"/>
    </row>
    <row r="719">
      <c r="A719" s="47"/>
      <c r="B719" s="47"/>
      <c r="C719" s="47"/>
      <c r="D719" s="47"/>
      <c r="E719" s="19"/>
      <c r="F719" s="19"/>
      <c r="BQ719" s="50"/>
      <c r="BR719" s="50"/>
      <c r="BS719" s="50"/>
      <c r="BT719" s="50"/>
      <c r="BU719" s="50"/>
    </row>
    <row r="720">
      <c r="A720" s="47"/>
      <c r="B720" s="47"/>
      <c r="C720" s="47"/>
      <c r="D720" s="47"/>
      <c r="E720" s="19"/>
      <c r="F720" s="19"/>
      <c r="BQ720" s="50"/>
      <c r="BR720" s="50"/>
      <c r="BS720" s="50"/>
      <c r="BT720" s="50"/>
      <c r="BU720" s="50"/>
    </row>
    <row r="721">
      <c r="A721" s="47"/>
      <c r="B721" s="47"/>
      <c r="C721" s="47"/>
      <c r="D721" s="47"/>
      <c r="E721" s="23"/>
      <c r="F721" s="19"/>
      <c r="BQ721" s="50"/>
      <c r="BR721" s="50"/>
      <c r="BS721" s="50"/>
      <c r="BT721" s="50"/>
      <c r="BU721" s="50"/>
    </row>
    <row r="722">
      <c r="A722" s="47"/>
      <c r="B722" s="47"/>
      <c r="C722" s="47"/>
      <c r="D722" s="47"/>
      <c r="E722" s="24"/>
      <c r="F722" s="24"/>
      <c r="BQ722" s="50"/>
      <c r="BR722" s="50"/>
      <c r="BS722" s="50"/>
      <c r="BT722" s="50"/>
      <c r="BU722" s="50"/>
    </row>
    <row r="723">
      <c r="A723" s="47"/>
      <c r="B723" s="47"/>
      <c r="C723" s="47"/>
      <c r="D723" s="47"/>
      <c r="E723" s="27"/>
      <c r="F723" s="27"/>
      <c r="BQ723" s="50"/>
      <c r="BR723" s="50"/>
      <c r="BS723" s="50"/>
      <c r="BT723" s="50"/>
      <c r="BU723" s="50"/>
    </row>
    <row r="724">
      <c r="A724" s="47"/>
      <c r="B724" s="47"/>
      <c r="C724" s="47"/>
      <c r="D724" s="47"/>
      <c r="E724" s="27"/>
      <c r="F724" s="27"/>
      <c r="BQ724" s="50"/>
      <c r="BR724" s="50"/>
      <c r="BS724" s="50"/>
      <c r="BT724" s="50"/>
      <c r="BU724" s="50"/>
    </row>
    <row r="725">
      <c r="A725" s="47"/>
      <c r="B725" s="47"/>
      <c r="C725" s="47"/>
      <c r="D725" s="47"/>
      <c r="E725" s="27"/>
      <c r="F725" s="27"/>
      <c r="BQ725" s="50"/>
      <c r="BR725" s="50"/>
      <c r="BS725" s="50"/>
      <c r="BT725" s="50"/>
      <c r="BU725" s="50"/>
    </row>
    <row r="726">
      <c r="A726" s="47"/>
      <c r="B726" s="47"/>
      <c r="C726" s="47"/>
      <c r="D726" s="47"/>
      <c r="E726" s="27"/>
      <c r="F726" s="27"/>
      <c r="BQ726" s="50"/>
      <c r="BR726" s="50"/>
      <c r="BS726" s="50"/>
      <c r="BT726" s="50"/>
      <c r="BU726" s="50"/>
    </row>
    <row r="727">
      <c r="A727" s="47"/>
      <c r="B727" s="47"/>
      <c r="C727" s="47"/>
      <c r="D727" s="47"/>
      <c r="E727" s="27"/>
      <c r="F727" s="27"/>
      <c r="BQ727" s="50"/>
      <c r="BR727" s="50"/>
      <c r="BS727" s="50"/>
      <c r="BT727" s="50"/>
      <c r="BU727" s="50"/>
    </row>
    <row r="728">
      <c r="A728" s="47"/>
      <c r="B728" s="47"/>
      <c r="C728" s="47"/>
      <c r="D728" s="47"/>
      <c r="E728" s="27"/>
      <c r="F728" s="27"/>
      <c r="BQ728" s="50"/>
      <c r="BR728" s="50"/>
      <c r="BS728" s="50"/>
      <c r="BT728" s="50"/>
      <c r="BU728" s="50"/>
    </row>
    <row r="729">
      <c r="A729" s="47"/>
      <c r="B729" s="47"/>
      <c r="C729" s="47"/>
      <c r="D729" s="47"/>
      <c r="E729" s="27"/>
      <c r="F729" s="27"/>
      <c r="BQ729" s="50"/>
      <c r="BR729" s="50"/>
      <c r="BS729" s="50"/>
      <c r="BT729" s="50"/>
      <c r="BU729" s="50"/>
    </row>
    <row r="730">
      <c r="A730" s="47"/>
      <c r="B730" s="47"/>
      <c r="C730" s="47"/>
      <c r="D730" s="47"/>
      <c r="E730" s="34"/>
      <c r="F730" s="34"/>
      <c r="BQ730" s="50"/>
      <c r="BR730" s="50"/>
      <c r="BS730" s="50"/>
      <c r="BT730" s="50"/>
      <c r="BU730" s="50"/>
    </row>
    <row r="731">
      <c r="A731" s="47"/>
      <c r="B731" s="47"/>
      <c r="C731" s="47"/>
      <c r="D731" s="47"/>
      <c r="E731" s="27"/>
      <c r="F731" s="27"/>
      <c r="BQ731" s="50"/>
      <c r="BR731" s="50"/>
      <c r="BS731" s="50"/>
      <c r="BT731" s="50"/>
      <c r="BU731" s="50"/>
    </row>
    <row r="732">
      <c r="A732" s="47"/>
      <c r="B732" s="47"/>
      <c r="C732" s="47"/>
      <c r="D732" s="47"/>
      <c r="E732" s="27"/>
      <c r="F732" s="27"/>
      <c r="BQ732" s="50"/>
      <c r="BR732" s="50"/>
      <c r="BS732" s="50"/>
      <c r="BT732" s="50"/>
      <c r="BU732" s="50"/>
    </row>
    <row r="733">
      <c r="A733" s="47"/>
      <c r="B733" s="47"/>
      <c r="C733" s="47"/>
      <c r="D733" s="47"/>
      <c r="E733" s="38"/>
      <c r="F733" s="38"/>
      <c r="BQ733" s="50"/>
      <c r="BR733" s="50"/>
      <c r="BS733" s="50"/>
      <c r="BT733" s="50"/>
      <c r="BU733" s="50"/>
    </row>
    <row r="734">
      <c r="A734" s="47"/>
      <c r="B734" s="47"/>
      <c r="C734" s="47"/>
      <c r="D734" s="47"/>
      <c r="E734" s="39"/>
      <c r="F734" s="39"/>
      <c r="BQ734" s="50"/>
      <c r="BR734" s="50"/>
      <c r="BS734" s="50"/>
      <c r="BT734" s="50"/>
      <c r="BU734" s="50"/>
    </row>
    <row r="735">
      <c r="A735" s="47"/>
      <c r="B735" s="47"/>
      <c r="C735" s="47"/>
      <c r="D735" s="47"/>
      <c r="E735" s="39"/>
      <c r="F735" s="39"/>
      <c r="BQ735" s="50"/>
      <c r="BR735" s="50"/>
      <c r="BS735" s="50"/>
      <c r="BT735" s="50"/>
      <c r="BU735" s="50"/>
    </row>
    <row r="736">
      <c r="A736" s="47"/>
      <c r="B736" s="47"/>
      <c r="C736" s="47"/>
      <c r="D736" s="47"/>
      <c r="E736" s="38"/>
      <c r="F736" s="39"/>
      <c r="BQ736" s="50"/>
      <c r="BR736" s="50"/>
      <c r="BS736" s="50"/>
      <c r="BT736" s="50"/>
      <c r="BU736" s="50"/>
    </row>
    <row r="737">
      <c r="A737" s="47"/>
      <c r="B737" s="47"/>
      <c r="C737" s="47"/>
      <c r="D737" s="47"/>
      <c r="E737" s="39"/>
      <c r="F737" s="39"/>
      <c r="BQ737" s="50"/>
      <c r="BR737" s="50"/>
      <c r="BS737" s="50"/>
      <c r="BT737" s="50"/>
      <c r="BU737" s="50"/>
    </row>
    <row r="738">
      <c r="A738" s="47"/>
      <c r="B738" s="47"/>
      <c r="C738" s="47"/>
      <c r="D738" s="47"/>
      <c r="E738" s="39"/>
      <c r="F738" s="39"/>
      <c r="BQ738" s="50"/>
      <c r="BR738" s="50"/>
      <c r="BS738" s="50"/>
      <c r="BT738" s="50"/>
      <c r="BU738" s="50"/>
    </row>
    <row r="739">
      <c r="A739" s="47"/>
      <c r="B739" s="47"/>
      <c r="C739" s="47"/>
      <c r="D739" s="47"/>
      <c r="E739" s="39"/>
      <c r="F739" s="39"/>
      <c r="BQ739" s="50"/>
      <c r="BR739" s="50"/>
      <c r="BS739" s="50"/>
      <c r="BT739" s="50"/>
      <c r="BU739" s="50"/>
    </row>
    <row r="740">
      <c r="A740" s="47"/>
      <c r="B740" s="47"/>
      <c r="C740" s="47"/>
      <c r="D740" s="47"/>
      <c r="E740" s="39"/>
      <c r="F740" s="39"/>
      <c r="BQ740" s="50"/>
      <c r="BR740" s="50"/>
      <c r="BS740" s="50"/>
      <c r="BT740" s="50"/>
      <c r="BU740" s="50"/>
    </row>
    <row r="741">
      <c r="A741" s="47"/>
      <c r="B741" s="47"/>
      <c r="C741" s="47"/>
      <c r="D741" s="47"/>
      <c r="E741" s="39"/>
      <c r="F741" s="39"/>
      <c r="BQ741" s="50"/>
      <c r="BR741" s="50"/>
      <c r="BS741" s="50"/>
      <c r="BT741" s="50"/>
      <c r="BU741" s="50"/>
    </row>
    <row r="742">
      <c r="A742" s="47"/>
      <c r="B742" s="47"/>
      <c r="C742" s="47"/>
      <c r="D742" s="47"/>
      <c r="E742" s="39"/>
      <c r="F742" s="39"/>
      <c r="BQ742" s="50"/>
      <c r="BR742" s="50"/>
      <c r="BS742" s="50"/>
      <c r="BT742" s="50"/>
      <c r="BU742" s="50"/>
    </row>
    <row r="743">
      <c r="A743" s="47"/>
      <c r="B743" s="47"/>
      <c r="C743" s="47"/>
      <c r="D743" s="47"/>
      <c r="E743" s="39"/>
      <c r="F743" s="39"/>
      <c r="BQ743" s="50"/>
      <c r="BR743" s="50"/>
      <c r="BS743" s="50"/>
      <c r="BT743" s="50"/>
      <c r="BU743" s="50"/>
    </row>
    <row r="744">
      <c r="A744" s="47"/>
      <c r="B744" s="47"/>
      <c r="C744" s="47"/>
      <c r="D744" s="47"/>
      <c r="E744" s="39"/>
      <c r="F744" s="39"/>
      <c r="BQ744" s="50"/>
      <c r="BR744" s="50"/>
      <c r="BS744" s="50"/>
      <c r="BT744" s="50"/>
      <c r="BU744" s="50"/>
    </row>
    <row r="745">
      <c r="A745" s="47"/>
      <c r="B745" s="47"/>
      <c r="C745" s="47"/>
      <c r="D745" s="47"/>
      <c r="E745" s="39"/>
      <c r="F745" s="39"/>
      <c r="BQ745" s="50"/>
      <c r="BR745" s="50"/>
      <c r="BS745" s="50"/>
      <c r="BT745" s="50"/>
      <c r="BU745" s="50"/>
    </row>
    <row r="746">
      <c r="A746" s="47"/>
      <c r="B746" s="47"/>
      <c r="C746" s="47"/>
      <c r="D746" s="47"/>
      <c r="E746" s="39"/>
      <c r="F746" s="39"/>
      <c r="BQ746" s="50"/>
      <c r="BR746" s="50"/>
      <c r="BS746" s="50"/>
      <c r="BT746" s="50"/>
      <c r="BU746" s="50"/>
    </row>
    <row r="747">
      <c r="A747" s="47"/>
      <c r="B747" s="47"/>
      <c r="C747" s="47"/>
      <c r="D747" s="47"/>
      <c r="E747" s="39"/>
      <c r="F747" s="39"/>
      <c r="BQ747" s="50"/>
      <c r="BR747" s="50"/>
      <c r="BS747" s="50"/>
      <c r="BT747" s="50"/>
      <c r="BU747" s="50"/>
    </row>
    <row r="748">
      <c r="A748" s="47"/>
      <c r="B748" s="47"/>
      <c r="C748" s="47"/>
      <c r="D748" s="47"/>
      <c r="E748" s="39"/>
      <c r="F748" s="39"/>
      <c r="BQ748" s="50"/>
      <c r="BR748" s="50"/>
      <c r="BS748" s="50"/>
      <c r="BT748" s="50"/>
      <c r="BU748" s="50"/>
    </row>
    <row r="749">
      <c r="A749" s="47"/>
      <c r="B749" s="47"/>
      <c r="C749" s="47"/>
      <c r="D749" s="47"/>
      <c r="E749" s="39"/>
      <c r="F749" s="39"/>
      <c r="BQ749" s="50"/>
      <c r="BR749" s="50"/>
      <c r="BS749" s="50"/>
      <c r="BT749" s="50"/>
      <c r="BU749" s="50"/>
    </row>
    <row r="750">
      <c r="A750" s="47"/>
      <c r="B750" s="47"/>
      <c r="C750" s="47"/>
      <c r="D750" s="47"/>
      <c r="E750" s="39"/>
      <c r="F750" s="39"/>
      <c r="BQ750" s="50"/>
      <c r="BR750" s="50"/>
      <c r="BS750" s="50"/>
      <c r="BT750" s="50"/>
      <c r="BU750" s="50"/>
    </row>
    <row r="751">
      <c r="A751" s="47"/>
      <c r="B751" s="47"/>
      <c r="C751" s="47"/>
      <c r="D751" s="47"/>
      <c r="E751" s="24"/>
      <c r="F751" s="24"/>
      <c r="BQ751" s="50"/>
      <c r="BR751" s="50"/>
      <c r="BS751" s="50"/>
      <c r="BT751" s="50"/>
      <c r="BU751" s="50"/>
    </row>
    <row r="752">
      <c r="A752" s="47"/>
      <c r="B752" s="47"/>
      <c r="C752" s="47"/>
      <c r="D752" s="47"/>
      <c r="E752" s="27"/>
      <c r="F752" s="27"/>
      <c r="BQ752" s="50"/>
      <c r="BR752" s="50"/>
      <c r="BS752" s="50"/>
      <c r="BT752" s="50"/>
      <c r="BU752" s="50"/>
    </row>
    <row r="753">
      <c r="A753" s="47"/>
      <c r="B753" s="47"/>
      <c r="C753" s="47"/>
      <c r="D753" s="47"/>
      <c r="E753" s="27"/>
      <c r="F753" s="27"/>
      <c r="BQ753" s="50"/>
      <c r="BR753" s="50"/>
      <c r="BS753" s="50"/>
      <c r="BT753" s="50"/>
      <c r="BU753" s="50"/>
    </row>
    <row r="754">
      <c r="A754" s="47"/>
      <c r="B754" s="47"/>
      <c r="C754" s="47"/>
      <c r="D754" s="47"/>
      <c r="E754" s="27"/>
      <c r="F754" s="27"/>
      <c r="BQ754" s="50"/>
      <c r="BR754" s="50"/>
      <c r="BS754" s="50"/>
      <c r="BT754" s="50"/>
      <c r="BU754" s="50"/>
    </row>
    <row r="755">
      <c r="A755" s="47"/>
      <c r="B755" s="47"/>
      <c r="C755" s="47"/>
      <c r="D755" s="47"/>
      <c r="E755" s="27"/>
      <c r="F755" s="27"/>
      <c r="BQ755" s="50"/>
      <c r="BR755" s="50"/>
      <c r="BS755" s="50"/>
      <c r="BT755" s="50"/>
      <c r="BU755" s="50"/>
    </row>
    <row r="756">
      <c r="A756" s="47"/>
      <c r="B756" s="47"/>
      <c r="C756" s="47"/>
      <c r="D756" s="47"/>
      <c r="E756" s="27"/>
      <c r="F756" s="27"/>
      <c r="BQ756" s="50"/>
      <c r="BR756" s="50"/>
      <c r="BS756" s="50"/>
      <c r="BT756" s="50"/>
      <c r="BU756" s="50"/>
    </row>
    <row r="757">
      <c r="A757" s="47"/>
      <c r="B757" s="47"/>
      <c r="C757" s="47"/>
      <c r="D757" s="47"/>
      <c r="E757" s="27"/>
      <c r="F757" s="27"/>
      <c r="BQ757" s="50"/>
      <c r="BR757" s="50"/>
      <c r="BS757" s="50"/>
      <c r="BT757" s="50"/>
      <c r="BU757" s="50"/>
    </row>
    <row r="758">
      <c r="A758" s="47"/>
      <c r="B758" s="47"/>
      <c r="C758" s="47"/>
      <c r="D758" s="47"/>
      <c r="E758" s="27"/>
      <c r="F758" s="27"/>
      <c r="BQ758" s="50"/>
      <c r="BR758" s="50"/>
      <c r="BS758" s="50"/>
      <c r="BT758" s="50"/>
      <c r="BU758" s="50"/>
    </row>
    <row r="759">
      <c r="A759" s="47"/>
      <c r="B759" s="47"/>
      <c r="C759" s="47"/>
      <c r="D759" s="47"/>
      <c r="E759" s="27"/>
      <c r="F759" s="27"/>
      <c r="BQ759" s="50"/>
      <c r="BR759" s="50"/>
      <c r="BS759" s="50"/>
      <c r="BT759" s="50"/>
      <c r="BU759" s="50"/>
    </row>
    <row r="760">
      <c r="A760" s="47"/>
      <c r="B760" s="47"/>
      <c r="C760" s="47"/>
      <c r="D760" s="47"/>
      <c r="E760" s="27"/>
      <c r="F760" s="27"/>
      <c r="BQ760" s="50"/>
      <c r="BR760" s="50"/>
      <c r="BS760" s="50"/>
      <c r="BT760" s="50"/>
      <c r="BU760" s="50"/>
    </row>
    <row r="761">
      <c r="A761" s="47"/>
      <c r="B761" s="47"/>
      <c r="C761" s="47"/>
      <c r="D761" s="47"/>
      <c r="E761" s="27"/>
      <c r="F761" s="27"/>
      <c r="BQ761" s="50"/>
      <c r="BR761" s="50"/>
      <c r="BS761" s="50"/>
      <c r="BT761" s="50"/>
      <c r="BU761" s="50"/>
    </row>
    <row r="762">
      <c r="A762" s="47"/>
      <c r="B762" s="47"/>
      <c r="C762" s="47"/>
      <c r="D762" s="47"/>
      <c r="E762" s="24"/>
      <c r="F762" s="24"/>
      <c r="BQ762" s="50"/>
      <c r="BR762" s="50"/>
      <c r="BS762" s="50"/>
      <c r="BT762" s="50"/>
      <c r="BU762" s="50"/>
    </row>
    <row r="763">
      <c r="A763" s="47"/>
      <c r="B763" s="47"/>
      <c r="C763" s="47"/>
      <c r="D763" s="47"/>
      <c r="E763" s="27"/>
      <c r="F763" s="27"/>
      <c r="BQ763" s="50"/>
      <c r="BR763" s="50"/>
      <c r="BS763" s="50"/>
      <c r="BT763" s="50"/>
      <c r="BU763" s="50"/>
    </row>
    <row r="764">
      <c r="A764" s="47"/>
      <c r="B764" s="47"/>
      <c r="C764" s="47"/>
      <c r="D764" s="47"/>
      <c r="E764" s="27"/>
      <c r="F764" s="27"/>
      <c r="BQ764" s="50"/>
      <c r="BR764" s="50"/>
      <c r="BS764" s="50"/>
      <c r="BT764" s="50"/>
      <c r="BU764" s="50"/>
    </row>
    <row r="765">
      <c r="A765" s="47"/>
      <c r="B765" s="47"/>
      <c r="C765" s="47"/>
      <c r="D765" s="47"/>
      <c r="E765" s="27"/>
      <c r="F765" s="27"/>
      <c r="BQ765" s="50"/>
      <c r="BR765" s="50"/>
      <c r="BS765" s="50"/>
      <c r="BT765" s="50"/>
      <c r="BU765" s="50"/>
    </row>
    <row r="766">
      <c r="A766" s="47"/>
      <c r="B766" s="47"/>
      <c r="C766" s="47"/>
      <c r="D766" s="47"/>
      <c r="E766" s="27"/>
      <c r="F766" s="27"/>
      <c r="BQ766" s="50"/>
      <c r="BR766" s="50"/>
      <c r="BS766" s="50"/>
      <c r="BT766" s="50"/>
      <c r="BU766" s="50"/>
    </row>
    <row r="767">
      <c r="A767" s="47"/>
      <c r="B767" s="47"/>
      <c r="C767" s="47"/>
      <c r="D767" s="47"/>
      <c r="E767" s="27"/>
      <c r="F767" s="27"/>
      <c r="BQ767" s="50"/>
      <c r="BR767" s="50"/>
      <c r="BS767" s="50"/>
      <c r="BT767" s="50"/>
      <c r="BU767" s="50"/>
    </row>
    <row r="768">
      <c r="A768" s="47"/>
      <c r="B768" s="47"/>
      <c r="C768" s="47"/>
      <c r="D768" s="47"/>
      <c r="E768" s="27"/>
      <c r="F768" s="27"/>
      <c r="BQ768" s="50"/>
      <c r="BR768" s="50"/>
      <c r="BS768" s="50"/>
      <c r="BT768" s="50"/>
      <c r="BU768" s="50"/>
    </row>
    <row r="769">
      <c r="A769" s="47"/>
      <c r="B769" s="47"/>
      <c r="C769" s="47"/>
      <c r="D769" s="47"/>
      <c r="E769" s="34"/>
      <c r="F769" s="34"/>
      <c r="BQ769" s="50"/>
      <c r="BR769" s="50"/>
      <c r="BS769" s="50"/>
      <c r="BT769" s="50"/>
      <c r="BU769" s="50"/>
    </row>
    <row r="770">
      <c r="A770" s="47"/>
      <c r="B770" s="47"/>
      <c r="C770" s="47"/>
      <c r="D770" s="47"/>
      <c r="E770" s="34"/>
      <c r="F770" s="34"/>
      <c r="BQ770" s="50"/>
      <c r="BR770" s="50"/>
      <c r="BS770" s="50"/>
      <c r="BT770" s="50"/>
      <c r="BU770" s="50"/>
    </row>
    <row r="771">
      <c r="A771" s="47"/>
      <c r="B771" s="47"/>
      <c r="C771" s="47"/>
      <c r="D771" s="47"/>
      <c r="E771" s="34"/>
      <c r="F771" s="34"/>
      <c r="BQ771" s="50"/>
      <c r="BR771" s="50"/>
      <c r="BS771" s="50"/>
      <c r="BT771" s="50"/>
      <c r="BU771" s="50"/>
    </row>
    <row r="772">
      <c r="A772" s="47"/>
      <c r="B772" s="47"/>
      <c r="C772" s="47"/>
      <c r="D772" s="47"/>
      <c r="E772" s="34"/>
      <c r="F772" s="34"/>
      <c r="BQ772" s="50"/>
      <c r="BR772" s="50"/>
      <c r="BS772" s="50"/>
      <c r="BT772" s="50"/>
      <c r="BU772" s="50"/>
    </row>
    <row r="773">
      <c r="A773" s="47"/>
      <c r="B773" s="47"/>
      <c r="C773" s="47"/>
      <c r="D773" s="47"/>
      <c r="E773" s="34"/>
      <c r="F773" s="34"/>
      <c r="BQ773" s="50"/>
      <c r="BR773" s="50"/>
      <c r="BS773" s="50"/>
      <c r="BT773" s="50"/>
      <c r="BU773" s="50"/>
    </row>
    <row r="774">
      <c r="A774" s="47"/>
      <c r="B774" s="47"/>
      <c r="C774" s="47"/>
      <c r="D774" s="47"/>
      <c r="E774" s="34"/>
      <c r="F774" s="34"/>
      <c r="BQ774" s="50"/>
      <c r="BR774" s="50"/>
      <c r="BS774" s="50"/>
      <c r="BT774" s="50"/>
      <c r="BU774" s="50"/>
    </row>
    <row r="775">
      <c r="A775" s="47"/>
      <c r="B775" s="47"/>
      <c r="C775" s="47"/>
      <c r="D775" s="47"/>
      <c r="E775" s="55"/>
      <c r="F775" s="55"/>
      <c r="BQ775" s="50"/>
      <c r="BR775" s="50"/>
      <c r="BS775" s="50"/>
      <c r="BT775" s="50"/>
      <c r="BU775" s="50"/>
    </row>
    <row r="776">
      <c r="A776" s="47"/>
      <c r="B776" s="47"/>
      <c r="C776" s="47"/>
      <c r="D776" s="47"/>
      <c r="E776" s="57"/>
      <c r="F776" s="57"/>
      <c r="BQ776" s="50"/>
      <c r="BR776" s="50"/>
      <c r="BS776" s="50"/>
      <c r="BT776" s="50"/>
      <c r="BU776" s="50"/>
    </row>
    <row r="777">
      <c r="A777" s="47"/>
      <c r="B777" s="47"/>
      <c r="C777" s="47"/>
      <c r="D777" s="47"/>
      <c r="E777" s="58"/>
      <c r="F777" s="58"/>
      <c r="BQ777" s="50"/>
      <c r="BR777" s="50"/>
      <c r="BS777" s="50"/>
      <c r="BT777" s="50"/>
      <c r="BU777" s="50"/>
    </row>
    <row r="778">
      <c r="A778" s="47"/>
      <c r="B778" s="47"/>
      <c r="C778" s="47"/>
      <c r="D778" s="47"/>
      <c r="E778" s="58"/>
      <c r="F778" s="58"/>
      <c r="BQ778" s="50"/>
      <c r="BR778" s="50"/>
      <c r="BS778" s="50"/>
      <c r="BT778" s="50"/>
      <c r="BU778" s="50"/>
    </row>
    <row r="779">
      <c r="A779" s="47"/>
      <c r="B779" s="47"/>
      <c r="C779" s="47"/>
      <c r="D779" s="47"/>
      <c r="E779" s="60"/>
      <c r="F779" s="60"/>
      <c r="BQ779" s="50"/>
      <c r="BR779" s="50"/>
      <c r="BS779" s="50"/>
      <c r="BT779" s="50"/>
      <c r="BU779" s="50"/>
    </row>
    <row r="780">
      <c r="A780" s="47"/>
      <c r="B780" s="47"/>
      <c r="C780" s="47"/>
      <c r="D780" s="47"/>
      <c r="E780" s="58"/>
      <c r="F780" s="58"/>
      <c r="BQ780" s="50"/>
      <c r="BR780" s="50"/>
      <c r="BS780" s="50"/>
      <c r="BT780" s="50"/>
      <c r="BU780" s="50"/>
    </row>
    <row r="781">
      <c r="A781" s="47"/>
      <c r="B781" s="47"/>
      <c r="C781" s="47"/>
      <c r="D781" s="47"/>
      <c r="E781" s="57"/>
      <c r="F781" s="57"/>
      <c r="BQ781" s="50"/>
      <c r="BR781" s="50"/>
      <c r="BS781" s="50"/>
      <c r="BT781" s="50"/>
      <c r="BU781" s="50"/>
    </row>
    <row r="782">
      <c r="A782" s="47"/>
      <c r="B782" s="47"/>
      <c r="C782" s="47"/>
      <c r="D782" s="47"/>
      <c r="E782" s="58"/>
      <c r="F782" s="58"/>
      <c r="BQ782" s="50"/>
      <c r="BR782" s="50"/>
      <c r="BS782" s="50"/>
      <c r="BT782" s="50"/>
      <c r="BU782" s="50"/>
    </row>
    <row r="783">
      <c r="A783" s="47"/>
      <c r="B783" s="47"/>
      <c r="C783" s="47"/>
      <c r="D783" s="47"/>
      <c r="E783" s="58"/>
      <c r="F783" s="58"/>
      <c r="BQ783" s="50"/>
      <c r="BR783" s="50"/>
      <c r="BS783" s="50"/>
      <c r="BT783" s="50"/>
      <c r="BU783" s="50"/>
    </row>
    <row r="784">
      <c r="A784" s="47"/>
      <c r="B784" s="47"/>
      <c r="C784" s="47"/>
      <c r="D784" s="47"/>
      <c r="E784" s="58"/>
      <c r="F784" s="58"/>
      <c r="BQ784" s="50"/>
      <c r="BR784" s="50"/>
      <c r="BS784" s="50"/>
      <c r="BT784" s="50"/>
      <c r="BU784" s="50"/>
    </row>
    <row r="785">
      <c r="A785" s="47"/>
      <c r="B785" s="47"/>
      <c r="C785" s="47"/>
      <c r="D785" s="47"/>
      <c r="E785" s="58"/>
      <c r="F785" s="58"/>
      <c r="BQ785" s="50"/>
      <c r="BR785" s="50"/>
      <c r="BS785" s="50"/>
      <c r="BT785" s="50"/>
      <c r="BU785" s="50"/>
    </row>
    <row r="786">
      <c r="A786" s="47"/>
      <c r="B786" s="47"/>
      <c r="C786" s="47"/>
      <c r="D786" s="47"/>
      <c r="E786" s="57"/>
      <c r="F786" s="57"/>
      <c r="BQ786" s="50"/>
      <c r="BR786" s="50"/>
      <c r="BS786" s="50"/>
      <c r="BT786" s="50"/>
      <c r="BU786" s="50"/>
    </row>
    <row r="787">
      <c r="A787" s="47"/>
      <c r="B787" s="47"/>
      <c r="C787" s="47"/>
      <c r="D787" s="47"/>
      <c r="E787" s="58"/>
      <c r="F787" s="58"/>
      <c r="BQ787" s="50"/>
      <c r="BR787" s="50"/>
      <c r="BS787" s="50"/>
      <c r="BT787" s="50"/>
      <c r="BU787" s="50"/>
    </row>
    <row r="788">
      <c r="A788" s="47"/>
      <c r="B788" s="47"/>
      <c r="C788" s="47"/>
      <c r="D788" s="47"/>
      <c r="E788" s="62"/>
      <c r="F788" s="62"/>
      <c r="BQ788" s="50"/>
      <c r="BR788" s="50"/>
      <c r="BS788" s="50"/>
      <c r="BT788" s="50"/>
      <c r="BU788" s="50"/>
    </row>
    <row r="789">
      <c r="A789" s="47"/>
      <c r="B789" s="47"/>
      <c r="C789" s="47"/>
      <c r="D789" s="47"/>
      <c r="E789" s="63"/>
      <c r="F789" s="63"/>
      <c r="BQ789" s="50"/>
      <c r="BR789" s="50"/>
      <c r="BS789" s="50"/>
      <c r="BT789" s="50"/>
      <c r="BU789" s="50"/>
    </row>
    <row r="790">
      <c r="A790" s="47"/>
      <c r="B790" s="47"/>
      <c r="C790" s="47"/>
      <c r="D790" s="47"/>
      <c r="E790" s="63"/>
      <c r="F790" s="63"/>
      <c r="BQ790" s="50"/>
      <c r="BR790" s="50"/>
      <c r="BS790" s="50"/>
      <c r="BT790" s="50"/>
      <c r="BU790" s="50"/>
    </row>
    <row r="791">
      <c r="A791" s="47"/>
      <c r="B791" s="47"/>
      <c r="C791" s="47"/>
      <c r="D791" s="47"/>
      <c r="E791" s="64"/>
      <c r="F791" s="64"/>
      <c r="BQ791" s="50"/>
      <c r="BR791" s="50"/>
      <c r="BS791" s="50"/>
      <c r="BT791" s="50"/>
      <c r="BU791" s="50"/>
    </row>
    <row r="792">
      <c r="A792" s="2"/>
      <c r="B792" s="4"/>
      <c r="C792" s="47"/>
      <c r="D792" s="47"/>
      <c r="E792" s="47"/>
      <c r="F792" s="47"/>
      <c r="G792" s="8"/>
      <c r="H792" s="9"/>
      <c r="I792" s="9"/>
      <c r="J792" s="9"/>
      <c r="K792" s="10"/>
      <c r="L792" s="8"/>
      <c r="M792" s="9"/>
      <c r="N792" s="9"/>
      <c r="O792" s="9"/>
      <c r="P792" s="10"/>
      <c r="Q792" s="14"/>
      <c r="R792" s="9"/>
      <c r="S792" s="9"/>
      <c r="T792" s="9"/>
      <c r="U792" s="9"/>
      <c r="V792" s="9"/>
      <c r="W792" s="10"/>
      <c r="BQ792" s="50"/>
      <c r="BR792" s="50"/>
      <c r="BS792" s="50"/>
      <c r="BT792" s="50"/>
      <c r="BU792" s="50"/>
    </row>
    <row r="793">
      <c r="A793" s="47"/>
      <c r="B793" s="47"/>
      <c r="C793" s="47"/>
      <c r="D793" s="47"/>
      <c r="E793" s="47"/>
      <c r="F793" s="47"/>
      <c r="G793" s="26"/>
      <c r="H793" s="29"/>
      <c r="I793" s="29"/>
      <c r="J793" s="31"/>
      <c r="K793" s="31"/>
      <c r="L793" s="33"/>
      <c r="M793" s="31"/>
      <c r="N793" s="31"/>
      <c r="O793" s="31"/>
      <c r="P793" s="35"/>
      <c r="Q793" s="36"/>
      <c r="R793" s="37"/>
      <c r="S793" s="37"/>
      <c r="T793" s="37"/>
      <c r="U793" s="37"/>
      <c r="V793" s="37"/>
      <c r="W793" s="40"/>
      <c r="BQ793" s="50"/>
      <c r="BR793" s="50"/>
      <c r="BS793" s="50"/>
      <c r="BT793" s="50"/>
      <c r="BU793" s="50"/>
    </row>
    <row r="794">
      <c r="A794" s="47"/>
      <c r="B794" s="47"/>
      <c r="C794" s="47"/>
      <c r="D794" s="47"/>
      <c r="E794" s="15"/>
      <c r="F794" s="15"/>
      <c r="BQ794" s="50"/>
      <c r="BR794" s="50"/>
      <c r="BS794" s="50"/>
      <c r="BT794" s="50"/>
      <c r="BU794" s="50"/>
    </row>
    <row r="795">
      <c r="A795" s="47"/>
      <c r="B795" s="47"/>
      <c r="C795" s="47"/>
      <c r="D795" s="47"/>
      <c r="E795" s="17"/>
      <c r="F795" s="19"/>
      <c r="BQ795" s="50"/>
      <c r="BR795" s="50"/>
      <c r="BS795" s="50"/>
      <c r="BT795" s="50"/>
      <c r="BU795" s="50"/>
    </row>
    <row r="796">
      <c r="A796" s="47"/>
      <c r="B796" s="47"/>
      <c r="C796" s="47"/>
      <c r="D796" s="47"/>
      <c r="E796" s="17"/>
      <c r="F796" s="19"/>
      <c r="BQ796" s="50"/>
      <c r="BR796" s="50"/>
      <c r="BS796" s="50"/>
      <c r="BT796" s="50"/>
      <c r="BU796" s="50"/>
    </row>
    <row r="797">
      <c r="A797" s="47"/>
      <c r="B797" s="47"/>
      <c r="C797" s="47"/>
      <c r="D797" s="47"/>
      <c r="E797" s="19"/>
      <c r="F797" s="19"/>
      <c r="BQ797" s="50"/>
      <c r="BR797" s="50"/>
      <c r="BS797" s="50"/>
      <c r="BT797" s="50"/>
      <c r="BU797" s="50"/>
    </row>
    <row r="798">
      <c r="A798" s="47"/>
      <c r="B798" s="47"/>
      <c r="C798" s="47"/>
      <c r="D798" s="47"/>
      <c r="E798" s="19"/>
      <c r="F798" s="19"/>
      <c r="BQ798" s="50"/>
      <c r="BR798" s="50"/>
      <c r="BS798" s="50"/>
      <c r="BT798" s="50"/>
      <c r="BU798" s="50"/>
    </row>
    <row r="799">
      <c r="A799" s="47"/>
      <c r="B799" s="47"/>
      <c r="C799" s="47"/>
      <c r="D799" s="47"/>
      <c r="E799" s="19"/>
      <c r="F799" s="19"/>
      <c r="BQ799" s="50"/>
      <c r="BR799" s="50"/>
      <c r="BS799" s="50"/>
      <c r="BT799" s="50"/>
      <c r="BU799" s="50"/>
    </row>
    <row r="800">
      <c r="A800" s="47"/>
      <c r="B800" s="47"/>
      <c r="C800" s="47"/>
      <c r="D800" s="47"/>
      <c r="E800" s="19"/>
      <c r="F800" s="19"/>
      <c r="BQ800" s="50"/>
      <c r="BR800" s="50"/>
      <c r="BS800" s="50"/>
      <c r="BT800" s="50"/>
      <c r="BU800" s="50"/>
    </row>
    <row r="801">
      <c r="A801" s="47"/>
      <c r="B801" s="47"/>
      <c r="C801" s="47"/>
      <c r="D801" s="47"/>
      <c r="E801" s="19"/>
      <c r="F801" s="19"/>
      <c r="BQ801" s="50"/>
      <c r="BR801" s="50"/>
      <c r="BS801" s="50"/>
      <c r="BT801" s="50"/>
      <c r="BU801" s="50"/>
    </row>
    <row r="802">
      <c r="A802" s="47"/>
      <c r="B802" s="47"/>
      <c r="C802" s="47"/>
      <c r="D802" s="47"/>
      <c r="E802" s="19"/>
      <c r="F802" s="19"/>
      <c r="BQ802" s="50"/>
      <c r="BR802" s="50"/>
      <c r="BS802" s="50"/>
      <c r="BT802" s="50"/>
      <c r="BU802" s="50"/>
    </row>
    <row r="803">
      <c r="A803" s="47"/>
      <c r="B803" s="47"/>
      <c r="C803" s="47"/>
      <c r="D803" s="47"/>
      <c r="E803" s="19"/>
      <c r="F803" s="19"/>
      <c r="BQ803" s="50"/>
      <c r="BR803" s="50"/>
      <c r="BS803" s="50"/>
      <c r="BT803" s="50"/>
      <c r="BU803" s="50"/>
    </row>
    <row r="804">
      <c r="A804" s="47"/>
      <c r="B804" s="47"/>
      <c r="C804" s="47"/>
      <c r="D804" s="47"/>
      <c r="E804" s="19"/>
      <c r="F804" s="19"/>
      <c r="BQ804" s="50"/>
      <c r="BR804" s="50"/>
      <c r="BS804" s="50"/>
      <c r="BT804" s="50"/>
      <c r="BU804" s="50"/>
    </row>
    <row r="805">
      <c r="A805" s="47"/>
      <c r="B805" s="47"/>
      <c r="C805" s="47"/>
      <c r="D805" s="47"/>
      <c r="E805" s="19"/>
      <c r="F805" s="19"/>
      <c r="BQ805" s="50"/>
      <c r="BR805" s="50"/>
      <c r="BS805" s="50"/>
      <c r="BT805" s="50"/>
      <c r="BU805" s="50"/>
    </row>
    <row r="806">
      <c r="A806" s="47"/>
      <c r="B806" s="47"/>
      <c r="C806" s="47"/>
      <c r="D806" s="47"/>
      <c r="E806" s="19"/>
      <c r="F806" s="19"/>
      <c r="BQ806" s="50"/>
      <c r="BR806" s="50"/>
      <c r="BS806" s="50"/>
      <c r="BT806" s="50"/>
      <c r="BU806" s="50"/>
    </row>
    <row r="807">
      <c r="A807" s="47"/>
      <c r="B807" s="47"/>
      <c r="C807" s="47"/>
      <c r="D807" s="47"/>
      <c r="E807" s="19"/>
      <c r="F807" s="19"/>
      <c r="BQ807" s="50"/>
      <c r="BR807" s="50"/>
      <c r="BS807" s="50"/>
      <c r="BT807" s="50"/>
      <c r="BU807" s="50"/>
    </row>
    <row r="808">
      <c r="A808" s="47"/>
      <c r="B808" s="47"/>
      <c r="C808" s="47"/>
      <c r="D808" s="47"/>
      <c r="E808" s="21"/>
      <c r="F808" s="21"/>
      <c r="BQ808" s="50"/>
      <c r="BR808" s="50"/>
      <c r="BS808" s="50"/>
      <c r="BT808" s="50"/>
      <c r="BU808" s="50"/>
    </row>
    <row r="809">
      <c r="A809" s="47"/>
      <c r="B809" s="47"/>
      <c r="C809" s="47"/>
      <c r="D809" s="47"/>
      <c r="E809" s="19"/>
      <c r="F809" s="19"/>
      <c r="BQ809" s="50"/>
      <c r="BR809" s="50"/>
      <c r="BS809" s="50"/>
      <c r="BT809" s="50"/>
      <c r="BU809" s="50"/>
    </row>
    <row r="810">
      <c r="A810" s="47"/>
      <c r="B810" s="47"/>
      <c r="C810" s="47"/>
      <c r="D810" s="47"/>
      <c r="E810" s="19"/>
      <c r="F810" s="19"/>
      <c r="BQ810" s="50"/>
      <c r="BR810" s="50"/>
      <c r="BS810" s="50"/>
      <c r="BT810" s="50"/>
      <c r="BU810" s="50"/>
    </row>
    <row r="811">
      <c r="A811" s="47"/>
      <c r="B811" s="47"/>
      <c r="C811" s="47"/>
      <c r="D811" s="47"/>
      <c r="E811" s="19"/>
      <c r="F811" s="19"/>
      <c r="BQ811" s="50"/>
      <c r="BR811" s="50"/>
      <c r="BS811" s="50"/>
      <c r="BT811" s="50"/>
      <c r="BU811" s="50"/>
    </row>
    <row r="812">
      <c r="A812" s="47"/>
      <c r="B812" s="47"/>
      <c r="C812" s="47"/>
      <c r="D812" s="47"/>
      <c r="E812" s="19"/>
      <c r="F812" s="19"/>
      <c r="BQ812" s="50"/>
      <c r="BR812" s="50"/>
      <c r="BS812" s="50"/>
      <c r="BT812" s="50"/>
      <c r="BU812" s="50"/>
    </row>
    <row r="813">
      <c r="A813" s="47"/>
      <c r="B813" s="47"/>
      <c r="C813" s="47"/>
      <c r="D813" s="47"/>
      <c r="E813" s="19"/>
      <c r="F813" s="19"/>
      <c r="BQ813" s="50"/>
      <c r="BR813" s="50"/>
      <c r="BS813" s="50"/>
      <c r="BT813" s="50"/>
      <c r="BU813" s="50"/>
    </row>
    <row r="814">
      <c r="A814" s="47"/>
      <c r="B814" s="47"/>
      <c r="C814" s="47"/>
      <c r="D814" s="47"/>
      <c r="E814" s="19"/>
      <c r="F814" s="19"/>
      <c r="BQ814" s="50"/>
      <c r="BR814" s="50"/>
      <c r="BS814" s="50"/>
      <c r="BT814" s="50"/>
      <c r="BU814" s="50"/>
    </row>
    <row r="815">
      <c r="A815" s="47"/>
      <c r="B815" s="47"/>
      <c r="C815" s="47"/>
      <c r="D815" s="47"/>
      <c r="E815" s="23"/>
      <c r="F815" s="19"/>
      <c r="BQ815" s="50"/>
      <c r="BR815" s="50"/>
      <c r="BS815" s="50"/>
      <c r="BT815" s="50"/>
      <c r="BU815" s="50"/>
    </row>
    <row r="816">
      <c r="A816" s="47"/>
      <c r="B816" s="47"/>
      <c r="C816" s="47"/>
      <c r="D816" s="47"/>
      <c r="E816" s="24"/>
      <c r="F816" s="24"/>
      <c r="BQ816" s="50"/>
      <c r="BR816" s="50"/>
      <c r="BS816" s="50"/>
      <c r="BT816" s="50"/>
      <c r="BU816" s="50"/>
    </row>
    <row r="817">
      <c r="A817" s="47"/>
      <c r="B817" s="47"/>
      <c r="C817" s="47"/>
      <c r="D817" s="47"/>
      <c r="E817" s="27"/>
      <c r="F817" s="27"/>
      <c r="BQ817" s="50"/>
      <c r="BR817" s="50"/>
      <c r="BS817" s="50"/>
      <c r="BT817" s="50"/>
      <c r="BU817" s="50"/>
    </row>
    <row r="818">
      <c r="A818" s="47"/>
      <c r="B818" s="47"/>
      <c r="C818" s="47"/>
      <c r="D818" s="47"/>
      <c r="E818" s="27"/>
      <c r="F818" s="27"/>
      <c r="BQ818" s="50"/>
      <c r="BR818" s="50"/>
      <c r="BS818" s="50"/>
      <c r="BT818" s="50"/>
      <c r="BU818" s="50"/>
    </row>
    <row r="819">
      <c r="A819" s="47"/>
      <c r="B819" s="47"/>
      <c r="C819" s="47"/>
      <c r="D819" s="47"/>
      <c r="E819" s="27"/>
      <c r="F819" s="27"/>
      <c r="BQ819" s="50"/>
      <c r="BR819" s="50"/>
      <c r="BS819" s="50"/>
      <c r="BT819" s="50"/>
      <c r="BU819" s="50"/>
    </row>
    <row r="820">
      <c r="A820" s="47"/>
      <c r="B820" s="47"/>
      <c r="C820" s="47"/>
      <c r="D820" s="47"/>
      <c r="E820" s="27"/>
      <c r="F820" s="27"/>
      <c r="BQ820" s="50"/>
      <c r="BR820" s="50"/>
      <c r="BS820" s="50"/>
      <c r="BT820" s="50"/>
      <c r="BU820" s="50"/>
    </row>
    <row r="821">
      <c r="A821" s="47"/>
      <c r="B821" s="47"/>
      <c r="C821" s="47"/>
      <c r="D821" s="47"/>
      <c r="E821" s="27"/>
      <c r="F821" s="27"/>
      <c r="BQ821" s="50"/>
      <c r="BR821" s="50"/>
      <c r="BS821" s="50"/>
      <c r="BT821" s="50"/>
      <c r="BU821" s="50"/>
    </row>
    <row r="822">
      <c r="A822" s="47"/>
      <c r="B822" s="47"/>
      <c r="C822" s="47"/>
      <c r="D822" s="47"/>
      <c r="E822" s="27"/>
      <c r="F822" s="27"/>
      <c r="BQ822" s="50"/>
      <c r="BR822" s="50"/>
      <c r="BS822" s="50"/>
      <c r="BT822" s="50"/>
      <c r="BU822" s="50"/>
    </row>
    <row r="823">
      <c r="A823" s="47"/>
      <c r="B823" s="47"/>
      <c r="C823" s="47"/>
      <c r="D823" s="47"/>
      <c r="E823" s="27"/>
      <c r="F823" s="27"/>
      <c r="BQ823" s="50"/>
      <c r="BR823" s="50"/>
      <c r="BS823" s="50"/>
      <c r="BT823" s="50"/>
      <c r="BU823" s="50"/>
    </row>
    <row r="824">
      <c r="A824" s="47"/>
      <c r="B824" s="47"/>
      <c r="C824" s="47"/>
      <c r="D824" s="47"/>
      <c r="E824" s="34"/>
      <c r="F824" s="34"/>
      <c r="BQ824" s="50"/>
      <c r="BR824" s="50"/>
      <c r="BS824" s="50"/>
      <c r="BT824" s="50"/>
      <c r="BU824" s="50"/>
    </row>
    <row r="825">
      <c r="A825" s="47"/>
      <c r="B825" s="47"/>
      <c r="C825" s="47"/>
      <c r="D825" s="47"/>
      <c r="E825" s="27"/>
      <c r="F825" s="27"/>
      <c r="BQ825" s="50"/>
      <c r="BR825" s="50"/>
      <c r="BS825" s="50"/>
      <c r="BT825" s="50"/>
      <c r="BU825" s="50"/>
    </row>
    <row r="826">
      <c r="A826" s="47"/>
      <c r="B826" s="47"/>
      <c r="C826" s="47"/>
      <c r="D826" s="47"/>
      <c r="E826" s="27"/>
      <c r="F826" s="27"/>
      <c r="BQ826" s="50"/>
      <c r="BR826" s="50"/>
      <c r="BS826" s="50"/>
      <c r="BT826" s="50"/>
      <c r="BU826" s="50"/>
    </row>
    <row r="827">
      <c r="A827" s="47"/>
      <c r="B827" s="47"/>
      <c r="C827" s="47"/>
      <c r="D827" s="47"/>
      <c r="E827" s="38"/>
      <c r="F827" s="38"/>
      <c r="BQ827" s="50"/>
      <c r="BR827" s="50"/>
      <c r="BS827" s="50"/>
      <c r="BT827" s="50"/>
      <c r="BU827" s="50"/>
    </row>
    <row r="828">
      <c r="A828" s="47"/>
      <c r="B828" s="47"/>
      <c r="C828" s="47"/>
      <c r="D828" s="47"/>
      <c r="E828" s="39"/>
      <c r="F828" s="39"/>
      <c r="BQ828" s="50"/>
      <c r="BR828" s="50"/>
      <c r="BS828" s="50"/>
      <c r="BT828" s="50"/>
      <c r="BU828" s="50"/>
    </row>
    <row r="829">
      <c r="A829" s="47"/>
      <c r="B829" s="47"/>
      <c r="C829" s="47"/>
      <c r="D829" s="47"/>
      <c r="E829" s="39"/>
      <c r="F829" s="39"/>
      <c r="BQ829" s="50"/>
      <c r="BR829" s="50"/>
      <c r="BS829" s="50"/>
      <c r="BT829" s="50"/>
      <c r="BU829" s="50"/>
    </row>
    <row r="830">
      <c r="A830" s="47"/>
      <c r="B830" s="47"/>
      <c r="C830" s="47"/>
      <c r="D830" s="47"/>
      <c r="E830" s="38"/>
      <c r="F830" s="39"/>
      <c r="BQ830" s="50"/>
      <c r="BR830" s="50"/>
      <c r="BS830" s="50"/>
      <c r="BT830" s="50"/>
      <c r="BU830" s="50"/>
    </row>
    <row r="831">
      <c r="A831" s="47"/>
      <c r="B831" s="47"/>
      <c r="C831" s="47"/>
      <c r="D831" s="47"/>
      <c r="E831" s="39"/>
      <c r="F831" s="39"/>
      <c r="BQ831" s="50"/>
      <c r="BR831" s="50"/>
      <c r="BS831" s="50"/>
      <c r="BT831" s="50"/>
      <c r="BU831" s="50"/>
    </row>
    <row r="832">
      <c r="A832" s="47"/>
      <c r="B832" s="47"/>
      <c r="C832" s="47"/>
      <c r="D832" s="47"/>
      <c r="E832" s="39"/>
      <c r="F832" s="39"/>
      <c r="BQ832" s="50"/>
      <c r="BR832" s="50"/>
      <c r="BS832" s="50"/>
      <c r="BT832" s="50"/>
      <c r="BU832" s="50"/>
    </row>
    <row r="833">
      <c r="A833" s="47"/>
      <c r="B833" s="47"/>
      <c r="C833" s="47"/>
      <c r="D833" s="47"/>
      <c r="E833" s="39"/>
      <c r="F833" s="39"/>
      <c r="BQ833" s="50"/>
      <c r="BR833" s="50"/>
      <c r="BS833" s="50"/>
      <c r="BT833" s="50"/>
      <c r="BU833" s="50"/>
    </row>
    <row r="834">
      <c r="A834" s="47"/>
      <c r="B834" s="47"/>
      <c r="C834" s="47"/>
      <c r="D834" s="47"/>
      <c r="E834" s="39"/>
      <c r="F834" s="39"/>
      <c r="BQ834" s="50"/>
      <c r="BR834" s="50"/>
      <c r="BS834" s="50"/>
      <c r="BT834" s="50"/>
      <c r="BU834" s="50"/>
    </row>
    <row r="835">
      <c r="A835" s="47"/>
      <c r="B835" s="47"/>
      <c r="C835" s="47"/>
      <c r="D835" s="47"/>
      <c r="E835" s="39"/>
      <c r="F835" s="39"/>
      <c r="BQ835" s="50"/>
      <c r="BR835" s="50"/>
      <c r="BS835" s="50"/>
      <c r="BT835" s="50"/>
      <c r="BU835" s="50"/>
    </row>
    <row r="836">
      <c r="A836" s="47"/>
      <c r="B836" s="47"/>
      <c r="C836" s="47"/>
      <c r="D836" s="47"/>
      <c r="E836" s="39"/>
      <c r="F836" s="39"/>
      <c r="BQ836" s="50"/>
      <c r="BR836" s="50"/>
      <c r="BS836" s="50"/>
      <c r="BT836" s="50"/>
      <c r="BU836" s="50"/>
    </row>
    <row r="837">
      <c r="A837" s="47"/>
      <c r="B837" s="47"/>
      <c r="C837" s="47"/>
      <c r="D837" s="47"/>
      <c r="E837" s="39"/>
      <c r="F837" s="39"/>
      <c r="BQ837" s="50"/>
      <c r="BR837" s="50"/>
      <c r="BS837" s="50"/>
      <c r="BT837" s="50"/>
      <c r="BU837" s="50"/>
    </row>
    <row r="838">
      <c r="A838" s="47"/>
      <c r="B838" s="47"/>
      <c r="C838" s="47"/>
      <c r="D838" s="47"/>
      <c r="E838" s="39"/>
      <c r="F838" s="39"/>
      <c r="BQ838" s="50"/>
      <c r="BR838" s="50"/>
      <c r="BS838" s="50"/>
      <c r="BT838" s="50"/>
      <c r="BU838" s="50"/>
    </row>
    <row r="839">
      <c r="A839" s="47"/>
      <c r="B839" s="47"/>
      <c r="C839" s="47"/>
      <c r="D839" s="47"/>
      <c r="E839" s="39"/>
      <c r="F839" s="39"/>
      <c r="BQ839" s="50"/>
      <c r="BR839" s="50"/>
      <c r="BS839" s="50"/>
      <c r="BT839" s="50"/>
      <c r="BU839" s="50"/>
    </row>
    <row r="840">
      <c r="A840" s="47"/>
      <c r="B840" s="47"/>
      <c r="C840" s="47"/>
      <c r="D840" s="47"/>
      <c r="E840" s="39"/>
      <c r="F840" s="39"/>
      <c r="BQ840" s="50"/>
      <c r="BR840" s="50"/>
      <c r="BS840" s="50"/>
      <c r="BT840" s="50"/>
      <c r="BU840" s="50"/>
    </row>
    <row r="841">
      <c r="A841" s="47"/>
      <c r="B841" s="47"/>
      <c r="C841" s="47"/>
      <c r="D841" s="47"/>
      <c r="E841" s="39"/>
      <c r="F841" s="39"/>
      <c r="BQ841" s="50"/>
      <c r="BR841" s="50"/>
      <c r="BS841" s="50"/>
      <c r="BT841" s="50"/>
      <c r="BU841" s="50"/>
    </row>
    <row r="842">
      <c r="A842" s="47"/>
      <c r="B842" s="47"/>
      <c r="C842" s="47"/>
      <c r="D842" s="47"/>
      <c r="E842" s="39"/>
      <c r="F842" s="39"/>
      <c r="BQ842" s="50"/>
      <c r="BR842" s="50"/>
      <c r="BS842" s="50"/>
      <c r="BT842" s="50"/>
      <c r="BU842" s="50"/>
    </row>
    <row r="843">
      <c r="A843" s="47"/>
      <c r="B843" s="47"/>
      <c r="C843" s="47"/>
      <c r="D843" s="47"/>
      <c r="E843" s="39"/>
      <c r="F843" s="39"/>
      <c r="BQ843" s="50"/>
      <c r="BR843" s="50"/>
      <c r="BS843" s="50"/>
      <c r="BT843" s="50"/>
      <c r="BU843" s="50"/>
    </row>
    <row r="844">
      <c r="A844" s="47"/>
      <c r="B844" s="47"/>
      <c r="C844" s="47"/>
      <c r="D844" s="47"/>
      <c r="E844" s="39"/>
      <c r="F844" s="39"/>
      <c r="BQ844" s="50"/>
      <c r="BR844" s="50"/>
      <c r="BS844" s="50"/>
      <c r="BT844" s="50"/>
      <c r="BU844" s="50"/>
    </row>
    <row r="845">
      <c r="A845" s="47"/>
      <c r="B845" s="47"/>
      <c r="C845" s="47"/>
      <c r="D845" s="47"/>
      <c r="E845" s="24"/>
      <c r="F845" s="24"/>
      <c r="BQ845" s="50"/>
      <c r="BR845" s="50"/>
      <c r="BS845" s="50"/>
      <c r="BT845" s="50"/>
      <c r="BU845" s="50"/>
    </row>
    <row r="846">
      <c r="A846" s="47"/>
      <c r="B846" s="47"/>
      <c r="C846" s="47"/>
      <c r="D846" s="47"/>
      <c r="E846" s="27"/>
      <c r="F846" s="27"/>
      <c r="BQ846" s="50"/>
      <c r="BR846" s="50"/>
      <c r="BS846" s="50"/>
      <c r="BT846" s="50"/>
      <c r="BU846" s="50"/>
    </row>
    <row r="847">
      <c r="A847" s="47"/>
      <c r="B847" s="47"/>
      <c r="C847" s="47"/>
      <c r="D847" s="47"/>
      <c r="E847" s="27"/>
      <c r="F847" s="27"/>
      <c r="BQ847" s="50"/>
      <c r="BR847" s="50"/>
      <c r="BS847" s="50"/>
      <c r="BT847" s="50"/>
      <c r="BU847" s="50"/>
    </row>
    <row r="848">
      <c r="A848" s="47"/>
      <c r="B848" s="47"/>
      <c r="C848" s="47"/>
      <c r="D848" s="47"/>
      <c r="E848" s="27"/>
      <c r="F848" s="27"/>
      <c r="BQ848" s="50"/>
      <c r="BR848" s="50"/>
      <c r="BS848" s="50"/>
      <c r="BT848" s="50"/>
      <c r="BU848" s="50"/>
    </row>
    <row r="849">
      <c r="A849" s="47"/>
      <c r="B849" s="47"/>
      <c r="C849" s="47"/>
      <c r="D849" s="47"/>
      <c r="E849" s="27"/>
      <c r="F849" s="27"/>
      <c r="BQ849" s="50"/>
      <c r="BR849" s="50"/>
      <c r="BS849" s="50"/>
      <c r="BT849" s="50"/>
      <c r="BU849" s="50"/>
    </row>
    <row r="850">
      <c r="A850" s="47"/>
      <c r="B850" s="47"/>
      <c r="C850" s="47"/>
      <c r="D850" s="47"/>
      <c r="E850" s="27"/>
      <c r="F850" s="27"/>
      <c r="BQ850" s="50"/>
      <c r="BR850" s="50"/>
      <c r="BS850" s="50"/>
      <c r="BT850" s="50"/>
      <c r="BU850" s="50"/>
    </row>
    <row r="851">
      <c r="A851" s="47"/>
      <c r="B851" s="47"/>
      <c r="C851" s="47"/>
      <c r="D851" s="47"/>
      <c r="E851" s="27"/>
      <c r="F851" s="27"/>
      <c r="BQ851" s="50"/>
      <c r="BR851" s="50"/>
      <c r="BS851" s="50"/>
      <c r="BT851" s="50"/>
      <c r="BU851" s="50"/>
    </row>
    <row r="852">
      <c r="A852" s="47"/>
      <c r="B852" s="47"/>
      <c r="C852" s="47"/>
      <c r="D852" s="47"/>
      <c r="E852" s="27"/>
      <c r="F852" s="27"/>
      <c r="BQ852" s="50"/>
      <c r="BR852" s="50"/>
      <c r="BS852" s="50"/>
      <c r="BT852" s="50"/>
      <c r="BU852" s="50"/>
    </row>
    <row r="853">
      <c r="A853" s="47"/>
      <c r="B853" s="47"/>
      <c r="C853" s="47"/>
      <c r="D853" s="47"/>
      <c r="E853" s="27"/>
      <c r="F853" s="27"/>
      <c r="BQ853" s="50"/>
      <c r="BR853" s="50"/>
      <c r="BS853" s="50"/>
      <c r="BT853" s="50"/>
      <c r="BU853" s="50"/>
    </row>
    <row r="854">
      <c r="A854" s="47"/>
      <c r="B854" s="47"/>
      <c r="C854" s="47"/>
      <c r="D854" s="47"/>
      <c r="E854" s="27"/>
      <c r="F854" s="27"/>
      <c r="BQ854" s="50"/>
      <c r="BR854" s="50"/>
      <c r="BS854" s="50"/>
      <c r="BT854" s="50"/>
      <c r="BU854" s="50"/>
    </row>
    <row r="855">
      <c r="A855" s="47"/>
      <c r="B855" s="47"/>
      <c r="C855" s="47"/>
      <c r="D855" s="47"/>
      <c r="E855" s="27"/>
      <c r="F855" s="27"/>
      <c r="BQ855" s="50"/>
      <c r="BR855" s="50"/>
      <c r="BS855" s="50"/>
      <c r="BT855" s="50"/>
      <c r="BU855" s="50"/>
    </row>
    <row r="856">
      <c r="A856" s="47"/>
      <c r="B856" s="47"/>
      <c r="C856" s="47"/>
      <c r="D856" s="47"/>
      <c r="E856" s="24"/>
      <c r="F856" s="24"/>
      <c r="BQ856" s="50"/>
      <c r="BR856" s="50"/>
      <c r="BS856" s="50"/>
      <c r="BT856" s="50"/>
      <c r="BU856" s="50"/>
    </row>
    <row r="857">
      <c r="A857" s="47"/>
      <c r="B857" s="47"/>
      <c r="C857" s="47"/>
      <c r="D857" s="47"/>
      <c r="E857" s="27"/>
      <c r="F857" s="27"/>
      <c r="BQ857" s="50"/>
      <c r="BR857" s="50"/>
      <c r="BS857" s="50"/>
      <c r="BT857" s="50"/>
      <c r="BU857" s="50"/>
    </row>
    <row r="858">
      <c r="A858" s="47"/>
      <c r="B858" s="47"/>
      <c r="C858" s="47"/>
      <c r="D858" s="47"/>
      <c r="E858" s="27"/>
      <c r="F858" s="27"/>
      <c r="BQ858" s="50"/>
      <c r="BR858" s="50"/>
      <c r="BS858" s="50"/>
      <c r="BT858" s="50"/>
      <c r="BU858" s="50"/>
    </row>
    <row r="859">
      <c r="A859" s="47"/>
      <c r="B859" s="47"/>
      <c r="C859" s="47"/>
      <c r="D859" s="47"/>
      <c r="E859" s="27"/>
      <c r="F859" s="27"/>
      <c r="BQ859" s="50"/>
      <c r="BR859" s="50"/>
      <c r="BS859" s="50"/>
      <c r="BT859" s="50"/>
      <c r="BU859" s="50"/>
    </row>
    <row r="860">
      <c r="A860" s="47"/>
      <c r="B860" s="47"/>
      <c r="C860" s="47"/>
      <c r="D860" s="47"/>
      <c r="E860" s="27"/>
      <c r="F860" s="27"/>
      <c r="BQ860" s="50"/>
      <c r="BR860" s="50"/>
      <c r="BS860" s="50"/>
      <c r="BT860" s="50"/>
      <c r="BU860" s="50"/>
    </row>
    <row r="861">
      <c r="A861" s="47"/>
      <c r="B861" s="47"/>
      <c r="C861" s="47"/>
      <c r="D861" s="47"/>
      <c r="E861" s="27"/>
      <c r="F861" s="27"/>
      <c r="BQ861" s="50"/>
      <c r="BR861" s="50"/>
      <c r="BS861" s="50"/>
      <c r="BT861" s="50"/>
      <c r="BU861" s="50"/>
    </row>
    <row r="862">
      <c r="A862" s="47"/>
      <c r="B862" s="47"/>
      <c r="C862" s="47"/>
      <c r="D862" s="47"/>
      <c r="E862" s="27"/>
      <c r="F862" s="27"/>
      <c r="BQ862" s="50"/>
      <c r="BR862" s="50"/>
      <c r="BS862" s="50"/>
      <c r="BT862" s="50"/>
      <c r="BU862" s="50"/>
    </row>
    <row r="863">
      <c r="A863" s="47"/>
      <c r="B863" s="47"/>
      <c r="C863" s="47"/>
      <c r="D863" s="47"/>
      <c r="E863" s="34"/>
      <c r="F863" s="34"/>
      <c r="BQ863" s="50"/>
      <c r="BR863" s="50"/>
      <c r="BS863" s="50"/>
      <c r="BT863" s="50"/>
      <c r="BU863" s="50"/>
    </row>
    <row r="864">
      <c r="A864" s="47"/>
      <c r="B864" s="47"/>
      <c r="C864" s="47"/>
      <c r="D864" s="47"/>
      <c r="E864" s="34"/>
      <c r="F864" s="34"/>
      <c r="BQ864" s="50"/>
      <c r="BR864" s="50"/>
      <c r="BS864" s="50"/>
      <c r="BT864" s="50"/>
      <c r="BU864" s="50"/>
    </row>
    <row r="865">
      <c r="A865" s="47"/>
      <c r="B865" s="47"/>
      <c r="C865" s="47"/>
      <c r="D865" s="47"/>
      <c r="E865" s="34"/>
      <c r="F865" s="34"/>
      <c r="BQ865" s="50"/>
      <c r="BR865" s="50"/>
      <c r="BS865" s="50"/>
      <c r="BT865" s="50"/>
      <c r="BU865" s="50"/>
    </row>
    <row r="866">
      <c r="A866" s="47"/>
      <c r="B866" s="47"/>
      <c r="C866" s="47"/>
      <c r="D866" s="47"/>
      <c r="E866" s="34"/>
      <c r="F866" s="34"/>
      <c r="BQ866" s="50"/>
      <c r="BR866" s="50"/>
      <c r="BS866" s="50"/>
      <c r="BT866" s="50"/>
      <c r="BU866" s="50"/>
    </row>
    <row r="867">
      <c r="A867" s="47"/>
      <c r="B867" s="47"/>
      <c r="C867" s="47"/>
      <c r="D867" s="47"/>
      <c r="E867" s="34"/>
      <c r="F867" s="34"/>
      <c r="BQ867" s="50"/>
      <c r="BR867" s="50"/>
      <c r="BS867" s="50"/>
      <c r="BT867" s="50"/>
      <c r="BU867" s="50"/>
    </row>
    <row r="868">
      <c r="A868" s="47"/>
      <c r="B868" s="47"/>
      <c r="C868" s="47"/>
      <c r="D868" s="47"/>
      <c r="E868" s="34"/>
      <c r="F868" s="34"/>
      <c r="BQ868" s="50"/>
      <c r="BR868" s="50"/>
      <c r="BS868" s="50"/>
      <c r="BT868" s="50"/>
      <c r="BU868" s="50"/>
    </row>
    <row r="869">
      <c r="A869" s="47"/>
      <c r="B869" s="47"/>
      <c r="C869" s="47"/>
      <c r="D869" s="47"/>
      <c r="E869" s="55"/>
      <c r="F869" s="55"/>
      <c r="BQ869" s="50"/>
      <c r="BR869" s="50"/>
      <c r="BS869" s="50"/>
      <c r="BT869" s="50"/>
      <c r="BU869" s="50"/>
    </row>
    <row r="870">
      <c r="A870" s="47"/>
      <c r="B870" s="47"/>
      <c r="C870" s="47"/>
      <c r="D870" s="47"/>
      <c r="E870" s="57"/>
      <c r="F870" s="57"/>
      <c r="BQ870" s="50"/>
      <c r="BR870" s="50"/>
      <c r="BS870" s="50"/>
      <c r="BT870" s="50"/>
      <c r="BU870" s="50"/>
    </row>
    <row r="871">
      <c r="A871" s="47"/>
      <c r="B871" s="47"/>
      <c r="C871" s="47"/>
      <c r="D871" s="47"/>
      <c r="E871" s="58"/>
      <c r="F871" s="58"/>
      <c r="BQ871" s="50"/>
      <c r="BR871" s="50"/>
      <c r="BS871" s="50"/>
      <c r="BT871" s="50"/>
      <c r="BU871" s="50"/>
    </row>
    <row r="872">
      <c r="A872" s="47"/>
      <c r="B872" s="47"/>
      <c r="C872" s="47"/>
      <c r="D872" s="47"/>
      <c r="E872" s="58"/>
      <c r="F872" s="58"/>
      <c r="BQ872" s="50"/>
      <c r="BR872" s="50"/>
      <c r="BS872" s="50"/>
      <c r="BT872" s="50"/>
      <c r="BU872" s="50"/>
    </row>
    <row r="873">
      <c r="A873" s="47"/>
      <c r="B873" s="47"/>
      <c r="C873" s="47"/>
      <c r="D873" s="47"/>
      <c r="E873" s="60"/>
      <c r="F873" s="60"/>
      <c r="BQ873" s="50"/>
      <c r="BR873" s="50"/>
      <c r="BS873" s="50"/>
      <c r="BT873" s="50"/>
      <c r="BU873" s="50"/>
    </row>
    <row r="874">
      <c r="A874" s="47"/>
      <c r="B874" s="47"/>
      <c r="C874" s="47"/>
      <c r="D874" s="47"/>
      <c r="E874" s="58"/>
      <c r="F874" s="58"/>
      <c r="BQ874" s="50"/>
      <c r="BR874" s="50"/>
      <c r="BS874" s="50"/>
      <c r="BT874" s="50"/>
      <c r="BU874" s="50"/>
    </row>
    <row r="875">
      <c r="A875" s="47"/>
      <c r="B875" s="47"/>
      <c r="C875" s="47"/>
      <c r="D875" s="47"/>
      <c r="E875" s="57"/>
      <c r="F875" s="57"/>
      <c r="BQ875" s="50"/>
      <c r="BR875" s="50"/>
      <c r="BS875" s="50"/>
      <c r="BT875" s="50"/>
      <c r="BU875" s="50"/>
    </row>
    <row r="876">
      <c r="A876" s="47"/>
      <c r="B876" s="47"/>
      <c r="C876" s="47"/>
      <c r="D876" s="47"/>
      <c r="E876" s="58"/>
      <c r="F876" s="58"/>
      <c r="BQ876" s="50"/>
      <c r="BR876" s="50"/>
      <c r="BS876" s="50"/>
      <c r="BT876" s="50"/>
      <c r="BU876" s="50"/>
    </row>
    <row r="877">
      <c r="A877" s="47"/>
      <c r="B877" s="47"/>
      <c r="C877" s="47"/>
      <c r="D877" s="47"/>
      <c r="E877" s="58"/>
      <c r="F877" s="58"/>
      <c r="BQ877" s="50"/>
      <c r="BR877" s="50"/>
      <c r="BS877" s="50"/>
      <c r="BT877" s="50"/>
      <c r="BU877" s="50"/>
    </row>
    <row r="878">
      <c r="A878" s="47"/>
      <c r="B878" s="47"/>
      <c r="C878" s="47"/>
      <c r="D878" s="47"/>
      <c r="E878" s="58"/>
      <c r="F878" s="58"/>
      <c r="BQ878" s="50"/>
      <c r="BR878" s="50"/>
      <c r="BS878" s="50"/>
      <c r="BT878" s="50"/>
      <c r="BU878" s="50"/>
    </row>
    <row r="879">
      <c r="A879" s="47"/>
      <c r="B879" s="47"/>
      <c r="C879" s="47"/>
      <c r="D879" s="47"/>
      <c r="E879" s="58"/>
      <c r="F879" s="58"/>
      <c r="BQ879" s="50"/>
      <c r="BR879" s="50"/>
      <c r="BS879" s="50"/>
      <c r="BT879" s="50"/>
      <c r="BU879" s="50"/>
    </row>
    <row r="880">
      <c r="A880" s="47"/>
      <c r="B880" s="47"/>
      <c r="C880" s="47"/>
      <c r="D880" s="47"/>
      <c r="E880" s="57"/>
      <c r="F880" s="57"/>
      <c r="BQ880" s="50"/>
      <c r="BR880" s="50"/>
      <c r="BS880" s="50"/>
      <c r="BT880" s="50"/>
      <c r="BU880" s="50"/>
    </row>
    <row r="881">
      <c r="A881" s="47"/>
      <c r="B881" s="47"/>
      <c r="C881" s="47"/>
      <c r="D881" s="47"/>
      <c r="E881" s="58"/>
      <c r="F881" s="58"/>
      <c r="BQ881" s="50"/>
      <c r="BR881" s="50"/>
      <c r="BS881" s="50"/>
      <c r="BT881" s="50"/>
      <c r="BU881" s="50"/>
    </row>
    <row r="882">
      <c r="A882" s="47"/>
      <c r="B882" s="47"/>
      <c r="C882" s="47"/>
      <c r="D882" s="47"/>
      <c r="E882" s="62"/>
      <c r="F882" s="62"/>
      <c r="BQ882" s="50"/>
      <c r="BR882" s="50"/>
      <c r="BS882" s="50"/>
      <c r="BT882" s="50"/>
      <c r="BU882" s="50"/>
    </row>
    <row r="883">
      <c r="A883" s="47"/>
      <c r="B883" s="47"/>
      <c r="C883" s="47"/>
      <c r="D883" s="47"/>
      <c r="E883" s="63"/>
      <c r="F883" s="63"/>
      <c r="BQ883" s="50"/>
      <c r="BR883" s="50"/>
      <c r="BS883" s="50"/>
      <c r="BT883" s="50"/>
      <c r="BU883" s="50"/>
    </row>
    <row r="884">
      <c r="A884" s="47"/>
      <c r="B884" s="47"/>
      <c r="C884" s="47"/>
      <c r="D884" s="47"/>
      <c r="E884" s="63"/>
      <c r="F884" s="63"/>
      <c r="BQ884" s="50"/>
      <c r="BR884" s="50"/>
      <c r="BS884" s="50"/>
      <c r="BT884" s="50"/>
      <c r="BU884" s="50"/>
    </row>
    <row r="885">
      <c r="A885" s="47"/>
      <c r="B885" s="47"/>
      <c r="C885" s="47"/>
      <c r="D885" s="47"/>
      <c r="E885" s="64"/>
      <c r="F885" s="64"/>
      <c r="BQ885" s="50"/>
      <c r="BR885" s="50"/>
      <c r="BS885" s="50"/>
      <c r="BT885" s="50"/>
      <c r="BU885" s="50"/>
    </row>
    <row r="886">
      <c r="A886" s="47"/>
      <c r="B886" s="47"/>
      <c r="C886" s="47"/>
      <c r="D886" s="47"/>
      <c r="E886" s="47"/>
      <c r="F886" s="47"/>
      <c r="BQ886" s="50"/>
      <c r="BR886" s="50"/>
      <c r="BS886" s="50"/>
      <c r="BT886" s="50"/>
      <c r="BU886" s="50"/>
    </row>
    <row r="887">
      <c r="A887" s="47"/>
      <c r="B887" s="47"/>
      <c r="C887" s="47"/>
      <c r="D887" s="47"/>
      <c r="E887" s="47"/>
      <c r="F887" s="47"/>
      <c r="BQ887" s="50"/>
      <c r="BR887" s="50"/>
      <c r="BS887" s="50"/>
      <c r="BT887" s="50"/>
      <c r="BU887" s="50"/>
    </row>
    <row r="888">
      <c r="A888" s="47"/>
      <c r="B888" s="47"/>
      <c r="C888" s="47"/>
      <c r="D888" s="47"/>
      <c r="E888" s="47"/>
      <c r="F888" s="47"/>
      <c r="BQ888" s="50"/>
      <c r="BR888" s="50"/>
      <c r="BS888" s="50"/>
      <c r="BT888" s="50"/>
      <c r="BU888" s="50"/>
    </row>
    <row r="889">
      <c r="A889" s="47"/>
      <c r="B889" s="47"/>
      <c r="C889" s="47"/>
      <c r="D889" s="47"/>
      <c r="E889" s="47"/>
      <c r="F889" s="47"/>
      <c r="BQ889" s="50"/>
      <c r="BR889" s="50"/>
      <c r="BS889" s="50"/>
      <c r="BT889" s="50"/>
      <c r="BU889" s="50"/>
    </row>
    <row r="890">
      <c r="A890" s="47"/>
      <c r="B890" s="47"/>
      <c r="C890" s="47"/>
      <c r="D890" s="47"/>
      <c r="E890" s="47"/>
      <c r="F890" s="47"/>
      <c r="BQ890" s="50"/>
      <c r="BR890" s="50"/>
      <c r="BS890" s="50"/>
      <c r="BT890" s="50"/>
      <c r="BU890" s="50"/>
    </row>
    <row r="891">
      <c r="A891" s="47"/>
      <c r="B891" s="47"/>
      <c r="C891" s="47"/>
      <c r="D891" s="47"/>
      <c r="E891" s="47"/>
      <c r="F891" s="47"/>
      <c r="BQ891" s="50"/>
      <c r="BR891" s="50"/>
      <c r="BS891" s="50"/>
      <c r="BT891" s="50"/>
      <c r="BU891" s="50"/>
    </row>
    <row r="892">
      <c r="A892" s="47"/>
      <c r="B892" s="47"/>
      <c r="C892" s="47"/>
      <c r="D892" s="47"/>
      <c r="E892" s="47"/>
      <c r="F892" s="47"/>
      <c r="BQ892" s="50"/>
      <c r="BR892" s="50"/>
      <c r="BS892" s="50"/>
      <c r="BT892" s="50"/>
      <c r="BU892" s="50"/>
    </row>
    <row r="893">
      <c r="A893" s="47"/>
      <c r="B893" s="47"/>
      <c r="C893" s="47"/>
      <c r="D893" s="47"/>
      <c r="E893" s="47"/>
      <c r="F893" s="47"/>
      <c r="BQ893" s="50"/>
      <c r="BR893" s="50"/>
      <c r="BS893" s="50"/>
      <c r="BT893" s="50"/>
      <c r="BU893" s="50"/>
    </row>
    <row r="894">
      <c r="A894" s="47"/>
      <c r="B894" s="47"/>
      <c r="C894" s="47"/>
      <c r="D894" s="47"/>
      <c r="E894" s="47"/>
      <c r="F894" s="47"/>
      <c r="BQ894" s="50"/>
      <c r="BR894" s="50"/>
      <c r="BS894" s="50"/>
      <c r="BT894" s="50"/>
      <c r="BU894" s="50"/>
    </row>
    <row r="895">
      <c r="A895" s="47"/>
      <c r="B895" s="47"/>
      <c r="C895" s="47"/>
      <c r="D895" s="47"/>
      <c r="E895" s="47"/>
      <c r="F895" s="47"/>
      <c r="BQ895" s="50"/>
      <c r="BR895" s="50"/>
      <c r="BS895" s="50"/>
      <c r="BT895" s="50"/>
      <c r="BU895" s="50"/>
    </row>
    <row r="896">
      <c r="A896" s="47"/>
      <c r="B896" s="47"/>
      <c r="C896" s="47"/>
      <c r="D896" s="47"/>
      <c r="E896" s="47"/>
      <c r="F896" s="47"/>
      <c r="BQ896" s="50"/>
      <c r="BR896" s="50"/>
      <c r="BS896" s="50"/>
      <c r="BT896" s="50"/>
      <c r="BU896" s="50"/>
    </row>
    <row r="897">
      <c r="A897" s="47"/>
      <c r="B897" s="47"/>
      <c r="C897" s="47"/>
      <c r="D897" s="47"/>
      <c r="E897" s="47"/>
      <c r="F897" s="47"/>
      <c r="BQ897" s="50"/>
      <c r="BR897" s="50"/>
      <c r="BS897" s="50"/>
      <c r="BT897" s="50"/>
      <c r="BU897" s="50"/>
    </row>
    <row r="898">
      <c r="A898" s="47"/>
      <c r="B898" s="47"/>
      <c r="C898" s="47"/>
      <c r="D898" s="47"/>
      <c r="E898" s="47"/>
      <c r="F898" s="47"/>
      <c r="BQ898" s="50"/>
      <c r="BR898" s="50"/>
      <c r="BS898" s="50"/>
      <c r="BT898" s="50"/>
      <c r="BU898" s="50"/>
    </row>
    <row r="899">
      <c r="A899" s="47"/>
      <c r="B899" s="47"/>
      <c r="C899" s="47"/>
      <c r="D899" s="47"/>
      <c r="E899" s="47"/>
      <c r="F899" s="47"/>
      <c r="BQ899" s="50"/>
      <c r="BR899" s="50"/>
      <c r="BS899" s="50"/>
      <c r="BT899" s="50"/>
      <c r="BU899" s="50"/>
    </row>
    <row r="900">
      <c r="A900" s="47"/>
      <c r="B900" s="47"/>
      <c r="C900" s="47"/>
      <c r="D900" s="47"/>
      <c r="E900" s="47"/>
      <c r="F900" s="47"/>
      <c r="BQ900" s="50"/>
      <c r="BR900" s="50"/>
      <c r="BS900" s="50"/>
      <c r="BT900" s="50"/>
      <c r="BU900" s="50"/>
    </row>
    <row r="901">
      <c r="A901" s="47"/>
      <c r="B901" s="47"/>
      <c r="C901" s="47"/>
      <c r="D901" s="47"/>
      <c r="E901" s="47"/>
      <c r="F901" s="47"/>
      <c r="BQ901" s="50"/>
      <c r="BR901" s="50"/>
      <c r="BS901" s="50"/>
      <c r="BT901" s="50"/>
      <c r="BU901" s="50"/>
    </row>
    <row r="902">
      <c r="A902" s="47"/>
      <c r="B902" s="47"/>
      <c r="C902" s="47"/>
      <c r="D902" s="47"/>
      <c r="E902" s="47"/>
      <c r="F902" s="47"/>
      <c r="BQ902" s="50"/>
      <c r="BR902" s="50"/>
      <c r="BS902" s="50"/>
      <c r="BT902" s="50"/>
      <c r="BU902" s="50"/>
    </row>
    <row r="903">
      <c r="A903" s="47"/>
      <c r="B903" s="47"/>
      <c r="C903" s="47"/>
      <c r="D903" s="47"/>
      <c r="E903" s="47"/>
      <c r="F903" s="47"/>
      <c r="BQ903" s="50"/>
      <c r="BR903" s="50"/>
      <c r="BS903" s="50"/>
      <c r="BT903" s="50"/>
      <c r="BU903" s="50"/>
    </row>
    <row r="904">
      <c r="A904" s="47"/>
      <c r="B904" s="47"/>
      <c r="C904" s="47"/>
      <c r="D904" s="47"/>
      <c r="E904" s="47"/>
      <c r="F904" s="47"/>
      <c r="BQ904" s="50"/>
      <c r="BR904" s="50"/>
      <c r="BS904" s="50"/>
      <c r="BT904" s="50"/>
      <c r="BU904" s="50"/>
    </row>
    <row r="905">
      <c r="A905" s="47"/>
      <c r="B905" s="47"/>
      <c r="C905" s="47"/>
      <c r="D905" s="47"/>
      <c r="E905" s="47"/>
      <c r="F905" s="47"/>
      <c r="BQ905" s="50"/>
      <c r="BR905" s="50"/>
      <c r="BS905" s="50"/>
      <c r="BT905" s="50"/>
      <c r="BU905" s="50"/>
    </row>
    <row r="906">
      <c r="A906" s="47"/>
      <c r="B906" s="47"/>
      <c r="C906" s="47"/>
      <c r="D906" s="47"/>
      <c r="E906" s="47"/>
      <c r="F906" s="47"/>
      <c r="BQ906" s="50"/>
      <c r="BR906" s="50"/>
      <c r="BS906" s="50"/>
      <c r="BT906" s="50"/>
      <c r="BU906" s="50"/>
    </row>
    <row r="907">
      <c r="A907" s="47"/>
      <c r="B907" s="47"/>
      <c r="C907" s="47"/>
      <c r="D907" s="47"/>
      <c r="E907" s="47"/>
      <c r="F907" s="47"/>
      <c r="BQ907" s="50"/>
      <c r="BR907" s="50"/>
      <c r="BS907" s="50"/>
      <c r="BT907" s="50"/>
      <c r="BU907" s="50"/>
    </row>
    <row r="908">
      <c r="A908" s="47"/>
      <c r="B908" s="47"/>
      <c r="C908" s="47"/>
      <c r="D908" s="47"/>
      <c r="E908" s="47"/>
      <c r="F908" s="47"/>
      <c r="BQ908" s="50"/>
      <c r="BR908" s="50"/>
      <c r="BS908" s="50"/>
      <c r="BT908" s="50"/>
      <c r="BU908" s="50"/>
    </row>
    <row r="909">
      <c r="A909" s="47"/>
      <c r="B909" s="47"/>
      <c r="C909" s="47"/>
      <c r="D909" s="47"/>
      <c r="E909" s="47"/>
      <c r="F909" s="47"/>
      <c r="BQ909" s="50"/>
      <c r="BR909" s="50"/>
      <c r="BS909" s="50"/>
      <c r="BT909" s="50"/>
      <c r="BU909" s="50"/>
    </row>
    <row r="910">
      <c r="A910" s="47"/>
      <c r="B910" s="47"/>
      <c r="C910" s="47"/>
      <c r="D910" s="47"/>
      <c r="E910" s="47"/>
      <c r="F910" s="47"/>
      <c r="BQ910" s="50"/>
      <c r="BR910" s="50"/>
      <c r="BS910" s="50"/>
      <c r="BT910" s="50"/>
      <c r="BU910" s="50"/>
    </row>
    <row r="911">
      <c r="A911" s="47"/>
      <c r="B911" s="47"/>
      <c r="C911" s="47"/>
      <c r="D911" s="47"/>
      <c r="E911" s="47"/>
      <c r="F911" s="47"/>
      <c r="BQ911" s="50"/>
      <c r="BR911" s="50"/>
      <c r="BS911" s="50"/>
      <c r="BT911" s="50"/>
      <c r="BU911" s="50"/>
    </row>
    <row r="912">
      <c r="A912" s="47"/>
      <c r="B912" s="47"/>
      <c r="C912" s="47"/>
      <c r="D912" s="47"/>
      <c r="E912" s="47"/>
      <c r="F912" s="47"/>
      <c r="BQ912" s="50"/>
      <c r="BR912" s="50"/>
      <c r="BS912" s="50"/>
      <c r="BT912" s="50"/>
      <c r="BU912" s="50"/>
    </row>
    <row r="913">
      <c r="A913" s="47"/>
      <c r="B913" s="47"/>
      <c r="C913" s="47"/>
      <c r="D913" s="47"/>
      <c r="E913" s="47"/>
      <c r="F913" s="47"/>
      <c r="BQ913" s="50"/>
      <c r="BR913" s="50"/>
      <c r="BS913" s="50"/>
      <c r="BT913" s="50"/>
      <c r="BU913" s="50"/>
    </row>
    <row r="914">
      <c r="A914" s="47"/>
      <c r="B914" s="47"/>
      <c r="C914" s="47"/>
      <c r="D914" s="47"/>
      <c r="E914" s="47"/>
      <c r="F914" s="47"/>
      <c r="BQ914" s="50"/>
      <c r="BR914" s="50"/>
      <c r="BS914" s="50"/>
      <c r="BT914" s="50"/>
      <c r="BU914" s="50"/>
    </row>
    <row r="915">
      <c r="A915" s="47"/>
      <c r="B915" s="47"/>
      <c r="C915" s="47"/>
      <c r="D915" s="47"/>
      <c r="E915" s="47"/>
      <c r="F915" s="47"/>
      <c r="BQ915" s="50"/>
      <c r="BR915" s="50"/>
      <c r="BS915" s="50"/>
      <c r="BT915" s="50"/>
      <c r="BU915" s="50"/>
    </row>
    <row r="916">
      <c r="A916" s="47"/>
      <c r="B916" s="47"/>
      <c r="C916" s="47"/>
      <c r="D916" s="47"/>
      <c r="E916" s="47"/>
      <c r="F916" s="47"/>
      <c r="BQ916" s="50"/>
      <c r="BR916" s="50"/>
      <c r="BS916" s="50"/>
      <c r="BT916" s="50"/>
      <c r="BU916" s="50"/>
    </row>
    <row r="917">
      <c r="A917" s="47"/>
      <c r="B917" s="47"/>
      <c r="C917" s="47"/>
      <c r="D917" s="47"/>
      <c r="E917" s="47"/>
      <c r="F917" s="47"/>
      <c r="BQ917" s="50"/>
      <c r="BR917" s="50"/>
      <c r="BS917" s="50"/>
      <c r="BT917" s="50"/>
      <c r="BU917" s="50"/>
    </row>
    <row r="918">
      <c r="A918" s="47"/>
      <c r="B918" s="47"/>
      <c r="C918" s="47"/>
      <c r="D918" s="47"/>
      <c r="E918" s="47"/>
      <c r="F918" s="47"/>
      <c r="BQ918" s="50"/>
      <c r="BR918" s="50"/>
      <c r="BS918" s="50"/>
      <c r="BT918" s="50"/>
      <c r="BU918" s="50"/>
    </row>
    <row r="919">
      <c r="A919" s="47"/>
      <c r="B919" s="47"/>
      <c r="C919" s="47"/>
      <c r="D919" s="47"/>
      <c r="E919" s="47"/>
      <c r="F919" s="47"/>
      <c r="BQ919" s="50"/>
      <c r="BR919" s="50"/>
      <c r="BS919" s="50"/>
      <c r="BT919" s="50"/>
      <c r="BU919" s="50"/>
    </row>
    <row r="920">
      <c r="BQ920" s="50"/>
      <c r="BR920" s="50"/>
      <c r="BS920" s="50"/>
      <c r="BT920" s="50"/>
      <c r="BU920" s="50"/>
    </row>
    <row r="921">
      <c r="BQ921" s="50"/>
      <c r="BR921" s="50"/>
      <c r="BS921" s="50"/>
      <c r="BT921" s="50"/>
      <c r="BU921" s="50"/>
    </row>
    <row r="922">
      <c r="BQ922" s="50"/>
      <c r="BR922" s="50"/>
      <c r="BS922" s="50"/>
      <c r="BT922" s="50"/>
      <c r="BU922" s="50"/>
    </row>
    <row r="923">
      <c r="BQ923" s="50"/>
      <c r="BR923" s="50"/>
      <c r="BS923" s="50"/>
      <c r="BT923" s="50"/>
      <c r="BU923" s="50"/>
    </row>
    <row r="924">
      <c r="BQ924" s="50"/>
      <c r="BR924" s="50"/>
      <c r="BS924" s="50"/>
      <c r="BT924" s="50"/>
      <c r="BU924" s="50"/>
    </row>
    <row r="925">
      <c r="BQ925" s="50"/>
      <c r="BR925" s="50"/>
      <c r="BS925" s="50"/>
      <c r="BT925" s="50"/>
      <c r="BU925" s="50"/>
    </row>
    <row r="926">
      <c r="BQ926" s="50"/>
      <c r="BR926" s="50"/>
      <c r="BS926" s="50"/>
      <c r="BT926" s="50"/>
      <c r="BU926" s="50"/>
    </row>
    <row r="927">
      <c r="BQ927" s="50"/>
      <c r="BR927" s="50"/>
      <c r="BS927" s="50"/>
      <c r="BT927" s="50"/>
      <c r="BU927" s="50"/>
    </row>
    <row r="928">
      <c r="BQ928" s="50"/>
      <c r="BR928" s="50"/>
      <c r="BS928" s="50"/>
      <c r="BT928" s="50"/>
      <c r="BU928" s="50"/>
    </row>
    <row r="929">
      <c r="BQ929" s="50"/>
      <c r="BR929" s="50"/>
      <c r="BS929" s="50"/>
      <c r="BT929" s="50"/>
      <c r="BU929" s="50"/>
    </row>
    <row r="930">
      <c r="BQ930" s="50"/>
      <c r="BR930" s="50"/>
      <c r="BS930" s="50"/>
      <c r="BT930" s="50"/>
      <c r="BU930" s="50"/>
    </row>
    <row r="931">
      <c r="BQ931" s="50"/>
      <c r="BR931" s="50"/>
      <c r="BS931" s="50"/>
      <c r="BT931" s="50"/>
      <c r="BU931" s="50"/>
    </row>
    <row r="932">
      <c r="BQ932" s="50"/>
      <c r="BR932" s="50"/>
      <c r="BS932" s="50"/>
      <c r="BT932" s="50"/>
      <c r="BU932" s="50"/>
    </row>
    <row r="933">
      <c r="BQ933" s="50"/>
      <c r="BR933" s="50"/>
      <c r="BS933" s="50"/>
      <c r="BT933" s="50"/>
      <c r="BU933" s="50"/>
    </row>
    <row r="934">
      <c r="BQ934" s="50"/>
      <c r="BR934" s="50"/>
      <c r="BS934" s="50"/>
      <c r="BT934" s="50"/>
      <c r="BU934" s="50"/>
    </row>
    <row r="935">
      <c r="BQ935" s="50"/>
      <c r="BR935" s="50"/>
      <c r="BS935" s="50"/>
      <c r="BT935" s="50"/>
      <c r="BU935" s="50"/>
    </row>
    <row r="936">
      <c r="BQ936" s="50"/>
      <c r="BR936" s="50"/>
      <c r="BS936" s="50"/>
      <c r="BT936" s="50"/>
      <c r="BU936" s="50"/>
    </row>
    <row r="937">
      <c r="BQ937" s="50"/>
      <c r="BR937" s="50"/>
      <c r="BS937" s="50"/>
      <c r="BT937" s="50"/>
      <c r="BU937" s="50"/>
    </row>
    <row r="938">
      <c r="BQ938" s="50"/>
      <c r="BR938" s="50"/>
      <c r="BS938" s="50"/>
      <c r="BT938" s="50"/>
      <c r="BU938" s="50"/>
    </row>
    <row r="939">
      <c r="BQ939" s="50"/>
      <c r="BR939" s="50"/>
      <c r="BS939" s="50"/>
      <c r="BT939" s="50"/>
      <c r="BU939" s="50"/>
    </row>
    <row r="940">
      <c r="BQ940" s="50"/>
      <c r="BR940" s="50"/>
      <c r="BS940" s="50"/>
      <c r="BT940" s="50"/>
      <c r="BU940" s="50"/>
    </row>
    <row r="941">
      <c r="BQ941" s="50"/>
      <c r="BR941" s="50"/>
      <c r="BS941" s="50"/>
      <c r="BT941" s="50"/>
      <c r="BU941" s="50"/>
    </row>
    <row r="942">
      <c r="BQ942" s="50"/>
      <c r="BR942" s="50"/>
      <c r="BS942" s="50"/>
      <c r="BT942" s="50"/>
      <c r="BU942" s="50"/>
    </row>
    <row r="943">
      <c r="BQ943" s="50"/>
      <c r="BR943" s="50"/>
      <c r="BS943" s="50"/>
      <c r="BT943" s="50"/>
      <c r="BU943" s="50"/>
    </row>
  </sheetData>
  <mergeCells count="22">
    <mergeCell ref="AR1:AV1"/>
    <mergeCell ref="AW1:BA1"/>
    <mergeCell ref="BB1:BF1"/>
    <mergeCell ref="BG1:BK1"/>
    <mergeCell ref="BL1:BP1"/>
    <mergeCell ref="BQ1:BU1"/>
    <mergeCell ref="G1:K1"/>
    <mergeCell ref="L1:P1"/>
    <mergeCell ref="Q1:W1"/>
    <mergeCell ref="X1:AB1"/>
    <mergeCell ref="AC1:AG1"/>
    <mergeCell ref="AH1:AL1"/>
    <mergeCell ref="AM1:AQ1"/>
    <mergeCell ref="L792:P792"/>
    <mergeCell ref="Q792:W792"/>
    <mergeCell ref="G456:K456"/>
    <mergeCell ref="L456:P456"/>
    <mergeCell ref="Q456:W456"/>
    <mergeCell ref="G698:K698"/>
    <mergeCell ref="L698:P698"/>
    <mergeCell ref="Q698:W698"/>
    <mergeCell ref="G792:K79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15.57"/>
    <col customWidth="1" min="6" max="6" width="23.43"/>
  </cols>
  <sheetData>
    <row r="1">
      <c r="A1" s="6" t="s">
        <v>762</v>
      </c>
      <c r="E1" s="6"/>
      <c r="F1" s="6"/>
    </row>
    <row r="2">
      <c r="A2" s="6"/>
      <c r="B2" s="6"/>
      <c r="C2" s="6"/>
      <c r="D2" s="6"/>
      <c r="E2" s="6"/>
      <c r="F2" s="6"/>
    </row>
    <row r="4">
      <c r="A4" s="147" t="s">
        <v>763</v>
      </c>
      <c r="F4" s="148" t="s">
        <v>764</v>
      </c>
      <c r="G4" s="9"/>
      <c r="H4" s="149" t="s">
        <v>765</v>
      </c>
      <c r="I4" s="150"/>
    </row>
    <row r="5">
      <c r="A5" s="147" t="s">
        <v>766</v>
      </c>
      <c r="F5" s="151" t="s">
        <v>767</v>
      </c>
      <c r="I5" s="152"/>
    </row>
    <row r="6">
      <c r="F6" s="153"/>
      <c r="I6" s="152"/>
    </row>
    <row r="7">
      <c r="A7" s="154" t="s">
        <v>768</v>
      </c>
      <c r="B7" s="155" t="s">
        <v>769</v>
      </c>
      <c r="C7" s="156" t="s">
        <v>770</v>
      </c>
      <c r="D7" s="156" t="s">
        <v>231</v>
      </c>
      <c r="F7" s="157"/>
      <c r="G7" s="158" t="s">
        <v>769</v>
      </c>
      <c r="H7" s="159" t="s">
        <v>770</v>
      </c>
      <c r="I7" s="160" t="s">
        <v>231</v>
      </c>
    </row>
    <row r="8">
      <c r="A8" s="161" t="s">
        <v>771</v>
      </c>
      <c r="B8" s="162"/>
      <c r="C8" s="162"/>
      <c r="D8" s="162"/>
      <c r="F8" s="163" t="s">
        <v>772</v>
      </c>
      <c r="G8" s="162"/>
      <c r="H8" s="162"/>
      <c r="I8" s="164"/>
    </row>
    <row r="9">
      <c r="A9" s="163" t="s">
        <v>773</v>
      </c>
      <c r="B9" s="162"/>
      <c r="C9" s="162"/>
      <c r="D9" s="162"/>
      <c r="F9" s="165"/>
      <c r="G9" s="166"/>
      <c r="H9" s="166"/>
      <c r="I9" s="152"/>
    </row>
    <row r="10">
      <c r="A10" s="167" t="s">
        <v>774</v>
      </c>
      <c r="B10" s="162"/>
      <c r="C10" s="162"/>
      <c r="D10" s="162"/>
      <c r="F10" s="168" t="s">
        <v>775</v>
      </c>
      <c r="G10" s="169"/>
      <c r="H10" s="169"/>
      <c r="I10" s="150"/>
    </row>
    <row r="11">
      <c r="A11" s="167" t="s">
        <v>776</v>
      </c>
      <c r="B11" s="162"/>
      <c r="C11" s="162"/>
      <c r="D11" s="162"/>
      <c r="F11" s="170" t="s">
        <v>777</v>
      </c>
      <c r="G11" s="166"/>
      <c r="H11" s="166"/>
      <c r="I11" s="152"/>
    </row>
    <row r="12">
      <c r="A12" s="167" t="s">
        <v>778</v>
      </c>
      <c r="B12" s="162"/>
      <c r="C12" s="162"/>
      <c r="D12" s="162"/>
      <c r="F12" s="170" t="s">
        <v>779</v>
      </c>
      <c r="G12" s="166"/>
      <c r="H12" s="166"/>
      <c r="I12" s="152"/>
    </row>
    <row r="13">
      <c r="A13" s="167" t="s">
        <v>780</v>
      </c>
      <c r="B13" s="162"/>
      <c r="C13" s="162"/>
      <c r="D13" s="162"/>
      <c r="F13" s="170" t="s">
        <v>781</v>
      </c>
      <c r="G13" s="166"/>
      <c r="H13" s="166"/>
      <c r="I13" s="152"/>
    </row>
    <row r="14">
      <c r="A14" s="161" t="s">
        <v>782</v>
      </c>
      <c r="B14" s="162"/>
      <c r="C14" s="162"/>
      <c r="D14" s="162"/>
      <c r="F14" s="170" t="s">
        <v>783</v>
      </c>
      <c r="G14" s="166"/>
      <c r="H14" s="166"/>
      <c r="I14" s="152"/>
    </row>
    <row r="15">
      <c r="A15" s="167" t="s">
        <v>774</v>
      </c>
      <c r="B15" s="162"/>
      <c r="C15" s="162"/>
      <c r="D15" s="162"/>
      <c r="F15" s="171" t="s">
        <v>784</v>
      </c>
      <c r="G15" s="172"/>
      <c r="H15" s="172"/>
      <c r="I15" s="173"/>
    </row>
    <row r="16">
      <c r="A16" s="167" t="s">
        <v>776</v>
      </c>
      <c r="B16" s="162"/>
      <c r="C16" s="162"/>
      <c r="D16" s="162"/>
      <c r="F16" s="166"/>
      <c r="G16" s="166"/>
      <c r="H16" s="166"/>
      <c r="I16" s="152"/>
    </row>
    <row r="17">
      <c r="A17" s="167" t="s">
        <v>778</v>
      </c>
      <c r="B17" s="162"/>
      <c r="C17" s="162"/>
      <c r="D17" s="162"/>
      <c r="F17" s="174" t="s">
        <v>785</v>
      </c>
      <c r="G17" s="169"/>
      <c r="H17" s="169"/>
      <c r="I17" s="150"/>
    </row>
    <row r="18">
      <c r="A18" s="167" t="s">
        <v>780</v>
      </c>
      <c r="B18" s="162"/>
      <c r="C18" s="162"/>
      <c r="D18" s="162"/>
      <c r="F18" s="170" t="s">
        <v>786</v>
      </c>
      <c r="G18" s="166"/>
      <c r="H18" s="166"/>
      <c r="I18" s="152"/>
    </row>
    <row r="19">
      <c r="F19" s="170" t="s">
        <v>787</v>
      </c>
      <c r="G19" s="166"/>
      <c r="H19" s="166"/>
      <c r="I19" s="152"/>
    </row>
    <row r="20">
      <c r="A20" s="154" t="s">
        <v>788</v>
      </c>
      <c r="B20" s="155" t="s">
        <v>769</v>
      </c>
      <c r="C20" s="156" t="s">
        <v>770</v>
      </c>
      <c r="D20" s="156" t="s">
        <v>231</v>
      </c>
      <c r="F20" s="171" t="s">
        <v>789</v>
      </c>
      <c r="G20" s="172"/>
      <c r="H20" s="172"/>
      <c r="I20" s="173"/>
    </row>
    <row r="21">
      <c r="A21" s="163" t="s">
        <v>777</v>
      </c>
      <c r="B21" s="162"/>
      <c r="C21" s="162"/>
      <c r="D21" s="162"/>
      <c r="F21" s="166"/>
      <c r="G21" s="166"/>
      <c r="H21" s="166"/>
      <c r="I21" s="152"/>
    </row>
    <row r="22">
      <c r="A22" s="163" t="s">
        <v>779</v>
      </c>
      <c r="B22" s="162"/>
      <c r="C22" s="162"/>
      <c r="D22" s="162"/>
      <c r="F22" s="174" t="s">
        <v>790</v>
      </c>
      <c r="G22" s="169"/>
      <c r="H22" s="169"/>
      <c r="I22" s="150"/>
    </row>
    <row r="23">
      <c r="A23" s="163" t="s">
        <v>781</v>
      </c>
      <c r="B23" s="162"/>
      <c r="C23" s="162"/>
      <c r="D23" s="162"/>
      <c r="F23" s="165" t="s">
        <v>791</v>
      </c>
      <c r="G23" s="166"/>
      <c r="H23" s="166"/>
      <c r="I23" s="152"/>
    </row>
    <row r="24">
      <c r="A24" s="163" t="s">
        <v>783</v>
      </c>
      <c r="B24" s="162"/>
      <c r="C24" s="162"/>
      <c r="D24" s="162"/>
      <c r="F24" s="165" t="s">
        <v>792</v>
      </c>
      <c r="G24" s="166"/>
      <c r="H24" s="166"/>
      <c r="I24" s="152"/>
    </row>
    <row r="25">
      <c r="A25" s="163" t="s">
        <v>793</v>
      </c>
      <c r="B25" s="162"/>
      <c r="C25" s="162"/>
      <c r="D25" s="162"/>
      <c r="F25" s="175" t="s">
        <v>794</v>
      </c>
      <c r="G25" s="172"/>
      <c r="H25" s="172"/>
      <c r="I25" s="173"/>
    </row>
    <row r="26">
      <c r="A26" s="163" t="s">
        <v>795</v>
      </c>
      <c r="B26" s="162"/>
      <c r="C26" s="162"/>
      <c r="D26" s="162"/>
      <c r="F26" s="166"/>
      <c r="G26" s="166"/>
      <c r="H26" s="166"/>
      <c r="I26" s="152"/>
    </row>
    <row r="27">
      <c r="A27" s="163" t="s">
        <v>796</v>
      </c>
      <c r="B27" s="162"/>
      <c r="C27" s="162"/>
      <c r="D27" s="162"/>
      <c r="F27" s="176" t="s">
        <v>797</v>
      </c>
      <c r="G27" s="169"/>
      <c r="H27" s="169"/>
      <c r="I27" s="150"/>
    </row>
    <row r="28">
      <c r="F28" s="171" t="s">
        <v>798</v>
      </c>
      <c r="G28" s="172"/>
      <c r="H28" s="172"/>
      <c r="I28" s="173"/>
    </row>
    <row r="29">
      <c r="A29" s="154" t="s">
        <v>799</v>
      </c>
      <c r="B29" s="155" t="s">
        <v>769</v>
      </c>
      <c r="C29" s="156" t="s">
        <v>770</v>
      </c>
      <c r="D29" s="156" t="s">
        <v>231</v>
      </c>
    </row>
    <row r="30">
      <c r="A30" s="177" t="s">
        <v>800</v>
      </c>
      <c r="B30" s="162"/>
      <c r="C30" s="162"/>
      <c r="D30" s="162"/>
    </row>
    <row r="31">
      <c r="A31" s="167" t="s">
        <v>801</v>
      </c>
      <c r="B31" s="162"/>
      <c r="C31" s="162"/>
      <c r="D31" s="162"/>
    </row>
    <row r="32">
      <c r="A32" s="167" t="s">
        <v>802</v>
      </c>
      <c r="B32" s="162"/>
      <c r="C32" s="162"/>
      <c r="D32" s="162"/>
    </row>
    <row r="33">
      <c r="A33" s="167" t="s">
        <v>803</v>
      </c>
      <c r="B33" s="162"/>
      <c r="C33" s="162"/>
      <c r="D33" s="162"/>
    </row>
    <row r="34">
      <c r="A34" s="167" t="s">
        <v>804</v>
      </c>
      <c r="B34" s="162"/>
      <c r="C34" s="162"/>
      <c r="D34" s="162"/>
    </row>
    <row r="35">
      <c r="A35" s="167" t="s">
        <v>805</v>
      </c>
      <c r="B35" s="162"/>
      <c r="C35" s="162"/>
      <c r="D35" s="162"/>
    </row>
    <row r="36">
      <c r="A36" s="177" t="s">
        <v>806</v>
      </c>
      <c r="B36" s="162"/>
      <c r="C36" s="162"/>
      <c r="D36" s="162"/>
    </row>
    <row r="37">
      <c r="A37" s="167" t="s">
        <v>807</v>
      </c>
      <c r="B37" s="162"/>
      <c r="C37" s="162"/>
      <c r="D37" s="162"/>
    </row>
    <row r="38">
      <c r="A38" s="167" t="s">
        <v>808</v>
      </c>
      <c r="B38" s="162"/>
      <c r="C38" s="162"/>
      <c r="D38" s="162"/>
    </row>
    <row r="39">
      <c r="A39" s="167" t="s">
        <v>809</v>
      </c>
      <c r="B39" s="162"/>
      <c r="C39" s="162"/>
      <c r="D39" s="162"/>
    </row>
    <row r="40">
      <c r="A40" s="167" t="s">
        <v>810</v>
      </c>
      <c r="B40" s="162"/>
      <c r="C40" s="162"/>
      <c r="D40" s="162"/>
    </row>
    <row r="41">
      <c r="A41" s="177" t="s">
        <v>811</v>
      </c>
      <c r="B41" s="162"/>
      <c r="C41" s="162"/>
      <c r="D41" s="162"/>
    </row>
    <row r="42">
      <c r="A42" s="177" t="s">
        <v>812</v>
      </c>
      <c r="B42" s="162"/>
      <c r="C42" s="162"/>
      <c r="D42" s="162"/>
    </row>
    <row r="44">
      <c r="A44" s="154" t="s">
        <v>813</v>
      </c>
      <c r="B44" s="155" t="s">
        <v>769</v>
      </c>
      <c r="C44" s="156" t="s">
        <v>770</v>
      </c>
      <c r="D44" s="156" t="s">
        <v>231</v>
      </c>
    </row>
    <row r="45">
      <c r="A45" s="163" t="s">
        <v>814</v>
      </c>
      <c r="B45" s="162"/>
      <c r="C45" s="162"/>
      <c r="D45" s="162"/>
    </row>
    <row r="46">
      <c r="A46" s="163" t="s">
        <v>815</v>
      </c>
      <c r="B46" s="162"/>
      <c r="C46" s="162"/>
      <c r="D46" s="162"/>
    </row>
    <row r="47">
      <c r="A47" s="167" t="s">
        <v>798</v>
      </c>
      <c r="B47" s="162"/>
      <c r="C47" s="162"/>
      <c r="D47" s="162"/>
    </row>
    <row r="49">
      <c r="A49" s="2" t="s">
        <v>816</v>
      </c>
    </row>
    <row r="52">
      <c r="A52" s="13" t="s">
        <v>817</v>
      </c>
      <c r="C52" s="13" t="s">
        <v>767</v>
      </c>
    </row>
    <row r="54">
      <c r="A54" s="13" t="s">
        <v>818</v>
      </c>
    </row>
  </sheetData>
  <mergeCells count="4">
    <mergeCell ref="A1:D1"/>
    <mergeCell ref="A4:D4"/>
    <mergeCell ref="F4:G4"/>
    <mergeCell ref="A5:D5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